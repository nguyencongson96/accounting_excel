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710040770-001\"/>
    </mc:Choice>
  </mc:AlternateContent>
  <xr:revisionPtr revIDLastSave="0" documentId="13_ncr:1_{727A5788-52DB-41E0-92CB-047574048FBB}" xr6:coauthVersionLast="47" xr6:coauthVersionMax="47" xr10:uidLastSave="{00000000-0000-0000-0000-000000000000}"/>
  <bookViews>
    <workbookView xWindow="-120" yWindow="-120" windowWidth="29040" windowHeight="15720" xr2:uid="{DE874687-97C8-4EF0-BE11-E74E3891B365}"/>
  </bookViews>
  <sheets>
    <sheet name="8710040770-001" sheetId="1" r:id="rId1"/>
  </sheets>
  <definedNames>
    <definedName name="_xlnm._FilterDatabase" localSheetId="0" hidden="1">'8710040770-001'!$A$3:$Q$142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2" i="1" l="1"/>
  <c r="N142" i="1"/>
  <c r="D142" i="1"/>
  <c r="Q141" i="1"/>
  <c r="N141" i="1"/>
  <c r="D141" i="1"/>
  <c r="Q140" i="1"/>
  <c r="N140" i="1"/>
  <c r="D140" i="1"/>
  <c r="Q139" i="1"/>
  <c r="N139" i="1"/>
  <c r="D139" i="1"/>
  <c r="Q138" i="1"/>
  <c r="N138" i="1"/>
  <c r="D138" i="1"/>
  <c r="Q137" i="1"/>
  <c r="N137" i="1"/>
  <c r="D137" i="1"/>
  <c r="Q136" i="1"/>
  <c r="N136" i="1"/>
  <c r="D136" i="1"/>
  <c r="Q135" i="1"/>
  <c r="N135" i="1"/>
  <c r="D135" i="1"/>
  <c r="Q134" i="1"/>
  <c r="N134" i="1"/>
  <c r="D134" i="1"/>
  <c r="Q133" i="1"/>
  <c r="N133" i="1"/>
  <c r="D133" i="1"/>
  <c r="Q132" i="1"/>
  <c r="N132" i="1"/>
  <c r="D132" i="1"/>
  <c r="Q131" i="1"/>
  <c r="N131" i="1"/>
  <c r="D131" i="1"/>
  <c r="Q130" i="1"/>
  <c r="N130" i="1"/>
  <c r="D130" i="1"/>
  <c r="Q129" i="1"/>
  <c r="N129" i="1"/>
  <c r="D129" i="1"/>
  <c r="Q128" i="1"/>
  <c r="N128" i="1"/>
  <c r="D128" i="1"/>
  <c r="Q127" i="1"/>
  <c r="N127" i="1"/>
  <c r="D127" i="1"/>
  <c r="Q126" i="1"/>
  <c r="N126" i="1"/>
  <c r="D126" i="1"/>
  <c r="Q125" i="1"/>
  <c r="N125" i="1"/>
  <c r="D125" i="1"/>
  <c r="Q124" i="1"/>
  <c r="N124" i="1"/>
  <c r="D124" i="1"/>
  <c r="Q123" i="1"/>
  <c r="N123" i="1"/>
  <c r="D123" i="1"/>
  <c r="Q122" i="1"/>
  <c r="N122" i="1"/>
  <c r="D122" i="1"/>
  <c r="Q121" i="1"/>
  <c r="N121" i="1"/>
  <c r="D121" i="1"/>
  <c r="Q120" i="1"/>
  <c r="N120" i="1"/>
  <c r="D120" i="1"/>
  <c r="Q119" i="1"/>
  <c r="N119" i="1"/>
  <c r="D119" i="1"/>
  <c r="Q118" i="1"/>
  <c r="N118" i="1"/>
  <c r="D118" i="1"/>
  <c r="Q117" i="1"/>
  <c r="N117" i="1"/>
  <c r="D117" i="1"/>
  <c r="Q116" i="1"/>
  <c r="N116" i="1"/>
  <c r="D116" i="1"/>
  <c r="Q115" i="1"/>
  <c r="N115" i="1"/>
  <c r="D115" i="1"/>
  <c r="Q114" i="1"/>
  <c r="N114" i="1"/>
  <c r="D114" i="1"/>
  <c r="Q113" i="1"/>
  <c r="N113" i="1"/>
  <c r="D113" i="1"/>
  <c r="Q112" i="1"/>
  <c r="N112" i="1"/>
  <c r="D112" i="1"/>
  <c r="Q111" i="1"/>
  <c r="N111" i="1"/>
  <c r="D111" i="1"/>
  <c r="Q110" i="1"/>
  <c r="N110" i="1"/>
  <c r="D110" i="1"/>
  <c r="Q109" i="1"/>
  <c r="N109" i="1"/>
  <c r="D109" i="1"/>
  <c r="Q108" i="1"/>
  <c r="N108" i="1"/>
  <c r="D108" i="1"/>
  <c r="Q107" i="1"/>
  <c r="N107" i="1"/>
  <c r="D107" i="1"/>
  <c r="Q106" i="1"/>
  <c r="N106" i="1"/>
  <c r="D106" i="1"/>
  <c r="Q105" i="1"/>
  <c r="N105" i="1"/>
  <c r="D105" i="1"/>
  <c r="Q104" i="1"/>
  <c r="N104" i="1"/>
  <c r="D104" i="1"/>
  <c r="Q103" i="1"/>
  <c r="N103" i="1"/>
  <c r="D103" i="1"/>
  <c r="Q102" i="1"/>
  <c r="N102" i="1"/>
  <c r="D102" i="1"/>
  <c r="Q101" i="1"/>
  <c r="N101" i="1"/>
  <c r="D101" i="1"/>
  <c r="Q100" i="1"/>
  <c r="N100" i="1"/>
  <c r="D100" i="1"/>
  <c r="Q99" i="1"/>
  <c r="N99" i="1"/>
  <c r="D99" i="1"/>
  <c r="Q98" i="1"/>
  <c r="N98" i="1"/>
  <c r="D98" i="1"/>
  <c r="Q97" i="1"/>
  <c r="N97" i="1"/>
  <c r="D97" i="1"/>
  <c r="Q96" i="1"/>
  <c r="N96" i="1"/>
  <c r="D96" i="1"/>
  <c r="Q95" i="1"/>
  <c r="N95" i="1"/>
  <c r="D95" i="1"/>
  <c r="Q94" i="1"/>
  <c r="N94" i="1"/>
  <c r="D94" i="1"/>
  <c r="Q93" i="1"/>
  <c r="N93" i="1"/>
  <c r="D93" i="1"/>
  <c r="Q92" i="1"/>
  <c r="N92" i="1"/>
  <c r="D92" i="1"/>
  <c r="Q91" i="1"/>
  <c r="N91" i="1"/>
  <c r="D91" i="1"/>
  <c r="Q90" i="1"/>
  <c r="N90" i="1"/>
  <c r="D90" i="1"/>
  <c r="Q89" i="1"/>
  <c r="N89" i="1"/>
  <c r="D89" i="1"/>
  <c r="Q88" i="1"/>
  <c r="N88" i="1"/>
  <c r="D88" i="1"/>
  <c r="Q87" i="1"/>
  <c r="N87" i="1"/>
  <c r="D87" i="1"/>
  <c r="Q86" i="1"/>
  <c r="N86" i="1"/>
  <c r="D86" i="1"/>
  <c r="Q85" i="1"/>
  <c r="N85" i="1"/>
  <c r="D85" i="1"/>
  <c r="Q84" i="1"/>
  <c r="N84" i="1"/>
  <c r="D84" i="1"/>
  <c r="Q83" i="1"/>
  <c r="N83" i="1"/>
  <c r="D83" i="1"/>
  <c r="Q82" i="1"/>
  <c r="N82" i="1"/>
  <c r="D82" i="1"/>
  <c r="Q81" i="1"/>
  <c r="N81" i="1"/>
  <c r="D81" i="1"/>
  <c r="Q80" i="1"/>
  <c r="N80" i="1"/>
  <c r="D80" i="1"/>
  <c r="Q79" i="1"/>
  <c r="N79" i="1"/>
  <c r="D79" i="1"/>
  <c r="Q78" i="1"/>
  <c r="N78" i="1"/>
  <c r="D78" i="1"/>
  <c r="Q77" i="1"/>
  <c r="N77" i="1"/>
  <c r="D77" i="1"/>
  <c r="Q76" i="1"/>
  <c r="N76" i="1"/>
  <c r="D76" i="1"/>
  <c r="Q75" i="1"/>
  <c r="N75" i="1"/>
  <c r="D75" i="1"/>
  <c r="Q74" i="1"/>
  <c r="N74" i="1"/>
  <c r="D74" i="1"/>
  <c r="Q73" i="1"/>
  <c r="N73" i="1"/>
  <c r="D73" i="1"/>
  <c r="Q72" i="1"/>
  <c r="N72" i="1"/>
  <c r="D72" i="1"/>
  <c r="Q71" i="1"/>
  <c r="N71" i="1"/>
  <c r="D71" i="1"/>
  <c r="Q70" i="1"/>
  <c r="N70" i="1"/>
  <c r="D70" i="1"/>
  <c r="Q69" i="1"/>
  <c r="N69" i="1"/>
  <c r="D69" i="1"/>
  <c r="Q68" i="1"/>
  <c r="N68" i="1"/>
  <c r="D68" i="1"/>
  <c r="Q67" i="1"/>
  <c r="N67" i="1"/>
  <c r="D67" i="1"/>
  <c r="Q66" i="1"/>
  <c r="N66" i="1"/>
  <c r="D66" i="1"/>
  <c r="Q65" i="1"/>
  <c r="N65" i="1"/>
  <c r="D65" i="1"/>
  <c r="Q64" i="1"/>
  <c r="N64" i="1"/>
  <c r="D64" i="1"/>
  <c r="Q63" i="1"/>
  <c r="N63" i="1"/>
  <c r="D63" i="1"/>
  <c r="Q62" i="1"/>
  <c r="N62" i="1"/>
  <c r="D62" i="1"/>
  <c r="Q61" i="1"/>
  <c r="N61" i="1"/>
  <c r="D61" i="1"/>
  <c r="Q60" i="1"/>
  <c r="N60" i="1"/>
  <c r="D60" i="1"/>
  <c r="Q59" i="1"/>
  <c r="N59" i="1"/>
  <c r="D59" i="1"/>
  <c r="Q58" i="1"/>
  <c r="N58" i="1"/>
  <c r="D58" i="1"/>
  <c r="Q57" i="1"/>
  <c r="N57" i="1"/>
  <c r="D57" i="1"/>
  <c r="Q56" i="1"/>
  <c r="N56" i="1"/>
  <c r="D56" i="1"/>
  <c r="Q55" i="1"/>
  <c r="N55" i="1"/>
  <c r="D55" i="1"/>
  <c r="Q54" i="1"/>
  <c r="N54" i="1"/>
  <c r="D54" i="1"/>
  <c r="Q53" i="1"/>
  <c r="N53" i="1"/>
  <c r="D53" i="1"/>
  <c r="Q52" i="1"/>
  <c r="N52" i="1"/>
  <c r="D52" i="1"/>
  <c r="Q51" i="1"/>
  <c r="N51" i="1"/>
  <c r="D51" i="1"/>
  <c r="Q50" i="1"/>
  <c r="N50" i="1"/>
  <c r="D50" i="1"/>
  <c r="Q49" i="1"/>
  <c r="N49" i="1"/>
  <c r="D49" i="1"/>
  <c r="Q48" i="1"/>
  <c r="N48" i="1"/>
  <c r="D48" i="1"/>
  <c r="Q47" i="1"/>
  <c r="N47" i="1"/>
  <c r="D47" i="1"/>
  <c r="Q46" i="1"/>
  <c r="N46" i="1"/>
  <c r="D46" i="1"/>
  <c r="Q45" i="1"/>
  <c r="N45" i="1"/>
  <c r="D45" i="1"/>
  <c r="Q44" i="1"/>
  <c r="N44" i="1"/>
  <c r="D44" i="1"/>
  <c r="Q43" i="1"/>
  <c r="N43" i="1"/>
  <c r="D43" i="1"/>
  <c r="Q42" i="1"/>
  <c r="N42" i="1"/>
  <c r="D42" i="1"/>
  <c r="Q41" i="1"/>
  <c r="N41" i="1"/>
  <c r="D41" i="1"/>
  <c r="Q40" i="1"/>
  <c r="N40" i="1"/>
  <c r="D40" i="1"/>
  <c r="Q39" i="1"/>
  <c r="N39" i="1"/>
  <c r="D39" i="1"/>
  <c r="Q38" i="1"/>
  <c r="N38" i="1"/>
  <c r="D38" i="1"/>
  <c r="Q37" i="1"/>
  <c r="N37" i="1"/>
  <c r="D37" i="1"/>
  <c r="Q36" i="1"/>
  <c r="N36" i="1"/>
  <c r="D36" i="1"/>
  <c r="Q35" i="1"/>
  <c r="N35" i="1"/>
  <c r="D35" i="1"/>
  <c r="Q34" i="1"/>
  <c r="N34" i="1"/>
  <c r="D34" i="1"/>
  <c r="Q33" i="1"/>
  <c r="N33" i="1"/>
  <c r="D33" i="1"/>
  <c r="Q32" i="1"/>
  <c r="N32" i="1"/>
  <c r="D32" i="1"/>
  <c r="Q31" i="1"/>
  <c r="N31" i="1"/>
  <c r="D31" i="1"/>
  <c r="Q30" i="1"/>
  <c r="N30" i="1"/>
  <c r="D30" i="1"/>
  <c r="Q29" i="1"/>
  <c r="N29" i="1"/>
  <c r="D29" i="1"/>
  <c r="Q28" i="1"/>
  <c r="N28" i="1"/>
  <c r="D28" i="1"/>
  <c r="Q27" i="1"/>
  <c r="N27" i="1"/>
  <c r="D27" i="1"/>
  <c r="Q26" i="1"/>
  <c r="N26" i="1"/>
  <c r="D26" i="1"/>
  <c r="Q25" i="1"/>
  <c r="N25" i="1"/>
  <c r="D25" i="1"/>
  <c r="Q24" i="1"/>
  <c r="N24" i="1"/>
  <c r="D24" i="1"/>
  <c r="Q23" i="1"/>
  <c r="N23" i="1"/>
  <c r="D23" i="1"/>
  <c r="Q22" i="1"/>
  <c r="N22" i="1"/>
  <c r="D22" i="1"/>
  <c r="Q21" i="1"/>
  <c r="N21" i="1"/>
  <c r="D21" i="1"/>
  <c r="Q20" i="1"/>
  <c r="N20" i="1"/>
  <c r="D20" i="1"/>
  <c r="Q19" i="1"/>
  <c r="N19" i="1"/>
  <c r="D19" i="1"/>
  <c r="Q18" i="1"/>
  <c r="N18" i="1"/>
  <c r="D18" i="1"/>
  <c r="Q17" i="1"/>
  <c r="N17" i="1"/>
  <c r="D17" i="1"/>
  <c r="Q16" i="1"/>
  <c r="N16" i="1"/>
  <c r="D16" i="1"/>
  <c r="Q15" i="1"/>
  <c r="N15" i="1"/>
  <c r="D15" i="1"/>
  <c r="Q14" i="1"/>
  <c r="N14" i="1"/>
  <c r="D14" i="1"/>
  <c r="Q13" i="1"/>
  <c r="N13" i="1"/>
  <c r="D13" i="1"/>
  <c r="Q12" i="1"/>
  <c r="N12" i="1"/>
  <c r="D12" i="1"/>
  <c r="Q11" i="1"/>
  <c r="N11" i="1"/>
  <c r="D11" i="1"/>
  <c r="Q10" i="1"/>
  <c r="N10" i="1"/>
  <c r="D10" i="1"/>
  <c r="Q9" i="1"/>
  <c r="N9" i="1"/>
  <c r="D9" i="1"/>
  <c r="Q8" i="1"/>
  <c r="N8" i="1"/>
  <c r="D8" i="1"/>
  <c r="Q7" i="1"/>
  <c r="N7" i="1"/>
  <c r="D7" i="1"/>
  <c r="Q6" i="1"/>
  <c r="N6" i="1"/>
  <c r="D6" i="1"/>
  <c r="Q5" i="1"/>
  <c r="N5" i="1"/>
  <c r="D5" i="1"/>
  <c r="Q4" i="1"/>
  <c r="N4" i="1"/>
  <c r="D4" i="1"/>
  <c r="C4" i="1" s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</calcChain>
</file>

<file path=xl/sharedStrings.xml><?xml version="1.0" encoding="utf-8"?>
<sst xmlns="http://schemas.openxmlformats.org/spreadsheetml/2006/main" count="574" uniqueCount="163">
  <si>
    <t>MÃ CHỨNG TỪ</t>
  </si>
  <si>
    <t>NGÀY GHI SỔ</t>
  </si>
  <si>
    <t>SỐ CHỨNG TỪ</t>
  </si>
  <si>
    <t>BỘ PHẬN</t>
  </si>
  <si>
    <t>HỢP ĐỒNG</t>
  </si>
  <si>
    <t>MÃ SẢN PHẨM CÔNG TRÌNH</t>
  </si>
  <si>
    <t>MÃ ĐỐI TƯỢNG</t>
  </si>
  <si>
    <t>DIỄN GIẢI</t>
  </si>
  <si>
    <t>TÀI KHOẢN</t>
  </si>
  <si>
    <t>MÃ TIỀN TỆ</t>
  </si>
  <si>
    <t>TỶ GIÁ</t>
  </si>
  <si>
    <t>NGUYÊN TỆ</t>
  </si>
  <si>
    <t>THÀNH TIỀN</t>
  </si>
  <si>
    <t>Back to summary</t>
  </si>
  <si>
    <t>NỢ</t>
  </si>
  <si>
    <t>CÓ</t>
  </si>
  <si>
    <t>415</t>
  </si>
  <si>
    <t>Mã</t>
  </si>
  <si>
    <t>Status</t>
  </si>
  <si>
    <t>STT</t>
  </si>
  <si>
    <t>PK</t>
  </si>
  <si>
    <t>5300634655-004</t>
  </si>
  <si>
    <t>Đồ ăn /Beef Pho Đồ uống / Bubble tea red fruit -Giảm Giá /Social Club Food Disc 25% Phí dịch vụ (Service Charge) HĐ số 425</t>
  </si>
  <si>
    <t>VND</t>
  </si>
  <si>
    <t>0109998900</t>
  </si>
  <si>
    <t>Phí dịch vụ tư vấn tháng 12/2025 HĐ số 7</t>
  </si>
  <si>
    <t>Do uong/ Jasmine Pearls Gingerbread Chestnut Macaron -Giam Gia/Social Club Food Disc 25% Phí dịch vụ (Service Charge) HĐ số 585</t>
  </si>
  <si>
    <t>Do an/Afternoon tea Set -Giam Gia/Social Club Food Disc 25% Phí dịch vụ (Service Charge) HĐ số 991</t>
  </si>
  <si>
    <t>Do uong/ Bubble tea red fruit Do an/Beef Pho Do an/Trolley Cake Mango-Passion Crumble -Giam Gia/Social Club Food Disc 25% Phí dịch vụ (Service Charge) HĐ số 2598</t>
  </si>
  <si>
    <t>Phí dịch vụ tư vấn tháng 01/2026 HĐ số 41</t>
  </si>
  <si>
    <t>0108183976-002</t>
  </si>
  <si>
    <t>Trà vải Canh chả cá Mì đen Gà viên chiên - Sốt cay ngọt Set gà xào bắp cải phô mai Rich Gold - 2 người Trà đào HĐ số 2045</t>
  </si>
  <si>
    <t>Do an/Chicken Pho Do uong/ Bubble tea red fruit -Giam Gia/Social Club Food Disc 25% Phí dịch vụ (Service Charge) HĐ số 3133</t>
  </si>
  <si>
    <t>0312396766</t>
  </si>
  <si>
    <t>Tiền thuê văn phòng gói SAVE+ từ ngày 01/02/2026 đến ngày 22/11/2026 tại địa chỉ Số 05 Đồng Nai, Phường Tân Sơn Hòa, TP. Hồ Chí Minh. Theo phụ lục hợp đồng số: 0701/VPA/05DN  HĐ số 291</t>
  </si>
  <si>
    <t>0309300048-011</t>
  </si>
  <si>
    <t>ÁO CARDIGAN NAM TAY DÀI(4999000@2%) TÚI GIẤY SPW SIZE M (Hàng tặng không thu tiền) HĐ số 46766</t>
  </si>
  <si>
    <t>0110660922</t>
  </si>
  <si>
    <t>Cơm Cuộn Cá Hồi  Bơ Sashimi Cá Hồi Sashimi Cá Trích Ép Trứng Sashimi Sò Đỏ Pineapple Juice Salad Tôm Trứng Cá Cay  Bơ HĐ số 302</t>
  </si>
  <si>
    <t>Do an/ Chocolate Peanut Sundae -Giam Gia/Social Club Food Disc 25% Phí dịch vụ (Service Charge) HĐ số 3658</t>
  </si>
  <si>
    <t>0110374791</t>
  </si>
  <si>
    <t>Món ăn Nhật Bản Omakase, suất ăn dễ thương; bao gồm: các loại cá, thịt bò, mực, tôm,.... theo ngày,  súp và kem ( Kawai set) HĐ số 103</t>
  </si>
  <si>
    <t>Phí dịch vụ tư vấn tháng 02/2026 HĐ số 73</t>
  </si>
  <si>
    <t>0109148188</t>
  </si>
  <si>
    <t>Chi phí tiếp khách, ngoại giao HĐ số 151</t>
  </si>
  <si>
    <t>0111271372</t>
  </si>
  <si>
    <t>Chi phí tiếp khách, ngoại giao HĐ số 609</t>
  </si>
  <si>
    <t>Đồ uống / Anna Held Đồ ăn / Yoghurt Berries Waffle -Giảm giá /Social Club Food Disc 25% Phí dịch vụ (Service Charge) HĐ số 8391</t>
  </si>
  <si>
    <t>0317616334</t>
  </si>
  <si>
    <t>Dịch vụ quảng cáo và truyền thông theo Hợp đồng số T0825A1/HĐB/DCME-ADN205 ký ngày 06/01/2026 HĐ số 2</t>
  </si>
  <si>
    <t>Điều chỉnh giảm Dịch vụ quảng cáo và truyền thông theo Hợp đồng số T0825A1/HĐB/DCME-ADN205 ký ngày 06/01/2026 HĐ số 2</t>
  </si>
  <si>
    <t>0109028941</t>
  </si>
  <si>
    <t>Dịch vụ quảng cáo và truyền thông theo Hợp đồng số 31/12/25//HDDV/Mialala - HBQ ký ngày 25/12/2025 và Biên bản nghiệm thu ký ngày 07/01/2026 HĐ số 1</t>
  </si>
  <si>
    <t>Điều chỉnh giảm Dịch vụ quảng cáo và truyền thông theo Hợp đồng số 31/12/25//HDDV/Mialala - HBQ ký ngày 25/12/2025 và Biên bản nghiệm thu ký ngày 07/01/2026 HĐ số 1</t>
  </si>
  <si>
    <t>0317435899</t>
  </si>
  <si>
    <t>Dịch vụ quảng cáo và truyền thông theo Hợp đồng số 06012026HDDVHABANHQUYBOJ ký ngày 06/01/2026 và Biên bản nghiệm thu ký ngày 09/01/2026 HĐ số 3</t>
  </si>
  <si>
    <t>Điều chỉnh giảm Dịch vụ quảng cáo và truyền thông theo Hợp đồng số 06012026HDDVHABANHQUYBOJ ký ngày 06/01/2026 và Biên bản nghiệm thu ký ngày 09/01/2026 HĐ số 3</t>
  </si>
  <si>
    <t>Dịch vụ quảng cáo và truyền thông theo Hợp đồng số T0126A1/HĐBK-KOL/DCME-ADN206 ký ngày 06/01/2026 HĐ số 4</t>
  </si>
  <si>
    <t>Điều chỉnh giảm Dịch vụ quảng cáo và truyền thông theo Hợp đồng số T0126A1/HĐBK-KOL/DCME-ADN206 ký ngày 06/01/2026 HĐ số 4</t>
  </si>
  <si>
    <t>Dịch vụ quảng cáo và truyền thông theo Hợp đồng số T0923A1/HĐB/DCME-ADN206 ký ngày 17/01/2026 HĐ số 5</t>
  </si>
  <si>
    <t>Điều chỉnh giảm Dịch vụ quảng cáo và truyền thông theo Hợp đồng số T0923A1/HĐB/DCME-ADN206 ký ngày 17/01/2026 HĐ số 5</t>
  </si>
  <si>
    <t>0317476817</t>
  </si>
  <si>
    <t>Dịch vụ quảng cáo và truyền thông theo Hợp đồng số 210126/HĐDV/TIAM-COOKIEHOANG_ ký ngày 21/01/2026 HĐ số 6</t>
  </si>
  <si>
    <t>Điều chỉnh giảm Dịch vụ quảng cáo và truyền thông theo Hợp đồng số 210126/HĐDV/TIAM-COOKIEHOANG_ ký ngày 21/01/2026 HĐ số 6</t>
  </si>
  <si>
    <t>0318669995</t>
  </si>
  <si>
    <t>Dịch vụ quảng cáo và truyền thông theo Hợp đồng số 270126/HĐDV/CHUNG-COOKIEHOANG_ ký ngày 27/01/2026 HĐ số 7</t>
  </si>
  <si>
    <t>Điều chỉnh giảm Dịch vụ quảng cáo và truyền thông theo Hợp đồng số 270126/HĐDV/CHUNG-COOKIEHOANG_ ký ngày 27/01/2026 HĐ số 7</t>
  </si>
  <si>
    <t>0318475414</t>
  </si>
  <si>
    <t>Dịch vụ quảng cáo và truyền thông theo Hợp đồng số FINTVN-LAURIER-PANTIES-2026-60 ký ngày 20/01/2026 và Biên bản nghiệm thu ký ngày 30/01/2026 HĐ số 8</t>
  </si>
  <si>
    <t>Điều chỉnh giảm Dịch vụ quảng cáo và truyền thông theo Hợp đồng số FINTVN-LAURIER-PANTIES-2026-60 ký ngày 20/01/2026 và Biên bản nghiệm thu ký ngày 30/01/2026 HĐ số 8</t>
  </si>
  <si>
    <t>0106639692</t>
  </si>
  <si>
    <t>Dịch vụ quảng cáo và truyền thông theo Hợp đồng số T09MPD25HDDV-0084-0319 MINHHUYEN ký ngày 30/01/2026 và Biên bản nghiệm thu ký ngày 12/02/2026 HĐ số 9</t>
  </si>
  <si>
    <t>Điều chỉnh giảm Dịch vụ quảng cáo và truyền thông theo Hợp đồng số T09MPD25HDDV-0084-0319 MINHHUYEN ký ngày 30/01/2026 và Biên bản nghiệm thu ký ngày 12/02/2026 HĐ số 9</t>
  </si>
  <si>
    <t>0300721002</t>
  </si>
  <si>
    <t>Dịch vụ quảng cáo và truyền thông theo Hợp đồng số 15/01/2026/ Hộ Kinh Doanh Hà Bánh Quy-VERITES/HDDV ký ngày 15/01/2026 và Biên bản nghiệm thu thanh lý ký ngày 25/02/2026 HĐ số 11</t>
  </si>
  <si>
    <t>Điều chỉnh giảm Dịch vụ quảng cáo và truyền thông theo Hợp đồng số 15/01/2026/ Hộ Kinh Doanh Hà Bánh Quy-VERITES/HDDV ký ngày 15/01/2026 và Biên bản nghiệm thu thanh lý ký ngày 25/02/2026 HĐ số 11</t>
  </si>
  <si>
    <t>0108750008</t>
  </si>
  <si>
    <t>Dịch vụ quảng cáo và truyền thông theo Hợp đồng số HKD HABANHQUY _3BRO3_SIMPLE CORE_260103_001 ký ngày 12/02/2026 HĐ số 10</t>
  </si>
  <si>
    <t>Điều chỉnh giảm Dịch vụ quảng cáo và truyền thông theo Hợp đồng số HKD HABANHQUY _3BRO3_SIMPLE CORE_260103_001 ký ngày 12/02/2026 HĐ số 10</t>
  </si>
  <si>
    <t>Dịch vụ quảng cáo và truyền thông theo Hợp đồng số FINTVN-ATTENIR-2026-41 ký ngày 03/02/2026 (Đợt 1) HĐ số 12</t>
  </si>
  <si>
    <t>Điều chỉnh giảm Dịch vụ quảng cáo và truyền thông theo Hợp đồng số FINTVN-ATTENIR-2026-41 ký ngày 03/02/2026 (Đợt 1) HĐ số 12</t>
  </si>
  <si>
    <t>3603331818</t>
  </si>
  <si>
    <t>Dịch vụ quảng cáo và truyền thông theo Hợp đồng số 11022026HĐGT-HBQ ký ngày 11/02/2026 HĐ số 13</t>
  </si>
  <si>
    <t>Điều chỉnh giảm Dịch vụ quảng cáo và truyền thông theo Hợp đồng số 11022026HĐGT-HBQ ký ngày 11/02/2026 HĐ số 13</t>
  </si>
  <si>
    <t>Dịch vụ quảng cáo và truyền thông theo Hợp đồng số FINTVN-ATTENIR-2026-41 ký ngày 03/02/2026 (Đợt 2) HĐ số 15</t>
  </si>
  <si>
    <t>Điều chỉnh giảm Dịch vụ quảng cáo và truyền thông theo Hợp đồng số FINTVN-ATTENIR-2026-41 ký ngày 03/02/2026 (Đợt 2) HĐ số 15</t>
  </si>
  <si>
    <t>0318908192</t>
  </si>
  <si>
    <t>Dịch vụ quảng cáo và truyền thông theo Hợp đồng số 26022026/HDDV/TUXI-HBQ ký ngày 26/02/2026 (Đợt 1) HĐ số 14</t>
  </si>
  <si>
    <t>Điều chỉnh giảm Dịch vụ quảng cáo và truyền thông theo Hợp đồng số 26022026/HDDV/TUXI-HBQ ký ngày 26/02/2026 (Đợt 1) HĐ số 14</t>
  </si>
  <si>
    <t>0315803699</t>
  </si>
  <si>
    <t>Dịch vụ quảng cáo và truyền thông theo Hợp đồng số 1712026/HĐDV/Y&amp;B ký ngày 02/01/2026 kèm Biên bản nghiệm thu và thanh toán số 1712026/BBNT-TT/Y&amp;B ký ngày 05/03/2026 HĐ số 16</t>
  </si>
  <si>
    <t>Điều chỉnh giảm Dịch vụ quảng cáo và truyền thông theo Hợp đồng số 1712026/HĐDV/Y&amp;B ký ngày 02/01/2026 kèm Biên bản nghiệm thu và thanh toán số 1712026/BBNT-TT/Y&amp;B ký ngày 05/03/2026 HĐ số 16</t>
  </si>
  <si>
    <t>Dịch vụ quảng cáo và truyền thông theo Hợp đồng số HKD HABANHQUY _3BRO1_GARNIER MOCHI CAMP FEB_260107_001 ký ngày 01/02/2026 và Biên bản nghiệm thu ký ngày 10/03/2026 HĐ số 17</t>
  </si>
  <si>
    <t>Điều chỉnh giảm Dịch vụ quảng cáo và truyền thông theo Hợp đồng số HKD HABANHQUY _3BRO1_GARNIER MOCHI CAMP FEB_260107_001 ký ngày 01/02/2026 và Biên bản nghiệm thu ký ngày 10/03/2026 HĐ số 17</t>
  </si>
  <si>
    <t>0313658809</t>
  </si>
  <si>
    <t>100% dịch vụ quảng cáo dự án Neutrogena Key Assets Production 2026 theo BBNTTL của hợp đồng số HĐ/653/2026/METUB ký ngày 02/03/2026 HĐ số 18</t>
  </si>
  <si>
    <t>Điều chỉnh giảm 100% dịch vụ quảng cáo dự án Neutrogena Key Assets Production 2026 theo BBNTTL của hợp đồng số HĐ/653/2026/METUB ký ngày 02/03/2026 HĐ số 18</t>
  </si>
  <si>
    <t>0315973108</t>
  </si>
  <si>
    <t>Cung cấp dịch vụ 100% theo BBNT ký ngày 20/03/2026 của Hợp đồng số HĐ/190/2026/MMUSIC ký ngày 02/03/2026 HĐ số 19</t>
  </si>
  <si>
    <t>Điều chỉnh giảm Cung cấp dịch vụ 100% theo BBNT ký ngày 20/03/2026 của Hợp đồng số HĐ/190/2026/MMUSIC ký ngày 02/03/2026 HĐ số 19</t>
  </si>
  <si>
    <t>Dịch vụ quảng cáo và truyền thông theo Hợp đồng số T1025A1/HĐB/DCME-ADN206 ký ngày 04/03/2026 HĐ số 20</t>
  </si>
  <si>
    <t>Điều chỉnh giảm Dịch vụ quảng cáo và truyền thông theo Hợp đồng số T1025A1/HĐB/DCME-ADN206 ký ngày 04/03/2026 HĐ số 20</t>
  </si>
  <si>
    <t>Dịch vụ quảng cáo và truyền thông theo Hợp đồng số 5332026/HĐDV/Y&amp;B ký ngày 01/03/2026 kèm Biên bản nghiệm thu và thanh toán số 5332026/BBNT-TT/Y&amp;B ký ngày 31/03/2026 HĐ số 21</t>
  </si>
  <si>
    <t>Điều chỉnh giảm Dịch vụ quảng cáo và truyền thông theo Hợp đồng số 5332026/HĐDV/Y&amp;B ký ngày 01/03/2026 kèm Biên bản nghiệm thu và thanh toán số 5332026/BBNT-TT/Y&amp;B ký ngày 31/03/2026 HĐ số 21</t>
  </si>
  <si>
    <t>BC</t>
  </si>
  <si>
    <t>Nhận Dịch vụ quảng cáo và truyền thông theo Hợp đồng số T0126A1/HĐBK-KOL/DCME-ADN206 ký ngày 06/01/2026 HĐ số 4</t>
  </si>
  <si>
    <t>BN</t>
  </si>
  <si>
    <t>8710040770-001</t>
  </si>
  <si>
    <t>CT DI:601911832955 rut tien mat</t>
  </si>
  <si>
    <t>CT DI:188K2610TH2PBR7B rut tien mat</t>
  </si>
  <si>
    <t>Nhận Dịch vụ quảng cáo và truyền thông theo Hợp đồng số HKD HABANHQUY _3BRO3_SIMPLE CORE_260103_001 ký ngày 12/02/2026 HĐ số 10</t>
  </si>
  <si>
    <t>Nhận Dịch vụ quảng cáo và truyền thông theo Hợp đồng số T0825A1/HĐB/DCME-ADN205 ký ngày 06/01/2026 HĐ số 2</t>
  </si>
  <si>
    <t>Nhận Dịch vụ quảng cáo và truyền thông theo Hợp đồng số 06012026HDDVHABANHQUYBOJ ký ngày 06/01/2026 và Biên bản nghiệm thu ký ngày 09/01/2026 HĐ số 3</t>
  </si>
  <si>
    <t>CT DI:188K2610GML74REA rut tien mat</t>
  </si>
  <si>
    <t>HKD Ha Banh Quy (MVD KQOOO) - phí</t>
  </si>
  <si>
    <t>Nhận Dịch vụ quảng cáo và truyền thông theo Hợp đồng số 210126/HĐDV/TIAM-COOKIEHOANG_ ký ngày 21/01/2026 HĐ số 6</t>
  </si>
  <si>
    <t>Lãi tiền gửi</t>
  </si>
  <si>
    <t>CT DI:188K2611B59656V0 rut tien mat</t>
  </si>
  <si>
    <t>CT DI:602317185667 rut tien mat</t>
  </si>
  <si>
    <t>Nhận Dịch vụ quảng cáo và truyền thông theo Hợp đồng số T0923A1/HĐB/DCME-ADN206 ký ngày 17/01/2026 HĐ số 5</t>
  </si>
  <si>
    <t>262010207A-0013100/188N26112</t>
  </si>
  <si>
    <t>CT DI:602309609606 rut tien mat</t>
  </si>
  <si>
    <t>Nhận Dịch vụ quảng cáo và truyền thông theo Hợp đồng số 26022026/HDDV/TUXI-HBQ ký ngày 26/02/2026 (Đợt 1) HĐ số 14</t>
  </si>
  <si>
    <t>CT DI:606519662336 rut tien mat</t>
  </si>
  <si>
    <t>Nhận Dịch vụ quảng cáo và truyền thông theo Hợp đồng số FINTVN-ATTENIR-2026-41 ký ngày 03/02/2026 (Đợt 1) HĐ số 12</t>
  </si>
  <si>
    <t>Nhận Dịch vụ quảng cáo và truyền thông theo Hợp đồng số 11022026HĐGT-HBQ ký ngày 11/02/2026 HĐ số 13</t>
  </si>
  <si>
    <t>Nhận Dịch vụ quảng cáo và truyền thông theo Hợp đồng số FINTVN-LAURIER-PANTIES-2026-60 ký ngày 20/01/2026 và Biên bản nghiệm thu ký ngày 30/01/2026 HĐ số 8</t>
  </si>
  <si>
    <t>HKD Ha Banh Quy mvd KQ000 - phí</t>
  </si>
  <si>
    <t>CT DI:603723041233 rut tien mat</t>
  </si>
  <si>
    <t>Nhận Dịch vụ quảng cáo và truyền thông theo Hợp đồng số 270126/HĐDV/CHUNG-COOKIEHOANG_ ký ngày 27/01/2026 HĐ số 7</t>
  </si>
  <si>
    <t>CT DI:608318799835 rut tien mat</t>
  </si>
  <si>
    <t>Nhận Dịch vụ quảng cáo và truyền thông theo Hợp đồng số T09MPD25HDDV-0084-0319 MINHHUYEN ký ngày 30/01/2026 và Biên bản nghiệm thu ký ngày 12/02/2026 HĐ số 9</t>
  </si>
  <si>
    <t>CT DI:607109908053 rut tien mat</t>
  </si>
  <si>
    <t>Nhận Dịch vụ quảng cáo và truyền thông theo Hợp đồng số 1712026/HĐDV/Y&amp;B ký ngày 02/01/2026 kèm Biên bản nghiệm thu và thanh toán số 1712026/BBNT-TT/Y&amp;B ký ngày 05/03/2026 HĐ số 16</t>
  </si>
  <si>
    <t>CT DI:606918517169 QR rut tien mat</t>
  </si>
  <si>
    <t>Tra lai tien gui so TK: 312042018-20260117</t>
  </si>
  <si>
    <t>CUSTOMER rut tien mat nhap quy Trace 543365</t>
  </si>
  <si>
    <t>CUSTOMER BNT TT BOOKING HKD HA BANH QUY CFT PERFUMES Q4</t>
  </si>
  <si>
    <t>CUSTOMER rut tien mat nhap quy Trace 330601</t>
  </si>
  <si>
    <t>Nhận Dịch vụ quảng cáo và truyền thông theo Hợp đồng số 31/12/25//HDDV/Mialala - HBQ ký ngày 25/12/2025 và Biên bản nghiệm thu ký ngày 07/01/2026 HĐ số 1</t>
  </si>
  <si>
    <t>Tra lai tien gui so TK: 312042018-20260321</t>
  </si>
  <si>
    <t>CUSTOMER MBCT rut tien mat nhap quy D2LJHBX1</t>
  </si>
  <si>
    <t>CUSTOMER rut tien mat nhap quy Trace 646971</t>
  </si>
  <si>
    <t>PC</t>
  </si>
  <si>
    <t>Thanh toán Đồ ăn /Beef Pho Đồ uống / Bubble tea red fruit -Giảm Giá /Social Club Food Disc 25% Phí dịch vụ (Service Charge) HĐ số 425</t>
  </si>
  <si>
    <t>Thanh toán Phí dịch vụ tư vấn tháng 12/2025 HĐ số 7</t>
  </si>
  <si>
    <t>Thanh toán Do uong/ Jasmine Pearls Gingerbread Chestnut Macaron -Giam Gia/Social Club Food Disc 25% Phí dịch vụ (Service Charge) HĐ số 585</t>
  </si>
  <si>
    <t>Thanh toán Do an/Afternoon tea Set -Giam Gia/Social Club Food Disc 25% Phí dịch vụ (Service Charge) HĐ số 991</t>
  </si>
  <si>
    <t>Thanh toán Do uong/ Bubble tea red fruit Do an/Beef Pho Do an/Trolley Cake Mango-Passion Crumble -Giam Gia/Social Club Food Disc 25% Phí dịch vụ (Service Charge) HĐ số 2598</t>
  </si>
  <si>
    <t>Thanh toán Phí dịch vụ tư vấn tháng 01/2026 HĐ số 41</t>
  </si>
  <si>
    <t>Thanh toán Trà vải Canh chả cá Mì đen Gà viên chiên - Sốt cay ngọt Set gà xào bắp cải phô mai Rich Gold - 2 người Trà đào HĐ số 2045</t>
  </si>
  <si>
    <t>Thanh toán Do an/Chicken Pho Do uong/ Bubble tea red fruit -Giam Gia/Social Club Food Disc 25% Phí dịch vụ (Service Charge) HĐ số 3133</t>
  </si>
  <si>
    <t>Thanh toán Tiền thuê văn phòng gói SAVE+ từ ngày 01/02/2026 đến ngày 22/11/2026 tại địa chỉ Số 05 Đồng Nai, Phường Tân Sơn Hòa, TP. Hồ Chí Minh. Theo phụ lục hợp đồng số: 0701/VPA/05DN  HĐ số 291</t>
  </si>
  <si>
    <t>Thanh toán ÁO CARDIGAN NAM TAY DÀI(4999000@2%) TÚI GIẤY SPW SIZE M (Hàng tặng không thu tiền) HĐ số 46766</t>
  </si>
  <si>
    <t>Thanh toán Cơm Cuộn Cá Hồi  Bơ Sashimi Cá Hồi Sashimi Cá Trích Ép Trứng Sashimi Sò Đỏ Pineapple Juice Salad Tôm Trứng Cá Cay  Bơ HĐ số 302</t>
  </si>
  <si>
    <t>Thanh toán Do an/ Chocolate Peanut Sundae -Giam Gia/Social Club Food Disc 25% Phí dịch vụ (Service Charge) HĐ số 3658</t>
  </si>
  <si>
    <t>Thanh toán Món ăn Nhật Bản Omakase, suất ăn dễ thương; bao gồm: các loại cá, thịt bò, mực, tôm,.... theo ngày,  súp và kem ( Kawai set) HĐ số 103</t>
  </si>
  <si>
    <t>Thanh toán Phí dịch vụ tư vấn tháng 02/2026 HĐ số 73</t>
  </si>
  <si>
    <t>Thanh toán Đồ uống / Anna Held Đồ ăn / Yoghurt Berries Waffle -Giảm giá /Social Club Food Disc 25% Phí dịch vụ (Service Charge) HĐ số 8391</t>
  </si>
  <si>
    <t>0309385588</t>
  </si>
  <si>
    <t>Chi phí bảo hiểm tháng 2026.01</t>
  </si>
  <si>
    <t>Chi phí bảo hiểm tháng 2026.02</t>
  </si>
  <si>
    <t>Chi phí bảo hiểm tháng 2026.03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</si>
</sst>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163"/>
      <scheme val="minor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u/>
      <sz val="10"/>
      <color theme="10"/>
      <name val="Times New Roman"/>
      <family val="1"/>
    </font>
    <font>
      <sz val="10"/>
      <name val="Arial"/>
      <family val="2"/>
    </font>
    <font>
      <b/>
      <sz val="10"/>
      <color indexed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38">
    <xf numFmtId="0" fontId="0" fillId="0" borderId="0" xfId="0"/>
    <xf numFmtId="0" fontId="3" fillId="0" borderId="4" xfId="0" applyFont="1" applyBorder="1"/>
    <xf numFmtId="0" fontId="5" fillId="0" borderId="0" xfId="1" applyFont="1"/>
    <xf numFmtId="0" fontId="3" fillId="0" borderId="0" xfId="0" applyFont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3" fillId="0" borderId="8" xfId="0" applyFont="1" applyBorder="1"/>
    <xf numFmtId="49" fontId="7" fillId="0" borderId="0" xfId="2" applyNumberFormat="1" applyFont="1" applyAlignment="1">
      <alignment horizontal="center" vertical="center" wrapText="1"/>
    </xf>
    <xf numFmtId="14" fontId="7" fillId="0" borderId="0" xfId="2" applyNumberFormat="1" applyFont="1" applyAlignment="1">
      <alignment horizontal="center" vertical="center" wrapText="1"/>
    </xf>
    <xf numFmtId="49" fontId="8" fillId="0" borderId="0" xfId="2" applyNumberFormat="1" applyFont="1" applyAlignment="1">
      <alignment horizontal="center" vertical="center" wrapText="1"/>
    </xf>
    <xf numFmtId="49" fontId="7" fillId="0" borderId="0" xfId="2" applyNumberFormat="1" applyFont="1" applyAlignment="1">
      <alignment horizontal="center" vertical="center"/>
    </xf>
    <xf numFmtId="49" fontId="7" fillId="0" borderId="0" xfId="2" applyNumberFormat="1" applyFont="1" applyAlignment="1">
      <alignment horizontal="right"/>
    </xf>
    <xf numFmtId="0" fontId="7" fillId="0" borderId="0" xfId="2" applyFont="1" applyAlignment="1">
      <alignment horizontal="center" vertical="center" wrapText="1"/>
    </xf>
    <xf numFmtId="3" fontId="7" fillId="0" borderId="0" xfId="2" applyNumberFormat="1" applyFont="1" applyAlignment="1">
      <alignment horizontal="center" vertical="center" wrapText="1"/>
    </xf>
    <xf numFmtId="41" fontId="7" fillId="0" borderId="0" xfId="3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49" fontId="3" fillId="0" borderId="0" xfId="0" applyNumberFormat="1" applyFont="1"/>
    <xf numFmtId="41" fontId="3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41" fontId="1" fillId="0" borderId="1" xfId="0" applyNumberFormat="1" applyFont="1" applyBorder="1" applyAlignment="1">
      <alignment horizontal="center" vertical="center" wrapText="1"/>
    </xf>
    <xf numFmtId="41" fontId="1" fillId="0" borderId="5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</cellXfs>
  <cellStyles count="4">
    <cellStyle name="Comma 2" xfId="3" xr:uid="{ECA4E9ED-9871-43CB-AE03-2560AEB12EC1}"/>
    <cellStyle name="Hyperlink" xfId="1" builtinId="8"/>
    <cellStyle name="Normal" xfId="0" builtinId="0"/>
    <cellStyle name="Normal 2" xfId="2" xr:uid="{C8623CB1-6F3D-4FD0-A6B8-CFE6B93661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A538-EE44-479D-8298-ACAB63C32899}">
  <sheetPr>
    <tabColor rgb="FF92D050"/>
  </sheetPr>
  <dimension ref="A1:Q142"/>
  <sheetViews>
    <sheetView tabSelected="1" zoomScaleNormal="100" workbookViewId="0">
      <selection sqref="A1:A2"/>
    </sheetView>
  </sheetViews>
  <sheetFormatPr defaultRowHeight="15" customHeight="1" x14ac:dyDescent="0.2"/>
  <cols>
    <col min="1" max="1" width="9.140625" style="3"/>
    <col min="2" max="2" width="10.7109375" style="15" bestFit="1" customWidth="1"/>
    <col min="3" max="3" width="10.7109375" style="3" bestFit="1" customWidth="1"/>
    <col min="4" max="5" width="9.140625" style="3"/>
    <col min="6" max="6" width="9.140625" style="16"/>
    <col min="7" max="7" width="14.85546875" style="16" bestFit="1" customWidth="1"/>
    <col min="8" max="8" width="48" style="16" customWidth="1"/>
    <col min="9" max="12" width="9.140625" style="3"/>
    <col min="13" max="14" width="11.5703125" style="17" bestFit="1" customWidth="1"/>
    <col min="15" max="16384" width="9.140625" style="3"/>
  </cols>
  <sheetData>
    <row r="1" spans="1:17" ht="15" customHeight="1" thickBot="1" x14ac:dyDescent="0.25">
      <c r="A1" s="29" t="s">
        <v>0</v>
      </c>
      <c r="B1" s="31" t="s">
        <v>1</v>
      </c>
      <c r="C1" s="29" t="s">
        <v>2</v>
      </c>
      <c r="D1" s="33" t="s">
        <v>3</v>
      </c>
      <c r="E1" s="35" t="s">
        <v>4</v>
      </c>
      <c r="F1" s="35" t="s">
        <v>5</v>
      </c>
      <c r="G1" s="23" t="s">
        <v>6</v>
      </c>
      <c r="H1" s="25" t="s">
        <v>7</v>
      </c>
      <c r="I1" s="27" t="s">
        <v>8</v>
      </c>
      <c r="J1" s="28"/>
      <c r="K1" s="29" t="s">
        <v>9</v>
      </c>
      <c r="L1" s="29" t="s">
        <v>10</v>
      </c>
      <c r="M1" s="21" t="s">
        <v>11</v>
      </c>
      <c r="N1" s="21" t="s">
        <v>12</v>
      </c>
      <c r="O1" s="1"/>
      <c r="P1" s="2" t="s">
        <v>13</v>
      </c>
    </row>
    <row r="2" spans="1:17" ht="15" customHeight="1" thickBot="1" x14ac:dyDescent="0.25">
      <c r="A2" s="30"/>
      <c r="B2" s="32"/>
      <c r="C2" s="30"/>
      <c r="D2" s="34"/>
      <c r="E2" s="36"/>
      <c r="F2" s="37"/>
      <c r="G2" s="24"/>
      <c r="H2" s="26"/>
      <c r="I2" s="4" t="s">
        <v>14</v>
      </c>
      <c r="J2" s="5" t="s">
        <v>15</v>
      </c>
      <c r="K2" s="30"/>
      <c r="L2" s="30"/>
      <c r="M2" s="22"/>
      <c r="N2" s="22"/>
      <c r="O2" s="6"/>
    </row>
    <row r="3" spans="1:17" ht="15" customHeight="1" x14ac:dyDescent="0.2">
      <c r="A3" s="7"/>
      <c r="B3" s="8"/>
      <c r="C3" s="7" t="s">
        <v>16</v>
      </c>
      <c r="D3" s="9"/>
      <c r="E3" s="9"/>
      <c r="F3" s="9"/>
      <c r="G3" s="7" t="s">
        <v>17</v>
      </c>
      <c r="H3" s="10"/>
      <c r="I3" s="11"/>
      <c r="J3" s="11"/>
      <c r="K3" s="12"/>
      <c r="L3" s="13"/>
      <c r="M3" s="14"/>
      <c r="N3" s="14"/>
      <c r="O3" s="3" t="s">
        <v>18</v>
      </c>
      <c r="P3" s="3" t="s">
        <v>19</v>
      </c>
    </row>
    <row r="4" spans="1:17" ht="15" customHeight="1" x14ac:dyDescent="0.2">
      <c r="A4" s="3" t="s">
        <v>20</v>
      </c>
      <c r="B4" s="15">
        <v>46025</v>
      </c>
      <c r="C4" s="16">
        <f>C3+D4</f>
        <v>416</v>
      </c>
      <c r="D4" s="3">
        <f>IF(H4=H3,0,1)</f>
        <v>1</v>
      </c>
      <c r="G4" s="16" t="s">
        <v>21</v>
      </c>
      <c r="H4" s="16" t="s">
        <v>22</v>
      </c>
      <c r="I4" s="3">
        <v>64277</v>
      </c>
      <c r="J4" s="3">
        <v>331</v>
      </c>
      <c r="K4" s="3" t="s">
        <v>23</v>
      </c>
      <c r="L4" s="3">
        <v>1</v>
      </c>
      <c r="M4" s="17">
        <v>501795</v>
      </c>
      <c r="N4" s="17">
        <f t="shared" ref="N4:N67" si="0">L4*M4</f>
        <v>501795</v>
      </c>
      <c r="Q4" s="3">
        <f t="shared" ref="Q4:Q67" si="1">LEN(H4)</f>
        <v>122</v>
      </c>
    </row>
    <row r="5" spans="1:17" ht="15" customHeight="1" x14ac:dyDescent="0.2">
      <c r="A5" s="3" t="s">
        <v>20</v>
      </c>
      <c r="B5" s="15">
        <v>46025</v>
      </c>
      <c r="C5" s="16">
        <f t="shared" ref="C5:C68" si="2">C4+D5</f>
        <v>416</v>
      </c>
      <c r="D5" s="3">
        <f t="shared" ref="D5:D68" si="3">IF(H5=H4,0,1)</f>
        <v>0</v>
      </c>
      <c r="G5" s="16" t="s">
        <v>21</v>
      </c>
      <c r="H5" s="16" t="s">
        <v>22</v>
      </c>
      <c r="I5" s="3">
        <v>1331</v>
      </c>
      <c r="J5" s="3">
        <v>331</v>
      </c>
      <c r="K5" s="3" t="s">
        <v>23</v>
      </c>
      <c r="L5" s="3">
        <v>1</v>
      </c>
      <c r="M5" s="17">
        <v>37170</v>
      </c>
      <c r="N5" s="17">
        <f t="shared" si="0"/>
        <v>37170</v>
      </c>
      <c r="Q5" s="3">
        <f t="shared" si="1"/>
        <v>122</v>
      </c>
    </row>
    <row r="6" spans="1:17" ht="15" customHeight="1" x14ac:dyDescent="0.2">
      <c r="A6" s="3" t="s">
        <v>20</v>
      </c>
      <c r="B6" s="15">
        <v>46026</v>
      </c>
      <c r="C6" s="16">
        <f t="shared" si="2"/>
        <v>417</v>
      </c>
      <c r="D6" s="3">
        <f t="shared" si="3"/>
        <v>1</v>
      </c>
      <c r="G6" s="16" t="s">
        <v>24</v>
      </c>
      <c r="H6" s="16" t="s">
        <v>25</v>
      </c>
      <c r="I6" s="3">
        <v>64277</v>
      </c>
      <c r="J6" s="3">
        <v>331</v>
      </c>
      <c r="K6" s="3" t="s">
        <v>23</v>
      </c>
      <c r="L6" s="3">
        <v>1</v>
      </c>
      <c r="M6" s="17">
        <v>4000000</v>
      </c>
      <c r="N6" s="17">
        <f t="shared" si="0"/>
        <v>4000000</v>
      </c>
      <c r="Q6" s="3">
        <f t="shared" si="1"/>
        <v>40</v>
      </c>
    </row>
    <row r="7" spans="1:17" ht="15" customHeight="1" x14ac:dyDescent="0.2">
      <c r="A7" s="3" t="s">
        <v>20</v>
      </c>
      <c r="B7" s="15">
        <v>46026</v>
      </c>
      <c r="C7" s="16">
        <f t="shared" si="2"/>
        <v>417</v>
      </c>
      <c r="D7" s="3">
        <f t="shared" si="3"/>
        <v>0</v>
      </c>
      <c r="G7" s="16" t="s">
        <v>24</v>
      </c>
      <c r="H7" s="3" t="s">
        <v>25</v>
      </c>
      <c r="I7" s="3">
        <v>1331</v>
      </c>
      <c r="J7" s="3">
        <v>331</v>
      </c>
      <c r="K7" s="3" t="s">
        <v>23</v>
      </c>
      <c r="L7" s="3">
        <v>1</v>
      </c>
      <c r="M7" s="17">
        <v>320000</v>
      </c>
      <c r="N7" s="17">
        <f t="shared" si="0"/>
        <v>320000</v>
      </c>
      <c r="Q7" s="3">
        <f t="shared" si="1"/>
        <v>40</v>
      </c>
    </row>
    <row r="8" spans="1:17" ht="15" customHeight="1" x14ac:dyDescent="0.2">
      <c r="A8" s="3" t="s">
        <v>20</v>
      </c>
      <c r="B8" s="15">
        <v>46027</v>
      </c>
      <c r="C8" s="16">
        <f t="shared" si="2"/>
        <v>418</v>
      </c>
      <c r="D8" s="3">
        <f t="shared" si="3"/>
        <v>1</v>
      </c>
      <c r="G8" s="16" t="s">
        <v>21</v>
      </c>
      <c r="H8" s="16" t="s">
        <v>26</v>
      </c>
      <c r="I8" s="3">
        <v>64277</v>
      </c>
      <c r="J8" s="3">
        <v>331</v>
      </c>
      <c r="K8" s="3" t="s">
        <v>23</v>
      </c>
      <c r="L8" s="3">
        <v>1</v>
      </c>
      <c r="M8" s="17">
        <v>306180</v>
      </c>
      <c r="N8" s="17">
        <f t="shared" si="0"/>
        <v>306180</v>
      </c>
      <c r="Q8" s="3">
        <f t="shared" si="1"/>
        <v>127</v>
      </c>
    </row>
    <row r="9" spans="1:17" ht="15" customHeight="1" x14ac:dyDescent="0.2">
      <c r="A9" s="3" t="s">
        <v>20</v>
      </c>
      <c r="B9" s="15">
        <v>46027</v>
      </c>
      <c r="C9" s="16">
        <f t="shared" si="2"/>
        <v>418</v>
      </c>
      <c r="D9" s="3">
        <f t="shared" si="3"/>
        <v>0</v>
      </c>
      <c r="G9" s="16" t="s">
        <v>21</v>
      </c>
      <c r="H9" s="3" t="s">
        <v>26</v>
      </c>
      <c r="I9" s="3">
        <v>1331</v>
      </c>
      <c r="J9" s="3">
        <v>331</v>
      </c>
      <c r="K9" s="3" t="s">
        <v>23</v>
      </c>
      <c r="L9" s="3">
        <v>1</v>
      </c>
      <c r="M9" s="17">
        <v>22680</v>
      </c>
      <c r="N9" s="17">
        <f t="shared" si="0"/>
        <v>22680</v>
      </c>
      <c r="Q9" s="3">
        <f t="shared" si="1"/>
        <v>127</v>
      </c>
    </row>
    <row r="10" spans="1:17" ht="15" customHeight="1" x14ac:dyDescent="0.2">
      <c r="A10" s="3" t="s">
        <v>20</v>
      </c>
      <c r="B10" s="15">
        <v>46031</v>
      </c>
      <c r="C10" s="16">
        <f t="shared" si="2"/>
        <v>419</v>
      </c>
      <c r="D10" s="3">
        <f t="shared" si="3"/>
        <v>1</v>
      </c>
      <c r="G10" s="16" t="s">
        <v>21</v>
      </c>
      <c r="H10" s="16" t="s">
        <v>27</v>
      </c>
      <c r="I10" s="3">
        <v>64277</v>
      </c>
      <c r="J10" s="3">
        <v>331</v>
      </c>
      <c r="K10" s="3" t="s">
        <v>23</v>
      </c>
      <c r="L10" s="3">
        <v>1</v>
      </c>
      <c r="M10" s="17">
        <v>1326780</v>
      </c>
      <c r="N10" s="17">
        <f t="shared" si="0"/>
        <v>1326780</v>
      </c>
      <c r="Q10" s="3">
        <f t="shared" si="1"/>
        <v>98</v>
      </c>
    </row>
    <row r="11" spans="1:17" ht="15" customHeight="1" x14ac:dyDescent="0.2">
      <c r="A11" s="3" t="s">
        <v>20</v>
      </c>
      <c r="B11" s="15">
        <v>46031</v>
      </c>
      <c r="C11" s="16">
        <f t="shared" si="2"/>
        <v>419</v>
      </c>
      <c r="D11" s="3">
        <f t="shared" si="3"/>
        <v>0</v>
      </c>
      <c r="G11" s="16" t="s">
        <v>21</v>
      </c>
      <c r="H11" s="3" t="s">
        <v>27</v>
      </c>
      <c r="I11" s="3">
        <v>1331</v>
      </c>
      <c r="J11" s="3">
        <v>331</v>
      </c>
      <c r="K11" s="3" t="s">
        <v>23</v>
      </c>
      <c r="L11" s="3">
        <v>1</v>
      </c>
      <c r="M11" s="17">
        <v>98280</v>
      </c>
      <c r="N11" s="17">
        <f t="shared" si="0"/>
        <v>98280</v>
      </c>
      <c r="Q11" s="3">
        <f t="shared" si="1"/>
        <v>98</v>
      </c>
    </row>
    <row r="12" spans="1:17" ht="15" customHeight="1" x14ac:dyDescent="0.2">
      <c r="A12" s="3" t="s">
        <v>20</v>
      </c>
      <c r="B12" s="15">
        <v>46051</v>
      </c>
      <c r="C12" s="16">
        <f t="shared" si="2"/>
        <v>420</v>
      </c>
      <c r="D12" s="3">
        <f t="shared" si="3"/>
        <v>1</v>
      </c>
      <c r="G12" s="16" t="s">
        <v>21</v>
      </c>
      <c r="H12" s="16" t="s">
        <v>28</v>
      </c>
      <c r="I12" s="3">
        <v>64277</v>
      </c>
      <c r="J12" s="3">
        <v>331</v>
      </c>
      <c r="K12" s="3" t="s">
        <v>23</v>
      </c>
      <c r="L12" s="3">
        <v>1</v>
      </c>
      <c r="M12" s="17">
        <v>654885</v>
      </c>
      <c r="N12" s="17">
        <f t="shared" si="0"/>
        <v>654885</v>
      </c>
      <c r="Q12" s="3">
        <f t="shared" si="1"/>
        <v>161</v>
      </c>
    </row>
    <row r="13" spans="1:17" ht="15" customHeight="1" x14ac:dyDescent="0.2">
      <c r="A13" s="3" t="s">
        <v>20</v>
      </c>
      <c r="B13" s="15">
        <v>46051</v>
      </c>
      <c r="C13" s="16">
        <f t="shared" si="2"/>
        <v>420</v>
      </c>
      <c r="D13" s="3">
        <f t="shared" si="3"/>
        <v>0</v>
      </c>
      <c r="G13" s="16" t="s">
        <v>21</v>
      </c>
      <c r="H13" s="3" t="s">
        <v>28</v>
      </c>
      <c r="I13" s="3">
        <v>1331</v>
      </c>
      <c r="J13" s="3">
        <v>331</v>
      </c>
      <c r="K13" s="3" t="s">
        <v>23</v>
      </c>
      <c r="L13" s="3">
        <v>1</v>
      </c>
      <c r="M13" s="17">
        <v>48510</v>
      </c>
      <c r="N13" s="17">
        <f t="shared" si="0"/>
        <v>48510</v>
      </c>
      <c r="Q13" s="3">
        <f t="shared" si="1"/>
        <v>161</v>
      </c>
    </row>
    <row r="14" spans="1:17" ht="15" customHeight="1" x14ac:dyDescent="0.2">
      <c r="A14" s="3" t="s">
        <v>20</v>
      </c>
      <c r="B14" s="15">
        <v>46053</v>
      </c>
      <c r="C14" s="16">
        <f t="shared" si="2"/>
        <v>421</v>
      </c>
      <c r="D14" s="3">
        <f t="shared" si="3"/>
        <v>1</v>
      </c>
      <c r="G14" s="16" t="s">
        <v>24</v>
      </c>
      <c r="H14" s="16" t="s">
        <v>29</v>
      </c>
      <c r="I14" s="3">
        <v>64277</v>
      </c>
      <c r="J14" s="3">
        <v>331</v>
      </c>
      <c r="K14" s="3" t="s">
        <v>23</v>
      </c>
      <c r="L14" s="3">
        <v>1</v>
      </c>
      <c r="M14" s="17">
        <v>4000000</v>
      </c>
      <c r="N14" s="17">
        <f t="shared" si="0"/>
        <v>4000000</v>
      </c>
      <c r="Q14" s="3">
        <f t="shared" si="1"/>
        <v>41</v>
      </c>
    </row>
    <row r="15" spans="1:17" ht="15" customHeight="1" x14ac:dyDescent="0.2">
      <c r="A15" s="3" t="s">
        <v>20</v>
      </c>
      <c r="B15" s="15">
        <v>46053</v>
      </c>
      <c r="C15" s="16">
        <f t="shared" si="2"/>
        <v>421</v>
      </c>
      <c r="D15" s="3">
        <f t="shared" si="3"/>
        <v>0</v>
      </c>
      <c r="G15" s="16" t="s">
        <v>24</v>
      </c>
      <c r="H15" s="16" t="s">
        <v>29</v>
      </c>
      <c r="I15" s="3">
        <v>1331</v>
      </c>
      <c r="J15" s="3">
        <v>331</v>
      </c>
      <c r="K15" s="3" t="s">
        <v>23</v>
      </c>
      <c r="L15" s="3">
        <v>1</v>
      </c>
      <c r="M15" s="17">
        <v>320000</v>
      </c>
      <c r="N15" s="17">
        <f t="shared" si="0"/>
        <v>320000</v>
      </c>
      <c r="Q15" s="3">
        <f t="shared" si="1"/>
        <v>41</v>
      </c>
    </row>
    <row r="16" spans="1:17" ht="15" customHeight="1" x14ac:dyDescent="0.2">
      <c r="A16" s="3" t="s">
        <v>20</v>
      </c>
      <c r="B16" s="15">
        <v>46053</v>
      </c>
      <c r="C16" s="16">
        <f t="shared" si="2"/>
        <v>422</v>
      </c>
      <c r="D16" s="3">
        <f t="shared" si="3"/>
        <v>1</v>
      </c>
      <c r="G16" s="16" t="s">
        <v>30</v>
      </c>
      <c r="H16" s="16" t="s">
        <v>31</v>
      </c>
      <c r="I16" s="3">
        <v>64277</v>
      </c>
      <c r="J16" s="3">
        <v>331</v>
      </c>
      <c r="K16" s="3" t="s">
        <v>23</v>
      </c>
      <c r="L16" s="3">
        <v>1</v>
      </c>
      <c r="M16" s="17">
        <v>717000</v>
      </c>
      <c r="N16" s="17">
        <f t="shared" si="0"/>
        <v>717000</v>
      </c>
      <c r="Q16" s="3">
        <f t="shared" si="1"/>
        <v>121</v>
      </c>
    </row>
    <row r="17" spans="1:17" ht="15" customHeight="1" x14ac:dyDescent="0.2">
      <c r="A17" s="3" t="s">
        <v>20</v>
      </c>
      <c r="B17" s="15">
        <v>46053</v>
      </c>
      <c r="C17" s="16">
        <f t="shared" si="2"/>
        <v>422</v>
      </c>
      <c r="D17" s="3">
        <f t="shared" si="3"/>
        <v>0</v>
      </c>
      <c r="G17" s="16" t="s">
        <v>30</v>
      </c>
      <c r="H17" s="16" t="s">
        <v>31</v>
      </c>
      <c r="I17" s="3">
        <v>1331</v>
      </c>
      <c r="J17" s="3">
        <v>331</v>
      </c>
      <c r="K17" s="3" t="s">
        <v>23</v>
      </c>
      <c r="L17" s="3">
        <v>1</v>
      </c>
      <c r="M17" s="17">
        <v>57360</v>
      </c>
      <c r="N17" s="17">
        <f t="shared" si="0"/>
        <v>57360</v>
      </c>
      <c r="Q17" s="3">
        <f t="shared" si="1"/>
        <v>121</v>
      </c>
    </row>
    <row r="18" spans="1:17" ht="15" customHeight="1" x14ac:dyDescent="0.2">
      <c r="A18" s="3" t="s">
        <v>20</v>
      </c>
      <c r="B18" s="15">
        <v>46058</v>
      </c>
      <c r="C18" s="16">
        <f t="shared" si="2"/>
        <v>423</v>
      </c>
      <c r="D18" s="3">
        <f t="shared" si="3"/>
        <v>1</v>
      </c>
      <c r="G18" s="16" t="s">
        <v>21</v>
      </c>
      <c r="H18" s="16" t="s">
        <v>32</v>
      </c>
      <c r="I18" s="3">
        <v>64277</v>
      </c>
      <c r="J18" s="3">
        <v>331</v>
      </c>
      <c r="K18" s="3" t="s">
        <v>23</v>
      </c>
      <c r="L18" s="3">
        <v>1</v>
      </c>
      <c r="M18" s="17">
        <v>501795</v>
      </c>
      <c r="N18" s="17">
        <f t="shared" si="0"/>
        <v>501795</v>
      </c>
      <c r="Q18" s="3">
        <f t="shared" si="1"/>
        <v>123</v>
      </c>
    </row>
    <row r="19" spans="1:17" ht="15" customHeight="1" x14ac:dyDescent="0.2">
      <c r="A19" s="3" t="s">
        <v>20</v>
      </c>
      <c r="B19" s="15">
        <v>46058</v>
      </c>
      <c r="C19" s="16">
        <f t="shared" si="2"/>
        <v>423</v>
      </c>
      <c r="D19" s="3">
        <f t="shared" si="3"/>
        <v>0</v>
      </c>
      <c r="G19" s="16" t="s">
        <v>21</v>
      </c>
      <c r="H19" s="3" t="s">
        <v>32</v>
      </c>
      <c r="I19" s="3">
        <v>1331</v>
      </c>
      <c r="J19" s="3">
        <v>331</v>
      </c>
      <c r="K19" s="3" t="s">
        <v>23</v>
      </c>
      <c r="L19" s="3">
        <v>1</v>
      </c>
      <c r="M19" s="17">
        <v>37170</v>
      </c>
      <c r="N19" s="17">
        <f t="shared" si="0"/>
        <v>37170</v>
      </c>
      <c r="Q19" s="3">
        <f t="shared" si="1"/>
        <v>123</v>
      </c>
    </row>
    <row r="20" spans="1:17" ht="15" customHeight="1" x14ac:dyDescent="0.2">
      <c r="A20" s="3" t="s">
        <v>20</v>
      </c>
      <c r="B20" s="15">
        <v>46060</v>
      </c>
      <c r="C20" s="16">
        <f t="shared" si="2"/>
        <v>424</v>
      </c>
      <c r="D20" s="3">
        <f t="shared" si="3"/>
        <v>1</v>
      </c>
      <c r="G20" s="16" t="s">
        <v>33</v>
      </c>
      <c r="H20" s="16" t="s">
        <v>34</v>
      </c>
      <c r="I20" s="3">
        <v>64277</v>
      </c>
      <c r="J20" s="3">
        <v>331</v>
      </c>
      <c r="K20" s="3" t="s">
        <v>23</v>
      </c>
      <c r="L20" s="3">
        <v>1</v>
      </c>
      <c r="M20" s="17">
        <v>5880000</v>
      </c>
      <c r="N20" s="17">
        <f t="shared" si="0"/>
        <v>5880000</v>
      </c>
      <c r="Q20" s="3">
        <f t="shared" si="1"/>
        <v>184</v>
      </c>
    </row>
    <row r="21" spans="1:17" ht="15" customHeight="1" x14ac:dyDescent="0.2">
      <c r="A21" s="3" t="s">
        <v>20</v>
      </c>
      <c r="B21" s="15">
        <v>46060</v>
      </c>
      <c r="C21" s="16">
        <f t="shared" si="2"/>
        <v>424</v>
      </c>
      <c r="D21" s="3">
        <f t="shared" si="3"/>
        <v>0</v>
      </c>
      <c r="G21" s="16" t="s">
        <v>33</v>
      </c>
      <c r="H21" s="3" t="s">
        <v>34</v>
      </c>
      <c r="I21" s="18">
        <v>1331</v>
      </c>
      <c r="J21" s="3">
        <v>331</v>
      </c>
      <c r="K21" s="3" t="s">
        <v>23</v>
      </c>
      <c r="L21" s="3">
        <v>1</v>
      </c>
      <c r="M21" s="17">
        <v>588000</v>
      </c>
      <c r="N21" s="17">
        <f t="shared" si="0"/>
        <v>588000</v>
      </c>
      <c r="Q21" s="3">
        <f t="shared" si="1"/>
        <v>184</v>
      </c>
    </row>
    <row r="22" spans="1:17" ht="15" customHeight="1" x14ac:dyDescent="0.2">
      <c r="A22" s="3" t="s">
        <v>20</v>
      </c>
      <c r="B22" s="15">
        <v>46064</v>
      </c>
      <c r="C22" s="16">
        <f t="shared" si="2"/>
        <v>425</v>
      </c>
      <c r="D22" s="3">
        <f t="shared" si="3"/>
        <v>1</v>
      </c>
      <c r="G22" s="16" t="s">
        <v>35</v>
      </c>
      <c r="H22" s="3" t="s">
        <v>36</v>
      </c>
      <c r="I22" s="18">
        <v>64277</v>
      </c>
      <c r="J22" s="3">
        <v>331</v>
      </c>
      <c r="K22" s="3" t="s">
        <v>23</v>
      </c>
      <c r="L22" s="3">
        <v>1</v>
      </c>
      <c r="M22" s="17">
        <v>4543072</v>
      </c>
      <c r="N22" s="17">
        <f t="shared" si="0"/>
        <v>4543072</v>
      </c>
      <c r="Q22" s="3">
        <f t="shared" si="1"/>
        <v>98</v>
      </c>
    </row>
    <row r="23" spans="1:17" ht="15" customHeight="1" x14ac:dyDescent="0.2">
      <c r="A23" s="3" t="s">
        <v>20</v>
      </c>
      <c r="B23" s="15">
        <v>46064</v>
      </c>
      <c r="C23" s="16">
        <f t="shared" si="2"/>
        <v>425</v>
      </c>
      <c r="D23" s="3">
        <f t="shared" si="3"/>
        <v>0</v>
      </c>
      <c r="G23" s="16" t="s">
        <v>35</v>
      </c>
      <c r="H23" s="3" t="s">
        <v>36</v>
      </c>
      <c r="I23" s="18">
        <v>1331</v>
      </c>
      <c r="J23" s="3">
        <v>331</v>
      </c>
      <c r="K23" s="3" t="s">
        <v>23</v>
      </c>
      <c r="L23" s="3">
        <v>1</v>
      </c>
      <c r="M23" s="17">
        <v>363446</v>
      </c>
      <c r="N23" s="17">
        <f t="shared" si="0"/>
        <v>363446</v>
      </c>
      <c r="Q23" s="3">
        <f t="shared" si="1"/>
        <v>98</v>
      </c>
    </row>
    <row r="24" spans="1:17" ht="15" customHeight="1" x14ac:dyDescent="0.2">
      <c r="A24" s="3" t="s">
        <v>20</v>
      </c>
      <c r="B24" s="15">
        <v>46064</v>
      </c>
      <c r="C24" s="16">
        <f t="shared" si="2"/>
        <v>426</v>
      </c>
      <c r="D24" s="3">
        <f t="shared" si="3"/>
        <v>1</v>
      </c>
      <c r="G24" s="16" t="s">
        <v>37</v>
      </c>
      <c r="H24" s="3" t="s">
        <v>38</v>
      </c>
      <c r="I24" s="18">
        <v>64277</v>
      </c>
      <c r="J24" s="3">
        <v>331</v>
      </c>
      <c r="K24" s="3" t="s">
        <v>23</v>
      </c>
      <c r="L24" s="3">
        <v>1</v>
      </c>
      <c r="M24" s="17">
        <v>1248936</v>
      </c>
      <c r="N24" s="17">
        <f t="shared" si="0"/>
        <v>1248936</v>
      </c>
      <c r="Q24" s="3">
        <f t="shared" si="1"/>
        <v>127</v>
      </c>
    </row>
    <row r="25" spans="1:17" ht="15" customHeight="1" x14ac:dyDescent="0.2">
      <c r="A25" s="3" t="s">
        <v>20</v>
      </c>
      <c r="B25" s="15">
        <v>46064</v>
      </c>
      <c r="C25" s="16">
        <f t="shared" si="2"/>
        <v>426</v>
      </c>
      <c r="D25" s="3">
        <f t="shared" si="3"/>
        <v>0</v>
      </c>
      <c r="G25" s="16" t="s">
        <v>37</v>
      </c>
      <c r="H25" s="3" t="s">
        <v>38</v>
      </c>
      <c r="I25" s="18">
        <v>1331</v>
      </c>
      <c r="J25" s="3">
        <v>331</v>
      </c>
      <c r="K25" s="3" t="s">
        <v>23</v>
      </c>
      <c r="L25" s="3">
        <v>1</v>
      </c>
      <c r="M25" s="17">
        <v>102388</v>
      </c>
      <c r="N25" s="17">
        <f t="shared" si="0"/>
        <v>102388</v>
      </c>
      <c r="Q25" s="3">
        <f t="shared" si="1"/>
        <v>127</v>
      </c>
    </row>
    <row r="26" spans="1:17" ht="15" customHeight="1" x14ac:dyDescent="0.2">
      <c r="A26" s="3" t="s">
        <v>20</v>
      </c>
      <c r="B26" s="15">
        <v>46065</v>
      </c>
      <c r="C26" s="16">
        <f t="shared" si="2"/>
        <v>427</v>
      </c>
      <c r="D26" s="3">
        <f t="shared" si="3"/>
        <v>1</v>
      </c>
      <c r="G26" s="16" t="s">
        <v>21</v>
      </c>
      <c r="H26" s="3" t="s">
        <v>39</v>
      </c>
      <c r="I26" s="18">
        <v>64277</v>
      </c>
      <c r="J26" s="3">
        <v>331</v>
      </c>
      <c r="K26" s="3" t="s">
        <v>23</v>
      </c>
      <c r="L26" s="3">
        <v>1</v>
      </c>
      <c r="M26" s="17">
        <v>255150</v>
      </c>
      <c r="N26" s="17">
        <f t="shared" si="0"/>
        <v>255150</v>
      </c>
      <c r="Q26" s="3">
        <f t="shared" si="1"/>
        <v>106</v>
      </c>
    </row>
    <row r="27" spans="1:17" ht="15" customHeight="1" x14ac:dyDescent="0.2">
      <c r="A27" s="3" t="s">
        <v>20</v>
      </c>
      <c r="B27" s="15">
        <v>46065</v>
      </c>
      <c r="C27" s="16">
        <f t="shared" si="2"/>
        <v>427</v>
      </c>
      <c r="D27" s="3">
        <f t="shared" si="3"/>
        <v>0</v>
      </c>
      <c r="G27" s="16" t="s">
        <v>21</v>
      </c>
      <c r="H27" s="3" t="s">
        <v>39</v>
      </c>
      <c r="I27" s="18">
        <v>1331</v>
      </c>
      <c r="J27" s="3">
        <v>331</v>
      </c>
      <c r="K27" s="3" t="s">
        <v>23</v>
      </c>
      <c r="L27" s="3">
        <v>1</v>
      </c>
      <c r="M27" s="17">
        <v>18900</v>
      </c>
      <c r="N27" s="17">
        <f t="shared" si="0"/>
        <v>18900</v>
      </c>
      <c r="Q27" s="3">
        <f t="shared" si="1"/>
        <v>106</v>
      </c>
    </row>
    <row r="28" spans="1:17" ht="15" customHeight="1" x14ac:dyDescent="0.2">
      <c r="A28" s="3" t="s">
        <v>20</v>
      </c>
      <c r="B28" s="15">
        <v>46067</v>
      </c>
      <c r="C28" s="16">
        <f t="shared" si="2"/>
        <v>428</v>
      </c>
      <c r="D28" s="3">
        <f t="shared" si="3"/>
        <v>1</v>
      </c>
      <c r="F28" s="3"/>
      <c r="G28" s="16" t="s">
        <v>40</v>
      </c>
      <c r="H28" s="3" t="s">
        <v>41</v>
      </c>
      <c r="I28" s="18">
        <v>64277</v>
      </c>
      <c r="J28" s="3">
        <v>331</v>
      </c>
      <c r="K28" s="3" t="s">
        <v>23</v>
      </c>
      <c r="L28" s="3">
        <v>1</v>
      </c>
      <c r="M28" s="17">
        <v>3000000</v>
      </c>
      <c r="N28" s="17">
        <f t="shared" si="0"/>
        <v>3000000</v>
      </c>
      <c r="Q28" s="3">
        <f t="shared" si="1"/>
        <v>147</v>
      </c>
    </row>
    <row r="29" spans="1:17" ht="15" customHeight="1" x14ac:dyDescent="0.2">
      <c r="A29" s="3" t="s">
        <v>20</v>
      </c>
      <c r="B29" s="15">
        <v>46067</v>
      </c>
      <c r="C29" s="16">
        <f t="shared" si="2"/>
        <v>428</v>
      </c>
      <c r="D29" s="3">
        <f t="shared" si="3"/>
        <v>0</v>
      </c>
      <c r="G29" s="16" t="s">
        <v>40</v>
      </c>
      <c r="H29" s="3" t="s">
        <v>41</v>
      </c>
      <c r="I29" s="18">
        <v>1331</v>
      </c>
      <c r="J29" s="3">
        <v>331</v>
      </c>
      <c r="K29" s="3" t="s">
        <v>23</v>
      </c>
      <c r="L29" s="3">
        <v>1</v>
      </c>
      <c r="M29" s="17">
        <v>240000</v>
      </c>
      <c r="N29" s="17">
        <f t="shared" si="0"/>
        <v>240000</v>
      </c>
      <c r="Q29" s="3">
        <f t="shared" si="1"/>
        <v>147</v>
      </c>
    </row>
    <row r="30" spans="1:17" ht="15" customHeight="1" x14ac:dyDescent="0.2">
      <c r="A30" s="3" t="s">
        <v>20</v>
      </c>
      <c r="B30" s="15">
        <v>46085</v>
      </c>
      <c r="C30" s="16">
        <f t="shared" si="2"/>
        <v>429</v>
      </c>
      <c r="D30" s="3">
        <f t="shared" si="3"/>
        <v>1</v>
      </c>
      <c r="F30" s="3"/>
      <c r="G30" s="16" t="s">
        <v>24</v>
      </c>
      <c r="H30" s="3" t="s">
        <v>42</v>
      </c>
      <c r="I30" s="18">
        <v>64277</v>
      </c>
      <c r="J30" s="3">
        <v>331</v>
      </c>
      <c r="K30" s="3" t="s">
        <v>23</v>
      </c>
      <c r="L30" s="3">
        <v>1</v>
      </c>
      <c r="M30" s="17">
        <v>3000000</v>
      </c>
      <c r="N30" s="17">
        <f t="shared" si="0"/>
        <v>3000000</v>
      </c>
      <c r="Q30" s="3">
        <f t="shared" si="1"/>
        <v>41</v>
      </c>
    </row>
    <row r="31" spans="1:17" ht="15" customHeight="1" x14ac:dyDescent="0.2">
      <c r="A31" s="3" t="s">
        <v>20</v>
      </c>
      <c r="B31" s="15">
        <v>46085</v>
      </c>
      <c r="C31" s="16">
        <f t="shared" si="2"/>
        <v>429</v>
      </c>
      <c r="D31" s="3">
        <f t="shared" si="3"/>
        <v>0</v>
      </c>
      <c r="G31" s="16" t="s">
        <v>24</v>
      </c>
      <c r="H31" s="3" t="s">
        <v>42</v>
      </c>
      <c r="I31" s="18">
        <v>1331</v>
      </c>
      <c r="J31" s="3">
        <v>331</v>
      </c>
      <c r="K31" s="3" t="s">
        <v>23</v>
      </c>
      <c r="L31" s="3">
        <v>1</v>
      </c>
      <c r="M31" s="17">
        <v>240000</v>
      </c>
      <c r="N31" s="17">
        <f t="shared" si="0"/>
        <v>240000</v>
      </c>
      <c r="Q31" s="3">
        <f t="shared" si="1"/>
        <v>41</v>
      </c>
    </row>
    <row r="32" spans="1:17" ht="15" customHeight="1" x14ac:dyDescent="0.2">
      <c r="A32" s="3" t="s">
        <v>20</v>
      </c>
      <c r="B32" s="15">
        <v>46089</v>
      </c>
      <c r="C32" s="16">
        <f t="shared" si="2"/>
        <v>430</v>
      </c>
      <c r="D32" s="3">
        <f t="shared" si="3"/>
        <v>1</v>
      </c>
      <c r="F32" s="3"/>
      <c r="G32" s="16" t="s">
        <v>43</v>
      </c>
      <c r="H32" s="3" t="s">
        <v>44</v>
      </c>
      <c r="I32" s="18">
        <v>64277</v>
      </c>
      <c r="J32" s="3">
        <v>331</v>
      </c>
      <c r="K32" s="3" t="s">
        <v>23</v>
      </c>
      <c r="L32" s="3">
        <v>1</v>
      </c>
      <c r="M32" s="17">
        <v>1550000</v>
      </c>
      <c r="N32" s="17">
        <f t="shared" si="0"/>
        <v>1550000</v>
      </c>
      <c r="Q32" s="3">
        <f t="shared" si="1"/>
        <v>40</v>
      </c>
    </row>
    <row r="33" spans="1:17" ht="15" customHeight="1" x14ac:dyDescent="0.2">
      <c r="A33" s="3" t="s">
        <v>20</v>
      </c>
      <c r="B33" s="15">
        <v>46089</v>
      </c>
      <c r="C33" s="16">
        <f t="shared" si="2"/>
        <v>430</v>
      </c>
      <c r="D33" s="3">
        <f t="shared" si="3"/>
        <v>0</v>
      </c>
      <c r="G33" s="16" t="s">
        <v>43</v>
      </c>
      <c r="H33" s="19" t="s">
        <v>44</v>
      </c>
      <c r="I33" s="18">
        <v>1331</v>
      </c>
      <c r="J33" s="3">
        <v>331</v>
      </c>
      <c r="K33" s="3" t="s">
        <v>23</v>
      </c>
      <c r="L33" s="3">
        <v>1</v>
      </c>
      <c r="M33" s="17">
        <v>124000</v>
      </c>
      <c r="N33" s="17">
        <f t="shared" si="0"/>
        <v>124000</v>
      </c>
      <c r="Q33" s="3">
        <f t="shared" si="1"/>
        <v>40</v>
      </c>
    </row>
    <row r="34" spans="1:17" ht="15" customHeight="1" x14ac:dyDescent="0.2">
      <c r="A34" s="3" t="s">
        <v>20</v>
      </c>
      <c r="B34" s="15">
        <v>46101</v>
      </c>
      <c r="C34" s="16">
        <f t="shared" si="2"/>
        <v>431</v>
      </c>
      <c r="D34" s="3">
        <f t="shared" si="3"/>
        <v>1</v>
      </c>
      <c r="G34" s="16" t="s">
        <v>45</v>
      </c>
      <c r="H34" s="3" t="s">
        <v>46</v>
      </c>
      <c r="I34" s="18">
        <v>64277</v>
      </c>
      <c r="J34" s="3">
        <v>331</v>
      </c>
      <c r="K34" s="3" t="s">
        <v>23</v>
      </c>
      <c r="L34" s="3">
        <v>1</v>
      </c>
      <c r="M34" s="17">
        <v>1845000</v>
      </c>
      <c r="N34" s="17">
        <f t="shared" si="0"/>
        <v>1845000</v>
      </c>
      <c r="Q34" s="3">
        <f t="shared" si="1"/>
        <v>40</v>
      </c>
    </row>
    <row r="35" spans="1:17" ht="15" customHeight="1" x14ac:dyDescent="0.2">
      <c r="A35" s="3" t="s">
        <v>20</v>
      </c>
      <c r="B35" s="15">
        <v>46101</v>
      </c>
      <c r="C35" s="16">
        <f t="shared" si="2"/>
        <v>431</v>
      </c>
      <c r="D35" s="3">
        <f t="shared" si="3"/>
        <v>0</v>
      </c>
      <c r="G35" s="16" t="s">
        <v>45</v>
      </c>
      <c r="H35" s="3" t="s">
        <v>46</v>
      </c>
      <c r="I35" s="18">
        <v>1331</v>
      </c>
      <c r="J35" s="3">
        <v>331</v>
      </c>
      <c r="K35" s="3" t="s">
        <v>23</v>
      </c>
      <c r="L35" s="3">
        <v>1</v>
      </c>
      <c r="M35" s="17">
        <v>147600</v>
      </c>
      <c r="N35" s="17">
        <f t="shared" si="0"/>
        <v>147600</v>
      </c>
      <c r="Q35" s="3">
        <f t="shared" si="1"/>
        <v>40</v>
      </c>
    </row>
    <row r="36" spans="1:17" ht="15" customHeight="1" x14ac:dyDescent="0.2">
      <c r="A36" s="3" t="s">
        <v>20</v>
      </c>
      <c r="B36" s="15">
        <v>46109</v>
      </c>
      <c r="C36" s="16">
        <f t="shared" si="2"/>
        <v>432</v>
      </c>
      <c r="D36" s="3">
        <f t="shared" si="3"/>
        <v>1</v>
      </c>
      <c r="F36" s="3"/>
      <c r="G36" s="16" t="s">
        <v>21</v>
      </c>
      <c r="H36" s="3" t="s">
        <v>47</v>
      </c>
      <c r="I36" s="18">
        <v>64277</v>
      </c>
      <c r="J36" s="3">
        <v>331</v>
      </c>
      <c r="K36" s="3" t="s">
        <v>23</v>
      </c>
      <c r="L36" s="3">
        <v>1</v>
      </c>
      <c r="M36" s="17">
        <v>391230</v>
      </c>
      <c r="N36" s="17">
        <f t="shared" si="0"/>
        <v>391230</v>
      </c>
      <c r="Q36" s="3">
        <f t="shared" si="1"/>
        <v>127</v>
      </c>
    </row>
    <row r="37" spans="1:17" ht="15" customHeight="1" x14ac:dyDescent="0.2">
      <c r="A37" s="3" t="s">
        <v>20</v>
      </c>
      <c r="B37" s="15">
        <v>46109</v>
      </c>
      <c r="C37" s="16">
        <f t="shared" si="2"/>
        <v>432</v>
      </c>
      <c r="D37" s="3">
        <f t="shared" si="3"/>
        <v>0</v>
      </c>
      <c r="G37" s="16" t="s">
        <v>21</v>
      </c>
      <c r="H37" s="3" t="s">
        <v>47</v>
      </c>
      <c r="I37" s="18">
        <v>1331</v>
      </c>
      <c r="J37" s="3">
        <v>331</v>
      </c>
      <c r="K37" s="3" t="s">
        <v>23</v>
      </c>
      <c r="L37" s="3">
        <v>1</v>
      </c>
      <c r="M37" s="17">
        <v>28980</v>
      </c>
      <c r="N37" s="17">
        <f t="shared" si="0"/>
        <v>28980</v>
      </c>
      <c r="Q37" s="3">
        <f t="shared" si="1"/>
        <v>127</v>
      </c>
    </row>
    <row r="38" spans="1:17" ht="15" customHeight="1" x14ac:dyDescent="0.2">
      <c r="A38" s="3" t="s">
        <v>20</v>
      </c>
      <c r="B38" s="15">
        <v>46029</v>
      </c>
      <c r="C38" s="16">
        <f t="shared" si="2"/>
        <v>433</v>
      </c>
      <c r="D38" s="3">
        <f t="shared" si="3"/>
        <v>1</v>
      </c>
      <c r="F38" s="3"/>
      <c r="G38" s="16" t="s">
        <v>48</v>
      </c>
      <c r="H38" s="3" t="s">
        <v>49</v>
      </c>
      <c r="I38" s="18">
        <v>131</v>
      </c>
      <c r="J38" s="3">
        <v>5113</v>
      </c>
      <c r="K38" s="3" t="s">
        <v>23</v>
      </c>
      <c r="L38" s="3">
        <v>1</v>
      </c>
      <c r="M38" s="17">
        <v>4444444</v>
      </c>
      <c r="N38" s="17">
        <f t="shared" si="0"/>
        <v>4444444</v>
      </c>
      <c r="Q38" s="3">
        <f t="shared" si="1"/>
        <v>101</v>
      </c>
    </row>
    <row r="39" spans="1:17" ht="15" customHeight="1" x14ac:dyDescent="0.2">
      <c r="A39" s="3" t="s">
        <v>20</v>
      </c>
      <c r="B39" s="15">
        <v>46029</v>
      </c>
      <c r="C39" s="16">
        <f t="shared" si="2"/>
        <v>434</v>
      </c>
      <c r="D39" s="3">
        <f t="shared" si="3"/>
        <v>1</v>
      </c>
      <c r="G39" s="16" t="s">
        <v>48</v>
      </c>
      <c r="H39" s="3" t="s">
        <v>50</v>
      </c>
      <c r="I39" s="18">
        <v>333821</v>
      </c>
      <c r="J39" s="3">
        <v>131</v>
      </c>
      <c r="K39" s="3" t="s">
        <v>23</v>
      </c>
      <c r="L39" s="3">
        <v>1</v>
      </c>
      <c r="M39" s="17">
        <v>44444</v>
      </c>
      <c r="N39" s="17">
        <f t="shared" si="0"/>
        <v>44444</v>
      </c>
      <c r="Q39" s="3">
        <f t="shared" si="1"/>
        <v>117</v>
      </c>
    </row>
    <row r="40" spans="1:17" ht="15" customHeight="1" x14ac:dyDescent="0.2">
      <c r="A40" s="3" t="s">
        <v>20</v>
      </c>
      <c r="B40" s="15">
        <v>46029</v>
      </c>
      <c r="C40" s="16">
        <f t="shared" si="2"/>
        <v>435</v>
      </c>
      <c r="D40" s="3">
        <f t="shared" si="3"/>
        <v>1</v>
      </c>
      <c r="F40" s="3"/>
      <c r="G40" s="16" t="s">
        <v>51</v>
      </c>
      <c r="H40" s="3" t="s">
        <v>52</v>
      </c>
      <c r="I40" s="18">
        <v>131</v>
      </c>
      <c r="J40" s="3">
        <v>5113</v>
      </c>
      <c r="K40" s="3" t="s">
        <v>23</v>
      </c>
      <c r="L40" s="3">
        <v>1</v>
      </c>
      <c r="M40" s="17">
        <v>9677419</v>
      </c>
      <c r="N40" s="17">
        <f t="shared" si="0"/>
        <v>9677419</v>
      </c>
      <c r="Q40" s="3">
        <f t="shared" si="1"/>
        <v>148</v>
      </c>
    </row>
    <row r="41" spans="1:17" ht="15" customHeight="1" x14ac:dyDescent="0.2">
      <c r="A41" s="3" t="s">
        <v>20</v>
      </c>
      <c r="B41" s="15">
        <v>46029</v>
      </c>
      <c r="C41" s="16">
        <f t="shared" si="2"/>
        <v>436</v>
      </c>
      <c r="D41" s="3">
        <f t="shared" si="3"/>
        <v>1</v>
      </c>
      <c r="G41" s="16" t="s">
        <v>51</v>
      </c>
      <c r="H41" s="3" t="s">
        <v>53</v>
      </c>
      <c r="I41" s="18">
        <v>333821</v>
      </c>
      <c r="J41" s="3">
        <v>131</v>
      </c>
      <c r="K41" s="3" t="s">
        <v>23</v>
      </c>
      <c r="L41" s="3">
        <v>1</v>
      </c>
      <c r="M41" s="17">
        <v>96774</v>
      </c>
      <c r="N41" s="17">
        <f t="shared" si="0"/>
        <v>96774</v>
      </c>
      <c r="Q41" s="3">
        <f t="shared" si="1"/>
        <v>164</v>
      </c>
    </row>
    <row r="42" spans="1:17" ht="15" customHeight="1" x14ac:dyDescent="0.2">
      <c r="A42" s="3" t="s">
        <v>20</v>
      </c>
      <c r="B42" s="15">
        <v>46031</v>
      </c>
      <c r="C42" s="16">
        <f t="shared" si="2"/>
        <v>437</v>
      </c>
      <c r="D42" s="3">
        <f t="shared" si="3"/>
        <v>1</v>
      </c>
      <c r="F42" s="3"/>
      <c r="G42" s="16" t="s">
        <v>54</v>
      </c>
      <c r="H42" s="3" t="s">
        <v>55</v>
      </c>
      <c r="I42" s="18">
        <v>131</v>
      </c>
      <c r="J42" s="3">
        <v>5113</v>
      </c>
      <c r="K42" s="3" t="s">
        <v>23</v>
      </c>
      <c r="L42" s="3">
        <v>1</v>
      </c>
      <c r="M42" s="17">
        <v>10000000</v>
      </c>
      <c r="N42" s="17">
        <f t="shared" si="0"/>
        <v>10000000</v>
      </c>
      <c r="Q42" s="3">
        <f t="shared" si="1"/>
        <v>144</v>
      </c>
    </row>
    <row r="43" spans="1:17" ht="15" customHeight="1" x14ac:dyDescent="0.2">
      <c r="A43" s="3" t="s">
        <v>20</v>
      </c>
      <c r="B43" s="15">
        <v>46031</v>
      </c>
      <c r="C43" s="16">
        <f t="shared" si="2"/>
        <v>438</v>
      </c>
      <c r="D43" s="3">
        <f t="shared" si="3"/>
        <v>1</v>
      </c>
      <c r="G43" s="16" t="s">
        <v>54</v>
      </c>
      <c r="H43" s="3" t="s">
        <v>56</v>
      </c>
      <c r="I43" s="18">
        <v>333821</v>
      </c>
      <c r="J43" s="3">
        <v>131</v>
      </c>
      <c r="K43" s="3" t="s">
        <v>23</v>
      </c>
      <c r="L43" s="3">
        <v>1</v>
      </c>
      <c r="M43" s="17">
        <v>100000</v>
      </c>
      <c r="N43" s="17">
        <f t="shared" si="0"/>
        <v>100000</v>
      </c>
      <c r="Q43" s="3">
        <f t="shared" si="1"/>
        <v>160</v>
      </c>
    </row>
    <row r="44" spans="1:17" ht="15" customHeight="1" x14ac:dyDescent="0.2">
      <c r="A44" s="3" t="s">
        <v>20</v>
      </c>
      <c r="B44" s="15">
        <v>46036</v>
      </c>
      <c r="C44" s="16">
        <f t="shared" si="2"/>
        <v>439</v>
      </c>
      <c r="D44" s="3">
        <f t="shared" si="3"/>
        <v>1</v>
      </c>
      <c r="G44" s="16" t="s">
        <v>48</v>
      </c>
      <c r="H44" s="3" t="s">
        <v>57</v>
      </c>
      <c r="I44" s="18">
        <v>131</v>
      </c>
      <c r="J44" s="3">
        <v>5113</v>
      </c>
      <c r="K44" s="3" t="s">
        <v>23</v>
      </c>
      <c r="L44" s="3">
        <v>1</v>
      </c>
      <c r="M44" s="17">
        <v>4444444</v>
      </c>
      <c r="N44" s="17">
        <f t="shared" si="0"/>
        <v>4444444</v>
      </c>
      <c r="Q44" s="3">
        <f t="shared" si="1"/>
        <v>106</v>
      </c>
    </row>
    <row r="45" spans="1:17" ht="15" customHeight="1" x14ac:dyDescent="0.2">
      <c r="A45" s="3" t="s">
        <v>20</v>
      </c>
      <c r="B45" s="15">
        <v>46036</v>
      </c>
      <c r="C45" s="16">
        <f t="shared" si="2"/>
        <v>440</v>
      </c>
      <c r="D45" s="3">
        <f t="shared" si="3"/>
        <v>1</v>
      </c>
      <c r="G45" s="16" t="s">
        <v>48</v>
      </c>
      <c r="H45" s="3" t="s">
        <v>58</v>
      </c>
      <c r="I45" s="18">
        <v>333821</v>
      </c>
      <c r="J45" s="3">
        <v>131</v>
      </c>
      <c r="K45" s="3" t="s">
        <v>23</v>
      </c>
      <c r="L45" s="3">
        <v>1</v>
      </c>
      <c r="M45" s="17">
        <v>44444</v>
      </c>
      <c r="N45" s="17">
        <f t="shared" si="0"/>
        <v>44444</v>
      </c>
      <c r="Q45" s="3">
        <f t="shared" si="1"/>
        <v>122</v>
      </c>
    </row>
    <row r="46" spans="1:17" ht="15" customHeight="1" x14ac:dyDescent="0.2">
      <c r="A46" s="3" t="s">
        <v>20</v>
      </c>
      <c r="B46" s="15">
        <v>46041</v>
      </c>
      <c r="C46" s="16">
        <f t="shared" si="2"/>
        <v>441</v>
      </c>
      <c r="D46" s="3">
        <f t="shared" si="3"/>
        <v>1</v>
      </c>
      <c r="F46" s="3"/>
      <c r="G46" s="16" t="s">
        <v>48</v>
      </c>
      <c r="H46" s="3" t="s">
        <v>59</v>
      </c>
      <c r="I46" s="18">
        <v>131</v>
      </c>
      <c r="J46" s="3">
        <v>5113</v>
      </c>
      <c r="K46" s="3" t="s">
        <v>23</v>
      </c>
      <c r="L46" s="3">
        <v>1</v>
      </c>
      <c r="M46" s="17">
        <v>4444444</v>
      </c>
      <c r="N46" s="17">
        <f t="shared" si="0"/>
        <v>4444444</v>
      </c>
      <c r="Q46" s="3">
        <f t="shared" si="1"/>
        <v>101</v>
      </c>
    </row>
    <row r="47" spans="1:17" ht="15" customHeight="1" x14ac:dyDescent="0.2">
      <c r="A47" s="3" t="s">
        <v>20</v>
      </c>
      <c r="B47" s="15">
        <v>46041</v>
      </c>
      <c r="C47" s="16">
        <f t="shared" si="2"/>
        <v>442</v>
      </c>
      <c r="D47" s="3">
        <f t="shared" si="3"/>
        <v>1</v>
      </c>
      <c r="G47" s="16" t="s">
        <v>48</v>
      </c>
      <c r="H47" s="16" t="s">
        <v>60</v>
      </c>
      <c r="I47" s="3">
        <v>333821</v>
      </c>
      <c r="J47" s="3">
        <v>131</v>
      </c>
      <c r="K47" s="3" t="s">
        <v>23</v>
      </c>
      <c r="L47" s="3">
        <v>1</v>
      </c>
      <c r="M47" s="17">
        <v>44444</v>
      </c>
      <c r="N47" s="17">
        <f t="shared" si="0"/>
        <v>44444</v>
      </c>
      <c r="Q47" s="3">
        <f t="shared" si="1"/>
        <v>117</v>
      </c>
    </row>
    <row r="48" spans="1:17" ht="15" customHeight="1" x14ac:dyDescent="0.2">
      <c r="A48" s="3" t="s">
        <v>20</v>
      </c>
      <c r="B48" s="15">
        <v>46049</v>
      </c>
      <c r="C48" s="16">
        <f t="shared" si="2"/>
        <v>443</v>
      </c>
      <c r="D48" s="3">
        <f t="shared" si="3"/>
        <v>1</v>
      </c>
      <c r="G48" s="16" t="s">
        <v>61</v>
      </c>
      <c r="H48" s="3" t="s">
        <v>62</v>
      </c>
      <c r="I48" s="18">
        <v>131</v>
      </c>
      <c r="J48" s="3">
        <v>5113</v>
      </c>
      <c r="K48" s="3" t="s">
        <v>23</v>
      </c>
      <c r="L48" s="3">
        <v>1</v>
      </c>
      <c r="M48" s="17">
        <v>2444444</v>
      </c>
      <c r="N48" s="17">
        <f t="shared" si="0"/>
        <v>2444444</v>
      </c>
      <c r="Q48" s="3">
        <f t="shared" si="1"/>
        <v>107</v>
      </c>
    </row>
    <row r="49" spans="1:17" ht="15" customHeight="1" x14ac:dyDescent="0.2">
      <c r="A49" s="3" t="s">
        <v>20</v>
      </c>
      <c r="B49" s="15">
        <v>46049</v>
      </c>
      <c r="C49" s="16">
        <f t="shared" si="2"/>
        <v>444</v>
      </c>
      <c r="D49" s="3">
        <f t="shared" si="3"/>
        <v>1</v>
      </c>
      <c r="G49" s="16" t="s">
        <v>61</v>
      </c>
      <c r="H49" s="3" t="s">
        <v>63</v>
      </c>
      <c r="I49" s="18">
        <v>333821</v>
      </c>
      <c r="J49" s="3">
        <v>131</v>
      </c>
      <c r="K49" s="3" t="s">
        <v>23</v>
      </c>
      <c r="L49" s="3">
        <v>1</v>
      </c>
      <c r="M49" s="17">
        <v>24444</v>
      </c>
      <c r="N49" s="17">
        <f t="shared" si="0"/>
        <v>24444</v>
      </c>
      <c r="Q49" s="3">
        <f t="shared" si="1"/>
        <v>123</v>
      </c>
    </row>
    <row r="50" spans="1:17" ht="15" customHeight="1" x14ac:dyDescent="0.2">
      <c r="A50" s="3" t="s">
        <v>20</v>
      </c>
      <c r="B50" s="15">
        <v>46050</v>
      </c>
      <c r="C50" s="16">
        <f t="shared" si="2"/>
        <v>445</v>
      </c>
      <c r="D50" s="3">
        <f t="shared" si="3"/>
        <v>1</v>
      </c>
      <c r="G50" s="16" t="s">
        <v>64</v>
      </c>
      <c r="H50" s="3" t="s">
        <v>65</v>
      </c>
      <c r="I50" s="18">
        <v>131</v>
      </c>
      <c r="J50" s="3">
        <v>5113</v>
      </c>
      <c r="K50" s="3" t="s">
        <v>23</v>
      </c>
      <c r="L50" s="3">
        <v>1</v>
      </c>
      <c r="M50" s="17">
        <v>6666667</v>
      </c>
      <c r="N50" s="17">
        <f t="shared" si="0"/>
        <v>6666667</v>
      </c>
      <c r="Q50" s="3">
        <f t="shared" si="1"/>
        <v>108</v>
      </c>
    </row>
    <row r="51" spans="1:17" ht="15" customHeight="1" x14ac:dyDescent="0.2">
      <c r="A51" s="3" t="s">
        <v>20</v>
      </c>
      <c r="B51" s="15">
        <v>46050</v>
      </c>
      <c r="C51" s="16">
        <f t="shared" si="2"/>
        <v>446</v>
      </c>
      <c r="D51" s="3">
        <f t="shared" si="3"/>
        <v>1</v>
      </c>
      <c r="G51" s="16" t="s">
        <v>64</v>
      </c>
      <c r="H51" s="3" t="s">
        <v>66</v>
      </c>
      <c r="I51" s="18">
        <v>333821</v>
      </c>
      <c r="J51" s="3">
        <v>131</v>
      </c>
      <c r="K51" s="3" t="s">
        <v>23</v>
      </c>
      <c r="L51" s="3">
        <v>1</v>
      </c>
      <c r="M51" s="17">
        <v>66667</v>
      </c>
      <c r="N51" s="17">
        <f t="shared" si="0"/>
        <v>66667</v>
      </c>
      <c r="Q51" s="3">
        <f t="shared" si="1"/>
        <v>124</v>
      </c>
    </row>
    <row r="52" spans="1:17" ht="15" customHeight="1" x14ac:dyDescent="0.2">
      <c r="A52" s="3" t="s">
        <v>20</v>
      </c>
      <c r="B52" s="15">
        <v>46052</v>
      </c>
      <c r="C52" s="16">
        <f t="shared" si="2"/>
        <v>447</v>
      </c>
      <c r="D52" s="3">
        <f t="shared" si="3"/>
        <v>1</v>
      </c>
      <c r="G52" s="16" t="s">
        <v>67</v>
      </c>
      <c r="H52" s="3" t="s">
        <v>68</v>
      </c>
      <c r="I52" s="18">
        <v>131</v>
      </c>
      <c r="J52" s="3">
        <v>5113</v>
      </c>
      <c r="K52" s="3" t="s">
        <v>23</v>
      </c>
      <c r="L52" s="3">
        <v>1</v>
      </c>
      <c r="M52" s="17">
        <v>10000000</v>
      </c>
      <c r="N52" s="17">
        <f t="shared" si="0"/>
        <v>10000000</v>
      </c>
      <c r="Q52" s="3">
        <f t="shared" si="1"/>
        <v>150</v>
      </c>
    </row>
    <row r="53" spans="1:17" ht="15" customHeight="1" x14ac:dyDescent="0.2">
      <c r="A53" s="3" t="s">
        <v>20</v>
      </c>
      <c r="B53" s="15">
        <v>46052</v>
      </c>
      <c r="C53" s="16">
        <f t="shared" si="2"/>
        <v>448</v>
      </c>
      <c r="D53" s="3">
        <f t="shared" si="3"/>
        <v>1</v>
      </c>
      <c r="G53" s="16" t="s">
        <v>67</v>
      </c>
      <c r="H53" s="3" t="s">
        <v>69</v>
      </c>
      <c r="I53" s="18">
        <v>333821</v>
      </c>
      <c r="J53" s="3">
        <v>131</v>
      </c>
      <c r="K53" s="3" t="s">
        <v>23</v>
      </c>
      <c r="L53" s="3">
        <v>1</v>
      </c>
      <c r="M53" s="17">
        <v>100000</v>
      </c>
      <c r="N53" s="17">
        <f t="shared" si="0"/>
        <v>100000</v>
      </c>
      <c r="Q53" s="3">
        <f t="shared" si="1"/>
        <v>166</v>
      </c>
    </row>
    <row r="54" spans="1:17" ht="15" customHeight="1" x14ac:dyDescent="0.2">
      <c r="A54" s="3" t="s">
        <v>20</v>
      </c>
      <c r="B54" s="15">
        <v>46065</v>
      </c>
      <c r="C54" s="16">
        <f t="shared" si="2"/>
        <v>449</v>
      </c>
      <c r="D54" s="3">
        <f t="shared" si="3"/>
        <v>1</v>
      </c>
      <c r="G54" s="16" t="s">
        <v>70</v>
      </c>
      <c r="H54" s="3" t="s">
        <v>71</v>
      </c>
      <c r="I54" s="18">
        <v>131</v>
      </c>
      <c r="J54" s="3">
        <v>5113</v>
      </c>
      <c r="K54" s="3" t="s">
        <v>23</v>
      </c>
      <c r="L54" s="3">
        <v>1</v>
      </c>
      <c r="M54" s="17">
        <v>10000000</v>
      </c>
      <c r="N54" s="17">
        <f t="shared" si="0"/>
        <v>10000000</v>
      </c>
      <c r="Q54" s="3">
        <f t="shared" si="1"/>
        <v>152</v>
      </c>
    </row>
    <row r="55" spans="1:17" ht="15" customHeight="1" x14ac:dyDescent="0.2">
      <c r="A55" s="3" t="s">
        <v>20</v>
      </c>
      <c r="B55" s="15">
        <v>46065</v>
      </c>
      <c r="C55" s="16">
        <f t="shared" si="2"/>
        <v>450</v>
      </c>
      <c r="D55" s="3">
        <f t="shared" si="3"/>
        <v>1</v>
      </c>
      <c r="G55" s="16" t="s">
        <v>70</v>
      </c>
      <c r="H55" s="3" t="s">
        <v>72</v>
      </c>
      <c r="I55" s="18">
        <v>333821</v>
      </c>
      <c r="J55" s="3">
        <v>131</v>
      </c>
      <c r="K55" s="3" t="s">
        <v>23</v>
      </c>
      <c r="L55" s="3">
        <v>1</v>
      </c>
      <c r="M55" s="17">
        <v>100000</v>
      </c>
      <c r="N55" s="17">
        <f t="shared" si="0"/>
        <v>100000</v>
      </c>
      <c r="Q55" s="3">
        <f t="shared" si="1"/>
        <v>168</v>
      </c>
    </row>
    <row r="56" spans="1:17" ht="15" customHeight="1" x14ac:dyDescent="0.2">
      <c r="A56" s="3" t="s">
        <v>20</v>
      </c>
      <c r="B56" s="15">
        <v>46078</v>
      </c>
      <c r="C56" s="16">
        <f t="shared" si="2"/>
        <v>451</v>
      </c>
      <c r="D56" s="3">
        <f t="shared" si="3"/>
        <v>1</v>
      </c>
      <c r="G56" s="16" t="s">
        <v>73</v>
      </c>
      <c r="H56" s="3" t="s">
        <v>74</v>
      </c>
      <c r="I56" s="18">
        <v>131</v>
      </c>
      <c r="J56" s="3">
        <v>5113</v>
      </c>
      <c r="K56" s="3" t="s">
        <v>23</v>
      </c>
      <c r="L56" s="3">
        <v>1</v>
      </c>
      <c r="M56" s="17">
        <v>7777778</v>
      </c>
      <c r="N56" s="17">
        <f t="shared" si="0"/>
        <v>7777778</v>
      </c>
      <c r="Q56" s="3">
        <f t="shared" si="1"/>
        <v>180</v>
      </c>
    </row>
    <row r="57" spans="1:17" ht="15" customHeight="1" x14ac:dyDescent="0.2">
      <c r="A57" s="3" t="s">
        <v>20</v>
      </c>
      <c r="B57" s="15">
        <v>46078</v>
      </c>
      <c r="C57" s="16">
        <f t="shared" si="2"/>
        <v>452</v>
      </c>
      <c r="D57" s="3">
        <f t="shared" si="3"/>
        <v>1</v>
      </c>
      <c r="G57" s="16" t="s">
        <v>73</v>
      </c>
      <c r="H57" s="3" t="s">
        <v>75</v>
      </c>
      <c r="I57" s="18">
        <v>333821</v>
      </c>
      <c r="J57" s="3">
        <v>131</v>
      </c>
      <c r="K57" s="3" t="s">
        <v>23</v>
      </c>
      <c r="L57" s="3">
        <v>1</v>
      </c>
      <c r="M57" s="17">
        <v>77778</v>
      </c>
      <c r="N57" s="17">
        <f t="shared" si="0"/>
        <v>77778</v>
      </c>
      <c r="Q57" s="3">
        <f t="shared" si="1"/>
        <v>196</v>
      </c>
    </row>
    <row r="58" spans="1:17" ht="15" customHeight="1" x14ac:dyDescent="0.2">
      <c r="A58" s="3" t="s">
        <v>20</v>
      </c>
      <c r="B58" s="15">
        <v>46078</v>
      </c>
      <c r="C58" s="16">
        <f t="shared" si="2"/>
        <v>453</v>
      </c>
      <c r="D58" s="3">
        <f t="shared" si="3"/>
        <v>1</v>
      </c>
      <c r="G58" s="16" t="s">
        <v>76</v>
      </c>
      <c r="H58" s="3" t="s">
        <v>77</v>
      </c>
      <c r="I58" s="18">
        <v>131</v>
      </c>
      <c r="J58" s="3">
        <v>5113</v>
      </c>
      <c r="K58" s="3" t="s">
        <v>23</v>
      </c>
      <c r="L58" s="3">
        <v>1</v>
      </c>
      <c r="M58" s="17">
        <v>9677419</v>
      </c>
      <c r="N58" s="17">
        <f t="shared" si="0"/>
        <v>9677419</v>
      </c>
      <c r="Q58" s="3">
        <f t="shared" si="1"/>
        <v>122</v>
      </c>
    </row>
    <row r="59" spans="1:17" ht="15" customHeight="1" x14ac:dyDescent="0.2">
      <c r="A59" s="3" t="s">
        <v>20</v>
      </c>
      <c r="B59" s="15">
        <v>46078</v>
      </c>
      <c r="C59" s="16">
        <f t="shared" si="2"/>
        <v>454</v>
      </c>
      <c r="D59" s="3">
        <f t="shared" si="3"/>
        <v>1</v>
      </c>
      <c r="G59" s="16" t="s">
        <v>76</v>
      </c>
      <c r="H59" s="3" t="s">
        <v>78</v>
      </c>
      <c r="I59" s="18">
        <v>333821</v>
      </c>
      <c r="J59" s="3">
        <v>131</v>
      </c>
      <c r="K59" s="3" t="s">
        <v>23</v>
      </c>
      <c r="L59" s="3">
        <v>1</v>
      </c>
      <c r="M59" s="17">
        <v>96774</v>
      </c>
      <c r="N59" s="17">
        <f t="shared" si="0"/>
        <v>96774</v>
      </c>
      <c r="Q59" s="3">
        <f t="shared" si="1"/>
        <v>138</v>
      </c>
    </row>
    <row r="60" spans="1:17" ht="15" customHeight="1" x14ac:dyDescent="0.2">
      <c r="A60" s="3" t="s">
        <v>20</v>
      </c>
      <c r="B60" s="15">
        <v>46079</v>
      </c>
      <c r="C60" s="16">
        <f t="shared" si="2"/>
        <v>455</v>
      </c>
      <c r="D60" s="3">
        <f t="shared" si="3"/>
        <v>1</v>
      </c>
      <c r="G60" s="16" t="s">
        <v>67</v>
      </c>
      <c r="H60" s="3" t="s">
        <v>79</v>
      </c>
      <c r="I60" s="18">
        <v>131</v>
      </c>
      <c r="J60" s="3">
        <v>5113</v>
      </c>
      <c r="K60" s="3" t="s">
        <v>23</v>
      </c>
      <c r="L60" s="3">
        <v>1</v>
      </c>
      <c r="M60" s="17">
        <v>5000000</v>
      </c>
      <c r="N60" s="17">
        <f t="shared" si="0"/>
        <v>5000000</v>
      </c>
      <c r="Q60" s="3">
        <f t="shared" si="1"/>
        <v>109</v>
      </c>
    </row>
    <row r="61" spans="1:17" ht="15" customHeight="1" x14ac:dyDescent="0.2">
      <c r="A61" s="3" t="s">
        <v>20</v>
      </c>
      <c r="B61" s="15">
        <v>46079</v>
      </c>
      <c r="C61" s="16">
        <f t="shared" si="2"/>
        <v>456</v>
      </c>
      <c r="D61" s="3">
        <f t="shared" si="3"/>
        <v>1</v>
      </c>
      <c r="F61" s="3"/>
      <c r="G61" s="16" t="s">
        <v>67</v>
      </c>
      <c r="H61" s="3" t="s">
        <v>80</v>
      </c>
      <c r="I61" s="18">
        <v>333821</v>
      </c>
      <c r="J61" s="3">
        <v>131</v>
      </c>
      <c r="K61" s="3" t="s">
        <v>23</v>
      </c>
      <c r="L61" s="3">
        <v>1</v>
      </c>
      <c r="M61" s="17">
        <v>50000</v>
      </c>
      <c r="N61" s="17">
        <f t="shared" si="0"/>
        <v>50000</v>
      </c>
      <c r="Q61" s="3">
        <f t="shared" si="1"/>
        <v>125</v>
      </c>
    </row>
    <row r="62" spans="1:17" ht="15" customHeight="1" x14ac:dyDescent="0.2">
      <c r="A62" s="3" t="s">
        <v>20</v>
      </c>
      <c r="B62" s="15">
        <v>46080</v>
      </c>
      <c r="C62" s="16">
        <f t="shared" si="2"/>
        <v>457</v>
      </c>
      <c r="D62" s="3">
        <f t="shared" si="3"/>
        <v>1</v>
      </c>
      <c r="G62" s="16" t="s">
        <v>81</v>
      </c>
      <c r="H62" s="3" t="s">
        <v>82</v>
      </c>
      <c r="I62" s="18">
        <v>131</v>
      </c>
      <c r="J62" s="3">
        <v>5113</v>
      </c>
      <c r="K62" s="3" t="s">
        <v>23</v>
      </c>
      <c r="L62" s="3">
        <v>1</v>
      </c>
      <c r="M62" s="17">
        <v>12222222</v>
      </c>
      <c r="N62" s="17">
        <f t="shared" si="0"/>
        <v>12222222</v>
      </c>
      <c r="Q62" s="3">
        <f t="shared" si="1"/>
        <v>95</v>
      </c>
    </row>
    <row r="63" spans="1:17" ht="15" customHeight="1" x14ac:dyDescent="0.2">
      <c r="A63" s="3" t="s">
        <v>20</v>
      </c>
      <c r="B63" s="15">
        <v>46080</v>
      </c>
      <c r="C63" s="16">
        <f t="shared" si="2"/>
        <v>458</v>
      </c>
      <c r="D63" s="3">
        <f t="shared" si="3"/>
        <v>1</v>
      </c>
      <c r="G63" s="16" t="s">
        <v>81</v>
      </c>
      <c r="H63" s="3" t="s">
        <v>83</v>
      </c>
      <c r="I63" s="18">
        <v>333821</v>
      </c>
      <c r="J63" s="3">
        <v>131</v>
      </c>
      <c r="K63" s="3" t="s">
        <v>23</v>
      </c>
      <c r="L63" s="3">
        <v>1</v>
      </c>
      <c r="M63" s="17">
        <v>122222</v>
      </c>
      <c r="N63" s="17">
        <f t="shared" si="0"/>
        <v>122222</v>
      </c>
      <c r="Q63" s="3">
        <f t="shared" si="1"/>
        <v>111</v>
      </c>
    </row>
    <row r="64" spans="1:17" ht="15" customHeight="1" x14ac:dyDescent="0.2">
      <c r="A64" s="3" t="s">
        <v>20</v>
      </c>
      <c r="B64" s="15">
        <v>46084</v>
      </c>
      <c r="C64" s="16">
        <f t="shared" si="2"/>
        <v>459</v>
      </c>
      <c r="D64" s="3">
        <f t="shared" si="3"/>
        <v>1</v>
      </c>
      <c r="G64" s="16" t="s">
        <v>67</v>
      </c>
      <c r="H64" s="3" t="s">
        <v>84</v>
      </c>
      <c r="I64" s="18">
        <v>131</v>
      </c>
      <c r="J64" s="3">
        <v>5113</v>
      </c>
      <c r="K64" s="3" t="s">
        <v>23</v>
      </c>
      <c r="L64" s="3">
        <v>1</v>
      </c>
      <c r="M64" s="17">
        <v>5000000</v>
      </c>
      <c r="N64" s="17">
        <f t="shared" si="0"/>
        <v>5000000</v>
      </c>
      <c r="Q64" s="3">
        <f t="shared" si="1"/>
        <v>109</v>
      </c>
    </row>
    <row r="65" spans="1:17" ht="15" customHeight="1" x14ac:dyDescent="0.2">
      <c r="A65" s="3" t="s">
        <v>20</v>
      </c>
      <c r="B65" s="15">
        <v>46084</v>
      </c>
      <c r="C65" s="16">
        <f t="shared" si="2"/>
        <v>460</v>
      </c>
      <c r="D65" s="3">
        <f t="shared" si="3"/>
        <v>1</v>
      </c>
      <c r="G65" s="16" t="s">
        <v>67</v>
      </c>
      <c r="H65" s="3" t="s">
        <v>85</v>
      </c>
      <c r="I65" s="18">
        <v>333821</v>
      </c>
      <c r="J65" s="3">
        <v>131</v>
      </c>
      <c r="K65" s="3" t="s">
        <v>23</v>
      </c>
      <c r="L65" s="3">
        <v>1</v>
      </c>
      <c r="M65" s="17">
        <v>50000</v>
      </c>
      <c r="N65" s="17">
        <f t="shared" si="0"/>
        <v>50000</v>
      </c>
      <c r="Q65" s="3">
        <f t="shared" si="1"/>
        <v>125</v>
      </c>
    </row>
    <row r="66" spans="1:17" ht="15" customHeight="1" x14ac:dyDescent="0.2">
      <c r="A66" s="3" t="s">
        <v>20</v>
      </c>
      <c r="B66" s="15">
        <v>46084</v>
      </c>
      <c r="C66" s="16">
        <f t="shared" si="2"/>
        <v>461</v>
      </c>
      <c r="D66" s="3">
        <f t="shared" si="3"/>
        <v>1</v>
      </c>
      <c r="G66" s="16" t="s">
        <v>86</v>
      </c>
      <c r="H66" s="3" t="s">
        <v>87</v>
      </c>
      <c r="I66" s="18">
        <v>131</v>
      </c>
      <c r="J66" s="3">
        <v>5113</v>
      </c>
      <c r="K66" s="3" t="s">
        <v>23</v>
      </c>
      <c r="L66" s="3">
        <v>1</v>
      </c>
      <c r="M66" s="17">
        <v>3333333</v>
      </c>
      <c r="N66" s="17">
        <f t="shared" si="0"/>
        <v>3333333</v>
      </c>
      <c r="Q66" s="3">
        <f t="shared" si="1"/>
        <v>109</v>
      </c>
    </row>
    <row r="67" spans="1:17" ht="15" customHeight="1" x14ac:dyDescent="0.2">
      <c r="A67" s="3" t="s">
        <v>20</v>
      </c>
      <c r="B67" s="15">
        <v>46084</v>
      </c>
      <c r="C67" s="16">
        <f t="shared" si="2"/>
        <v>462</v>
      </c>
      <c r="D67" s="3">
        <f t="shared" si="3"/>
        <v>1</v>
      </c>
      <c r="F67" s="3"/>
      <c r="G67" s="16" t="s">
        <v>86</v>
      </c>
      <c r="H67" s="3" t="s">
        <v>88</v>
      </c>
      <c r="I67" s="18">
        <v>333821</v>
      </c>
      <c r="J67" s="3">
        <v>131</v>
      </c>
      <c r="K67" s="3" t="s">
        <v>23</v>
      </c>
      <c r="L67" s="3">
        <v>1</v>
      </c>
      <c r="M67" s="17">
        <v>33333</v>
      </c>
      <c r="N67" s="17">
        <f t="shared" si="0"/>
        <v>33333</v>
      </c>
      <c r="Q67" s="3">
        <f t="shared" si="1"/>
        <v>125</v>
      </c>
    </row>
    <row r="68" spans="1:17" ht="15" customHeight="1" x14ac:dyDescent="0.2">
      <c r="A68" s="3" t="s">
        <v>20</v>
      </c>
      <c r="B68" s="15">
        <v>46086</v>
      </c>
      <c r="C68" s="16">
        <f t="shared" si="2"/>
        <v>463</v>
      </c>
      <c r="D68" s="3">
        <f t="shared" si="3"/>
        <v>1</v>
      </c>
      <c r="G68" s="16" t="s">
        <v>89</v>
      </c>
      <c r="H68" s="3" t="s">
        <v>90</v>
      </c>
      <c r="I68" s="18">
        <v>131</v>
      </c>
      <c r="J68" s="3">
        <v>5113</v>
      </c>
      <c r="K68" s="3" t="s">
        <v>23</v>
      </c>
      <c r="L68" s="3">
        <v>1</v>
      </c>
      <c r="M68" s="17">
        <v>15555556</v>
      </c>
      <c r="N68" s="17">
        <f t="shared" ref="N68:N131" si="4">L68*M68</f>
        <v>15555556</v>
      </c>
      <c r="Q68" s="3">
        <f t="shared" ref="Q68:Q131" si="5">LEN(H68)</f>
        <v>175</v>
      </c>
    </row>
    <row r="69" spans="1:17" ht="15" customHeight="1" x14ac:dyDescent="0.2">
      <c r="A69" s="3" t="s">
        <v>20</v>
      </c>
      <c r="B69" s="15">
        <v>46086</v>
      </c>
      <c r="C69" s="16">
        <f t="shared" ref="C69:C132" si="6">C68+D69</f>
        <v>464</v>
      </c>
      <c r="D69" s="3">
        <f t="shared" ref="D69:D132" si="7">IF(H69=H68,0,1)</f>
        <v>1</v>
      </c>
      <c r="F69" s="3"/>
      <c r="G69" s="16" t="s">
        <v>89</v>
      </c>
      <c r="H69" s="3" t="s">
        <v>91</v>
      </c>
      <c r="I69" s="18">
        <v>333821</v>
      </c>
      <c r="J69" s="3">
        <v>131</v>
      </c>
      <c r="K69" s="3" t="s">
        <v>23</v>
      </c>
      <c r="L69" s="3">
        <v>1</v>
      </c>
      <c r="M69" s="17">
        <v>155556</v>
      </c>
      <c r="N69" s="17">
        <f t="shared" si="4"/>
        <v>155556</v>
      </c>
      <c r="Q69" s="3">
        <f t="shared" si="5"/>
        <v>191</v>
      </c>
    </row>
    <row r="70" spans="1:17" ht="15" customHeight="1" x14ac:dyDescent="0.2">
      <c r="A70" s="3" t="s">
        <v>20</v>
      </c>
      <c r="B70" s="15">
        <v>46091</v>
      </c>
      <c r="C70" s="16">
        <f t="shared" si="6"/>
        <v>465</v>
      </c>
      <c r="D70" s="3">
        <f t="shared" si="7"/>
        <v>1</v>
      </c>
      <c r="G70" s="16" t="s">
        <v>76</v>
      </c>
      <c r="H70" s="3" t="s">
        <v>92</v>
      </c>
      <c r="I70" s="18">
        <v>131</v>
      </c>
      <c r="J70" s="3">
        <v>5113</v>
      </c>
      <c r="K70" s="3" t="s">
        <v>23</v>
      </c>
      <c r="L70" s="3">
        <v>1</v>
      </c>
      <c r="M70" s="17">
        <v>8612440</v>
      </c>
      <c r="N70" s="17">
        <f t="shared" si="4"/>
        <v>8612440</v>
      </c>
      <c r="Q70" s="3">
        <f t="shared" si="5"/>
        <v>175</v>
      </c>
    </row>
    <row r="71" spans="1:17" ht="15" customHeight="1" x14ac:dyDescent="0.2">
      <c r="A71" s="3" t="s">
        <v>20</v>
      </c>
      <c r="B71" s="15">
        <v>46091</v>
      </c>
      <c r="C71" s="16">
        <f t="shared" si="6"/>
        <v>466</v>
      </c>
      <c r="D71" s="3">
        <f t="shared" si="7"/>
        <v>1</v>
      </c>
      <c r="F71" s="3"/>
      <c r="G71" s="16" t="s">
        <v>76</v>
      </c>
      <c r="H71" s="3" t="s">
        <v>93</v>
      </c>
      <c r="I71" s="18">
        <v>333821</v>
      </c>
      <c r="J71" s="3">
        <v>131</v>
      </c>
      <c r="K71" s="3" t="s">
        <v>23</v>
      </c>
      <c r="L71" s="3">
        <v>1</v>
      </c>
      <c r="M71" s="17">
        <v>86124</v>
      </c>
      <c r="N71" s="17">
        <f t="shared" si="4"/>
        <v>86124</v>
      </c>
      <c r="Q71" s="3">
        <f t="shared" si="5"/>
        <v>191</v>
      </c>
    </row>
    <row r="72" spans="1:17" ht="15" customHeight="1" x14ac:dyDescent="0.2">
      <c r="A72" s="3" t="s">
        <v>20</v>
      </c>
      <c r="B72" s="15">
        <v>46100</v>
      </c>
      <c r="C72" s="16">
        <f t="shared" si="6"/>
        <v>467</v>
      </c>
      <c r="D72" s="3">
        <f t="shared" si="7"/>
        <v>1</v>
      </c>
      <c r="G72" s="16" t="s">
        <v>94</v>
      </c>
      <c r="H72" s="3" t="s">
        <v>95</v>
      </c>
      <c r="I72" s="18">
        <v>131</v>
      </c>
      <c r="J72" s="3">
        <v>5113</v>
      </c>
      <c r="K72" s="3" t="s">
        <v>23</v>
      </c>
      <c r="L72" s="3">
        <v>1</v>
      </c>
      <c r="M72" s="17">
        <v>10000000</v>
      </c>
      <c r="N72" s="17">
        <f t="shared" si="4"/>
        <v>10000000</v>
      </c>
      <c r="Q72" s="3">
        <f t="shared" si="5"/>
        <v>140</v>
      </c>
    </row>
    <row r="73" spans="1:17" ht="15" customHeight="1" x14ac:dyDescent="0.2">
      <c r="A73" s="3" t="s">
        <v>20</v>
      </c>
      <c r="B73" s="15">
        <v>46100</v>
      </c>
      <c r="C73" s="16">
        <f t="shared" si="6"/>
        <v>468</v>
      </c>
      <c r="D73" s="3">
        <f t="shared" si="7"/>
        <v>1</v>
      </c>
      <c r="F73" s="3"/>
      <c r="G73" s="16" t="s">
        <v>94</v>
      </c>
      <c r="H73" s="3" t="s">
        <v>96</v>
      </c>
      <c r="I73" s="18">
        <v>333821</v>
      </c>
      <c r="J73" s="3">
        <v>131</v>
      </c>
      <c r="K73" s="3" t="s">
        <v>23</v>
      </c>
      <c r="L73" s="3">
        <v>1</v>
      </c>
      <c r="M73" s="17">
        <v>100000</v>
      </c>
      <c r="N73" s="17">
        <f t="shared" si="4"/>
        <v>100000</v>
      </c>
      <c r="Q73" s="3">
        <f t="shared" si="5"/>
        <v>156</v>
      </c>
    </row>
    <row r="74" spans="1:17" ht="15" customHeight="1" x14ac:dyDescent="0.2">
      <c r="A74" s="3" t="s">
        <v>20</v>
      </c>
      <c r="B74" s="15">
        <v>46101</v>
      </c>
      <c r="C74" s="16">
        <f t="shared" si="6"/>
        <v>469</v>
      </c>
      <c r="D74" s="3">
        <f t="shared" si="7"/>
        <v>1</v>
      </c>
      <c r="G74" s="16" t="s">
        <v>97</v>
      </c>
      <c r="H74" s="16" t="s">
        <v>98</v>
      </c>
      <c r="I74" s="3">
        <v>131</v>
      </c>
      <c r="J74" s="3">
        <v>5113</v>
      </c>
      <c r="K74" s="3" t="s">
        <v>23</v>
      </c>
      <c r="L74" s="3">
        <v>1</v>
      </c>
      <c r="M74" s="17">
        <v>10000000</v>
      </c>
      <c r="N74" s="17">
        <f t="shared" si="4"/>
        <v>10000000</v>
      </c>
      <c r="Q74" s="3">
        <f t="shared" si="5"/>
        <v>113</v>
      </c>
    </row>
    <row r="75" spans="1:17" ht="15" customHeight="1" x14ac:dyDescent="0.2">
      <c r="A75" s="3" t="s">
        <v>20</v>
      </c>
      <c r="B75" s="15">
        <v>46101</v>
      </c>
      <c r="C75" s="16">
        <f t="shared" si="6"/>
        <v>470</v>
      </c>
      <c r="D75" s="3">
        <f t="shared" si="7"/>
        <v>1</v>
      </c>
      <c r="G75" s="16" t="s">
        <v>97</v>
      </c>
      <c r="H75" s="3" t="s">
        <v>99</v>
      </c>
      <c r="I75" s="18">
        <v>333821</v>
      </c>
      <c r="J75" s="3">
        <v>131</v>
      </c>
      <c r="K75" s="3" t="s">
        <v>23</v>
      </c>
      <c r="L75" s="3">
        <v>1</v>
      </c>
      <c r="M75" s="17">
        <v>100000</v>
      </c>
      <c r="N75" s="17">
        <f t="shared" si="4"/>
        <v>100000</v>
      </c>
      <c r="Q75" s="3">
        <f t="shared" si="5"/>
        <v>129</v>
      </c>
    </row>
    <row r="76" spans="1:17" ht="15" customHeight="1" x14ac:dyDescent="0.2">
      <c r="A76" s="3" t="s">
        <v>20</v>
      </c>
      <c r="B76" s="15">
        <v>46107</v>
      </c>
      <c r="C76" s="16">
        <f t="shared" si="6"/>
        <v>471</v>
      </c>
      <c r="D76" s="3">
        <f t="shared" si="7"/>
        <v>1</v>
      </c>
      <c r="F76" s="3"/>
      <c r="G76" s="16" t="s">
        <v>48</v>
      </c>
      <c r="H76" s="3" t="s">
        <v>100</v>
      </c>
      <c r="I76" s="18">
        <v>131</v>
      </c>
      <c r="J76" s="3">
        <v>5113</v>
      </c>
      <c r="K76" s="3" t="s">
        <v>23</v>
      </c>
      <c r="L76" s="3">
        <v>1</v>
      </c>
      <c r="M76" s="17">
        <v>6666667</v>
      </c>
      <c r="N76" s="17">
        <f t="shared" si="4"/>
        <v>6666667</v>
      </c>
      <c r="Q76" s="3">
        <f t="shared" si="5"/>
        <v>102</v>
      </c>
    </row>
    <row r="77" spans="1:17" ht="15" customHeight="1" x14ac:dyDescent="0.2">
      <c r="A77" s="3" t="s">
        <v>20</v>
      </c>
      <c r="B77" s="15">
        <v>46107</v>
      </c>
      <c r="C77" s="16">
        <f t="shared" si="6"/>
        <v>472</v>
      </c>
      <c r="D77" s="3">
        <f t="shared" si="7"/>
        <v>1</v>
      </c>
      <c r="G77" s="16" t="s">
        <v>48</v>
      </c>
      <c r="H77" s="3" t="s">
        <v>101</v>
      </c>
      <c r="I77" s="18">
        <v>333821</v>
      </c>
      <c r="J77" s="3">
        <v>131</v>
      </c>
      <c r="K77" s="3" t="s">
        <v>23</v>
      </c>
      <c r="L77" s="3">
        <v>1</v>
      </c>
      <c r="M77" s="17">
        <v>66667</v>
      </c>
      <c r="N77" s="17">
        <f t="shared" si="4"/>
        <v>66667</v>
      </c>
      <c r="Q77" s="3">
        <f t="shared" si="5"/>
        <v>118</v>
      </c>
    </row>
    <row r="78" spans="1:17" ht="15" customHeight="1" x14ac:dyDescent="0.2">
      <c r="A78" s="3" t="s">
        <v>20</v>
      </c>
      <c r="B78" s="15">
        <v>46112</v>
      </c>
      <c r="C78" s="16">
        <f t="shared" si="6"/>
        <v>473</v>
      </c>
      <c r="D78" s="3">
        <f t="shared" si="7"/>
        <v>1</v>
      </c>
      <c r="F78" s="3"/>
      <c r="G78" s="16" t="s">
        <v>89</v>
      </c>
      <c r="H78" s="3" t="s">
        <v>102</v>
      </c>
      <c r="I78" s="18">
        <v>131</v>
      </c>
      <c r="J78" s="3">
        <v>5113</v>
      </c>
      <c r="K78" s="3" t="s">
        <v>23</v>
      </c>
      <c r="L78" s="3">
        <v>1</v>
      </c>
      <c r="M78" s="17">
        <v>7777778</v>
      </c>
      <c r="N78" s="17">
        <f t="shared" si="4"/>
        <v>7777778</v>
      </c>
      <c r="Q78" s="3">
        <f t="shared" si="5"/>
        <v>175</v>
      </c>
    </row>
    <row r="79" spans="1:17" ht="15" customHeight="1" x14ac:dyDescent="0.2">
      <c r="A79" s="3" t="s">
        <v>20</v>
      </c>
      <c r="B79" s="15">
        <v>46112</v>
      </c>
      <c r="C79" s="16">
        <f t="shared" si="6"/>
        <v>474</v>
      </c>
      <c r="D79" s="3">
        <f t="shared" si="7"/>
        <v>1</v>
      </c>
      <c r="G79" s="16" t="s">
        <v>89</v>
      </c>
      <c r="H79" s="3" t="s">
        <v>103</v>
      </c>
      <c r="I79" s="18">
        <v>333821</v>
      </c>
      <c r="J79" s="3">
        <v>131</v>
      </c>
      <c r="K79" s="3" t="s">
        <v>23</v>
      </c>
      <c r="L79" s="3">
        <v>1</v>
      </c>
      <c r="M79" s="17">
        <v>77778</v>
      </c>
      <c r="N79" s="17">
        <f t="shared" si="4"/>
        <v>77778</v>
      </c>
      <c r="Q79" s="3">
        <f t="shared" si="5"/>
        <v>191</v>
      </c>
    </row>
    <row r="80" spans="1:17" ht="15" customHeight="1" x14ac:dyDescent="0.2">
      <c r="A80" s="3" t="s">
        <v>104</v>
      </c>
      <c r="B80" s="15">
        <v>46044</v>
      </c>
      <c r="C80" s="16">
        <f t="shared" si="6"/>
        <v>475</v>
      </c>
      <c r="D80" s="3">
        <f t="shared" si="7"/>
        <v>1</v>
      </c>
      <c r="G80" s="16" t="s">
        <v>48</v>
      </c>
      <c r="H80" s="3" t="s">
        <v>105</v>
      </c>
      <c r="I80" s="18">
        <v>112111</v>
      </c>
      <c r="J80" s="3">
        <v>131</v>
      </c>
      <c r="K80" s="3" t="s">
        <v>23</v>
      </c>
      <c r="L80" s="3">
        <v>1</v>
      </c>
      <c r="M80" s="17">
        <v>7451613</v>
      </c>
      <c r="N80" s="17">
        <f t="shared" si="4"/>
        <v>7451613</v>
      </c>
      <c r="Q80" s="3">
        <f t="shared" si="5"/>
        <v>111</v>
      </c>
    </row>
    <row r="81" spans="1:17" ht="15" customHeight="1" x14ac:dyDescent="0.2">
      <c r="A81" s="3" t="s">
        <v>106</v>
      </c>
      <c r="B81" s="15">
        <v>46041</v>
      </c>
      <c r="C81" s="16">
        <f t="shared" si="6"/>
        <v>476</v>
      </c>
      <c r="D81" s="3">
        <f t="shared" si="7"/>
        <v>1</v>
      </c>
      <c r="G81" s="16" t="s">
        <v>107</v>
      </c>
      <c r="H81" s="3" t="s">
        <v>108</v>
      </c>
      <c r="I81" s="18">
        <v>1111</v>
      </c>
      <c r="J81" s="3">
        <v>112111</v>
      </c>
      <c r="K81" s="3" t="s">
        <v>23</v>
      </c>
      <c r="L81" s="3">
        <v>1</v>
      </c>
      <c r="M81" s="17">
        <v>22500000</v>
      </c>
      <c r="N81" s="17">
        <f t="shared" si="4"/>
        <v>22500000</v>
      </c>
      <c r="Q81" s="3">
        <f t="shared" si="5"/>
        <v>31</v>
      </c>
    </row>
    <row r="82" spans="1:17" ht="15" customHeight="1" x14ac:dyDescent="0.2">
      <c r="A82" s="3" t="s">
        <v>106</v>
      </c>
      <c r="B82" s="15">
        <v>46039</v>
      </c>
      <c r="C82" s="16">
        <f t="shared" si="6"/>
        <v>477</v>
      </c>
      <c r="D82" s="3">
        <f t="shared" si="7"/>
        <v>1</v>
      </c>
      <c r="F82" s="3"/>
      <c r="G82" s="16" t="s">
        <v>107</v>
      </c>
      <c r="H82" s="3" t="s">
        <v>109</v>
      </c>
      <c r="I82" s="18">
        <v>1111</v>
      </c>
      <c r="J82" s="3">
        <v>112111</v>
      </c>
      <c r="K82" s="3" t="s">
        <v>23</v>
      </c>
      <c r="L82" s="3">
        <v>1</v>
      </c>
      <c r="M82" s="17">
        <v>1000000</v>
      </c>
      <c r="N82" s="17">
        <f t="shared" si="4"/>
        <v>1000000</v>
      </c>
      <c r="Q82" s="3">
        <f t="shared" si="5"/>
        <v>35</v>
      </c>
    </row>
    <row r="83" spans="1:17" ht="15" customHeight="1" x14ac:dyDescent="0.2">
      <c r="A83" s="3" t="s">
        <v>104</v>
      </c>
      <c r="B83" s="15">
        <v>46037</v>
      </c>
      <c r="C83" s="16">
        <f t="shared" si="6"/>
        <v>478</v>
      </c>
      <c r="D83" s="3">
        <f t="shared" si="7"/>
        <v>1</v>
      </c>
      <c r="G83" s="16" t="s">
        <v>76</v>
      </c>
      <c r="H83" s="3" t="s">
        <v>110</v>
      </c>
      <c r="I83" s="18">
        <v>112111</v>
      </c>
      <c r="J83" s="3">
        <v>131</v>
      </c>
      <c r="K83" s="3" t="s">
        <v>23</v>
      </c>
      <c r="L83" s="3">
        <v>1</v>
      </c>
      <c r="M83" s="17">
        <v>9580645</v>
      </c>
      <c r="N83" s="17">
        <f t="shared" si="4"/>
        <v>9580645</v>
      </c>
      <c r="Q83" s="3">
        <f t="shared" si="5"/>
        <v>127</v>
      </c>
    </row>
    <row r="84" spans="1:17" ht="15" customHeight="1" x14ac:dyDescent="0.2">
      <c r="A84" s="3" t="s">
        <v>104</v>
      </c>
      <c r="B84" s="15">
        <v>46037</v>
      </c>
      <c r="C84" s="16">
        <f t="shared" si="6"/>
        <v>479</v>
      </c>
      <c r="D84" s="3">
        <f t="shared" si="7"/>
        <v>1</v>
      </c>
      <c r="G84" s="16" t="s">
        <v>48</v>
      </c>
      <c r="H84" s="3" t="s">
        <v>111</v>
      </c>
      <c r="I84" s="18">
        <v>112111</v>
      </c>
      <c r="J84" s="3">
        <v>131</v>
      </c>
      <c r="K84" s="3" t="s">
        <v>23</v>
      </c>
      <c r="L84" s="3">
        <v>1</v>
      </c>
      <c r="M84" s="17">
        <v>4400000</v>
      </c>
      <c r="N84" s="17">
        <f t="shared" si="4"/>
        <v>4400000</v>
      </c>
      <c r="Q84" s="3">
        <f t="shared" si="5"/>
        <v>106</v>
      </c>
    </row>
    <row r="85" spans="1:17" ht="15" customHeight="1" x14ac:dyDescent="0.2">
      <c r="A85" s="3" t="s">
        <v>104</v>
      </c>
      <c r="B85" s="15">
        <v>46037</v>
      </c>
      <c r="C85" s="16">
        <f t="shared" si="6"/>
        <v>480</v>
      </c>
      <c r="D85" s="3">
        <f t="shared" si="7"/>
        <v>1</v>
      </c>
      <c r="G85" s="16" t="s">
        <v>54</v>
      </c>
      <c r="H85" s="16" t="s">
        <v>112</v>
      </c>
      <c r="I85" s="18">
        <v>112111</v>
      </c>
      <c r="J85" s="3">
        <v>131</v>
      </c>
      <c r="K85" s="3" t="s">
        <v>23</v>
      </c>
      <c r="L85" s="3">
        <v>1</v>
      </c>
      <c r="M85" s="17">
        <v>9900000</v>
      </c>
      <c r="N85" s="17">
        <f t="shared" si="4"/>
        <v>9900000</v>
      </c>
      <c r="Q85" s="3">
        <f t="shared" si="5"/>
        <v>149</v>
      </c>
    </row>
    <row r="86" spans="1:17" ht="15" customHeight="1" x14ac:dyDescent="0.2">
      <c r="A86" s="3" t="s">
        <v>106</v>
      </c>
      <c r="B86" s="15">
        <v>46033</v>
      </c>
      <c r="C86" s="16">
        <f t="shared" si="6"/>
        <v>481</v>
      </c>
      <c r="D86" s="3">
        <f t="shared" si="7"/>
        <v>1</v>
      </c>
      <c r="F86" s="3"/>
      <c r="G86" s="16" t="s">
        <v>107</v>
      </c>
      <c r="H86" s="16" t="s">
        <v>113</v>
      </c>
      <c r="I86" s="18">
        <v>1111</v>
      </c>
      <c r="J86" s="3">
        <v>112111</v>
      </c>
      <c r="K86" s="3" t="s">
        <v>23</v>
      </c>
      <c r="L86" s="3">
        <v>1</v>
      </c>
      <c r="M86" s="17">
        <v>5000000</v>
      </c>
      <c r="N86" s="17">
        <f t="shared" si="4"/>
        <v>5000000</v>
      </c>
      <c r="Q86" s="3">
        <f t="shared" si="5"/>
        <v>35</v>
      </c>
    </row>
    <row r="87" spans="1:17" ht="15" customHeight="1" x14ac:dyDescent="0.2">
      <c r="A87" s="3" t="s">
        <v>104</v>
      </c>
      <c r="B87" s="15">
        <v>46030</v>
      </c>
      <c r="C87" s="16">
        <f t="shared" si="6"/>
        <v>482</v>
      </c>
      <c r="D87" s="3">
        <f t="shared" si="7"/>
        <v>1</v>
      </c>
      <c r="G87" s="16" t="s">
        <v>48</v>
      </c>
      <c r="H87" s="16" t="s">
        <v>111</v>
      </c>
      <c r="I87" s="18">
        <v>112111</v>
      </c>
      <c r="J87" s="3">
        <v>131</v>
      </c>
      <c r="K87" s="3" t="s">
        <v>23</v>
      </c>
      <c r="L87" s="3">
        <v>1</v>
      </c>
      <c r="M87" s="17">
        <v>4400000</v>
      </c>
      <c r="N87" s="17">
        <f t="shared" si="4"/>
        <v>4400000</v>
      </c>
      <c r="Q87" s="3">
        <f t="shared" si="5"/>
        <v>106</v>
      </c>
    </row>
    <row r="88" spans="1:17" ht="15" customHeight="1" x14ac:dyDescent="0.2">
      <c r="A88" s="3" t="s">
        <v>106</v>
      </c>
      <c r="B88" s="15">
        <v>46053</v>
      </c>
      <c r="C88" s="16">
        <f t="shared" si="6"/>
        <v>483</v>
      </c>
      <c r="D88" s="3">
        <f t="shared" si="7"/>
        <v>1</v>
      </c>
      <c r="F88" s="3"/>
      <c r="G88" s="16" t="s">
        <v>107</v>
      </c>
      <c r="H88" s="16" t="s">
        <v>114</v>
      </c>
      <c r="I88" s="18">
        <v>3383</v>
      </c>
      <c r="J88" s="3">
        <v>112111</v>
      </c>
      <c r="K88" s="3" t="s">
        <v>23</v>
      </c>
      <c r="L88" s="3">
        <v>1</v>
      </c>
      <c r="M88" s="17">
        <v>690300</v>
      </c>
      <c r="N88" s="17">
        <f t="shared" si="4"/>
        <v>690300</v>
      </c>
      <c r="Q88" s="3">
        <f t="shared" si="5"/>
        <v>33</v>
      </c>
    </row>
    <row r="89" spans="1:17" ht="15" customHeight="1" x14ac:dyDescent="0.2">
      <c r="A89" s="3" t="s">
        <v>104</v>
      </c>
      <c r="B89" s="15">
        <v>46053</v>
      </c>
      <c r="C89" s="16">
        <f t="shared" si="6"/>
        <v>484</v>
      </c>
      <c r="D89" s="3">
        <f t="shared" si="7"/>
        <v>1</v>
      </c>
      <c r="G89" s="16" t="s">
        <v>61</v>
      </c>
      <c r="H89" s="16" t="s">
        <v>115</v>
      </c>
      <c r="I89" s="18">
        <v>112111</v>
      </c>
      <c r="J89" s="3">
        <v>131</v>
      </c>
      <c r="K89" s="3" t="s">
        <v>23</v>
      </c>
      <c r="L89" s="3">
        <v>1</v>
      </c>
      <c r="M89" s="17">
        <v>2420000</v>
      </c>
      <c r="N89" s="17">
        <f t="shared" si="4"/>
        <v>2420000</v>
      </c>
      <c r="Q89" s="3">
        <f t="shared" si="5"/>
        <v>112</v>
      </c>
    </row>
    <row r="90" spans="1:17" ht="15" customHeight="1" x14ac:dyDescent="0.2">
      <c r="A90" s="3" t="s">
        <v>104</v>
      </c>
      <c r="B90" s="15">
        <v>46053</v>
      </c>
      <c r="C90" s="16">
        <f t="shared" si="6"/>
        <v>485</v>
      </c>
      <c r="D90" s="3">
        <f t="shared" si="7"/>
        <v>1</v>
      </c>
      <c r="F90" s="3"/>
      <c r="G90" s="16" t="s">
        <v>107</v>
      </c>
      <c r="H90" s="16" t="s">
        <v>116</v>
      </c>
      <c r="I90" s="18">
        <v>112111</v>
      </c>
      <c r="J90" s="3">
        <v>5154</v>
      </c>
      <c r="K90" s="3" t="s">
        <v>23</v>
      </c>
      <c r="L90" s="3">
        <v>1</v>
      </c>
      <c r="M90" s="17">
        <v>5770</v>
      </c>
      <c r="N90" s="17">
        <f t="shared" si="4"/>
        <v>5770</v>
      </c>
      <c r="Q90" s="3">
        <f t="shared" si="5"/>
        <v>12</v>
      </c>
    </row>
    <row r="91" spans="1:17" ht="15" customHeight="1" x14ac:dyDescent="0.2">
      <c r="A91" s="3" t="s">
        <v>106</v>
      </c>
      <c r="B91" s="15">
        <v>46050</v>
      </c>
      <c r="C91" s="16">
        <f t="shared" si="6"/>
        <v>486</v>
      </c>
      <c r="D91" s="3">
        <f t="shared" si="7"/>
        <v>1</v>
      </c>
      <c r="G91" s="16" t="s">
        <v>107</v>
      </c>
      <c r="H91" s="3" t="s">
        <v>117</v>
      </c>
      <c r="I91" s="18">
        <v>1111</v>
      </c>
      <c r="J91" s="3">
        <v>112111</v>
      </c>
      <c r="K91" s="3" t="s">
        <v>23</v>
      </c>
      <c r="L91" s="3">
        <v>1</v>
      </c>
      <c r="M91" s="17">
        <v>10000000</v>
      </c>
      <c r="N91" s="17">
        <f t="shared" si="4"/>
        <v>10000000</v>
      </c>
      <c r="Q91" s="3">
        <f t="shared" si="5"/>
        <v>35</v>
      </c>
    </row>
    <row r="92" spans="1:17" ht="15" customHeight="1" x14ac:dyDescent="0.2">
      <c r="A92" s="3" t="s">
        <v>104</v>
      </c>
      <c r="B92" s="15">
        <v>46050</v>
      </c>
      <c r="C92" s="16">
        <f t="shared" si="6"/>
        <v>487</v>
      </c>
      <c r="D92" s="3">
        <f t="shared" si="7"/>
        <v>1</v>
      </c>
      <c r="G92" s="16" t="s">
        <v>76</v>
      </c>
      <c r="H92" s="3" t="s">
        <v>110</v>
      </c>
      <c r="I92" s="18">
        <v>112111</v>
      </c>
      <c r="J92" s="3">
        <v>131</v>
      </c>
      <c r="K92" s="3" t="s">
        <v>23</v>
      </c>
      <c r="L92" s="3">
        <v>1</v>
      </c>
      <c r="M92" s="17">
        <v>9580645</v>
      </c>
      <c r="N92" s="17">
        <f t="shared" si="4"/>
        <v>9580645</v>
      </c>
      <c r="Q92" s="3">
        <f t="shared" si="5"/>
        <v>127</v>
      </c>
    </row>
    <row r="93" spans="1:17" ht="15" customHeight="1" x14ac:dyDescent="0.2">
      <c r="A93" s="3" t="s">
        <v>106</v>
      </c>
      <c r="B93" s="15">
        <v>46045</v>
      </c>
      <c r="C93" s="16">
        <f t="shared" si="6"/>
        <v>488</v>
      </c>
      <c r="D93" s="3">
        <f t="shared" si="7"/>
        <v>1</v>
      </c>
      <c r="G93" s="16" t="s">
        <v>107</v>
      </c>
      <c r="H93" s="16" t="s">
        <v>118</v>
      </c>
      <c r="I93" s="18">
        <v>1111</v>
      </c>
      <c r="J93" s="3">
        <v>112111</v>
      </c>
      <c r="K93" s="3" t="s">
        <v>23</v>
      </c>
      <c r="L93" s="3">
        <v>1</v>
      </c>
      <c r="M93" s="17">
        <v>4000000</v>
      </c>
      <c r="N93" s="17">
        <f t="shared" si="4"/>
        <v>4000000</v>
      </c>
      <c r="Q93" s="3">
        <f t="shared" si="5"/>
        <v>31</v>
      </c>
    </row>
    <row r="94" spans="1:17" ht="15" customHeight="1" x14ac:dyDescent="0.2">
      <c r="A94" s="3" t="s">
        <v>104</v>
      </c>
      <c r="B94" s="15">
        <v>46045</v>
      </c>
      <c r="C94" s="16">
        <f t="shared" si="6"/>
        <v>489</v>
      </c>
      <c r="D94" s="3">
        <f t="shared" si="7"/>
        <v>1</v>
      </c>
      <c r="F94" s="3"/>
      <c r="G94" s="16" t="s">
        <v>48</v>
      </c>
      <c r="H94" s="16" t="s">
        <v>119</v>
      </c>
      <c r="I94" s="18">
        <v>112111</v>
      </c>
      <c r="J94" s="3">
        <v>131</v>
      </c>
      <c r="K94" s="3" t="s">
        <v>23</v>
      </c>
      <c r="L94" s="3">
        <v>1</v>
      </c>
      <c r="M94" s="17">
        <v>4400000</v>
      </c>
      <c r="N94" s="17">
        <f t="shared" si="4"/>
        <v>4400000</v>
      </c>
      <c r="Q94" s="3">
        <f t="shared" si="5"/>
        <v>106</v>
      </c>
    </row>
    <row r="95" spans="1:17" ht="15" customHeight="1" x14ac:dyDescent="0.2">
      <c r="A95" s="3" t="s">
        <v>106</v>
      </c>
      <c r="B95" s="15">
        <v>46045</v>
      </c>
      <c r="C95" s="16">
        <f t="shared" si="6"/>
        <v>490</v>
      </c>
      <c r="D95" s="3">
        <f t="shared" si="7"/>
        <v>1</v>
      </c>
      <c r="H95" s="3" t="s">
        <v>120</v>
      </c>
      <c r="I95" s="18">
        <v>333</v>
      </c>
      <c r="J95" s="3">
        <v>112111</v>
      </c>
      <c r="K95" s="3" t="s">
        <v>23</v>
      </c>
      <c r="L95" s="3">
        <v>1</v>
      </c>
      <c r="M95" s="17">
        <v>12487389</v>
      </c>
      <c r="N95" s="17">
        <f t="shared" si="4"/>
        <v>12487389</v>
      </c>
      <c r="Q95" s="3">
        <f t="shared" si="5"/>
        <v>28</v>
      </c>
    </row>
    <row r="96" spans="1:17" ht="15" customHeight="1" x14ac:dyDescent="0.2">
      <c r="A96" s="3" t="s">
        <v>106</v>
      </c>
      <c r="B96" s="15">
        <v>46045</v>
      </c>
      <c r="C96" s="16">
        <f t="shared" si="6"/>
        <v>491</v>
      </c>
      <c r="D96" s="3">
        <f t="shared" si="7"/>
        <v>1</v>
      </c>
      <c r="G96" s="16" t="s">
        <v>107</v>
      </c>
      <c r="H96" s="3" t="s">
        <v>121</v>
      </c>
      <c r="I96" s="18">
        <v>1111</v>
      </c>
      <c r="J96" s="3">
        <v>112111</v>
      </c>
      <c r="K96" s="3" t="s">
        <v>23</v>
      </c>
      <c r="L96" s="3">
        <v>1</v>
      </c>
      <c r="M96" s="17">
        <v>8000000</v>
      </c>
      <c r="N96" s="17">
        <f t="shared" si="4"/>
        <v>8000000</v>
      </c>
      <c r="Q96" s="3">
        <f t="shared" si="5"/>
        <v>31</v>
      </c>
    </row>
    <row r="97" spans="1:17" ht="15" customHeight="1" x14ac:dyDescent="0.2">
      <c r="A97" s="3" t="s">
        <v>104</v>
      </c>
      <c r="B97" s="15">
        <v>46091</v>
      </c>
      <c r="C97" s="16">
        <f t="shared" si="6"/>
        <v>492</v>
      </c>
      <c r="D97" s="3">
        <f t="shared" si="7"/>
        <v>1</v>
      </c>
      <c r="G97" s="16" t="s">
        <v>86</v>
      </c>
      <c r="H97" s="16" t="s">
        <v>122</v>
      </c>
      <c r="I97" s="3">
        <v>112111</v>
      </c>
      <c r="J97" s="3">
        <v>131</v>
      </c>
      <c r="K97" s="3" t="s">
        <v>23</v>
      </c>
      <c r="L97" s="3">
        <v>1</v>
      </c>
      <c r="M97" s="17">
        <v>3300000</v>
      </c>
      <c r="N97" s="17">
        <f t="shared" si="4"/>
        <v>3300000</v>
      </c>
      <c r="Q97" s="3">
        <f t="shared" si="5"/>
        <v>114</v>
      </c>
    </row>
    <row r="98" spans="1:17" ht="15" customHeight="1" x14ac:dyDescent="0.2">
      <c r="A98" s="3" t="s">
        <v>106</v>
      </c>
      <c r="B98" s="15">
        <v>46087</v>
      </c>
      <c r="C98" s="16">
        <f t="shared" si="6"/>
        <v>493</v>
      </c>
      <c r="D98" s="3">
        <f t="shared" si="7"/>
        <v>1</v>
      </c>
      <c r="G98" s="16" t="s">
        <v>107</v>
      </c>
      <c r="H98" s="16" t="s">
        <v>123</v>
      </c>
      <c r="I98" s="18">
        <v>1111</v>
      </c>
      <c r="J98" s="3">
        <v>112111</v>
      </c>
      <c r="K98" s="3" t="s">
        <v>23</v>
      </c>
      <c r="L98" s="3">
        <v>1</v>
      </c>
      <c r="M98" s="17">
        <v>22000000</v>
      </c>
      <c r="N98" s="17">
        <f t="shared" si="4"/>
        <v>22000000</v>
      </c>
      <c r="Q98" s="3">
        <f t="shared" si="5"/>
        <v>31</v>
      </c>
    </row>
    <row r="99" spans="1:17" ht="15" customHeight="1" x14ac:dyDescent="0.2">
      <c r="A99" s="3" t="s">
        <v>104</v>
      </c>
      <c r="B99" s="15">
        <v>46087</v>
      </c>
      <c r="C99" s="16">
        <f t="shared" si="6"/>
        <v>494</v>
      </c>
      <c r="D99" s="3">
        <f t="shared" si="7"/>
        <v>1</v>
      </c>
      <c r="F99" s="3"/>
      <c r="G99" s="16" t="s">
        <v>67</v>
      </c>
      <c r="H99" s="16" t="s">
        <v>124</v>
      </c>
      <c r="I99" s="18">
        <v>112111</v>
      </c>
      <c r="J99" s="3">
        <v>131</v>
      </c>
      <c r="K99" s="3" t="s">
        <v>23</v>
      </c>
      <c r="L99" s="3">
        <v>1</v>
      </c>
      <c r="M99" s="17">
        <v>4950000</v>
      </c>
      <c r="N99" s="17">
        <f t="shared" si="4"/>
        <v>4950000</v>
      </c>
      <c r="Q99" s="3">
        <f t="shared" si="5"/>
        <v>114</v>
      </c>
    </row>
    <row r="100" spans="1:17" ht="15" customHeight="1" x14ac:dyDescent="0.2">
      <c r="A100" s="3" t="s">
        <v>104</v>
      </c>
      <c r="B100" s="15">
        <v>46087</v>
      </c>
      <c r="C100" s="16">
        <f t="shared" si="6"/>
        <v>495</v>
      </c>
      <c r="D100" s="3">
        <f t="shared" si="7"/>
        <v>1</v>
      </c>
      <c r="G100" s="16" t="s">
        <v>81</v>
      </c>
      <c r="H100" s="16" t="s">
        <v>125</v>
      </c>
      <c r="I100" s="3">
        <v>112111</v>
      </c>
      <c r="J100" s="3">
        <v>131</v>
      </c>
      <c r="K100" s="3" t="s">
        <v>23</v>
      </c>
      <c r="L100" s="3">
        <v>1</v>
      </c>
      <c r="M100" s="17">
        <v>12100000</v>
      </c>
      <c r="N100" s="17">
        <f t="shared" si="4"/>
        <v>12100000</v>
      </c>
      <c r="Q100" s="3">
        <f t="shared" si="5"/>
        <v>100</v>
      </c>
    </row>
    <row r="101" spans="1:17" ht="15" customHeight="1" x14ac:dyDescent="0.2">
      <c r="A101" s="3" t="s">
        <v>104</v>
      </c>
      <c r="B101" s="15">
        <v>46081</v>
      </c>
      <c r="C101" s="16">
        <f t="shared" si="6"/>
        <v>496</v>
      </c>
      <c r="D101" s="3">
        <f t="shared" si="7"/>
        <v>1</v>
      </c>
      <c r="G101" s="16" t="s">
        <v>107</v>
      </c>
      <c r="H101" s="16" t="s">
        <v>116</v>
      </c>
      <c r="I101" s="3">
        <v>112111</v>
      </c>
      <c r="J101" s="3">
        <v>5154</v>
      </c>
      <c r="K101" s="3" t="s">
        <v>23</v>
      </c>
      <c r="L101" s="3">
        <v>1</v>
      </c>
      <c r="M101" s="17">
        <v>426</v>
      </c>
      <c r="N101" s="17">
        <f t="shared" si="4"/>
        <v>426</v>
      </c>
      <c r="Q101" s="3">
        <f t="shared" si="5"/>
        <v>12</v>
      </c>
    </row>
    <row r="102" spans="1:17" ht="15" customHeight="1" x14ac:dyDescent="0.2">
      <c r="A102" s="3" t="s">
        <v>104</v>
      </c>
      <c r="B102" s="15">
        <v>46079</v>
      </c>
      <c r="C102" s="16">
        <f t="shared" si="6"/>
        <v>497</v>
      </c>
      <c r="D102" s="3">
        <f t="shared" si="7"/>
        <v>1</v>
      </c>
      <c r="G102" s="16" t="s">
        <v>67</v>
      </c>
      <c r="H102" s="16" t="s">
        <v>126</v>
      </c>
      <c r="I102" s="3">
        <v>112111</v>
      </c>
      <c r="J102" s="3">
        <v>131</v>
      </c>
      <c r="K102" s="3" t="s">
        <v>23</v>
      </c>
      <c r="L102" s="3">
        <v>1</v>
      </c>
      <c r="M102" s="17">
        <v>4950000</v>
      </c>
      <c r="N102" s="17">
        <f t="shared" si="4"/>
        <v>4950000</v>
      </c>
      <c r="Q102" s="3">
        <f t="shared" si="5"/>
        <v>155</v>
      </c>
    </row>
    <row r="103" spans="1:17" ht="15" customHeight="1" x14ac:dyDescent="0.2">
      <c r="A103" s="3" t="s">
        <v>106</v>
      </c>
      <c r="B103" s="15">
        <v>46078</v>
      </c>
      <c r="C103" s="16">
        <f t="shared" si="6"/>
        <v>498</v>
      </c>
      <c r="D103" s="3">
        <f t="shared" si="7"/>
        <v>1</v>
      </c>
      <c r="G103" s="16" t="s">
        <v>107</v>
      </c>
      <c r="H103" s="16" t="s">
        <v>127</v>
      </c>
      <c r="I103" s="18">
        <v>3383</v>
      </c>
      <c r="J103" s="3">
        <v>112111</v>
      </c>
      <c r="K103" s="3" t="s">
        <v>23</v>
      </c>
      <c r="L103" s="3">
        <v>1</v>
      </c>
      <c r="M103" s="17">
        <v>690300</v>
      </c>
      <c r="N103" s="17">
        <f t="shared" si="4"/>
        <v>690300</v>
      </c>
      <c r="Q103" s="3">
        <f t="shared" si="5"/>
        <v>31</v>
      </c>
    </row>
    <row r="104" spans="1:17" ht="15" customHeight="1" x14ac:dyDescent="0.2">
      <c r="A104" s="3" t="s">
        <v>106</v>
      </c>
      <c r="B104" s="15">
        <v>46059</v>
      </c>
      <c r="C104" s="16">
        <f t="shared" si="6"/>
        <v>499</v>
      </c>
      <c r="D104" s="3">
        <f t="shared" si="7"/>
        <v>1</v>
      </c>
      <c r="G104" s="16" t="s">
        <v>107</v>
      </c>
      <c r="H104" s="16" t="s">
        <v>128</v>
      </c>
      <c r="I104" s="3">
        <v>1111</v>
      </c>
      <c r="J104" s="3">
        <v>112111</v>
      </c>
      <c r="K104" s="3" t="s">
        <v>23</v>
      </c>
      <c r="L104" s="3">
        <v>1</v>
      </c>
      <c r="M104" s="17">
        <v>11000000</v>
      </c>
      <c r="N104" s="17">
        <f t="shared" si="4"/>
        <v>11000000</v>
      </c>
      <c r="Q104" s="3">
        <f t="shared" si="5"/>
        <v>31</v>
      </c>
    </row>
    <row r="105" spans="1:17" ht="15" customHeight="1" x14ac:dyDescent="0.2">
      <c r="A105" s="3" t="s">
        <v>104</v>
      </c>
      <c r="B105" s="15">
        <v>46057</v>
      </c>
      <c r="C105" s="16">
        <f t="shared" si="6"/>
        <v>500</v>
      </c>
      <c r="D105" s="3">
        <f t="shared" si="7"/>
        <v>1</v>
      </c>
      <c r="G105" s="16" t="s">
        <v>67</v>
      </c>
      <c r="H105" s="16" t="s">
        <v>126</v>
      </c>
      <c r="I105" s="3">
        <v>112111</v>
      </c>
      <c r="J105" s="3">
        <v>131</v>
      </c>
      <c r="K105" s="3" t="s">
        <v>23</v>
      </c>
      <c r="L105" s="3">
        <v>1</v>
      </c>
      <c r="M105" s="17">
        <v>9900000</v>
      </c>
      <c r="N105" s="17">
        <f t="shared" si="4"/>
        <v>9900000</v>
      </c>
      <c r="Q105" s="3">
        <f t="shared" si="5"/>
        <v>155</v>
      </c>
    </row>
    <row r="106" spans="1:17" ht="15" customHeight="1" x14ac:dyDescent="0.2">
      <c r="A106" s="3" t="s">
        <v>104</v>
      </c>
      <c r="B106" s="15">
        <v>46106</v>
      </c>
      <c r="C106" s="16">
        <f t="shared" si="6"/>
        <v>501</v>
      </c>
      <c r="D106" s="3">
        <f t="shared" si="7"/>
        <v>1</v>
      </c>
      <c r="G106" s="16" t="s">
        <v>64</v>
      </c>
      <c r="H106" s="16" t="s">
        <v>129</v>
      </c>
      <c r="I106" s="3">
        <v>112111</v>
      </c>
      <c r="J106" s="3">
        <v>131</v>
      </c>
      <c r="K106" s="3" t="s">
        <v>23</v>
      </c>
      <c r="L106" s="3">
        <v>1</v>
      </c>
      <c r="M106" s="17">
        <v>6600000</v>
      </c>
      <c r="N106" s="17">
        <f t="shared" si="4"/>
        <v>6600000</v>
      </c>
      <c r="Q106" s="3">
        <f t="shared" si="5"/>
        <v>113</v>
      </c>
    </row>
    <row r="107" spans="1:17" ht="15" customHeight="1" x14ac:dyDescent="0.2">
      <c r="A107" s="3" t="s">
        <v>106</v>
      </c>
      <c r="B107" s="15">
        <v>46105</v>
      </c>
      <c r="C107" s="16">
        <f t="shared" si="6"/>
        <v>502</v>
      </c>
      <c r="D107" s="3">
        <f t="shared" si="7"/>
        <v>1</v>
      </c>
      <c r="G107" s="16" t="s">
        <v>107</v>
      </c>
      <c r="H107" s="16" t="s">
        <v>130</v>
      </c>
      <c r="I107" s="3">
        <v>1111</v>
      </c>
      <c r="J107" s="3">
        <v>112111</v>
      </c>
      <c r="K107" s="3" t="s">
        <v>23</v>
      </c>
      <c r="L107" s="3">
        <v>1</v>
      </c>
      <c r="M107" s="17">
        <v>10000000</v>
      </c>
      <c r="N107" s="17">
        <f t="shared" si="4"/>
        <v>10000000</v>
      </c>
      <c r="Q107" s="3">
        <f t="shared" si="5"/>
        <v>31</v>
      </c>
    </row>
    <row r="108" spans="1:17" ht="15" customHeight="1" x14ac:dyDescent="0.2">
      <c r="A108" s="3" t="s">
        <v>104</v>
      </c>
      <c r="B108" s="15">
        <v>46105</v>
      </c>
      <c r="C108" s="16">
        <f t="shared" si="6"/>
        <v>503</v>
      </c>
      <c r="D108" s="3">
        <f t="shared" si="7"/>
        <v>1</v>
      </c>
      <c r="G108" s="16" t="s">
        <v>70</v>
      </c>
      <c r="H108" s="16" t="s">
        <v>131</v>
      </c>
      <c r="I108" s="3">
        <v>112111</v>
      </c>
      <c r="J108" s="3">
        <v>131</v>
      </c>
      <c r="K108" s="3" t="s">
        <v>23</v>
      </c>
      <c r="L108" s="3">
        <v>1</v>
      </c>
      <c r="M108" s="17">
        <v>9900000</v>
      </c>
      <c r="N108" s="17">
        <f t="shared" si="4"/>
        <v>9900000</v>
      </c>
      <c r="Q108" s="3">
        <f t="shared" si="5"/>
        <v>157</v>
      </c>
    </row>
    <row r="109" spans="1:17" ht="15" customHeight="1" x14ac:dyDescent="0.2">
      <c r="A109" s="3" t="s">
        <v>106</v>
      </c>
      <c r="B109" s="15">
        <v>46093</v>
      </c>
      <c r="C109" s="16">
        <f t="shared" si="6"/>
        <v>504</v>
      </c>
      <c r="D109" s="3">
        <f t="shared" si="7"/>
        <v>1</v>
      </c>
      <c r="G109" s="16" t="s">
        <v>107</v>
      </c>
      <c r="H109" s="16" t="s">
        <v>132</v>
      </c>
      <c r="I109" s="3">
        <v>1111</v>
      </c>
      <c r="J109" s="3">
        <v>112111</v>
      </c>
      <c r="K109" s="3" t="s">
        <v>23</v>
      </c>
      <c r="L109" s="3">
        <v>1</v>
      </c>
      <c r="M109" s="17">
        <v>23000000</v>
      </c>
      <c r="N109" s="17">
        <f t="shared" si="4"/>
        <v>23000000</v>
      </c>
      <c r="Q109" s="3">
        <f t="shared" si="5"/>
        <v>31</v>
      </c>
    </row>
    <row r="110" spans="1:17" ht="15" customHeight="1" x14ac:dyDescent="0.2">
      <c r="A110" s="3" t="s">
        <v>104</v>
      </c>
      <c r="B110" s="15">
        <v>46093</v>
      </c>
      <c r="C110" s="16">
        <f t="shared" si="6"/>
        <v>505</v>
      </c>
      <c r="D110" s="3">
        <f t="shared" si="7"/>
        <v>1</v>
      </c>
      <c r="G110" s="16" t="s">
        <v>89</v>
      </c>
      <c r="H110" s="16" t="s">
        <v>133</v>
      </c>
      <c r="I110" s="3">
        <v>112111</v>
      </c>
      <c r="J110" s="3">
        <v>131</v>
      </c>
      <c r="K110" s="3" t="s">
        <v>23</v>
      </c>
      <c r="L110" s="3">
        <v>1</v>
      </c>
      <c r="M110" s="17">
        <v>7700000</v>
      </c>
      <c r="N110" s="17">
        <f t="shared" si="4"/>
        <v>7700000</v>
      </c>
      <c r="Q110" s="3">
        <f t="shared" si="5"/>
        <v>180</v>
      </c>
    </row>
    <row r="111" spans="1:17" ht="15" customHeight="1" x14ac:dyDescent="0.2">
      <c r="A111" s="3" t="s">
        <v>104</v>
      </c>
      <c r="B111" s="15">
        <v>46092</v>
      </c>
      <c r="C111" s="16">
        <f t="shared" si="6"/>
        <v>505</v>
      </c>
      <c r="D111" s="3">
        <f t="shared" si="7"/>
        <v>0</v>
      </c>
      <c r="G111" s="16" t="s">
        <v>89</v>
      </c>
      <c r="H111" s="16" t="s">
        <v>133</v>
      </c>
      <c r="I111" s="3">
        <v>112111</v>
      </c>
      <c r="J111" s="3">
        <v>131</v>
      </c>
      <c r="K111" s="3" t="s">
        <v>23</v>
      </c>
      <c r="L111" s="3">
        <v>1</v>
      </c>
      <c r="M111" s="17">
        <v>15400000</v>
      </c>
      <c r="N111" s="17">
        <f t="shared" si="4"/>
        <v>15400000</v>
      </c>
      <c r="Q111" s="3">
        <f t="shared" si="5"/>
        <v>180</v>
      </c>
    </row>
    <row r="112" spans="1:17" ht="15" customHeight="1" x14ac:dyDescent="0.2">
      <c r="A112" s="3" t="s">
        <v>106</v>
      </c>
      <c r="B112" s="15">
        <v>46091</v>
      </c>
      <c r="C112" s="16">
        <f t="shared" si="6"/>
        <v>506</v>
      </c>
      <c r="D112" s="3">
        <f t="shared" si="7"/>
        <v>1</v>
      </c>
      <c r="G112" s="16" t="s">
        <v>107</v>
      </c>
      <c r="H112" s="16" t="s">
        <v>134</v>
      </c>
      <c r="I112" s="3">
        <v>1111</v>
      </c>
      <c r="J112" s="3">
        <v>112111</v>
      </c>
      <c r="K112" s="3" t="s">
        <v>23</v>
      </c>
      <c r="L112" s="3">
        <v>1</v>
      </c>
      <c r="M112" s="17">
        <v>1500000</v>
      </c>
      <c r="N112" s="17">
        <f t="shared" si="4"/>
        <v>1500000</v>
      </c>
      <c r="Q112" s="3">
        <f t="shared" si="5"/>
        <v>34</v>
      </c>
    </row>
    <row r="113" spans="1:17" ht="15" customHeight="1" x14ac:dyDescent="0.2">
      <c r="A113" s="3" t="s">
        <v>104</v>
      </c>
      <c r="B113" s="15">
        <v>46039</v>
      </c>
      <c r="C113" s="16">
        <f t="shared" si="6"/>
        <v>507</v>
      </c>
      <c r="D113" s="3">
        <f t="shared" si="7"/>
        <v>1</v>
      </c>
      <c r="G113" s="16" t="s">
        <v>107</v>
      </c>
      <c r="H113" s="16" t="s">
        <v>135</v>
      </c>
      <c r="I113" s="3">
        <v>112111</v>
      </c>
      <c r="J113" s="3">
        <v>5154</v>
      </c>
      <c r="K113" s="3" t="s">
        <v>23</v>
      </c>
      <c r="L113" s="3">
        <v>1</v>
      </c>
      <c r="M113" s="17">
        <v>26</v>
      </c>
      <c r="N113" s="17">
        <f t="shared" si="4"/>
        <v>26</v>
      </c>
      <c r="Q113" s="3">
        <f t="shared" si="5"/>
        <v>42</v>
      </c>
    </row>
    <row r="114" spans="1:17" ht="15" customHeight="1" x14ac:dyDescent="0.2">
      <c r="A114" s="3" t="s">
        <v>106</v>
      </c>
      <c r="B114" s="15">
        <v>46038</v>
      </c>
      <c r="C114" s="16">
        <f t="shared" si="6"/>
        <v>508</v>
      </c>
      <c r="D114" s="3">
        <f t="shared" si="7"/>
        <v>1</v>
      </c>
      <c r="G114" s="16" t="s">
        <v>107</v>
      </c>
      <c r="H114" s="16" t="s">
        <v>136</v>
      </c>
      <c r="I114" s="3">
        <v>1111</v>
      </c>
      <c r="J114" s="3">
        <v>112111</v>
      </c>
      <c r="K114" s="3" t="s">
        <v>23</v>
      </c>
      <c r="L114" s="3">
        <v>1</v>
      </c>
      <c r="M114" s="17">
        <v>8516796</v>
      </c>
      <c r="N114" s="17">
        <f t="shared" si="4"/>
        <v>8516796</v>
      </c>
      <c r="Q114" s="3">
        <f t="shared" si="5"/>
        <v>43</v>
      </c>
    </row>
    <row r="115" spans="1:17" ht="15" customHeight="1" x14ac:dyDescent="0.2">
      <c r="A115" s="3" t="s">
        <v>104</v>
      </c>
      <c r="B115" s="15">
        <v>46038</v>
      </c>
      <c r="C115" s="16">
        <f t="shared" si="6"/>
        <v>509</v>
      </c>
      <c r="D115" s="3">
        <f t="shared" si="7"/>
        <v>1</v>
      </c>
      <c r="H115" s="16" t="s">
        <v>137</v>
      </c>
      <c r="I115" s="3">
        <v>112111</v>
      </c>
      <c r="J115" s="3">
        <v>711</v>
      </c>
      <c r="K115" s="3" t="s">
        <v>23</v>
      </c>
      <c r="L115" s="3">
        <v>1</v>
      </c>
      <c r="M115" s="17">
        <v>8516129</v>
      </c>
      <c r="N115" s="17">
        <f t="shared" si="4"/>
        <v>8516129</v>
      </c>
      <c r="Q115" s="3">
        <f t="shared" si="5"/>
        <v>55</v>
      </c>
    </row>
    <row r="116" spans="1:17" ht="15" customHeight="1" x14ac:dyDescent="0.2">
      <c r="A116" s="3" t="s">
        <v>106</v>
      </c>
      <c r="B116" s="15">
        <v>46029</v>
      </c>
      <c r="C116" s="16">
        <f t="shared" si="6"/>
        <v>510</v>
      </c>
      <c r="D116" s="3">
        <f t="shared" si="7"/>
        <v>1</v>
      </c>
      <c r="G116" s="16" t="s">
        <v>107</v>
      </c>
      <c r="H116" s="16" t="s">
        <v>138</v>
      </c>
      <c r="I116" s="3">
        <v>1111</v>
      </c>
      <c r="J116" s="3">
        <v>112111</v>
      </c>
      <c r="K116" s="3" t="s">
        <v>23</v>
      </c>
      <c r="L116" s="3">
        <v>1</v>
      </c>
      <c r="M116" s="17">
        <v>9588000</v>
      </c>
      <c r="N116" s="17">
        <f t="shared" si="4"/>
        <v>9588000</v>
      </c>
      <c r="Q116" s="3">
        <f t="shared" si="5"/>
        <v>43</v>
      </c>
    </row>
    <row r="117" spans="1:17" ht="15" customHeight="1" x14ac:dyDescent="0.2">
      <c r="A117" s="3" t="s">
        <v>104</v>
      </c>
      <c r="B117" s="15">
        <v>46027</v>
      </c>
      <c r="C117" s="16">
        <f t="shared" si="6"/>
        <v>511</v>
      </c>
      <c r="D117" s="3">
        <f t="shared" si="7"/>
        <v>1</v>
      </c>
      <c r="G117" s="16" t="s">
        <v>51</v>
      </c>
      <c r="H117" s="16" t="s">
        <v>139</v>
      </c>
      <c r="I117" s="3">
        <v>112111</v>
      </c>
      <c r="J117" s="3">
        <v>131</v>
      </c>
      <c r="K117" s="3" t="s">
        <v>23</v>
      </c>
      <c r="L117" s="3">
        <v>1</v>
      </c>
      <c r="M117" s="17">
        <v>9580645</v>
      </c>
      <c r="N117" s="17">
        <f t="shared" si="4"/>
        <v>9580645</v>
      </c>
      <c r="Q117" s="3">
        <f t="shared" si="5"/>
        <v>153</v>
      </c>
    </row>
    <row r="118" spans="1:17" ht="15" customHeight="1" x14ac:dyDescent="0.2">
      <c r="A118" s="3" t="s">
        <v>104</v>
      </c>
      <c r="B118" s="15">
        <v>46102</v>
      </c>
      <c r="C118" s="16">
        <f t="shared" si="6"/>
        <v>512</v>
      </c>
      <c r="D118" s="3">
        <f t="shared" si="7"/>
        <v>1</v>
      </c>
      <c r="G118" s="16" t="s">
        <v>107</v>
      </c>
      <c r="H118" s="16" t="s">
        <v>140</v>
      </c>
      <c r="I118" s="3">
        <v>112111</v>
      </c>
      <c r="J118" s="3">
        <v>5154</v>
      </c>
      <c r="K118" s="3" t="s">
        <v>23</v>
      </c>
      <c r="L118" s="3">
        <v>1</v>
      </c>
      <c r="M118" s="17">
        <v>3</v>
      </c>
      <c r="N118" s="17">
        <f t="shared" si="4"/>
        <v>3</v>
      </c>
      <c r="Q118" s="3">
        <f t="shared" si="5"/>
        <v>42</v>
      </c>
    </row>
    <row r="119" spans="1:17" ht="15" customHeight="1" x14ac:dyDescent="0.2">
      <c r="A119" s="3" t="s">
        <v>106</v>
      </c>
      <c r="B119" s="15">
        <v>46087</v>
      </c>
      <c r="C119" s="16">
        <f t="shared" si="6"/>
        <v>513</v>
      </c>
      <c r="D119" s="3">
        <f t="shared" si="7"/>
        <v>1</v>
      </c>
      <c r="G119" s="16" t="s">
        <v>107</v>
      </c>
      <c r="H119" s="16" t="s">
        <v>141</v>
      </c>
      <c r="I119" s="3">
        <v>1111</v>
      </c>
      <c r="J119" s="3">
        <v>112111</v>
      </c>
      <c r="K119" s="3" t="s">
        <v>23</v>
      </c>
      <c r="L119" s="3">
        <v>1</v>
      </c>
      <c r="M119" s="17">
        <v>2000000</v>
      </c>
      <c r="N119" s="17">
        <f t="shared" si="4"/>
        <v>2000000</v>
      </c>
      <c r="Q119" s="3">
        <f t="shared" si="5"/>
        <v>44</v>
      </c>
    </row>
    <row r="120" spans="1:17" ht="15" customHeight="1" x14ac:dyDescent="0.2">
      <c r="A120" s="3" t="s">
        <v>104</v>
      </c>
      <c r="B120" s="15">
        <v>46086</v>
      </c>
      <c r="C120" s="16">
        <f t="shared" si="6"/>
        <v>514</v>
      </c>
      <c r="D120" s="3">
        <f t="shared" si="7"/>
        <v>1</v>
      </c>
      <c r="G120" s="16" t="s">
        <v>64</v>
      </c>
      <c r="H120" s="16" t="s">
        <v>129</v>
      </c>
      <c r="I120" s="3">
        <v>112111</v>
      </c>
      <c r="J120" s="3">
        <v>131</v>
      </c>
      <c r="K120" s="3" t="s">
        <v>23</v>
      </c>
      <c r="L120" s="3">
        <v>1</v>
      </c>
      <c r="M120" s="17">
        <v>1980000</v>
      </c>
      <c r="N120" s="17">
        <f t="shared" si="4"/>
        <v>1980000</v>
      </c>
      <c r="Q120" s="3">
        <f t="shared" si="5"/>
        <v>113</v>
      </c>
    </row>
    <row r="121" spans="1:17" ht="15" customHeight="1" x14ac:dyDescent="0.2">
      <c r="A121" s="3" t="s">
        <v>106</v>
      </c>
      <c r="B121" s="15">
        <v>46063</v>
      </c>
      <c r="C121" s="16">
        <f t="shared" si="6"/>
        <v>515</v>
      </c>
      <c r="D121" s="3">
        <f t="shared" si="7"/>
        <v>1</v>
      </c>
      <c r="G121" s="16" t="s">
        <v>107</v>
      </c>
      <c r="H121" s="16" t="s">
        <v>142</v>
      </c>
      <c r="I121" s="3">
        <v>1111</v>
      </c>
      <c r="J121" s="3">
        <v>112111</v>
      </c>
      <c r="K121" s="3" t="s">
        <v>23</v>
      </c>
      <c r="L121" s="3">
        <v>1</v>
      </c>
      <c r="M121" s="17">
        <v>4600000</v>
      </c>
      <c r="N121" s="17">
        <f t="shared" si="4"/>
        <v>4600000</v>
      </c>
      <c r="Q121" s="3">
        <f t="shared" si="5"/>
        <v>43</v>
      </c>
    </row>
    <row r="122" spans="1:17" ht="15" customHeight="1" x14ac:dyDescent="0.2">
      <c r="A122" s="3" t="s">
        <v>104</v>
      </c>
      <c r="B122" s="15">
        <v>46063</v>
      </c>
      <c r="C122" s="16">
        <f t="shared" si="6"/>
        <v>516</v>
      </c>
      <c r="D122" s="3">
        <f t="shared" si="7"/>
        <v>1</v>
      </c>
      <c r="G122" s="16" t="s">
        <v>64</v>
      </c>
      <c r="H122" s="16" t="s">
        <v>129</v>
      </c>
      <c r="I122" s="3">
        <v>112111</v>
      </c>
      <c r="J122" s="3">
        <v>131</v>
      </c>
      <c r="K122" s="3" t="s">
        <v>23</v>
      </c>
      <c r="L122" s="3">
        <v>1</v>
      </c>
      <c r="M122" s="17">
        <v>4620000</v>
      </c>
      <c r="N122" s="17">
        <f t="shared" si="4"/>
        <v>4620000</v>
      </c>
      <c r="Q122" s="3">
        <f t="shared" si="5"/>
        <v>113</v>
      </c>
    </row>
    <row r="123" spans="1:17" ht="15" customHeight="1" x14ac:dyDescent="0.2">
      <c r="A123" s="3" t="s">
        <v>143</v>
      </c>
      <c r="B123" s="15">
        <v>46025</v>
      </c>
      <c r="C123" s="16">
        <f t="shared" si="6"/>
        <v>517</v>
      </c>
      <c r="D123" s="3">
        <f t="shared" si="7"/>
        <v>1</v>
      </c>
      <c r="G123" s="16" t="s">
        <v>21</v>
      </c>
      <c r="H123" s="16" t="s">
        <v>144</v>
      </c>
      <c r="I123" s="3">
        <v>331</v>
      </c>
      <c r="J123" s="3">
        <v>1111</v>
      </c>
      <c r="K123" s="3" t="s">
        <v>23</v>
      </c>
      <c r="L123" s="3">
        <v>1</v>
      </c>
      <c r="M123" s="17">
        <v>501795</v>
      </c>
      <c r="N123" s="17">
        <f t="shared" si="4"/>
        <v>501795</v>
      </c>
      <c r="Q123" s="3">
        <f t="shared" si="5"/>
        <v>133</v>
      </c>
    </row>
    <row r="124" spans="1:17" ht="15" customHeight="1" x14ac:dyDescent="0.2">
      <c r="A124" s="3" t="s">
        <v>143</v>
      </c>
      <c r="B124" s="15">
        <v>46026</v>
      </c>
      <c r="C124" s="16">
        <f t="shared" si="6"/>
        <v>518</v>
      </c>
      <c r="D124" s="3">
        <f t="shared" si="7"/>
        <v>1</v>
      </c>
      <c r="G124" s="16" t="s">
        <v>24</v>
      </c>
      <c r="H124" s="16" t="s">
        <v>145</v>
      </c>
      <c r="I124" s="3">
        <v>331</v>
      </c>
      <c r="J124" s="3">
        <v>1111</v>
      </c>
      <c r="K124" s="3" t="s">
        <v>23</v>
      </c>
      <c r="L124" s="3">
        <v>1</v>
      </c>
      <c r="M124" s="17">
        <v>4320000</v>
      </c>
      <c r="N124" s="17">
        <f t="shared" si="4"/>
        <v>4320000</v>
      </c>
      <c r="Q124" s="3">
        <f t="shared" si="5"/>
        <v>51</v>
      </c>
    </row>
    <row r="125" spans="1:17" ht="15" customHeight="1" x14ac:dyDescent="0.2">
      <c r="A125" s="3" t="s">
        <v>143</v>
      </c>
      <c r="B125" s="15">
        <v>46027</v>
      </c>
      <c r="C125" s="16">
        <f t="shared" si="6"/>
        <v>519</v>
      </c>
      <c r="D125" s="3">
        <f t="shared" si="7"/>
        <v>1</v>
      </c>
      <c r="G125" s="16" t="s">
        <v>21</v>
      </c>
      <c r="H125" s="16" t="s">
        <v>146</v>
      </c>
      <c r="I125" s="3">
        <v>331</v>
      </c>
      <c r="J125" s="3">
        <v>1111</v>
      </c>
      <c r="K125" s="3" t="s">
        <v>23</v>
      </c>
      <c r="L125" s="3">
        <v>1</v>
      </c>
      <c r="M125" s="17">
        <v>306180</v>
      </c>
      <c r="N125" s="17">
        <f t="shared" si="4"/>
        <v>306180</v>
      </c>
      <c r="Q125" s="3">
        <f t="shared" si="5"/>
        <v>138</v>
      </c>
    </row>
    <row r="126" spans="1:17" ht="15" customHeight="1" x14ac:dyDescent="0.2">
      <c r="A126" s="3" t="s">
        <v>143</v>
      </c>
      <c r="B126" s="15">
        <v>46031</v>
      </c>
      <c r="C126" s="16">
        <f t="shared" si="6"/>
        <v>520</v>
      </c>
      <c r="D126" s="3">
        <f t="shared" si="7"/>
        <v>1</v>
      </c>
      <c r="G126" s="16" t="s">
        <v>21</v>
      </c>
      <c r="H126" s="16" t="s">
        <v>147</v>
      </c>
      <c r="I126" s="3">
        <v>331</v>
      </c>
      <c r="J126" s="3">
        <v>1111</v>
      </c>
      <c r="K126" s="3" t="s">
        <v>23</v>
      </c>
      <c r="L126" s="3">
        <v>1</v>
      </c>
      <c r="M126" s="17">
        <v>1326780</v>
      </c>
      <c r="N126" s="17">
        <f t="shared" si="4"/>
        <v>1326780</v>
      </c>
      <c r="Q126" s="3">
        <f t="shared" si="5"/>
        <v>109</v>
      </c>
    </row>
    <row r="127" spans="1:17" ht="15" customHeight="1" x14ac:dyDescent="0.2">
      <c r="A127" s="3" t="s">
        <v>143</v>
      </c>
      <c r="B127" s="15">
        <v>46051</v>
      </c>
      <c r="C127" s="16">
        <f t="shared" si="6"/>
        <v>521</v>
      </c>
      <c r="D127" s="3">
        <f t="shared" si="7"/>
        <v>1</v>
      </c>
      <c r="G127" s="16" t="s">
        <v>21</v>
      </c>
      <c r="H127" s="16" t="s">
        <v>148</v>
      </c>
      <c r="I127" s="3">
        <v>331</v>
      </c>
      <c r="J127" s="3">
        <v>1111</v>
      </c>
      <c r="K127" s="3" t="s">
        <v>23</v>
      </c>
      <c r="L127" s="3">
        <v>1</v>
      </c>
      <c r="M127" s="17">
        <v>654885</v>
      </c>
      <c r="N127" s="17">
        <f t="shared" si="4"/>
        <v>654885</v>
      </c>
      <c r="Q127" s="3">
        <f t="shared" si="5"/>
        <v>172</v>
      </c>
    </row>
    <row r="128" spans="1:17" ht="15" customHeight="1" x14ac:dyDescent="0.2">
      <c r="A128" s="3" t="s">
        <v>143</v>
      </c>
      <c r="B128" s="15">
        <v>46053</v>
      </c>
      <c r="C128" s="16">
        <f t="shared" si="6"/>
        <v>522</v>
      </c>
      <c r="D128" s="3">
        <f t="shared" si="7"/>
        <v>1</v>
      </c>
      <c r="G128" s="16" t="s">
        <v>24</v>
      </c>
      <c r="H128" s="16" t="s">
        <v>149</v>
      </c>
      <c r="I128" s="3">
        <v>331</v>
      </c>
      <c r="J128" s="3">
        <v>1111</v>
      </c>
      <c r="K128" s="3" t="s">
        <v>23</v>
      </c>
      <c r="L128" s="3">
        <v>1</v>
      </c>
      <c r="M128" s="17">
        <v>4320000</v>
      </c>
      <c r="N128" s="17">
        <f t="shared" si="4"/>
        <v>4320000</v>
      </c>
      <c r="Q128" s="3">
        <f t="shared" si="5"/>
        <v>52</v>
      </c>
    </row>
    <row r="129" spans="1:17" ht="15" customHeight="1" x14ac:dyDescent="0.2">
      <c r="A129" s="3" t="s">
        <v>143</v>
      </c>
      <c r="B129" s="15">
        <v>46053</v>
      </c>
      <c r="C129" s="16">
        <f t="shared" si="6"/>
        <v>523</v>
      </c>
      <c r="D129" s="3">
        <f t="shared" si="7"/>
        <v>1</v>
      </c>
      <c r="G129" s="16" t="s">
        <v>30</v>
      </c>
      <c r="H129" s="16" t="s">
        <v>150</v>
      </c>
      <c r="I129" s="3">
        <v>331</v>
      </c>
      <c r="J129" s="3">
        <v>1111</v>
      </c>
      <c r="K129" s="3" t="s">
        <v>23</v>
      </c>
      <c r="L129" s="3">
        <v>1</v>
      </c>
      <c r="M129" s="17">
        <v>774360</v>
      </c>
      <c r="N129" s="17">
        <f t="shared" si="4"/>
        <v>774360</v>
      </c>
      <c r="Q129" s="3">
        <f t="shared" si="5"/>
        <v>132</v>
      </c>
    </row>
    <row r="130" spans="1:17" ht="15" customHeight="1" x14ac:dyDescent="0.2">
      <c r="A130" s="3" t="s">
        <v>143</v>
      </c>
      <c r="B130" s="15">
        <v>46058</v>
      </c>
      <c r="C130" s="16">
        <f t="shared" si="6"/>
        <v>524</v>
      </c>
      <c r="D130" s="3">
        <f t="shared" si="7"/>
        <v>1</v>
      </c>
      <c r="G130" s="16" t="s">
        <v>21</v>
      </c>
      <c r="H130" s="16" t="s">
        <v>151</v>
      </c>
      <c r="I130" s="3">
        <v>331</v>
      </c>
      <c r="J130" s="3">
        <v>1111</v>
      </c>
      <c r="K130" s="3" t="s">
        <v>23</v>
      </c>
      <c r="L130" s="3">
        <v>1</v>
      </c>
      <c r="M130" s="17">
        <v>501795</v>
      </c>
      <c r="N130" s="17">
        <f t="shared" si="4"/>
        <v>501795</v>
      </c>
      <c r="Q130" s="3">
        <f t="shared" si="5"/>
        <v>134</v>
      </c>
    </row>
    <row r="131" spans="1:17" ht="15" customHeight="1" x14ac:dyDescent="0.2">
      <c r="A131" s="3" t="s">
        <v>143</v>
      </c>
      <c r="B131" s="15">
        <v>46060</v>
      </c>
      <c r="C131" s="16">
        <f t="shared" si="6"/>
        <v>525</v>
      </c>
      <c r="D131" s="3">
        <f t="shared" si="7"/>
        <v>1</v>
      </c>
      <c r="G131" s="16" t="s">
        <v>33</v>
      </c>
      <c r="H131" s="16" t="s">
        <v>152</v>
      </c>
      <c r="I131" s="3">
        <v>331</v>
      </c>
      <c r="J131" s="3">
        <v>1111</v>
      </c>
      <c r="K131" s="3" t="s">
        <v>23</v>
      </c>
      <c r="L131" s="3">
        <v>1</v>
      </c>
      <c r="M131" s="17">
        <v>6468000</v>
      </c>
      <c r="N131" s="17">
        <f t="shared" si="4"/>
        <v>6468000</v>
      </c>
      <c r="Q131" s="3">
        <f t="shared" si="5"/>
        <v>195</v>
      </c>
    </row>
    <row r="132" spans="1:17" ht="15" customHeight="1" x14ac:dyDescent="0.2">
      <c r="A132" s="3" t="s">
        <v>143</v>
      </c>
      <c r="B132" s="15">
        <v>46064</v>
      </c>
      <c r="C132" s="16">
        <f t="shared" si="6"/>
        <v>526</v>
      </c>
      <c r="D132" s="3">
        <f t="shared" si="7"/>
        <v>1</v>
      </c>
      <c r="G132" s="16" t="s">
        <v>35</v>
      </c>
      <c r="H132" s="16" t="s">
        <v>153</v>
      </c>
      <c r="I132" s="3">
        <v>331</v>
      </c>
      <c r="J132" s="3">
        <v>1111</v>
      </c>
      <c r="K132" s="3" t="s">
        <v>23</v>
      </c>
      <c r="L132" s="3">
        <v>1</v>
      </c>
      <c r="M132" s="17">
        <v>4906519</v>
      </c>
      <c r="N132" s="17">
        <f t="shared" ref="N132:N142" si="8">L132*M132</f>
        <v>4906519</v>
      </c>
      <c r="Q132" s="3">
        <f t="shared" ref="Q132:Q142" si="9">LEN(H132)</f>
        <v>109</v>
      </c>
    </row>
    <row r="133" spans="1:17" ht="15" customHeight="1" x14ac:dyDescent="0.2">
      <c r="A133" s="3" t="s">
        <v>143</v>
      </c>
      <c r="B133" s="15">
        <v>46064</v>
      </c>
      <c r="C133" s="16">
        <f t="shared" ref="C133:C142" si="10">C132+D133</f>
        <v>527</v>
      </c>
      <c r="D133" s="3">
        <f t="shared" ref="D133:D142" si="11">IF(H133=H132,0,1)</f>
        <v>1</v>
      </c>
      <c r="G133" s="16" t="s">
        <v>37</v>
      </c>
      <c r="H133" s="16" t="s">
        <v>154</v>
      </c>
      <c r="I133" s="3">
        <v>331</v>
      </c>
      <c r="J133" s="3">
        <v>1111</v>
      </c>
      <c r="K133" s="3" t="s">
        <v>23</v>
      </c>
      <c r="L133" s="3">
        <v>1</v>
      </c>
      <c r="M133" s="17">
        <v>1351324</v>
      </c>
      <c r="N133" s="17">
        <f t="shared" si="8"/>
        <v>1351324</v>
      </c>
      <c r="Q133" s="3">
        <f t="shared" si="9"/>
        <v>138</v>
      </c>
    </row>
    <row r="134" spans="1:17" ht="15" customHeight="1" x14ac:dyDescent="0.2">
      <c r="A134" s="3" t="s">
        <v>143</v>
      </c>
      <c r="B134" s="15">
        <v>46065</v>
      </c>
      <c r="C134" s="16">
        <f t="shared" si="10"/>
        <v>528</v>
      </c>
      <c r="D134" s="3">
        <f t="shared" si="11"/>
        <v>1</v>
      </c>
      <c r="G134" s="16" t="s">
        <v>21</v>
      </c>
      <c r="H134" s="16" t="s">
        <v>155</v>
      </c>
      <c r="I134" s="3">
        <v>331</v>
      </c>
      <c r="J134" s="3">
        <v>1111</v>
      </c>
      <c r="K134" s="3" t="s">
        <v>23</v>
      </c>
      <c r="L134" s="3">
        <v>1</v>
      </c>
      <c r="M134" s="17">
        <v>255150</v>
      </c>
      <c r="N134" s="17">
        <f t="shared" si="8"/>
        <v>255150</v>
      </c>
      <c r="Q134" s="3">
        <f t="shared" si="9"/>
        <v>117</v>
      </c>
    </row>
    <row r="135" spans="1:17" ht="15" customHeight="1" x14ac:dyDescent="0.2">
      <c r="A135" s="3" t="s">
        <v>143</v>
      </c>
      <c r="B135" s="15">
        <v>46067</v>
      </c>
      <c r="C135" s="16">
        <f t="shared" si="10"/>
        <v>529</v>
      </c>
      <c r="D135" s="3">
        <f t="shared" si="11"/>
        <v>1</v>
      </c>
      <c r="G135" s="16" t="s">
        <v>40</v>
      </c>
      <c r="H135" s="16" t="s">
        <v>156</v>
      </c>
      <c r="I135" s="3">
        <v>331</v>
      </c>
      <c r="J135" s="3">
        <v>1111</v>
      </c>
      <c r="K135" s="3" t="s">
        <v>23</v>
      </c>
      <c r="L135" s="3">
        <v>1</v>
      </c>
      <c r="M135" s="17">
        <v>3240000</v>
      </c>
      <c r="N135" s="17">
        <f t="shared" si="8"/>
        <v>3240000</v>
      </c>
      <c r="Q135" s="3">
        <f t="shared" si="9"/>
        <v>158</v>
      </c>
    </row>
    <row r="136" spans="1:17" ht="15" customHeight="1" x14ac:dyDescent="0.2">
      <c r="A136" s="3" t="s">
        <v>143</v>
      </c>
      <c r="B136" s="15">
        <v>46085</v>
      </c>
      <c r="C136" s="16">
        <f t="shared" si="10"/>
        <v>530</v>
      </c>
      <c r="D136" s="3">
        <f t="shared" si="11"/>
        <v>1</v>
      </c>
      <c r="G136" s="16" t="s">
        <v>24</v>
      </c>
      <c r="H136" s="16" t="s">
        <v>157</v>
      </c>
      <c r="I136" s="3">
        <v>331</v>
      </c>
      <c r="J136" s="3">
        <v>1111</v>
      </c>
      <c r="K136" s="3" t="s">
        <v>23</v>
      </c>
      <c r="L136" s="3">
        <v>1</v>
      </c>
      <c r="M136" s="17">
        <v>3240000</v>
      </c>
      <c r="N136" s="17">
        <f t="shared" si="8"/>
        <v>3240000</v>
      </c>
      <c r="Q136" s="3">
        <f t="shared" si="9"/>
        <v>52</v>
      </c>
    </row>
    <row r="137" spans="1:17" ht="15" customHeight="1" x14ac:dyDescent="0.2">
      <c r="A137" s="3" t="s">
        <v>143</v>
      </c>
      <c r="B137" s="15">
        <v>46089</v>
      </c>
      <c r="C137" s="16">
        <f t="shared" si="10"/>
        <v>531</v>
      </c>
      <c r="D137" s="3">
        <f t="shared" si="11"/>
        <v>1</v>
      </c>
      <c r="G137" s="16" t="s">
        <v>43</v>
      </c>
      <c r="H137" s="20" t="s">
        <v>44</v>
      </c>
      <c r="I137" s="3">
        <v>331</v>
      </c>
      <c r="J137" s="3">
        <v>1111</v>
      </c>
      <c r="K137" s="3" t="s">
        <v>23</v>
      </c>
      <c r="L137" s="3">
        <v>1</v>
      </c>
      <c r="M137" s="17">
        <v>1674000</v>
      </c>
      <c r="N137" s="17">
        <f t="shared" si="8"/>
        <v>1674000</v>
      </c>
      <c r="Q137" s="3">
        <f t="shared" si="9"/>
        <v>40</v>
      </c>
    </row>
    <row r="138" spans="1:17" ht="15" customHeight="1" x14ac:dyDescent="0.2">
      <c r="A138" s="3" t="s">
        <v>143</v>
      </c>
      <c r="B138" s="15">
        <v>46101</v>
      </c>
      <c r="C138" s="16">
        <f t="shared" si="10"/>
        <v>532</v>
      </c>
      <c r="D138" s="3">
        <f t="shared" si="11"/>
        <v>1</v>
      </c>
      <c r="G138" s="16" t="s">
        <v>45</v>
      </c>
      <c r="H138" s="16" t="s">
        <v>46</v>
      </c>
      <c r="I138" s="3">
        <v>331</v>
      </c>
      <c r="J138" s="3">
        <v>1111</v>
      </c>
      <c r="K138" s="3" t="s">
        <v>23</v>
      </c>
      <c r="L138" s="3">
        <v>1</v>
      </c>
      <c r="M138" s="17">
        <v>1992600</v>
      </c>
      <c r="N138" s="17">
        <f t="shared" si="8"/>
        <v>1992600</v>
      </c>
      <c r="Q138" s="3">
        <f t="shared" si="9"/>
        <v>40</v>
      </c>
    </row>
    <row r="139" spans="1:17" ht="15" customHeight="1" x14ac:dyDescent="0.2">
      <c r="A139" s="3" t="s">
        <v>143</v>
      </c>
      <c r="B139" s="15">
        <v>46109</v>
      </c>
      <c r="C139" s="16">
        <f t="shared" si="10"/>
        <v>533</v>
      </c>
      <c r="D139" s="3">
        <f t="shared" si="11"/>
        <v>1</v>
      </c>
      <c r="G139" s="16" t="s">
        <v>21</v>
      </c>
      <c r="H139" s="16" t="s">
        <v>158</v>
      </c>
      <c r="I139" s="3">
        <v>331</v>
      </c>
      <c r="J139" s="3">
        <v>1111</v>
      </c>
      <c r="K139" s="3" t="s">
        <v>23</v>
      </c>
      <c r="L139" s="3">
        <v>1</v>
      </c>
      <c r="M139" s="17">
        <v>391230</v>
      </c>
      <c r="N139" s="17">
        <f t="shared" si="8"/>
        <v>391230</v>
      </c>
      <c r="Q139" s="3">
        <f t="shared" si="9"/>
        <v>138</v>
      </c>
    </row>
    <row r="140" spans="1:17" ht="15" customHeight="1" x14ac:dyDescent="0.2">
      <c r="A140" s="3" t="s">
        <v>20</v>
      </c>
      <c r="B140" s="15">
        <v>46053</v>
      </c>
      <c r="C140" s="16">
        <f t="shared" si="10"/>
        <v>534</v>
      </c>
      <c r="D140" s="3">
        <f t="shared" si="11"/>
        <v>1</v>
      </c>
      <c r="G140" s="16" t="s">
        <v>159</v>
      </c>
      <c r="H140" s="16" t="s">
        <v>160</v>
      </c>
      <c r="I140" s="3">
        <v>64271</v>
      </c>
      <c r="J140" s="3">
        <v>3383</v>
      </c>
      <c r="K140" s="3" t="s">
        <v>23</v>
      </c>
      <c r="L140" s="3">
        <v>1</v>
      </c>
      <c r="M140" s="17">
        <v>690300</v>
      </c>
      <c r="N140" s="17">
        <f t="shared" si="8"/>
        <v>690300</v>
      </c>
      <c r="Q140" s="3">
        <f t="shared" si="9"/>
        <v>30</v>
      </c>
    </row>
    <row r="141" spans="1:17" ht="15" customHeight="1" x14ac:dyDescent="0.2">
      <c r="A141" s="3" t="s">
        <v>20</v>
      </c>
      <c r="B141" s="15">
        <v>46081</v>
      </c>
      <c r="C141" s="16">
        <f t="shared" si="10"/>
        <v>535</v>
      </c>
      <c r="D141" s="3">
        <f t="shared" si="11"/>
        <v>1</v>
      </c>
      <c r="G141" s="16" t="s">
        <v>159</v>
      </c>
      <c r="H141" s="16" t="s">
        <v>161</v>
      </c>
      <c r="I141" s="3">
        <v>64271</v>
      </c>
      <c r="J141" s="3">
        <v>3383</v>
      </c>
      <c r="K141" s="3" t="s">
        <v>23</v>
      </c>
      <c r="L141" s="3">
        <v>1</v>
      </c>
      <c r="M141" s="17">
        <v>690300</v>
      </c>
      <c r="N141" s="17">
        <f t="shared" si="8"/>
        <v>690300</v>
      </c>
      <c r="Q141" s="3">
        <f t="shared" si="9"/>
        <v>30</v>
      </c>
    </row>
    <row r="142" spans="1:17" ht="15" customHeight="1" x14ac:dyDescent="0.2">
      <c r="A142" s="3" t="s">
        <v>20</v>
      </c>
      <c r="B142" s="15">
        <v>46112</v>
      </c>
      <c r="C142" s="16">
        <f t="shared" si="10"/>
        <v>536</v>
      </c>
      <c r="D142" s="3">
        <f t="shared" si="11"/>
        <v>1</v>
      </c>
      <c r="G142" s="16" t="s">
        <v>159</v>
      </c>
      <c r="H142" s="16" t="s">
        <v>162</v>
      </c>
      <c r="I142" s="3">
        <v>64271</v>
      </c>
      <c r="J142" s="3">
        <v>3383</v>
      </c>
      <c r="K142" s="3" t="s">
        <v>23</v>
      </c>
      <c r="L142" s="3">
        <v>1</v>
      </c>
      <c r="M142" s="17">
        <v>690300</v>
      </c>
      <c r="N142" s="17">
        <f t="shared" si="8"/>
        <v>690300</v>
      </c>
      <c r="Q142" s="3">
        <f t="shared" si="9"/>
        <v>30</v>
      </c>
    </row>
  </sheetData>
  <autoFilter ref="A3:Q142" xr:uid="{00000000-0009-0000-0000-000002000000}">
    <sortState xmlns:xlrd2="http://schemas.microsoft.com/office/spreadsheetml/2017/richdata2" ref="A4:Q99">
      <sortCondition ref="A4:A99"/>
      <sortCondition ref="B4:B99"/>
      <sortCondition ref="H4:H99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hyperlinks>
    <hyperlink ref="P1" location="Summary!A1" display="Back to summary" xr:uid="{4E08C7B0-764A-4381-80AA-E6928B257413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8710040770-001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2026-07-01T14:27:15Z</dcterms:created>
  <dcterms:modified xsi:type="dcterms:W3CDTF">2026-07-01T14:54:37Z</dcterms:modified>
</cp:coreProperties>
</file>