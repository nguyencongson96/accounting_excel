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D:\DEVELOPER\8.Invoice\public\2025.Q4\"/>
    </mc:Choice>
  </mc:AlternateContent>
  <xr:revisionPtr revIDLastSave="0" documentId="13_ncr:1_{A9F380D6-55D2-48C1-93DE-37BBB671BC96}" xr6:coauthVersionLast="47" xr6:coauthVersionMax="47" xr10:uidLastSave="{00000000-0000-0000-0000-000000000000}"/>
  <bookViews>
    <workbookView xWindow="-120" yWindow="-120" windowWidth="29040" windowHeight="15720" tabRatio="761" firstSheet="6" activeTab="15" xr2:uid="{00000000-000D-0000-FFFF-FFFF00000000}"/>
  </bookViews>
  <sheets>
    <sheet name="Summary" sheetId="17" r:id="rId1"/>
    <sheet name="8443847047-001" sheetId="12" r:id="rId2"/>
    <sheet name="8710040770-001" sheetId="4" r:id="rId3"/>
    <sheet name="8836978269-001" sheetId="18" r:id="rId4"/>
    <sheet name="8785516231-001" sheetId="8" r:id="rId5"/>
    <sheet name="8417307084-001" sheetId="19" r:id="rId6"/>
    <sheet name="8339629042-001" sheetId="20" r:id="rId7"/>
    <sheet name="8077953218-001" sheetId="7" r:id="rId8"/>
    <sheet name="8307704000-002" sheetId="21" r:id="rId9"/>
    <sheet name="8568979698-001" sheetId="3" r:id="rId10"/>
    <sheet name="8456794480-001" sheetId="10" r:id="rId11"/>
    <sheet name="8427727031-001" sheetId="1" r:id="rId12"/>
    <sheet name="8423525669-001" sheetId="13" r:id="rId13"/>
    <sheet name="8336384757-001" sheetId="9" r:id="rId14"/>
    <sheet name="8783523554-001" sheetId="6" r:id="rId15"/>
    <sheet name="8537932805-001" sheetId="5" r:id="rId16"/>
    <sheet name="8548655046-002" sheetId="22" r:id="rId17"/>
    <sheet name="070095006110" sheetId="14" r:id="rId18"/>
    <sheet name="079200020738" sheetId="11" r:id="rId19"/>
    <sheet name="072098001948" sheetId="15" r:id="rId20"/>
    <sheet name="079302004855" sheetId="23" r:id="rId21"/>
    <sheet name="079098009021" sheetId="25" r:id="rId22"/>
    <sheet name="014198000033" sheetId="26" r:id="rId23"/>
    <sheet name="052300008705" sheetId="27" r:id="rId24"/>
    <sheet name="068199000053" sheetId="28" r:id="rId25"/>
    <sheet name="092097002234" sheetId="29" r:id="rId26"/>
    <sheet name="082198013719" sheetId="30" r:id="rId27"/>
    <sheet name="031196005568" sheetId="31" r:id="rId28"/>
    <sheet name="089200016993" sheetId="33" r:id="rId29"/>
    <sheet name="079195008785" sheetId="32" r:id="rId30"/>
  </sheets>
  <definedNames>
    <definedName name="_xlnm._FilterDatabase" localSheetId="22" hidden="1">'014198000033'!$A$3:$P$135</definedName>
    <definedName name="_xlnm._FilterDatabase" localSheetId="27" hidden="1">'031196005568'!$A$3:$P$147</definedName>
    <definedName name="_xlnm._FilterDatabase" localSheetId="23" hidden="1">'052300008705'!$A$3:$Q$65</definedName>
    <definedName name="_xlnm._FilterDatabase" localSheetId="24" hidden="1">'068199000053'!$A$3:$R$198</definedName>
    <definedName name="_xlnm._FilterDatabase" localSheetId="17" hidden="1">'070095006110'!$A$3:$P$199</definedName>
    <definedName name="_xlnm._FilterDatabase" localSheetId="19" hidden="1">'072098001948'!$A$3:$Q$180</definedName>
    <definedName name="_xlnm._FilterDatabase" localSheetId="21" hidden="1">'079098009021'!$A$3:$P$139</definedName>
    <definedName name="_xlnm._FilterDatabase" localSheetId="29" hidden="1">'079195008785'!$A$3:$P$7</definedName>
    <definedName name="_xlnm._FilterDatabase" localSheetId="18" hidden="1">'079200020738'!$A$3:$Q$235</definedName>
    <definedName name="_xlnm._FilterDatabase" localSheetId="20" hidden="1">'079302004855'!$A$3:$Q$222</definedName>
    <definedName name="_xlnm._FilterDatabase" localSheetId="26" hidden="1">'082198013719'!$A$3:$P$42</definedName>
    <definedName name="_xlnm._FilterDatabase" localSheetId="28" hidden="1">'089200016993'!$A$3:$P$61</definedName>
    <definedName name="_xlnm._FilterDatabase" localSheetId="25" hidden="1">'092097002234'!$A$3:$P$98</definedName>
    <definedName name="_xlnm._FilterDatabase" localSheetId="7" hidden="1">'8077953218-001'!$A$3:$Q$122</definedName>
    <definedName name="_xlnm._FilterDatabase" localSheetId="8" hidden="1">'8307704000-002'!$A$3:$P$80</definedName>
    <definedName name="_xlnm._FilterDatabase" localSheetId="13" hidden="1">'8336384757-001'!$A$3:$P$126</definedName>
    <definedName name="_xlnm._FilterDatabase" localSheetId="6" hidden="1">'8339629042-001'!$A$3:$P$115</definedName>
    <definedName name="_xlnm._FilterDatabase" localSheetId="5" hidden="1">'8417307084-001'!$A$3:$P$208</definedName>
    <definedName name="_xlnm._FilterDatabase" localSheetId="12" hidden="1">'8423525669-001'!$A$3:$Q$590</definedName>
    <definedName name="_xlnm._FilterDatabase" localSheetId="11" hidden="1">'8427727031-001'!$A$3:$P$662</definedName>
    <definedName name="_xlnm._FilterDatabase" localSheetId="1" hidden="1">'8443847047-001'!$A$3:$P$88</definedName>
    <definedName name="_xlnm._FilterDatabase" localSheetId="10" hidden="1">'8456794480-001'!$A$3:$Q$153</definedName>
    <definedName name="_xlnm._FilterDatabase" localSheetId="15" hidden="1">'8537932805-001'!$A$3:$Q$264</definedName>
    <definedName name="_xlnm._FilterDatabase" localSheetId="16" hidden="1">'8548655046-002'!$A$3:$P$175</definedName>
    <definedName name="_xlnm._FilterDatabase" localSheetId="9" hidden="1">'8568979698-001'!$A$3:$P$209</definedName>
    <definedName name="_xlnm._FilterDatabase" localSheetId="2" hidden="1">'8710040770-001'!$A$3:$Q$146</definedName>
    <definedName name="_xlnm._FilterDatabase" localSheetId="14" hidden="1">'8783523554-001'!$A$3:$Q$165</definedName>
    <definedName name="_xlnm._FilterDatabase" localSheetId="4" hidden="1">'8785516231-001'!$A$3:$P$170</definedName>
    <definedName name="_xlnm._FilterDatabase" localSheetId="3" hidden="1">'8836978269-001'!$A$3:$P$247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61" i="5" l="1"/>
  <c r="Q261" i="5"/>
  <c r="Q258" i="5"/>
  <c r="Q259" i="5"/>
  <c r="N258" i="5"/>
  <c r="Q244" i="5"/>
  <c r="Q245" i="5"/>
  <c r="N244" i="5"/>
  <c r="N245" i="5"/>
  <c r="Q243" i="5"/>
  <c r="Q246" i="5"/>
  <c r="Q247" i="5"/>
  <c r="Q248" i="5"/>
  <c r="Q249" i="5"/>
  <c r="Q250" i="5"/>
  <c r="Q251" i="5"/>
  <c r="Q252" i="5"/>
  <c r="Q253" i="5"/>
  <c r="Q254" i="5"/>
  <c r="Q255" i="5"/>
  <c r="Q256" i="5"/>
  <c r="Q257" i="5"/>
  <c r="Q260" i="5"/>
  <c r="Q262" i="5"/>
  <c r="Q263" i="5"/>
  <c r="Q264" i="5"/>
  <c r="N243" i="5"/>
  <c r="N246" i="5"/>
  <c r="N247" i="5"/>
  <c r="N248" i="5"/>
  <c r="N249" i="5"/>
  <c r="N250" i="5"/>
  <c r="N251" i="5"/>
  <c r="N252" i="5"/>
  <c r="N253" i="5"/>
  <c r="N254" i="5"/>
  <c r="N255" i="5"/>
  <c r="N256" i="5"/>
  <c r="N257" i="5"/>
  <c r="N259" i="5"/>
  <c r="N260" i="5"/>
  <c r="N262" i="5"/>
  <c r="N263" i="5"/>
  <c r="N264" i="5"/>
  <c r="Q232" i="5"/>
  <c r="Q233" i="5"/>
  <c r="N232" i="5"/>
  <c r="N233" i="5"/>
  <c r="Q228" i="5"/>
  <c r="Q229" i="5"/>
  <c r="Q230" i="5"/>
  <c r="Q231" i="5"/>
  <c r="Q234" i="5"/>
  <c r="Q235" i="5"/>
  <c r="Q236" i="5"/>
  <c r="Q237" i="5"/>
  <c r="Q238" i="5"/>
  <c r="Q239" i="5"/>
  <c r="Q240" i="5"/>
  <c r="Q241" i="5"/>
  <c r="Q242" i="5"/>
  <c r="N228" i="5"/>
  <c r="N229" i="5"/>
  <c r="N230" i="5"/>
  <c r="N231" i="5"/>
  <c r="N234" i="5"/>
  <c r="N235" i="5"/>
  <c r="N236" i="5"/>
  <c r="N237" i="5"/>
  <c r="N238" i="5"/>
  <c r="N239" i="5"/>
  <c r="N240" i="5"/>
  <c r="N241" i="5"/>
  <c r="N242" i="5"/>
  <c r="Q193" i="28"/>
  <c r="R193" i="28"/>
  <c r="Q194" i="28"/>
  <c r="R194" i="28"/>
  <c r="Q195" i="28"/>
  <c r="R195" i="28"/>
  <c r="Q196" i="28"/>
  <c r="R196" i="28"/>
  <c r="Q197" i="28"/>
  <c r="R197" i="28"/>
  <c r="Q198" i="28"/>
  <c r="R198" i="28"/>
  <c r="N193" i="28"/>
  <c r="N194" i="28"/>
  <c r="N195" i="28"/>
  <c r="N196" i="28"/>
  <c r="N197" i="28"/>
  <c r="N198" i="28"/>
  <c r="R148" i="28"/>
  <c r="R149" i="28"/>
  <c r="R150" i="28"/>
  <c r="R151" i="28"/>
  <c r="R152" i="28"/>
  <c r="R153" i="28"/>
  <c r="R154" i="28"/>
  <c r="R155" i="28"/>
  <c r="R156" i="28"/>
  <c r="R157" i="28"/>
  <c r="R158" i="28"/>
  <c r="R159" i="28"/>
  <c r="R160" i="28"/>
  <c r="R161" i="28"/>
  <c r="R162" i="28"/>
  <c r="R163" i="28"/>
  <c r="R164" i="28"/>
  <c r="R165" i="28"/>
  <c r="R166" i="28"/>
  <c r="R167" i="28"/>
  <c r="R168" i="28"/>
  <c r="R169" i="28"/>
  <c r="R170" i="28"/>
  <c r="R171" i="28"/>
  <c r="R172" i="28"/>
  <c r="R173" i="28"/>
  <c r="R174" i="28"/>
  <c r="R175" i="28"/>
  <c r="R176" i="28"/>
  <c r="R177" i="28"/>
  <c r="R178" i="28"/>
  <c r="R179" i="28"/>
  <c r="R180" i="28"/>
  <c r="R181" i="28"/>
  <c r="R182" i="28"/>
  <c r="R183" i="28"/>
  <c r="R184" i="28"/>
  <c r="R185" i="28"/>
  <c r="R186" i="28"/>
  <c r="R187" i="28"/>
  <c r="R188" i="28"/>
  <c r="R189" i="28"/>
  <c r="R190" i="28"/>
  <c r="R191" i="28"/>
  <c r="R192" i="28"/>
  <c r="Q148" i="28"/>
  <c r="Q149" i="28"/>
  <c r="Q150" i="28"/>
  <c r="Q151" i="28"/>
  <c r="Q152" i="28"/>
  <c r="Q153" i="28"/>
  <c r="Q154" i="28"/>
  <c r="Q155" i="28"/>
  <c r="Q156" i="28"/>
  <c r="Q157" i="28"/>
  <c r="Q158" i="28"/>
  <c r="Q159" i="28"/>
  <c r="Q160" i="28"/>
  <c r="Q161" i="28"/>
  <c r="Q162" i="28"/>
  <c r="Q163" i="28"/>
  <c r="Q164" i="28"/>
  <c r="Q165" i="28"/>
  <c r="Q166" i="28"/>
  <c r="Q167" i="28"/>
  <c r="Q168" i="28"/>
  <c r="Q169" i="28"/>
  <c r="Q170" i="28"/>
  <c r="Q171" i="28"/>
  <c r="Q172" i="28"/>
  <c r="Q173" i="28"/>
  <c r="Q174" i="28"/>
  <c r="Q175" i="28"/>
  <c r="Q176" i="28"/>
  <c r="Q177" i="28"/>
  <c r="Q178" i="28"/>
  <c r="Q179" i="28"/>
  <c r="Q180" i="28"/>
  <c r="Q181" i="28"/>
  <c r="Q182" i="28"/>
  <c r="Q183" i="28"/>
  <c r="Q184" i="28"/>
  <c r="Q185" i="28"/>
  <c r="Q186" i="28"/>
  <c r="Q187" i="28"/>
  <c r="Q188" i="28"/>
  <c r="Q189" i="28"/>
  <c r="Q190" i="28"/>
  <c r="Q191" i="28"/>
  <c r="Q192" i="28"/>
  <c r="N192" i="28"/>
  <c r="N191" i="28"/>
  <c r="N190" i="28"/>
  <c r="N189" i="28"/>
  <c r="N188" i="28"/>
  <c r="N187" i="28"/>
  <c r="N186" i="28"/>
  <c r="N185" i="28"/>
  <c r="N184" i="28"/>
  <c r="N183" i="28"/>
  <c r="N182" i="28"/>
  <c r="N181" i="28"/>
  <c r="N180" i="28"/>
  <c r="N179" i="28"/>
  <c r="N178" i="28"/>
  <c r="N177" i="28"/>
  <c r="N176" i="28"/>
  <c r="N175" i="28"/>
  <c r="N174" i="28"/>
  <c r="N173" i="28"/>
  <c r="N172" i="28"/>
  <c r="N171" i="28"/>
  <c r="N170" i="28"/>
  <c r="N169" i="28"/>
  <c r="N168" i="28"/>
  <c r="N167" i="28"/>
  <c r="N166" i="28"/>
  <c r="N165" i="28"/>
  <c r="N164" i="28"/>
  <c r="N163" i="28"/>
  <c r="N162" i="28"/>
  <c r="N161" i="28"/>
  <c r="N160" i="28"/>
  <c r="N159" i="28"/>
  <c r="N158" i="28"/>
  <c r="N157" i="28"/>
  <c r="N156" i="28"/>
  <c r="N155" i="28"/>
  <c r="N154" i="28"/>
  <c r="N153" i="28"/>
  <c r="N152" i="28"/>
  <c r="N151" i="28"/>
  <c r="N150" i="28"/>
  <c r="N149" i="28"/>
  <c r="N148" i="28"/>
  <c r="R136" i="28"/>
  <c r="N136" i="28"/>
  <c r="Q136" i="28"/>
  <c r="R134" i="28"/>
  <c r="R135" i="28"/>
  <c r="Q134" i="28"/>
  <c r="Q135" i="28"/>
  <c r="N134" i="28"/>
  <c r="N135" i="28"/>
  <c r="R5" i="28"/>
  <c r="R6" i="28"/>
  <c r="R7" i="28"/>
  <c r="R8" i="28"/>
  <c r="R9" i="28"/>
  <c r="R10" i="28"/>
  <c r="R11" i="28"/>
  <c r="R12" i="28"/>
  <c r="R13" i="28"/>
  <c r="R14" i="28"/>
  <c r="R15" i="28"/>
  <c r="R16" i="28"/>
  <c r="R17" i="28"/>
  <c r="R18" i="28"/>
  <c r="R19" i="28"/>
  <c r="R20" i="28"/>
  <c r="R21" i="28"/>
  <c r="R22" i="28"/>
  <c r="R23" i="28"/>
  <c r="R24" i="28"/>
  <c r="R25" i="28"/>
  <c r="R26" i="28"/>
  <c r="R27" i="28"/>
  <c r="R28" i="28"/>
  <c r="R29" i="28"/>
  <c r="R30" i="28"/>
  <c r="R31" i="28"/>
  <c r="R32" i="28"/>
  <c r="R33" i="28"/>
  <c r="R34" i="28"/>
  <c r="R35" i="28"/>
  <c r="R36" i="28"/>
  <c r="R37" i="28"/>
  <c r="R38" i="28"/>
  <c r="R39" i="28"/>
  <c r="R40" i="28"/>
  <c r="R41" i="28"/>
  <c r="R42" i="28"/>
  <c r="R43" i="28"/>
  <c r="R44" i="28"/>
  <c r="R45" i="28"/>
  <c r="R46" i="28"/>
  <c r="R47" i="28"/>
  <c r="R48" i="28"/>
  <c r="R49" i="28"/>
  <c r="R50" i="28"/>
  <c r="R51" i="28"/>
  <c r="R52" i="28"/>
  <c r="R53" i="28"/>
  <c r="R54" i="28"/>
  <c r="R55" i="28"/>
  <c r="R56" i="28"/>
  <c r="R57" i="28"/>
  <c r="R58" i="28"/>
  <c r="R59" i="28"/>
  <c r="R60" i="28"/>
  <c r="R61" i="28"/>
  <c r="R62" i="28"/>
  <c r="R63" i="28"/>
  <c r="R64" i="28"/>
  <c r="R65" i="28"/>
  <c r="R66" i="28"/>
  <c r="R67" i="28"/>
  <c r="R68" i="28"/>
  <c r="R69" i="28"/>
  <c r="R70" i="28"/>
  <c r="R71" i="28"/>
  <c r="R72" i="28"/>
  <c r="R73" i="28"/>
  <c r="R74" i="28"/>
  <c r="R75" i="28"/>
  <c r="R76" i="28"/>
  <c r="R77" i="28"/>
  <c r="R78" i="28"/>
  <c r="R79" i="28"/>
  <c r="R80" i="28"/>
  <c r="R81" i="28"/>
  <c r="R82" i="28"/>
  <c r="R83" i="28"/>
  <c r="R84" i="28"/>
  <c r="R85" i="28"/>
  <c r="R86" i="28"/>
  <c r="R87" i="28"/>
  <c r="R88" i="28"/>
  <c r="R89" i="28"/>
  <c r="R90" i="28"/>
  <c r="R91" i="28"/>
  <c r="R92" i="28"/>
  <c r="R93" i="28"/>
  <c r="R94" i="28"/>
  <c r="R95" i="28"/>
  <c r="R96" i="28"/>
  <c r="R97" i="28"/>
  <c r="R98" i="28"/>
  <c r="R99" i="28"/>
  <c r="R100" i="28"/>
  <c r="R101" i="28"/>
  <c r="R102" i="28"/>
  <c r="R103" i="28"/>
  <c r="R104" i="28"/>
  <c r="R105" i="28"/>
  <c r="R106" i="28"/>
  <c r="R107" i="28"/>
  <c r="R108" i="28"/>
  <c r="R109" i="28"/>
  <c r="R110" i="28"/>
  <c r="R111" i="28"/>
  <c r="R112" i="28"/>
  <c r="R113" i="28"/>
  <c r="R114" i="28"/>
  <c r="R115" i="28"/>
  <c r="R116" i="28"/>
  <c r="R117" i="28"/>
  <c r="R118" i="28"/>
  <c r="R119" i="28"/>
  <c r="R120" i="28"/>
  <c r="R121" i="28"/>
  <c r="R122" i="28"/>
  <c r="R123" i="28"/>
  <c r="R124" i="28"/>
  <c r="R125" i="28"/>
  <c r="R126" i="28"/>
  <c r="R127" i="28"/>
  <c r="R128" i="28"/>
  <c r="R129" i="28"/>
  <c r="R130" i="28"/>
  <c r="R131" i="28"/>
  <c r="R132" i="28"/>
  <c r="R133" i="28"/>
  <c r="R137" i="28"/>
  <c r="R138" i="28"/>
  <c r="R139" i="28"/>
  <c r="R140" i="28"/>
  <c r="R141" i="28"/>
  <c r="R142" i="28"/>
  <c r="R143" i="28"/>
  <c r="R144" i="28"/>
  <c r="R145" i="28"/>
  <c r="R146" i="28"/>
  <c r="R147" i="28"/>
  <c r="R4" i="28"/>
  <c r="Q5" i="28"/>
  <c r="Q6" i="28"/>
  <c r="Q7" i="28"/>
  <c r="Q8" i="28"/>
  <c r="Q9" i="28"/>
  <c r="Q10" i="28"/>
  <c r="Q11" i="28"/>
  <c r="Q12" i="28"/>
  <c r="Q13" i="28"/>
  <c r="Q14" i="28"/>
  <c r="Q15" i="28"/>
  <c r="Q16" i="28"/>
  <c r="Q17" i="28"/>
  <c r="Q18" i="28"/>
  <c r="Q19" i="28"/>
  <c r="Q20" i="28"/>
  <c r="Q21" i="28"/>
  <c r="Q22" i="28"/>
  <c r="Q23" i="28"/>
  <c r="Q24" i="28"/>
  <c r="Q25" i="28"/>
  <c r="Q26" i="28"/>
  <c r="Q27" i="28"/>
  <c r="Q28" i="28"/>
  <c r="Q29" i="28"/>
  <c r="Q30" i="28"/>
  <c r="Q31" i="28"/>
  <c r="Q32" i="28"/>
  <c r="Q33" i="28"/>
  <c r="Q34" i="28"/>
  <c r="Q35" i="28"/>
  <c r="Q36" i="28"/>
  <c r="Q37" i="28"/>
  <c r="Q38" i="28"/>
  <c r="Q39" i="28"/>
  <c r="Q40" i="28"/>
  <c r="Q41" i="28"/>
  <c r="Q42" i="28"/>
  <c r="Q43" i="28"/>
  <c r="Q44" i="28"/>
  <c r="Q45" i="28"/>
  <c r="Q46" i="28"/>
  <c r="Q47" i="28"/>
  <c r="Q48" i="28"/>
  <c r="Q49" i="28"/>
  <c r="Q50" i="28"/>
  <c r="Q51" i="28"/>
  <c r="Q52" i="28"/>
  <c r="Q53" i="28"/>
  <c r="Q54" i="28"/>
  <c r="Q55" i="28"/>
  <c r="Q56" i="28"/>
  <c r="Q57" i="28"/>
  <c r="Q58" i="28"/>
  <c r="Q59" i="28"/>
  <c r="Q60" i="28"/>
  <c r="Q61" i="28"/>
  <c r="Q62" i="28"/>
  <c r="Q63" i="28"/>
  <c r="Q64" i="28"/>
  <c r="Q65" i="28"/>
  <c r="Q66" i="28"/>
  <c r="Q67" i="28"/>
  <c r="Q68" i="28"/>
  <c r="Q69" i="28"/>
  <c r="Q70" i="28"/>
  <c r="Q71" i="28"/>
  <c r="Q72" i="28"/>
  <c r="Q73" i="28"/>
  <c r="Q74" i="28"/>
  <c r="Q75" i="28"/>
  <c r="Q76" i="28"/>
  <c r="Q77" i="28"/>
  <c r="Q78" i="28"/>
  <c r="Q79" i="28"/>
  <c r="Q80" i="28"/>
  <c r="Q81" i="28"/>
  <c r="Q82" i="28"/>
  <c r="Q83" i="28"/>
  <c r="Q84" i="28"/>
  <c r="Q85" i="28"/>
  <c r="Q86" i="28"/>
  <c r="Q87" i="28"/>
  <c r="Q88" i="28"/>
  <c r="Q89" i="28"/>
  <c r="Q90" i="28"/>
  <c r="Q91" i="28"/>
  <c r="Q92" i="28"/>
  <c r="Q93" i="28"/>
  <c r="Q94" i="28"/>
  <c r="Q95" i="28"/>
  <c r="Q96" i="28"/>
  <c r="Q97" i="28"/>
  <c r="Q98" i="28"/>
  <c r="Q99" i="28"/>
  <c r="Q100" i="28"/>
  <c r="Q101" i="28"/>
  <c r="Q102" i="28"/>
  <c r="Q103" i="28"/>
  <c r="Q104" i="28"/>
  <c r="Q105" i="28"/>
  <c r="Q106" i="28"/>
  <c r="Q107" i="28"/>
  <c r="Q108" i="28"/>
  <c r="Q109" i="28"/>
  <c r="Q110" i="28"/>
  <c r="Q111" i="28"/>
  <c r="Q112" i="28"/>
  <c r="Q113" i="28"/>
  <c r="Q114" i="28"/>
  <c r="Q115" i="28"/>
  <c r="Q116" i="28"/>
  <c r="Q117" i="28"/>
  <c r="Q118" i="28"/>
  <c r="Q119" i="28"/>
  <c r="Q120" i="28"/>
  <c r="Q121" i="28"/>
  <c r="Q122" i="28"/>
  <c r="Q123" i="28"/>
  <c r="Q124" i="28"/>
  <c r="Q125" i="28"/>
  <c r="Q126" i="28"/>
  <c r="Q127" i="28"/>
  <c r="Q128" i="28"/>
  <c r="Q129" i="28"/>
  <c r="Q130" i="28"/>
  <c r="Q131" i="28"/>
  <c r="Q132" i="28"/>
  <c r="Q133" i="28"/>
  <c r="Q137" i="28"/>
  <c r="Q138" i="28"/>
  <c r="Q139" i="28"/>
  <c r="Q140" i="28"/>
  <c r="Q141" i="28"/>
  <c r="Q142" i="28"/>
  <c r="Q143" i="28"/>
  <c r="Q144" i="28"/>
  <c r="Q145" i="28"/>
  <c r="Q146" i="28"/>
  <c r="Q147" i="28"/>
  <c r="Q4" i="28"/>
  <c r="P5" i="28"/>
  <c r="P6" i="28" s="1"/>
  <c r="P7" i="28" s="1"/>
  <c r="P8" i="28" s="1"/>
  <c r="P9" i="28" s="1"/>
  <c r="P10" i="28" s="1"/>
  <c r="P11" i="28" s="1"/>
  <c r="P12" i="28" s="1"/>
  <c r="P13" i="28" s="1"/>
  <c r="P14" i="28" s="1"/>
  <c r="P15" i="28" s="1"/>
  <c r="P16" i="28" s="1"/>
  <c r="P17" i="28" s="1"/>
  <c r="P18" i="28" s="1"/>
  <c r="P19" i="28" s="1"/>
  <c r="P20" i="28" s="1"/>
  <c r="P21" i="28" s="1"/>
  <c r="P22" i="28" s="1"/>
  <c r="P23" i="28" s="1"/>
  <c r="P24" i="28" s="1"/>
  <c r="P25" i="28" s="1"/>
  <c r="P26" i="28" s="1"/>
  <c r="P27" i="28" s="1"/>
  <c r="P28" i="28" s="1"/>
  <c r="P29" i="28" s="1"/>
  <c r="P30" i="28" s="1"/>
  <c r="P31" i="28" s="1"/>
  <c r="P32" i="28" s="1"/>
  <c r="P33" i="28" s="1"/>
  <c r="P34" i="28" s="1"/>
  <c r="P35" i="28" s="1"/>
  <c r="P36" i="28" s="1"/>
  <c r="P37" i="28" s="1"/>
  <c r="P38" i="28" s="1"/>
  <c r="P39" i="28" s="1"/>
  <c r="P40" i="28" s="1"/>
  <c r="P41" i="28" s="1"/>
  <c r="P42" i="28" s="1"/>
  <c r="P43" i="28" s="1"/>
  <c r="P44" i="28" s="1"/>
  <c r="P45" i="28" s="1"/>
  <c r="P46" i="28" s="1"/>
  <c r="P47" i="28" s="1"/>
  <c r="P48" i="28" s="1"/>
  <c r="P49" i="28" s="1"/>
  <c r="P50" i="28" s="1"/>
  <c r="P51" i="28" s="1"/>
  <c r="P52" i="28" s="1"/>
  <c r="P53" i="28" s="1"/>
  <c r="P54" i="28" s="1"/>
  <c r="P55" i="28" s="1"/>
  <c r="P56" i="28" s="1"/>
  <c r="P57" i="28" s="1"/>
  <c r="P58" i="28" s="1"/>
  <c r="P59" i="28" s="1"/>
  <c r="P60" i="28" s="1"/>
  <c r="P61" i="28" s="1"/>
  <c r="P62" i="28" s="1"/>
  <c r="P63" i="28" s="1"/>
  <c r="P64" i="28" s="1"/>
  <c r="P65" i="28" s="1"/>
  <c r="P66" i="28" s="1"/>
  <c r="P67" i="28" s="1"/>
  <c r="P68" i="28" s="1"/>
  <c r="P69" i="28" s="1"/>
  <c r="P70" i="28" s="1"/>
  <c r="P71" i="28" s="1"/>
  <c r="P72" i="28" s="1"/>
  <c r="P73" i="28" s="1"/>
  <c r="P74" i="28" s="1"/>
  <c r="P75" i="28" s="1"/>
  <c r="P76" i="28" s="1"/>
  <c r="P77" i="28" s="1"/>
  <c r="P78" i="28" s="1"/>
  <c r="P79" i="28" s="1"/>
  <c r="P80" i="28" s="1"/>
  <c r="P81" i="28" s="1"/>
  <c r="P82" i="28" s="1"/>
  <c r="P83" i="28" s="1"/>
  <c r="P84" i="28" s="1"/>
  <c r="P85" i="28" s="1"/>
  <c r="P86" i="28" s="1"/>
  <c r="P87" i="28" s="1"/>
  <c r="P88" i="28" s="1"/>
  <c r="P89" i="28" s="1"/>
  <c r="P90" i="28" s="1"/>
  <c r="P91" i="28" s="1"/>
  <c r="P92" i="28" s="1"/>
  <c r="P93" i="28" s="1"/>
  <c r="P94" i="28" s="1"/>
  <c r="P95" i="28" s="1"/>
  <c r="P96" i="28" s="1"/>
  <c r="P97" i="28" s="1"/>
  <c r="P98" i="28" s="1"/>
  <c r="P99" i="28" s="1"/>
  <c r="P100" i="28" s="1"/>
  <c r="P101" i="28" s="1"/>
  <c r="P102" i="28" s="1"/>
  <c r="P103" i="28" s="1"/>
  <c r="P104" i="28" s="1"/>
  <c r="P105" i="28" s="1"/>
  <c r="P106" i="28" s="1"/>
  <c r="P107" i="28" s="1"/>
  <c r="P108" i="28" s="1"/>
  <c r="P109" i="28" s="1"/>
  <c r="P110" i="28" s="1"/>
  <c r="P111" i="28" s="1"/>
  <c r="P112" i="28" s="1"/>
  <c r="P113" i="28" s="1"/>
  <c r="P114" i="28" s="1"/>
  <c r="P115" i="28" s="1"/>
  <c r="P116" i="28" s="1"/>
  <c r="P117" i="28" s="1"/>
  <c r="P118" i="28" s="1"/>
  <c r="P119" i="28" s="1"/>
  <c r="P120" i="28" s="1"/>
  <c r="P121" i="28" s="1"/>
  <c r="P122" i="28" s="1"/>
  <c r="P123" i="28" s="1"/>
  <c r="P124" i="28" s="1"/>
  <c r="P125" i="28" s="1"/>
  <c r="P126" i="28" s="1"/>
  <c r="P127" i="28" s="1"/>
  <c r="P128" i="28" s="1"/>
  <c r="P129" i="28" s="1"/>
  <c r="P130" i="28" s="1"/>
  <c r="P131" i="28" s="1"/>
  <c r="P132" i="28" s="1"/>
  <c r="P133" i="28" s="1"/>
  <c r="N117" i="28"/>
  <c r="N118" i="28"/>
  <c r="N119" i="28"/>
  <c r="N120" i="28"/>
  <c r="N121" i="28"/>
  <c r="N122" i="28"/>
  <c r="N123" i="28"/>
  <c r="N124" i="28"/>
  <c r="N125" i="28"/>
  <c r="N126" i="28"/>
  <c r="N127" i="28"/>
  <c r="N128" i="28"/>
  <c r="N129" i="28"/>
  <c r="N130" i="28"/>
  <c r="N131" i="28"/>
  <c r="N132" i="28"/>
  <c r="N133" i="28"/>
  <c r="N137" i="28"/>
  <c r="N138" i="28"/>
  <c r="N139" i="28"/>
  <c r="N140" i="28"/>
  <c r="N141" i="28"/>
  <c r="N142" i="28"/>
  <c r="N143" i="28"/>
  <c r="N144" i="28"/>
  <c r="N145" i="28"/>
  <c r="N146" i="28"/>
  <c r="N147" i="28"/>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N180" i="15"/>
  <c r="N179" i="15"/>
  <c r="N178" i="15"/>
  <c r="N177" i="15"/>
  <c r="N176" i="15"/>
  <c r="N175" i="15"/>
  <c r="N174" i="15"/>
  <c r="N173" i="15"/>
  <c r="N172" i="15"/>
  <c r="N171" i="15"/>
  <c r="N170" i="15"/>
  <c r="N169" i="15"/>
  <c r="N168" i="15"/>
  <c r="N167" i="15"/>
  <c r="N166" i="15"/>
  <c r="N165" i="15"/>
  <c r="N164" i="15"/>
  <c r="N163" i="15"/>
  <c r="N162" i="15"/>
  <c r="N161" i="15"/>
  <c r="N160" i="15"/>
  <c r="N159" i="15"/>
  <c r="N158" i="15"/>
  <c r="N157" i="15"/>
  <c r="N156" i="15"/>
  <c r="Q99" i="15"/>
  <c r="Q100" i="15"/>
  <c r="N99" i="15"/>
  <c r="Q92" i="15"/>
  <c r="Q93" i="15"/>
  <c r="Q94" i="15"/>
  <c r="N92" i="15"/>
  <c r="N93" i="15"/>
  <c r="N94" i="15"/>
  <c r="Q111" i="15"/>
  <c r="Q112" i="15"/>
  <c r="Q113" i="15"/>
  <c r="N111" i="15"/>
  <c r="N112" i="15"/>
  <c r="N113" i="15"/>
  <c r="Q131" i="15"/>
  <c r="Q132" i="15"/>
  <c r="Q133" i="15"/>
  <c r="N131" i="15"/>
  <c r="N132" i="15"/>
  <c r="N133" i="15"/>
  <c r="Q151" i="15"/>
  <c r="Q152" i="15"/>
  <c r="N151" i="15"/>
  <c r="N152" i="15"/>
  <c r="Q142" i="15"/>
  <c r="Q143" i="15"/>
  <c r="N142" i="15"/>
  <c r="N143" i="15"/>
  <c r="Q128" i="15"/>
  <c r="Q129" i="15"/>
  <c r="N128" i="15"/>
  <c r="N129" i="15"/>
  <c r="Q121" i="15"/>
  <c r="Q122" i="15"/>
  <c r="N121" i="15"/>
  <c r="N122" i="15"/>
  <c r="Q103" i="15"/>
  <c r="Q104" i="15"/>
  <c r="N103" i="15"/>
  <c r="N104" i="15"/>
  <c r="Q90" i="15"/>
  <c r="Q91" i="15"/>
  <c r="N90" i="15"/>
  <c r="N91" i="15"/>
  <c r="Q82" i="15"/>
  <c r="Q83" i="15"/>
  <c r="N82" i="15"/>
  <c r="N83" i="15"/>
  <c r="N192" i="8"/>
  <c r="N191" i="8"/>
  <c r="N190" i="8"/>
  <c r="N189" i="8"/>
  <c r="N188" i="8"/>
  <c r="N187" i="8"/>
  <c r="N186" i="8"/>
  <c r="N185" i="8"/>
  <c r="N184" i="8"/>
  <c r="N183" i="8"/>
  <c r="N182" i="8"/>
  <c r="N181" i="8"/>
  <c r="N180" i="8"/>
  <c r="N179" i="8"/>
  <c r="N178" i="8"/>
  <c r="N177" i="8"/>
  <c r="N176" i="8"/>
  <c r="N175" i="8"/>
  <c r="N174" i="8"/>
  <c r="N173" i="8"/>
  <c r="N172" i="8"/>
  <c r="N171" i="8"/>
  <c r="N136" i="8"/>
  <c r="N105" i="8"/>
  <c r="N97" i="8"/>
  <c r="N98" i="8"/>
  <c r="N99" i="8"/>
  <c r="N100" i="8"/>
  <c r="N101" i="8"/>
  <c r="N102" i="8"/>
  <c r="N103" i="8"/>
  <c r="N104" i="8"/>
  <c r="N106" i="8"/>
  <c r="N107" i="8"/>
  <c r="N108" i="8"/>
  <c r="N109" i="8"/>
  <c r="N110" i="8"/>
  <c r="N111" i="8"/>
  <c r="N112" i="8"/>
  <c r="N113" i="8"/>
  <c r="N114" i="8"/>
  <c r="N115" i="8"/>
  <c r="N116" i="8"/>
  <c r="N117" i="8"/>
  <c r="N118" i="8"/>
  <c r="N154" i="10"/>
  <c r="Q154" i="10"/>
  <c r="Q148" i="10"/>
  <c r="Q149" i="10"/>
  <c r="Q150" i="10"/>
  <c r="Q151" i="10"/>
  <c r="Q152" i="10"/>
  <c r="Q153" i="10"/>
  <c r="N148" i="10"/>
  <c r="N149" i="10"/>
  <c r="N150" i="10"/>
  <c r="N151" i="10"/>
  <c r="N152" i="10"/>
  <c r="N153" i="10"/>
  <c r="Q145" i="10"/>
  <c r="Q146" i="10"/>
  <c r="Q147" i="10"/>
  <c r="N145" i="10"/>
  <c r="N146" i="10"/>
  <c r="N147" i="10"/>
  <c r="Q134" i="10"/>
  <c r="Q135" i="10"/>
  <c r="Q136" i="10"/>
  <c r="Q137" i="10"/>
  <c r="Q138" i="10"/>
  <c r="Q139" i="10"/>
  <c r="Q140" i="10"/>
  <c r="Q141" i="10"/>
  <c r="Q142" i="10"/>
  <c r="Q143" i="10"/>
  <c r="Q144" i="10"/>
  <c r="N144" i="10"/>
  <c r="N143" i="10"/>
  <c r="N142" i="10"/>
  <c r="N141" i="10"/>
  <c r="N140" i="10"/>
  <c r="N139" i="10"/>
  <c r="N138" i="10"/>
  <c r="N137" i="10"/>
  <c r="N136" i="10"/>
  <c r="N135" i="10"/>
  <c r="N134" i="10"/>
  <c r="Q99" i="10"/>
  <c r="Q100" i="10"/>
  <c r="Q101" i="10"/>
  <c r="Q102" i="10"/>
  <c r="N99" i="10"/>
  <c r="N100" i="10"/>
  <c r="N101" i="10"/>
  <c r="N102" i="10"/>
  <c r="N126" i="10"/>
  <c r="N127" i="10"/>
  <c r="N128" i="10"/>
  <c r="N129" i="10"/>
  <c r="Q126" i="10"/>
  <c r="Q127" i="10"/>
  <c r="Q128" i="10"/>
  <c r="Q129" i="10"/>
  <c r="Q116" i="10"/>
  <c r="Q117" i="10"/>
  <c r="Q118" i="10"/>
  <c r="Q119" i="10"/>
  <c r="N116" i="10"/>
  <c r="N117" i="10"/>
  <c r="N118" i="10"/>
  <c r="N119" i="10"/>
  <c r="N94" i="10"/>
  <c r="N95" i="10"/>
  <c r="N96" i="10"/>
  <c r="N97" i="10"/>
  <c r="N98" i="10"/>
  <c r="N103" i="10"/>
  <c r="N104" i="10"/>
  <c r="N105" i="10"/>
  <c r="N106" i="10"/>
  <c r="N107" i="10"/>
  <c r="N108" i="10"/>
  <c r="N109" i="10"/>
  <c r="N110" i="10"/>
  <c r="N111" i="10"/>
  <c r="N112" i="10"/>
  <c r="N113" i="10"/>
  <c r="N114" i="10"/>
  <c r="N115" i="10"/>
  <c r="N120" i="10"/>
  <c r="N121" i="10"/>
  <c r="N122" i="10"/>
  <c r="N123" i="10"/>
  <c r="N124" i="10"/>
  <c r="N125" i="10"/>
  <c r="N130" i="10"/>
  <c r="N131" i="10"/>
  <c r="N132" i="10"/>
  <c r="N133" i="10"/>
  <c r="Q94" i="10"/>
  <c r="Q95" i="10"/>
  <c r="Q96" i="10"/>
  <c r="Q97" i="10"/>
  <c r="Q98" i="10"/>
  <c r="Q103" i="10"/>
  <c r="Q104" i="10"/>
  <c r="Q105" i="10"/>
  <c r="Q106" i="10"/>
  <c r="Q107" i="10"/>
  <c r="Q108" i="10"/>
  <c r="Q109" i="10"/>
  <c r="Q110" i="10"/>
  <c r="Q111" i="10"/>
  <c r="Q112" i="10"/>
  <c r="Q113" i="10"/>
  <c r="Q114" i="10"/>
  <c r="Q115" i="10"/>
  <c r="Q120" i="10"/>
  <c r="Q121" i="10"/>
  <c r="Q122" i="10"/>
  <c r="Q123" i="10"/>
  <c r="Q124" i="10"/>
  <c r="Q125" i="10"/>
  <c r="Q130" i="10"/>
  <c r="Q131" i="10"/>
  <c r="Q132" i="10"/>
  <c r="Q133"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4" i="10"/>
  <c r="N77" i="10"/>
  <c r="N57" i="10"/>
  <c r="N72" i="10"/>
  <c r="N73" i="10"/>
  <c r="N74" i="10"/>
  <c r="N75" i="10"/>
  <c r="N58" i="10"/>
  <c r="N59" i="10"/>
  <c r="N60" i="10"/>
  <c r="N61" i="10"/>
  <c r="N62" i="10"/>
  <c r="N63" i="10"/>
  <c r="N64" i="10"/>
  <c r="N65" i="10"/>
  <c r="N66" i="10"/>
  <c r="N67" i="10"/>
  <c r="N68" i="10"/>
  <c r="N69" i="10"/>
  <c r="N70" i="10"/>
  <c r="N71" i="10"/>
  <c r="N76" i="10"/>
  <c r="N78" i="10"/>
  <c r="N79" i="10"/>
  <c r="N80" i="10"/>
  <c r="N81" i="10"/>
  <c r="N82" i="10"/>
  <c r="N83" i="10"/>
  <c r="N84" i="10"/>
  <c r="N85" i="10"/>
  <c r="N86" i="10"/>
  <c r="N87" i="10"/>
  <c r="N88" i="10"/>
  <c r="N89" i="10"/>
  <c r="N90" i="10"/>
  <c r="N91" i="10"/>
  <c r="N92" i="10"/>
  <c r="N93" i="10"/>
  <c r="N56" i="10"/>
  <c r="Q73" i="15"/>
  <c r="Q74" i="15"/>
  <c r="Q75" i="15"/>
  <c r="Q76" i="15"/>
  <c r="N73" i="15"/>
  <c r="N74" i="15"/>
  <c r="N75" i="15"/>
  <c r="N76" i="15"/>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7" i="15"/>
  <c r="Q78" i="15"/>
  <c r="Q79" i="15"/>
  <c r="Q80" i="15"/>
  <c r="Q81" i="15"/>
  <c r="Q84" i="15"/>
  <c r="Q85" i="15"/>
  <c r="Q86" i="15"/>
  <c r="Q87" i="15"/>
  <c r="Q88" i="15"/>
  <c r="Q89" i="15"/>
  <c r="Q95" i="15"/>
  <c r="Q96" i="15"/>
  <c r="Q97" i="15"/>
  <c r="Q98" i="15"/>
  <c r="Q101" i="15"/>
  <c r="Q102" i="15"/>
  <c r="Q105" i="15"/>
  <c r="Q106" i="15"/>
  <c r="Q107" i="15"/>
  <c r="Q108" i="15"/>
  <c r="Q109" i="15"/>
  <c r="Q110" i="15"/>
  <c r="Q114" i="15"/>
  <c r="Q115" i="15"/>
  <c r="Q116" i="15"/>
  <c r="Q117" i="15"/>
  <c r="Q118" i="15"/>
  <c r="Q119" i="15"/>
  <c r="Q120" i="15"/>
  <c r="Q123" i="15"/>
  <c r="Q124" i="15"/>
  <c r="Q125" i="15"/>
  <c r="Q126" i="15"/>
  <c r="Q127" i="15"/>
  <c r="Q130" i="15"/>
  <c r="Q134" i="15"/>
  <c r="Q135" i="15"/>
  <c r="Q136" i="15"/>
  <c r="Q137" i="15"/>
  <c r="Q138" i="15"/>
  <c r="Q139" i="15"/>
  <c r="Q140" i="15"/>
  <c r="Q141" i="15"/>
  <c r="Q144" i="15"/>
  <c r="Q145" i="15"/>
  <c r="Q146" i="15"/>
  <c r="Q147" i="15"/>
  <c r="Q148" i="15"/>
  <c r="Q149" i="15"/>
  <c r="Q150" i="15"/>
  <c r="Q153" i="15"/>
  <c r="Q154" i="15"/>
  <c r="Q155" i="15"/>
  <c r="Q4" i="15"/>
  <c r="P5" i="15"/>
  <c r="P6" i="15" s="1"/>
  <c r="P7" i="15" s="1"/>
  <c r="P8" i="15" s="1"/>
  <c r="P9" i="15" s="1"/>
  <c r="P10" i="15" s="1"/>
  <c r="P11" i="15" s="1"/>
  <c r="P12" i="15" s="1"/>
  <c r="P13" i="15" s="1"/>
  <c r="P14" i="15" s="1"/>
  <c r="P15" i="15" s="1"/>
  <c r="P16" i="15" s="1"/>
  <c r="P17" i="15" s="1"/>
  <c r="P18" i="15" s="1"/>
  <c r="P19" i="15" s="1"/>
  <c r="P20" i="15" s="1"/>
  <c r="P21" i="15" s="1"/>
  <c r="P22" i="15" s="1"/>
  <c r="P23" i="15" s="1"/>
  <c r="P24" i="15" s="1"/>
  <c r="P25" i="15" s="1"/>
  <c r="P26" i="15" s="1"/>
  <c r="P27" i="15" s="1"/>
  <c r="P28" i="15" s="1"/>
  <c r="P29" i="15" s="1"/>
  <c r="P30" i="15" s="1"/>
  <c r="P31" i="15" s="1"/>
  <c r="P32" i="15" s="1"/>
  <c r="P33" i="15" s="1"/>
  <c r="P34" i="15" s="1"/>
  <c r="P35" i="15" s="1"/>
  <c r="P36" i="15" s="1"/>
  <c r="P37" i="15" s="1"/>
  <c r="P38" i="15" s="1"/>
  <c r="P39" i="15" s="1"/>
  <c r="P40" i="15" s="1"/>
  <c r="P41" i="15" s="1"/>
  <c r="P42" i="15" s="1"/>
  <c r="P43" i="15" s="1"/>
  <c r="P44" i="15" s="1"/>
  <c r="P45" i="15" s="1"/>
  <c r="P46" i="15" s="1"/>
  <c r="P47" i="15" s="1"/>
  <c r="P48" i="15" s="1"/>
  <c r="P49" i="15" s="1"/>
  <c r="P50" i="15" s="1"/>
  <c r="P51" i="15" s="1"/>
  <c r="P52" i="15" s="1"/>
  <c r="P53" i="15" s="1"/>
  <c r="P54" i="15" s="1"/>
  <c r="P55" i="15" s="1"/>
  <c r="P56" i="15" s="1"/>
  <c r="P57" i="15" s="1"/>
  <c r="P58" i="15" s="1"/>
  <c r="P59" i="15" s="1"/>
  <c r="P60" i="15" s="1"/>
  <c r="P61" i="15" s="1"/>
  <c r="P62" i="15" s="1"/>
  <c r="P63" i="15" s="1"/>
  <c r="P64" i="15" s="1"/>
  <c r="P65" i="15" s="1"/>
  <c r="P66" i="15" s="1"/>
  <c r="P67" i="15" s="1"/>
  <c r="P68" i="15" s="1"/>
  <c r="P69" i="15" s="1"/>
  <c r="P70" i="15" s="1"/>
  <c r="P71" i="15" s="1"/>
  <c r="P72" i="15" s="1"/>
  <c r="P73" i="15" s="1"/>
  <c r="P74" i="15" s="1"/>
  <c r="P75" i="15" s="1"/>
  <c r="P76" i="15" s="1"/>
  <c r="N77" i="15"/>
  <c r="N78" i="15"/>
  <c r="N79" i="15"/>
  <c r="N80" i="15"/>
  <c r="N81" i="15"/>
  <c r="N84" i="15"/>
  <c r="N85" i="15"/>
  <c r="N86" i="15"/>
  <c r="N87" i="15"/>
  <c r="N88" i="15"/>
  <c r="N89" i="15"/>
  <c r="N95" i="15"/>
  <c r="N96" i="15"/>
  <c r="N97" i="15"/>
  <c r="N98" i="15"/>
  <c r="N100" i="15"/>
  <c r="N101" i="15"/>
  <c r="N102" i="15"/>
  <c r="N105" i="15"/>
  <c r="N106" i="15"/>
  <c r="N107" i="15"/>
  <c r="N108" i="15"/>
  <c r="N109" i="15"/>
  <c r="N110" i="15"/>
  <c r="N114" i="15"/>
  <c r="N115" i="15"/>
  <c r="N116" i="15"/>
  <c r="N117" i="15"/>
  <c r="N118" i="15"/>
  <c r="N119" i="15"/>
  <c r="N120" i="15"/>
  <c r="N123" i="15"/>
  <c r="N124" i="15"/>
  <c r="N125" i="15"/>
  <c r="N126" i="15"/>
  <c r="N127" i="15"/>
  <c r="N130" i="15"/>
  <c r="N134" i="15"/>
  <c r="N135" i="15"/>
  <c r="N136" i="15"/>
  <c r="N137" i="15"/>
  <c r="N138" i="15"/>
  <c r="N139" i="15"/>
  <c r="N140" i="15"/>
  <c r="N141" i="15"/>
  <c r="N144" i="15"/>
  <c r="N145" i="15"/>
  <c r="N146" i="15"/>
  <c r="N147" i="15"/>
  <c r="N148" i="15"/>
  <c r="N149" i="15"/>
  <c r="N150" i="15"/>
  <c r="N153" i="15"/>
  <c r="N154" i="15"/>
  <c r="N155" i="15"/>
  <c r="N199" i="14"/>
  <c r="N198" i="14"/>
  <c r="N196" i="14"/>
  <c r="N197" i="14"/>
  <c r="P5" i="8"/>
  <c r="P6" i="8" s="1"/>
  <c r="P7" i="8" s="1"/>
  <c r="P8" i="8" s="1"/>
  <c r="P9" i="8" s="1"/>
  <c r="P10" i="8" s="1"/>
  <c r="P11" i="8" s="1"/>
  <c r="P12" i="8" s="1"/>
  <c r="P13" i="8" s="1"/>
  <c r="P14" i="8" s="1"/>
  <c r="P15" i="8" s="1"/>
  <c r="P16" i="8" s="1"/>
  <c r="P17" i="8" s="1"/>
  <c r="P18" i="8" s="1"/>
  <c r="P19" i="8" s="1"/>
  <c r="P20" i="8" s="1"/>
  <c r="P21" i="8" s="1"/>
  <c r="P22" i="8" s="1"/>
  <c r="P23" i="8" s="1"/>
  <c r="P24" i="8" s="1"/>
  <c r="P25" i="8" s="1"/>
  <c r="P26" i="8" s="1"/>
  <c r="P27" i="8" s="1"/>
  <c r="P28" i="8" s="1"/>
  <c r="P29" i="8" s="1"/>
  <c r="P30" i="8" s="1"/>
  <c r="P31" i="8" s="1"/>
  <c r="P32" i="8" s="1"/>
  <c r="P33" i="8" s="1"/>
  <c r="P34" i="8" s="1"/>
  <c r="P35" i="8" s="1"/>
  <c r="P36" i="8" s="1"/>
  <c r="P37" i="8" s="1"/>
  <c r="P38" i="8" s="1"/>
  <c r="P39" i="8" s="1"/>
  <c r="P40" i="8" s="1"/>
  <c r="P41" i="8" s="1"/>
  <c r="P42" i="8" s="1"/>
  <c r="P43" i="8" s="1"/>
  <c r="P44" i="8" s="1"/>
  <c r="P45" i="8" s="1"/>
  <c r="P46" i="8" s="1"/>
  <c r="P47" i="8" s="1"/>
  <c r="P48" i="8" s="1"/>
  <c r="P49" i="8" s="1"/>
  <c r="P50" i="8" s="1"/>
  <c r="P51" i="8" s="1"/>
  <c r="P52" i="8" s="1"/>
  <c r="P53" i="8" s="1"/>
  <c r="P54" i="8" s="1"/>
  <c r="P55" i="8" s="1"/>
  <c r="P56" i="8" s="1"/>
  <c r="P57" i="8" s="1"/>
  <c r="P58" i="8" s="1"/>
  <c r="P59" i="8" s="1"/>
  <c r="P60" i="8" s="1"/>
  <c r="P61" i="8" s="1"/>
  <c r="P62" i="8" s="1"/>
  <c r="P63" i="8" s="1"/>
  <c r="P64" i="8" s="1"/>
  <c r="P65" i="8" s="1"/>
  <c r="P66" i="8" s="1"/>
  <c r="P67" i="8" s="1"/>
  <c r="P68" i="8" s="1"/>
  <c r="P69" i="8" s="1"/>
  <c r="P70" i="8" s="1"/>
  <c r="P71" i="8" s="1"/>
  <c r="P72" i="8" s="1"/>
  <c r="P73" i="8" s="1"/>
  <c r="P74" i="8" s="1"/>
  <c r="P75" i="8" s="1"/>
  <c r="P76" i="8" s="1"/>
  <c r="P77" i="8" s="1"/>
  <c r="P78" i="8" s="1"/>
  <c r="P79" i="8" s="1"/>
  <c r="P80" i="8" s="1"/>
  <c r="P81" i="8" s="1"/>
  <c r="P82" i="8" s="1"/>
  <c r="P83" i="8" s="1"/>
  <c r="P84" i="8" s="1"/>
  <c r="P85" i="8" s="1"/>
  <c r="P86" i="8" s="1"/>
  <c r="P87" i="8" s="1"/>
  <c r="P88" i="8" s="1"/>
  <c r="P89" i="8" s="1"/>
  <c r="P90" i="8" s="1"/>
  <c r="P91" i="8" s="1"/>
  <c r="P92" i="8" s="1"/>
  <c r="P93" i="8" s="1"/>
  <c r="P94" i="8" s="1"/>
  <c r="P95" i="8" s="1"/>
  <c r="P96" i="8" s="1"/>
  <c r="P97" i="8" s="1"/>
  <c r="P98" i="8" s="1"/>
  <c r="P99" i="8" s="1"/>
  <c r="P100" i="8" s="1"/>
  <c r="P101" i="8" s="1"/>
  <c r="P102" i="8" s="1"/>
  <c r="P103" i="8" s="1"/>
  <c r="P104" i="8" s="1"/>
  <c r="P105" i="8" s="1"/>
  <c r="P106" i="8" s="1"/>
  <c r="N119" i="8"/>
  <c r="N120" i="8"/>
  <c r="N121" i="8"/>
  <c r="N122" i="8"/>
  <c r="N123" i="8"/>
  <c r="N124" i="8"/>
  <c r="N125" i="8"/>
  <c r="N126" i="8"/>
  <c r="N127" i="8"/>
  <c r="N128" i="8"/>
  <c r="N129" i="8"/>
  <c r="N130" i="8"/>
  <c r="N131" i="8"/>
  <c r="N132" i="8"/>
  <c r="N133" i="8"/>
  <c r="N134" i="8"/>
  <c r="N135"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48" i="4"/>
  <c r="Q148" i="4"/>
  <c r="Q147" i="4"/>
  <c r="N147"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4" i="4"/>
  <c r="P5" i="4"/>
  <c r="P6" i="4" s="1"/>
  <c r="P7" i="4" s="1"/>
  <c r="P8" i="4" s="1"/>
  <c r="P9" i="4" s="1"/>
  <c r="P10" i="4" s="1"/>
  <c r="P11" i="4" s="1"/>
  <c r="P12" i="4" s="1"/>
  <c r="P13" i="4" s="1"/>
  <c r="P14" i="4" s="1"/>
  <c r="P15" i="4" s="1"/>
  <c r="P16" i="4" s="1"/>
  <c r="P17" i="4" s="1"/>
  <c r="P18" i="4" s="1"/>
  <c r="P19" i="4" s="1"/>
  <c r="P20" i="4" s="1"/>
  <c r="P21" i="4" s="1"/>
  <c r="P22" i="4" s="1"/>
  <c r="P23" i="4" s="1"/>
  <c r="P24" i="4" s="1"/>
  <c r="P25" i="4" s="1"/>
  <c r="P26" i="4" s="1"/>
  <c r="P27" i="4" s="1"/>
  <c r="P28" i="4" s="1"/>
  <c r="P29" i="4" s="1"/>
  <c r="P30" i="4" s="1"/>
  <c r="P31" i="4" s="1"/>
  <c r="P32" i="4" s="1"/>
  <c r="P33" i="4" s="1"/>
  <c r="P34" i="4" s="1"/>
  <c r="P35" i="4" s="1"/>
  <c r="P36" i="4" s="1"/>
  <c r="P37" i="4" s="1"/>
  <c r="P38" i="4" s="1"/>
  <c r="P39" i="4" s="1"/>
  <c r="P40" i="4" s="1"/>
  <c r="P41" i="4" s="1"/>
  <c r="P42" i="4" s="1"/>
  <c r="P43" i="4" s="1"/>
  <c r="P44" i="4" s="1"/>
  <c r="P45" i="4" s="1"/>
  <c r="P46" i="4" s="1"/>
  <c r="P47" i="4" s="1"/>
  <c r="P48" i="4" s="1"/>
  <c r="P49" i="4" s="1"/>
  <c r="P50" i="4" s="1"/>
  <c r="P51" i="4" s="1"/>
  <c r="P52" i="4" s="1"/>
  <c r="P53" i="4" s="1"/>
  <c r="P54" i="4" s="1"/>
  <c r="P55" i="4" s="1"/>
  <c r="P56" i="4" s="1"/>
  <c r="P57" i="4" s="1"/>
  <c r="P58" i="4" s="1"/>
  <c r="P59" i="4" s="1"/>
  <c r="P60" i="4" s="1"/>
  <c r="P61" i="4" s="1"/>
  <c r="P62" i="4" s="1"/>
  <c r="P63" i="4" s="1"/>
  <c r="P64" i="4" s="1"/>
  <c r="P65" i="4" s="1"/>
  <c r="P66" i="4" s="1"/>
  <c r="P67" i="4" s="1"/>
  <c r="P68" i="4" s="1"/>
  <c r="P69" i="4" s="1"/>
  <c r="P70" i="4" s="1"/>
  <c r="P71" i="4" s="1"/>
  <c r="P72" i="4" s="1"/>
  <c r="P73" i="4" s="1"/>
  <c r="P74" i="4" s="1"/>
  <c r="P75" i="4" s="1"/>
  <c r="P76" i="4" s="1"/>
  <c r="P77" i="4" s="1"/>
  <c r="P78" i="4" s="1"/>
  <c r="P79" i="4" s="1"/>
  <c r="P80" i="4" s="1"/>
  <c r="P81" i="4" s="1"/>
  <c r="P82" i="4" s="1"/>
  <c r="P83" i="4" s="1"/>
  <c r="P84" i="4" s="1"/>
  <c r="P85" i="4" s="1"/>
  <c r="P86" i="4" s="1"/>
  <c r="P87" i="4" s="1"/>
  <c r="P88" i="4" s="1"/>
  <c r="P89" i="4" s="1"/>
  <c r="P90" i="4" s="1"/>
  <c r="P91" i="4" s="1"/>
  <c r="P92" i="4" s="1"/>
  <c r="P93" i="4" s="1"/>
  <c r="P94" i="4" s="1"/>
  <c r="P95" i="4" s="1"/>
  <c r="P96" i="4" s="1"/>
  <c r="P97" i="4" s="1"/>
  <c r="P98" i="4" s="1"/>
  <c r="P99" i="4" s="1"/>
  <c r="P100" i="4" s="1"/>
  <c r="P101" i="4" s="1"/>
  <c r="P102" i="4" s="1"/>
  <c r="P103" i="4" s="1"/>
  <c r="P104" i="4" s="1"/>
  <c r="P105" i="4" s="1"/>
  <c r="P106" i="4" s="1"/>
  <c r="P107" i="4" s="1"/>
  <c r="P108" i="4" s="1"/>
  <c r="P109" i="4" s="1"/>
  <c r="P110" i="4" s="1"/>
  <c r="P111" i="4" s="1"/>
  <c r="P112" i="4" s="1"/>
  <c r="P113" i="4" s="1"/>
  <c r="P114" i="4" s="1"/>
  <c r="P115" i="4" s="1"/>
  <c r="P116" i="4" s="1"/>
  <c r="P117" i="4" s="1"/>
  <c r="P118" i="4" s="1"/>
  <c r="P119" i="4" s="1"/>
  <c r="P120" i="4" s="1"/>
  <c r="P121" i="4" s="1"/>
  <c r="P122" i="4" s="1"/>
  <c r="P123" i="4" s="1"/>
  <c r="P124" i="4" s="1"/>
  <c r="P125" i="4" s="1"/>
  <c r="P126" i="4" s="1"/>
  <c r="P127" i="4" s="1"/>
  <c r="P128" i="4" s="1"/>
  <c r="P129" i="4" s="1"/>
  <c r="P130" i="4" s="1"/>
  <c r="P131" i="4" s="1"/>
  <c r="P132" i="4" s="1"/>
  <c r="P133" i="4" s="1"/>
  <c r="P134" i="4" s="1"/>
  <c r="P135" i="4" s="1"/>
  <c r="P136" i="4" s="1"/>
  <c r="P137" i="4" s="1"/>
  <c r="P138" i="4" s="1"/>
  <c r="P139" i="4" s="1"/>
  <c r="P140" i="4" s="1"/>
  <c r="P141" i="4" s="1"/>
  <c r="P142" i="4" s="1"/>
  <c r="P143" i="4" s="1"/>
  <c r="P144" i="4" s="1"/>
  <c r="P145" i="4" s="1"/>
  <c r="P146" i="4" s="1"/>
  <c r="P147" i="4" s="1"/>
  <c r="P148" i="4" s="1"/>
  <c r="N146" i="4"/>
  <c r="N145" i="4"/>
  <c r="N144" i="4"/>
  <c r="N143" i="4"/>
  <c r="N142" i="4"/>
  <c r="N141" i="4"/>
  <c r="N140" i="4"/>
  <c r="N139" i="4"/>
  <c r="N138" i="4"/>
  <c r="N137" i="4"/>
  <c r="N136" i="4"/>
  <c r="N135" i="4"/>
  <c r="N134" i="4"/>
  <c r="N133" i="4"/>
  <c r="N132" i="4"/>
  <c r="N131" i="4"/>
  <c r="N130" i="4"/>
  <c r="N129" i="4"/>
  <c r="N128" i="4"/>
  <c r="N127"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4" i="7"/>
  <c r="N120" i="7"/>
  <c r="N121" i="7"/>
  <c r="N122" i="7"/>
  <c r="N119" i="7"/>
  <c r="N118" i="7"/>
  <c r="N96" i="33"/>
  <c r="N95" i="33"/>
  <c r="N94" i="33"/>
  <c r="N93" i="33"/>
  <c r="N92" i="33"/>
  <c r="N91" i="33"/>
  <c r="N90" i="33"/>
  <c r="N89" i="33"/>
  <c r="N88" i="33"/>
  <c r="N87" i="33"/>
  <c r="N86" i="33"/>
  <c r="N85" i="33"/>
  <c r="N84" i="33"/>
  <c r="N83" i="33"/>
  <c r="N82" i="33"/>
  <c r="N81" i="33"/>
  <c r="N80" i="33"/>
  <c r="N79" i="33"/>
  <c r="N78" i="33"/>
  <c r="N77" i="33"/>
  <c r="N76" i="33"/>
  <c r="N75" i="33"/>
  <c r="N74" i="33"/>
  <c r="N73" i="33"/>
  <c r="N72" i="33"/>
  <c r="N71" i="33"/>
  <c r="N70" i="33"/>
  <c r="N69" i="33"/>
  <c r="N68" i="33"/>
  <c r="N67" i="33"/>
  <c r="N66" i="33"/>
  <c r="N65" i="33"/>
  <c r="N64" i="33"/>
  <c r="N63" i="33"/>
  <c r="N62" i="33"/>
  <c r="N61" i="33"/>
  <c r="N57" i="33"/>
  <c r="N58" i="33"/>
  <c r="N59" i="33"/>
  <c r="N60" i="33"/>
  <c r="N55" i="33"/>
  <c r="N53" i="33"/>
  <c r="N54" i="33"/>
  <c r="N56" i="33"/>
  <c r="P5" i="33"/>
  <c r="P6" i="33" s="1"/>
  <c r="P7" i="33" s="1"/>
  <c r="P8" i="33" s="1"/>
  <c r="P9" i="33" s="1"/>
  <c r="P10" i="33" s="1"/>
  <c r="P11" i="33" s="1"/>
  <c r="P12" i="33" s="1"/>
  <c r="P13" i="33" s="1"/>
  <c r="P14" i="33" s="1"/>
  <c r="P15" i="33" s="1"/>
  <c r="P16" i="33" s="1"/>
  <c r="P17" i="33" s="1"/>
  <c r="P18" i="33" s="1"/>
  <c r="P19" i="33" s="1"/>
  <c r="P20" i="33" s="1"/>
  <c r="P21" i="33" s="1"/>
  <c r="P22" i="33" s="1"/>
  <c r="P23" i="33" s="1"/>
  <c r="P24" i="33" s="1"/>
  <c r="P25" i="33" s="1"/>
  <c r="P26" i="33" s="1"/>
  <c r="P27" i="33" s="1"/>
  <c r="P28" i="33" s="1"/>
  <c r="P29" i="33" s="1"/>
  <c r="P30" i="33" s="1"/>
  <c r="P31" i="33" s="1"/>
  <c r="P32" i="33" s="1"/>
  <c r="P33" i="33" s="1"/>
  <c r="P34" i="33" s="1"/>
  <c r="P35" i="33" s="1"/>
  <c r="P36" i="33" s="1"/>
  <c r="P37" i="33" s="1"/>
  <c r="P38" i="33" s="1"/>
  <c r="P39" i="33" s="1"/>
  <c r="P40" i="33" s="1"/>
  <c r="P41" i="33" s="1"/>
  <c r="P42" i="33" s="1"/>
  <c r="P43" i="33" s="1"/>
  <c r="P44" i="33" s="1"/>
  <c r="P45" i="33" s="1"/>
  <c r="P46" i="33" s="1"/>
  <c r="P47" i="33" s="1"/>
  <c r="P48" i="33" s="1"/>
  <c r="P49" i="33" s="1"/>
  <c r="P50" i="33" s="1"/>
  <c r="P51" i="33" s="1"/>
  <c r="P52" i="33" s="1"/>
  <c r="P53" i="33" s="1"/>
  <c r="P54" i="33" s="1"/>
  <c r="P55" i="33" s="1"/>
  <c r="P56" i="33" s="1"/>
  <c r="P57" i="33" s="1"/>
  <c r="P58" i="33" s="1"/>
  <c r="P59" i="33" s="1"/>
  <c r="P60" i="33" s="1"/>
  <c r="P61" i="33" s="1"/>
  <c r="P62" i="33" s="1"/>
  <c r="P63" i="33" s="1"/>
  <c r="P64" i="33" s="1"/>
  <c r="P65" i="33" s="1"/>
  <c r="P66" i="33" s="1"/>
  <c r="P67" i="33" s="1"/>
  <c r="P68" i="33" s="1"/>
  <c r="P69" i="33" s="1"/>
  <c r="P70" i="33" s="1"/>
  <c r="P71" i="33" s="1"/>
  <c r="P72" i="33" s="1"/>
  <c r="P73" i="33" s="1"/>
  <c r="P74" i="33" s="1"/>
  <c r="P75" i="33" s="1"/>
  <c r="P76" i="33" s="1"/>
  <c r="P77" i="33" s="1"/>
  <c r="P78" i="33" s="1"/>
  <c r="P79" i="33" s="1"/>
  <c r="P80" i="33" s="1"/>
  <c r="P81" i="33" s="1"/>
  <c r="P82" i="33" s="1"/>
  <c r="P83" i="33" s="1"/>
  <c r="P84" i="33" s="1"/>
  <c r="P85" i="33" s="1"/>
  <c r="P86" i="33" s="1"/>
  <c r="P87" i="33" s="1"/>
  <c r="P88" i="33" s="1"/>
  <c r="P89" i="33" s="1"/>
  <c r="P90" i="33" s="1"/>
  <c r="P91" i="33" s="1"/>
  <c r="P92" i="33" s="1"/>
  <c r="P93" i="33" s="1"/>
  <c r="P94" i="33" s="1"/>
  <c r="P95" i="33" s="1"/>
  <c r="P96" i="33" s="1"/>
  <c r="N52" i="33"/>
  <c r="N50" i="33"/>
  <c r="N48" i="33"/>
  <c r="N46" i="33"/>
  <c r="N44" i="33"/>
  <c r="N42" i="33"/>
  <c r="N41" i="33"/>
  <c r="N43" i="33"/>
  <c r="N45" i="33"/>
  <c r="N47" i="33"/>
  <c r="N49" i="33"/>
  <c r="N51" i="33"/>
  <c r="C4" i="33"/>
  <c r="C5" i="33" s="1"/>
  <c r="C6" i="33" s="1"/>
  <c r="C7" i="33" s="1"/>
  <c r="C8" i="33" s="1"/>
  <c r="C9" i="33" s="1"/>
  <c r="C10" i="33" s="1"/>
  <c r="C11" i="33" s="1"/>
  <c r="C12" i="33" s="1"/>
  <c r="C13" i="33" s="1"/>
  <c r="C14" i="33" s="1"/>
  <c r="C15" i="33" s="1"/>
  <c r="C16" i="33" s="1"/>
  <c r="C17" i="33" s="1"/>
  <c r="C18" i="33" s="1"/>
  <c r="C19" i="33" s="1"/>
  <c r="C20" i="33" s="1"/>
  <c r="C21" i="33" s="1"/>
  <c r="C22" i="33" s="1"/>
  <c r="C23" i="33" s="1"/>
  <c r="C24" i="33" s="1"/>
  <c r="C25" i="33" s="1"/>
  <c r="C26" i="33" s="1"/>
  <c r="C27" i="33" s="1"/>
  <c r="C28" i="33" s="1"/>
  <c r="C29" i="33" s="1"/>
  <c r="C30" i="33" s="1"/>
  <c r="C31" i="33" s="1"/>
  <c r="C32" i="33" s="1"/>
  <c r="C33" i="33" s="1"/>
  <c r="C34" i="33" s="1"/>
  <c r="C35" i="33" s="1"/>
  <c r="C36" i="33" s="1"/>
  <c r="C37" i="33" s="1"/>
  <c r="C38" i="33" s="1"/>
  <c r="C39" i="33" s="1"/>
  <c r="C40" i="33" s="1"/>
  <c r="C41" i="33" s="1"/>
  <c r="E41" i="33" s="1"/>
  <c r="N11" i="33"/>
  <c r="N12" i="33"/>
  <c r="N19" i="33"/>
  <c r="N20" i="33"/>
  <c r="N22" i="33"/>
  <c r="N25" i="33"/>
  <c r="N27" i="33"/>
  <c r="N28" i="33"/>
  <c r="N30" i="33"/>
  <c r="N35" i="33"/>
  <c r="N36" i="33"/>
  <c r="N38" i="33"/>
  <c r="N4" i="33"/>
  <c r="N8" i="33"/>
  <c r="N9" i="33"/>
  <c r="N10" i="33"/>
  <c r="N13" i="33"/>
  <c r="N14" i="33"/>
  <c r="N15" i="33"/>
  <c r="N16" i="33"/>
  <c r="N17" i="33"/>
  <c r="N18" i="33"/>
  <c r="N21" i="33"/>
  <c r="N23" i="33"/>
  <c r="N24" i="33"/>
  <c r="N26" i="33"/>
  <c r="N29" i="33"/>
  <c r="N31" i="33"/>
  <c r="N32" i="33"/>
  <c r="N33" i="33"/>
  <c r="N34" i="33"/>
  <c r="N37" i="33"/>
  <c r="N39" i="33"/>
  <c r="N40" i="33"/>
  <c r="N7" i="33"/>
  <c r="N6" i="33"/>
  <c r="N5" i="33"/>
  <c r="N209" i="31"/>
  <c r="N208" i="31"/>
  <c r="N207" i="31"/>
  <c r="N206" i="31"/>
  <c r="N205" i="31"/>
  <c r="N204" i="31"/>
  <c r="N203" i="31"/>
  <c r="N202" i="31"/>
  <c r="N201" i="31"/>
  <c r="N200" i="31"/>
  <c r="N199" i="31"/>
  <c r="N198" i="31"/>
  <c r="N197" i="31"/>
  <c r="N196" i="31"/>
  <c r="N195" i="31"/>
  <c r="N194" i="31"/>
  <c r="N193" i="31"/>
  <c r="N192" i="31"/>
  <c r="N191" i="31"/>
  <c r="N190" i="31"/>
  <c r="N189" i="31"/>
  <c r="N188" i="31"/>
  <c r="N187" i="31"/>
  <c r="N186" i="31"/>
  <c r="N185" i="31"/>
  <c r="N184" i="31"/>
  <c r="N183" i="31"/>
  <c r="N182" i="31"/>
  <c r="N181" i="31"/>
  <c r="N180" i="31"/>
  <c r="N179" i="31"/>
  <c r="N178" i="31"/>
  <c r="N177" i="31"/>
  <c r="N176" i="31"/>
  <c r="N175" i="31"/>
  <c r="N174" i="31"/>
  <c r="N173" i="31"/>
  <c r="N172" i="31"/>
  <c r="N171" i="31"/>
  <c r="N170" i="31"/>
  <c r="N169" i="31"/>
  <c r="N168" i="31"/>
  <c r="N167" i="31"/>
  <c r="N166" i="31"/>
  <c r="N165" i="31"/>
  <c r="N164" i="31"/>
  <c r="N163" i="31"/>
  <c r="N162" i="31"/>
  <c r="N161" i="31"/>
  <c r="N160" i="31"/>
  <c r="N159" i="31"/>
  <c r="N158" i="31"/>
  <c r="N157" i="31"/>
  <c r="N156" i="31"/>
  <c r="N155" i="31"/>
  <c r="N154" i="31"/>
  <c r="N153" i="31"/>
  <c r="N152" i="31"/>
  <c r="N151" i="31"/>
  <c r="N150" i="31"/>
  <c r="N149" i="31"/>
  <c r="N148" i="31"/>
  <c r="N116" i="31"/>
  <c r="N117" i="31"/>
  <c r="N118" i="31"/>
  <c r="N119" i="31"/>
  <c r="N110" i="31"/>
  <c r="N111" i="31"/>
  <c r="N112" i="31"/>
  <c r="N113" i="31"/>
  <c r="N114" i="31"/>
  <c r="N115" i="31"/>
  <c r="N120" i="31"/>
  <c r="N121" i="31"/>
  <c r="N122" i="31"/>
  <c r="N123" i="31"/>
  <c r="N124" i="31"/>
  <c r="N125" i="31"/>
  <c r="N126" i="31"/>
  <c r="N127" i="31"/>
  <c r="N128" i="31"/>
  <c r="N129" i="31"/>
  <c r="N130" i="31"/>
  <c r="N131" i="31"/>
  <c r="N132" i="31"/>
  <c r="N133" i="31"/>
  <c r="N134" i="31"/>
  <c r="N135" i="31"/>
  <c r="N136" i="31"/>
  <c r="N137" i="31"/>
  <c r="N138" i="31"/>
  <c r="N139" i="31"/>
  <c r="N140" i="31"/>
  <c r="N141" i="31"/>
  <c r="N142" i="31"/>
  <c r="N143" i="31"/>
  <c r="N144" i="31"/>
  <c r="N145" i="31"/>
  <c r="N146" i="31"/>
  <c r="N147" i="31"/>
  <c r="P5" i="31"/>
  <c r="P6" i="31" s="1"/>
  <c r="P7" i="31" s="1"/>
  <c r="P8" i="31" s="1"/>
  <c r="P9" i="31" s="1"/>
  <c r="P10" i="31" s="1"/>
  <c r="P11" i="31" s="1"/>
  <c r="P12" i="31" s="1"/>
  <c r="P13" i="31" s="1"/>
  <c r="P14" i="31" s="1"/>
  <c r="P15" i="31" s="1"/>
  <c r="P16" i="31" s="1"/>
  <c r="P17" i="31" s="1"/>
  <c r="P18" i="31" s="1"/>
  <c r="P19" i="31" s="1"/>
  <c r="P20" i="31" s="1"/>
  <c r="P21" i="31" s="1"/>
  <c r="P22" i="31" s="1"/>
  <c r="P23" i="31" s="1"/>
  <c r="P24" i="31" s="1"/>
  <c r="P25" i="31" s="1"/>
  <c r="P26" i="31" s="1"/>
  <c r="P27" i="31" s="1"/>
  <c r="P28" i="31" s="1"/>
  <c r="P29" i="31" s="1"/>
  <c r="P30" i="31" s="1"/>
  <c r="P31" i="31" s="1"/>
  <c r="P32" i="31" s="1"/>
  <c r="P33" i="31" s="1"/>
  <c r="P34" i="31" s="1"/>
  <c r="P35" i="31" s="1"/>
  <c r="P36" i="31" s="1"/>
  <c r="P37" i="31" s="1"/>
  <c r="P38" i="31" s="1"/>
  <c r="P39" i="31" s="1"/>
  <c r="P40" i="31" s="1"/>
  <c r="P41" i="31" s="1"/>
  <c r="P42" i="31" s="1"/>
  <c r="P43" i="31" s="1"/>
  <c r="P44" i="31" s="1"/>
  <c r="P45" i="31" s="1"/>
  <c r="P46" i="31" s="1"/>
  <c r="P47" i="31" s="1"/>
  <c r="P48" i="31" s="1"/>
  <c r="P49" i="31" s="1"/>
  <c r="P50" i="31" s="1"/>
  <c r="P51" i="31" s="1"/>
  <c r="P52" i="31" s="1"/>
  <c r="P53" i="31" s="1"/>
  <c r="P54" i="31" s="1"/>
  <c r="P55" i="31" s="1"/>
  <c r="P56" i="31" s="1"/>
  <c r="P57" i="31" s="1"/>
  <c r="P58" i="31" s="1"/>
  <c r="P59" i="31" s="1"/>
  <c r="P60" i="31" s="1"/>
  <c r="P61" i="31" s="1"/>
  <c r="P62" i="31" s="1"/>
  <c r="P63" i="31" s="1"/>
  <c r="P64" i="31" s="1"/>
  <c r="P65" i="31" s="1"/>
  <c r="P66" i="31" s="1"/>
  <c r="P67" i="31" s="1"/>
  <c r="P68" i="31" s="1"/>
  <c r="P69" i="31" s="1"/>
  <c r="P70" i="31" s="1"/>
  <c r="P71" i="31" s="1"/>
  <c r="P72" i="31" s="1"/>
  <c r="P73" i="31" s="1"/>
  <c r="P74" i="31" s="1"/>
  <c r="P75" i="31" s="1"/>
  <c r="P76" i="31" s="1"/>
  <c r="P77" i="31" s="1"/>
  <c r="P78" i="31" s="1"/>
  <c r="P79" i="31" s="1"/>
  <c r="P80" i="31" s="1"/>
  <c r="P81" i="31" s="1"/>
  <c r="P82" i="31" s="1"/>
  <c r="P83" i="31" s="1"/>
  <c r="P84" i="31" s="1"/>
  <c r="P85" i="31" s="1"/>
  <c r="P86" i="31" s="1"/>
  <c r="P87" i="31" s="1"/>
  <c r="P88" i="31" s="1"/>
  <c r="P89" i="31" s="1"/>
  <c r="P90" i="31" s="1"/>
  <c r="P91" i="31" s="1"/>
  <c r="P92" i="31" s="1"/>
  <c r="P93" i="31" s="1"/>
  <c r="P94" i="31" s="1"/>
  <c r="P95" i="31" s="1"/>
  <c r="P96" i="31" s="1"/>
  <c r="P97" i="31" s="1"/>
  <c r="P98" i="31" s="1"/>
  <c r="P99" i="31" s="1"/>
  <c r="P100" i="31" s="1"/>
  <c r="P101" i="31" s="1"/>
  <c r="P102" i="31" s="1"/>
  <c r="P103" i="31" s="1"/>
  <c r="P104" i="31" s="1"/>
  <c r="P105" i="31" s="1"/>
  <c r="P106" i="31" s="1"/>
  <c r="P107" i="31" s="1"/>
  <c r="P108" i="31" s="1"/>
  <c r="P109" i="31" s="1"/>
  <c r="P110" i="31" s="1"/>
  <c r="P111" i="31" s="1"/>
  <c r="P112" i="31" s="1"/>
  <c r="P113" i="31" s="1"/>
  <c r="P114" i="31" s="1"/>
  <c r="P115" i="31" s="1"/>
  <c r="P116" i="31" s="1"/>
  <c r="P117" i="31" s="1"/>
  <c r="P118" i="31" s="1"/>
  <c r="P119" i="31" s="1"/>
  <c r="N64" i="31"/>
  <c r="N109" i="31"/>
  <c r="N51" i="30"/>
  <c r="N50" i="30"/>
  <c r="N44" i="30"/>
  <c r="N43" i="30"/>
  <c r="P5" i="30"/>
  <c r="P6" i="30" s="1"/>
  <c r="P7" i="30" s="1"/>
  <c r="P8" i="30" s="1"/>
  <c r="P9" i="30" s="1"/>
  <c r="P10" i="30" s="1"/>
  <c r="P11" i="30" s="1"/>
  <c r="P12" i="30" s="1"/>
  <c r="P13" i="30" s="1"/>
  <c r="P14" i="30" s="1"/>
  <c r="P15" i="30" s="1"/>
  <c r="P16" i="30" s="1"/>
  <c r="P17" i="30" s="1"/>
  <c r="P18" i="30" s="1"/>
  <c r="P19" i="30" s="1"/>
  <c r="P20" i="30" s="1"/>
  <c r="P21" i="30" s="1"/>
  <c r="P22" i="30" s="1"/>
  <c r="P23" i="30" s="1"/>
  <c r="P24" i="30" s="1"/>
  <c r="P25" i="30" s="1"/>
  <c r="P26" i="30" s="1"/>
  <c r="P27" i="30" s="1"/>
  <c r="P28" i="30" s="1"/>
  <c r="P29" i="30" s="1"/>
  <c r="P30" i="30" s="1"/>
  <c r="P31" i="30" s="1"/>
  <c r="P32" i="30" s="1"/>
  <c r="P33" i="30" s="1"/>
  <c r="P34" i="30" s="1"/>
  <c r="P35" i="30" s="1"/>
  <c r="P36" i="30" s="1"/>
  <c r="P37" i="30" s="1"/>
  <c r="P38" i="30" s="1"/>
  <c r="P39" i="30" s="1"/>
  <c r="P40" i="30" s="1"/>
  <c r="P41" i="30" s="1"/>
  <c r="P42" i="30" s="1"/>
  <c r="P43" i="30" s="1"/>
  <c r="P44" i="30" s="1"/>
  <c r="P45" i="30" s="1"/>
  <c r="N49" i="30"/>
  <c r="N48" i="30"/>
  <c r="N47" i="30"/>
  <c r="N46" i="30"/>
  <c r="N45" i="30"/>
  <c r="P134" i="28" l="1"/>
  <c r="P135" i="28" s="1"/>
  <c r="E34" i="33"/>
  <c r="E39" i="33"/>
  <c r="E23" i="33"/>
  <c r="E7" i="33"/>
  <c r="E18" i="33"/>
  <c r="P107" i="8"/>
  <c r="P108" i="8" s="1"/>
  <c r="P109" i="8" s="1"/>
  <c r="P110" i="8" s="1"/>
  <c r="P111" i="8" s="1"/>
  <c r="P112" i="8" s="1"/>
  <c r="P113" i="8" s="1"/>
  <c r="P114" i="8" s="1"/>
  <c r="P115" i="8" s="1"/>
  <c r="P116" i="8" s="1"/>
  <c r="P117" i="8" s="1"/>
  <c r="P118" i="8" s="1"/>
  <c r="P119" i="8" s="1"/>
  <c r="P120" i="8" s="1"/>
  <c r="P121" i="8" s="1"/>
  <c r="P122" i="8" s="1"/>
  <c r="P123" i="8" s="1"/>
  <c r="P124" i="8" s="1"/>
  <c r="P125" i="8" s="1"/>
  <c r="P126" i="8" s="1"/>
  <c r="P127" i="8" s="1"/>
  <c r="P128" i="8" s="1"/>
  <c r="P129" i="8" s="1"/>
  <c r="P130" i="8" s="1"/>
  <c r="P131" i="8" s="1"/>
  <c r="P132" i="8" s="1"/>
  <c r="P133" i="8" s="1"/>
  <c r="P134" i="8" s="1"/>
  <c r="P135" i="8" s="1"/>
  <c r="P77" i="15"/>
  <c r="P78" i="15" s="1"/>
  <c r="P79" i="15" s="1"/>
  <c r="P80" i="15" s="1"/>
  <c r="P81" i="15" s="1"/>
  <c r="E33" i="33"/>
  <c r="E17" i="33"/>
  <c r="E31" i="33"/>
  <c r="E15" i="33"/>
  <c r="E27" i="33"/>
  <c r="E11" i="33"/>
  <c r="E4" i="33"/>
  <c r="E26" i="33"/>
  <c r="E10" i="33"/>
  <c r="E25" i="33"/>
  <c r="E9" i="33"/>
  <c r="E35" i="33"/>
  <c r="E19" i="33"/>
  <c r="E40" i="33"/>
  <c r="E32" i="33"/>
  <c r="E24" i="33"/>
  <c r="E16" i="33"/>
  <c r="E8" i="33"/>
  <c r="E38" i="33"/>
  <c r="E30" i="33"/>
  <c r="E22" i="33"/>
  <c r="E14" i="33"/>
  <c r="E6" i="33"/>
  <c r="E37" i="33"/>
  <c r="E29" i="33"/>
  <c r="E21" i="33"/>
  <c r="E13" i="33"/>
  <c r="E5" i="33"/>
  <c r="E36" i="33"/>
  <c r="E28" i="33"/>
  <c r="E20" i="33"/>
  <c r="E12" i="33"/>
  <c r="P120" i="31"/>
  <c r="P121" i="31" s="1"/>
  <c r="P122" i="31" s="1"/>
  <c r="P123" i="31" s="1"/>
  <c r="P124" i="31" s="1"/>
  <c r="P125" i="31" s="1"/>
  <c r="P126" i="31" s="1"/>
  <c r="P127" i="31" s="1"/>
  <c r="P128" i="31" s="1"/>
  <c r="P129" i="31" s="1"/>
  <c r="P130" i="31" s="1"/>
  <c r="P131" i="31" s="1"/>
  <c r="P132" i="31" s="1"/>
  <c r="P133" i="31" s="1"/>
  <c r="P134" i="31" s="1"/>
  <c r="P135" i="31" s="1"/>
  <c r="P136" i="31" s="1"/>
  <c r="P137" i="31" s="1"/>
  <c r="P138" i="31" s="1"/>
  <c r="P139" i="31" s="1"/>
  <c r="P140" i="31" s="1"/>
  <c r="P141" i="31" s="1"/>
  <c r="P142" i="31" s="1"/>
  <c r="P143" i="31" s="1"/>
  <c r="P144" i="31" s="1"/>
  <c r="P145" i="31" s="1"/>
  <c r="P146" i="31" s="1"/>
  <c r="P147" i="31" s="1"/>
  <c r="P148" i="31" s="1"/>
  <c r="P149" i="31" s="1"/>
  <c r="P150" i="31" s="1"/>
  <c r="P151" i="31" s="1"/>
  <c r="P152" i="31" s="1"/>
  <c r="P153" i="31" s="1"/>
  <c r="P154" i="31" s="1"/>
  <c r="P155" i="31" s="1"/>
  <c r="P156" i="31" s="1"/>
  <c r="P157" i="31" s="1"/>
  <c r="P158" i="31" s="1"/>
  <c r="P159" i="31" s="1"/>
  <c r="P160" i="31" s="1"/>
  <c r="P161" i="31" s="1"/>
  <c r="P162" i="31" s="1"/>
  <c r="P163" i="31" s="1"/>
  <c r="P164" i="31" s="1"/>
  <c r="P165" i="31" s="1"/>
  <c r="P166" i="31" s="1"/>
  <c r="P167" i="31" s="1"/>
  <c r="P168" i="31" s="1"/>
  <c r="P169" i="31" s="1"/>
  <c r="P170" i="31" s="1"/>
  <c r="P171" i="31" s="1"/>
  <c r="P172" i="31" s="1"/>
  <c r="P173" i="31" s="1"/>
  <c r="P174" i="31" s="1"/>
  <c r="P175" i="31" s="1"/>
  <c r="P176" i="31" s="1"/>
  <c r="P177" i="31" s="1"/>
  <c r="P178" i="31" s="1"/>
  <c r="P179" i="31" s="1"/>
  <c r="P180" i="31" s="1"/>
  <c r="P181" i="31" s="1"/>
  <c r="P182" i="31" s="1"/>
  <c r="P183" i="31" s="1"/>
  <c r="P184" i="31" s="1"/>
  <c r="P185" i="31" s="1"/>
  <c r="P186" i="31" s="1"/>
  <c r="P187" i="31" s="1"/>
  <c r="P188" i="31" s="1"/>
  <c r="P189" i="31" s="1"/>
  <c r="P190" i="31" s="1"/>
  <c r="P191" i="31" s="1"/>
  <c r="P192" i="31" s="1"/>
  <c r="P193" i="31" s="1"/>
  <c r="P194" i="31" s="1"/>
  <c r="P195" i="31" s="1"/>
  <c r="P196" i="31" s="1"/>
  <c r="P197" i="31" s="1"/>
  <c r="P198" i="31" s="1"/>
  <c r="P199" i="31" s="1"/>
  <c r="P200" i="31" s="1"/>
  <c r="P201" i="31" s="1"/>
  <c r="P202" i="31" s="1"/>
  <c r="P203" i="31" s="1"/>
  <c r="P204" i="31" s="1"/>
  <c r="P205" i="31" s="1"/>
  <c r="P206" i="31" s="1"/>
  <c r="P207" i="31" s="1"/>
  <c r="P208" i="31" s="1"/>
  <c r="P209" i="31" s="1"/>
  <c r="P46" i="30"/>
  <c r="P47" i="30" s="1"/>
  <c r="P48" i="30" s="1"/>
  <c r="P49" i="30" s="1"/>
  <c r="P50" i="30" s="1"/>
  <c r="P51" i="30" s="1"/>
  <c r="N29" i="30"/>
  <c r="N30" i="30"/>
  <c r="N31" i="30"/>
  <c r="N32" i="30"/>
  <c r="N33" i="30"/>
  <c r="N34" i="30"/>
  <c r="N35" i="30"/>
  <c r="N36" i="30"/>
  <c r="N37" i="30"/>
  <c r="N38" i="30"/>
  <c r="N39" i="30"/>
  <c r="N40" i="30"/>
  <c r="N41" i="30"/>
  <c r="N42" i="30"/>
  <c r="P136" i="28" l="1"/>
  <c r="P137" i="28" s="1"/>
  <c r="P138" i="28" s="1"/>
  <c r="P139" i="28" s="1"/>
  <c r="P140" i="28" s="1"/>
  <c r="P141" i="28" s="1"/>
  <c r="P142" i="28" s="1"/>
  <c r="P143" i="28" s="1"/>
  <c r="P144" i="28" s="1"/>
  <c r="P145" i="28" s="1"/>
  <c r="P146" i="28" s="1"/>
  <c r="P147" i="28" s="1"/>
  <c r="P148" i="28" s="1"/>
  <c r="P149" i="28" s="1"/>
  <c r="P150" i="28" s="1"/>
  <c r="P151" i="28" s="1"/>
  <c r="P152" i="28" s="1"/>
  <c r="P153" i="28" s="1"/>
  <c r="P154" i="28" s="1"/>
  <c r="P155" i="28" s="1"/>
  <c r="P156" i="28" s="1"/>
  <c r="P157" i="28" s="1"/>
  <c r="P158" i="28" s="1"/>
  <c r="P159" i="28" s="1"/>
  <c r="P160" i="28" s="1"/>
  <c r="P161" i="28" s="1"/>
  <c r="P162" i="28" s="1"/>
  <c r="P163" i="28" s="1"/>
  <c r="P164" i="28" s="1"/>
  <c r="P165" i="28" s="1"/>
  <c r="P166" i="28" s="1"/>
  <c r="P167" i="28" s="1"/>
  <c r="P168" i="28" s="1"/>
  <c r="P169" i="28" s="1"/>
  <c r="P170" i="28" s="1"/>
  <c r="P171" i="28" s="1"/>
  <c r="P172" i="28" s="1"/>
  <c r="P173" i="28" s="1"/>
  <c r="P174" i="28" s="1"/>
  <c r="P175" i="28" s="1"/>
  <c r="P176" i="28" s="1"/>
  <c r="P177" i="28" s="1"/>
  <c r="P178" i="28" s="1"/>
  <c r="P179" i="28" s="1"/>
  <c r="P180" i="28" s="1"/>
  <c r="P181" i="28" s="1"/>
  <c r="P182" i="28" s="1"/>
  <c r="P183" i="28" s="1"/>
  <c r="P184" i="28" s="1"/>
  <c r="P185" i="28" s="1"/>
  <c r="P186" i="28" s="1"/>
  <c r="P187" i="28" s="1"/>
  <c r="P188" i="28" s="1"/>
  <c r="P189" i="28" s="1"/>
  <c r="P190" i="28" s="1"/>
  <c r="P191" i="28" s="1"/>
  <c r="P192" i="28" s="1"/>
  <c r="P193" i="28" s="1"/>
  <c r="P194" i="28" s="1"/>
  <c r="P195" i="28" s="1"/>
  <c r="P196" i="28" s="1"/>
  <c r="P197" i="28" s="1"/>
  <c r="P198" i="28" s="1"/>
  <c r="P82" i="15"/>
  <c r="P83" i="15" s="1"/>
  <c r="P84" i="15" s="1"/>
  <c r="P85" i="15" s="1"/>
  <c r="P86" i="15" s="1"/>
  <c r="P87" i="15" s="1"/>
  <c r="P88" i="15" s="1"/>
  <c r="P89" i="15" s="1"/>
  <c r="P136" i="8"/>
  <c r="P137" i="8" s="1"/>
  <c r="P138" i="8" s="1"/>
  <c r="P139" i="8" s="1"/>
  <c r="P140" i="8" s="1"/>
  <c r="P141" i="8" s="1"/>
  <c r="P142" i="8" s="1"/>
  <c r="P143" i="8" s="1"/>
  <c r="P144" i="8" s="1"/>
  <c r="P145" i="8" s="1"/>
  <c r="P146" i="8" s="1"/>
  <c r="P147" i="8" s="1"/>
  <c r="P148" i="8" s="1"/>
  <c r="P149" i="8" s="1"/>
  <c r="P150" i="8" s="1"/>
  <c r="P151" i="8" s="1"/>
  <c r="P152" i="8" s="1"/>
  <c r="P153" i="8" s="1"/>
  <c r="P154" i="8" s="1"/>
  <c r="P155" i="8" s="1"/>
  <c r="P156" i="8" s="1"/>
  <c r="P157" i="8" s="1"/>
  <c r="P158" i="8" s="1"/>
  <c r="P159" i="8" s="1"/>
  <c r="P160" i="8" s="1"/>
  <c r="P161" i="8" s="1"/>
  <c r="Q66" i="27"/>
  <c r="Q67" i="27"/>
  <c r="N66" i="27"/>
  <c r="N67" i="27"/>
  <c r="Q63" i="27"/>
  <c r="Q64" i="27"/>
  <c r="Q65" i="27"/>
  <c r="N63" i="27"/>
  <c r="N65" i="27"/>
  <c r="N64" i="27"/>
  <c r="Q61" i="27"/>
  <c r="Q62" i="27"/>
  <c r="N62" i="27"/>
  <c r="N61" i="27"/>
  <c r="Q49" i="27"/>
  <c r="Q50" i="27"/>
  <c r="N49" i="27"/>
  <c r="N50" i="27"/>
  <c r="Q5" i="27"/>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Q35" i="27"/>
  <c r="Q36" i="27"/>
  <c r="Q37" i="27"/>
  <c r="Q38" i="27"/>
  <c r="Q39" i="27"/>
  <c r="Q40" i="27"/>
  <c r="Q41" i="27"/>
  <c r="Q42" i="27"/>
  <c r="Q43" i="27"/>
  <c r="Q44" i="27"/>
  <c r="Q45" i="27"/>
  <c r="Q46" i="27"/>
  <c r="Q47" i="27"/>
  <c r="Q48" i="27"/>
  <c r="Q51" i="27"/>
  <c r="Q52" i="27"/>
  <c r="Q53" i="27"/>
  <c r="Q54" i="27"/>
  <c r="Q55" i="27"/>
  <c r="Q56" i="27"/>
  <c r="Q57" i="27"/>
  <c r="Q58" i="27"/>
  <c r="Q59" i="27"/>
  <c r="Q60" i="27"/>
  <c r="Q4" i="27"/>
  <c r="N41" i="27"/>
  <c r="N42" i="27"/>
  <c r="N51" i="27"/>
  <c r="N43" i="27"/>
  <c r="N44" i="27"/>
  <c r="N45" i="27"/>
  <c r="N46" i="27"/>
  <c r="N47" i="27"/>
  <c r="N48" i="27"/>
  <c r="N52" i="27"/>
  <c r="N53" i="27"/>
  <c r="N54" i="27"/>
  <c r="N55" i="27"/>
  <c r="N56" i="27"/>
  <c r="N57" i="27"/>
  <c r="N58" i="27"/>
  <c r="N59" i="27"/>
  <c r="N60" i="27"/>
  <c r="P5" i="27"/>
  <c r="P6" i="27" s="1"/>
  <c r="P7" i="27" s="1"/>
  <c r="P8" i="27" s="1"/>
  <c r="P9" i="27" s="1"/>
  <c r="P10" i="27" s="1"/>
  <c r="P11" i="27" s="1"/>
  <c r="P12" i="27" s="1"/>
  <c r="P13" i="27" s="1"/>
  <c r="P14" i="27" s="1"/>
  <c r="P15" i="27" s="1"/>
  <c r="P16" i="27" s="1"/>
  <c r="P17" i="27" s="1"/>
  <c r="P18" i="27" s="1"/>
  <c r="P19" i="27" s="1"/>
  <c r="P20" i="27" s="1"/>
  <c r="P21" i="27" s="1"/>
  <c r="P22" i="27" s="1"/>
  <c r="P23" i="27" s="1"/>
  <c r="P24" i="27" s="1"/>
  <c r="P25" i="27" s="1"/>
  <c r="P26" i="27" s="1"/>
  <c r="P27" i="27" s="1"/>
  <c r="P28" i="27" s="1"/>
  <c r="P29" i="27" s="1"/>
  <c r="P30" i="27" s="1"/>
  <c r="P31" i="27" s="1"/>
  <c r="P32" i="27" s="1"/>
  <c r="P33" i="27" s="1"/>
  <c r="P34" i="27" s="1"/>
  <c r="P35" i="27" s="1"/>
  <c r="P36" i="27" s="1"/>
  <c r="P37" i="27" s="1"/>
  <c r="P38" i="27" s="1"/>
  <c r="P39" i="27" s="1"/>
  <c r="P40" i="27" s="1"/>
  <c r="P41" i="27" s="1"/>
  <c r="P42" i="27" s="1"/>
  <c r="P162" i="8" l="1"/>
  <c r="P163" i="8" s="1"/>
  <c r="P164" i="8" s="1"/>
  <c r="P165" i="8" s="1"/>
  <c r="P166" i="8" s="1"/>
  <c r="P167" i="8" s="1"/>
  <c r="P168" i="8" s="1"/>
  <c r="P169" i="8" s="1"/>
  <c r="P170" i="8" s="1"/>
  <c r="P171" i="8" s="1"/>
  <c r="P172" i="8" s="1"/>
  <c r="P173" i="8" s="1"/>
  <c r="P174" i="8" s="1"/>
  <c r="P175" i="8" s="1"/>
  <c r="P176" i="8" s="1"/>
  <c r="P177" i="8" s="1"/>
  <c r="P178" i="8" s="1"/>
  <c r="P179" i="8" s="1"/>
  <c r="P180" i="8" s="1"/>
  <c r="P181" i="8" s="1"/>
  <c r="P182" i="8" s="1"/>
  <c r="P183" i="8" s="1"/>
  <c r="P184" i="8" s="1"/>
  <c r="P185" i="8" s="1"/>
  <c r="P186" i="8" s="1"/>
  <c r="P187" i="8" s="1"/>
  <c r="P188" i="8" s="1"/>
  <c r="P189" i="8" s="1"/>
  <c r="P190" i="8" s="1"/>
  <c r="P191" i="8" s="1"/>
  <c r="P192" i="8" s="1"/>
  <c r="P90" i="15"/>
  <c r="P91" i="15" s="1"/>
  <c r="P43" i="27"/>
  <c r="P44" i="27" s="1"/>
  <c r="P45" i="27" s="1"/>
  <c r="P46" i="27" s="1"/>
  <c r="P47" i="27" s="1"/>
  <c r="P48" i="27" s="1"/>
  <c r="N177" i="22"/>
  <c r="P92" i="15" l="1"/>
  <c r="P93" i="15" s="1"/>
  <c r="P94" i="15" s="1"/>
  <c r="P95" i="15" s="1"/>
  <c r="P96" i="15" s="1"/>
  <c r="P97" i="15" s="1"/>
  <c r="P98" i="15" s="1"/>
  <c r="P49" i="27"/>
  <c r="P50" i="27" s="1"/>
  <c r="P51" i="27" s="1"/>
  <c r="P52" i="27" s="1"/>
  <c r="P53" i="27" s="1"/>
  <c r="P54" i="27" s="1"/>
  <c r="P55" i="27" s="1"/>
  <c r="P56" i="27" s="1"/>
  <c r="P57" i="27" s="1"/>
  <c r="P58" i="27" s="1"/>
  <c r="P59" i="27" s="1"/>
  <c r="P60" i="27" s="1"/>
  <c r="P61" i="27" s="1"/>
  <c r="P62" i="27" s="1"/>
  <c r="P63" i="27" s="1"/>
  <c r="P64" i="27" s="1"/>
  <c r="P65" i="27" s="1"/>
  <c r="P66" i="27" s="1"/>
  <c r="P67" i="27" s="1"/>
  <c r="N176" i="22"/>
  <c r="P99" i="15" l="1"/>
  <c r="P100" i="15" s="1"/>
  <c r="P101" i="15" s="1"/>
  <c r="P102" i="15" s="1"/>
  <c r="P103" i="15" s="1"/>
  <c r="P104" i="15" s="1"/>
  <c r="P105" i="15" s="1"/>
  <c r="P106" i="15" s="1"/>
  <c r="P107" i="15" s="1"/>
  <c r="P108" i="15" s="1"/>
  <c r="P109" i="15" s="1"/>
  <c r="P110" i="15" s="1"/>
  <c r="P111" i="15" s="1"/>
  <c r="P112" i="15" s="1"/>
  <c r="P113" i="15" s="1"/>
  <c r="P114" i="15" s="1"/>
  <c r="P115" i="15" s="1"/>
  <c r="P116" i="15" s="1"/>
  <c r="P117" i="15" s="1"/>
  <c r="P118" i="15" s="1"/>
  <c r="P119" i="15" s="1"/>
  <c r="P120" i="15" s="1"/>
  <c r="P121" i="15" s="1"/>
  <c r="P122" i="15" s="1"/>
  <c r="P123" i="15" s="1"/>
  <c r="P124" i="15" s="1"/>
  <c r="P125" i="15" s="1"/>
  <c r="P126" i="15" s="1"/>
  <c r="P127" i="15" s="1"/>
  <c r="N175" i="22"/>
  <c r="N174" i="22"/>
  <c r="N173" i="22"/>
  <c r="N172" i="22"/>
  <c r="N171" i="22"/>
  <c r="N166" i="22"/>
  <c r="N167" i="22"/>
  <c r="N149" i="22"/>
  <c r="N150" i="22"/>
  <c r="N136" i="22"/>
  <c r="N137" i="22"/>
  <c r="N131" i="22"/>
  <c r="N132" i="22"/>
  <c r="N115" i="22"/>
  <c r="N116" i="22"/>
  <c r="N117" i="22"/>
  <c r="N118" i="22"/>
  <c r="N119" i="22"/>
  <c r="N97" i="22"/>
  <c r="N98" i="22"/>
  <c r="N92" i="22"/>
  <c r="N93" i="22"/>
  <c r="N88" i="22"/>
  <c r="N80" i="22"/>
  <c r="N81" i="22"/>
  <c r="N43" i="22"/>
  <c r="N44" i="22"/>
  <c r="N45" i="22"/>
  <c r="N46" i="22"/>
  <c r="N47" i="22"/>
  <c r="P128" i="15" l="1"/>
  <c r="P129" i="15" s="1"/>
  <c r="P130" i="15" s="1"/>
  <c r="N66" i="22"/>
  <c r="N67" i="22"/>
  <c r="N68" i="22"/>
  <c r="N69" i="22"/>
  <c r="N48" i="22"/>
  <c r="N49" i="22"/>
  <c r="N50" i="22"/>
  <c r="N51" i="22"/>
  <c r="N52" i="22"/>
  <c r="N53" i="22"/>
  <c r="N54" i="22"/>
  <c r="N55" i="22"/>
  <c r="N56" i="22"/>
  <c r="N57" i="22"/>
  <c r="N58" i="22"/>
  <c r="N59" i="22"/>
  <c r="N60" i="22"/>
  <c r="N61" i="22"/>
  <c r="N62" i="22"/>
  <c r="N63" i="22"/>
  <c r="N64" i="22"/>
  <c r="N65" i="22"/>
  <c r="N70" i="22"/>
  <c r="N71" i="22"/>
  <c r="N72" i="22"/>
  <c r="N73" i="22"/>
  <c r="N74" i="22"/>
  <c r="N75" i="22"/>
  <c r="N76" i="22"/>
  <c r="N77" i="22"/>
  <c r="N78" i="22"/>
  <c r="N79" i="22"/>
  <c r="N82" i="22"/>
  <c r="N83" i="22"/>
  <c r="N84" i="22"/>
  <c r="N85" i="22"/>
  <c r="N86" i="22"/>
  <c r="N87" i="22"/>
  <c r="N89" i="22"/>
  <c r="N90" i="22"/>
  <c r="N91" i="22"/>
  <c r="N94" i="22"/>
  <c r="N95" i="22"/>
  <c r="N96" i="22"/>
  <c r="N99" i="22"/>
  <c r="N100" i="22"/>
  <c r="N101" i="22"/>
  <c r="N102" i="22"/>
  <c r="N103" i="22"/>
  <c r="N104" i="22"/>
  <c r="N105" i="22"/>
  <c r="N106" i="22"/>
  <c r="N107" i="22"/>
  <c r="N108" i="22"/>
  <c r="N109" i="22"/>
  <c r="N110" i="22"/>
  <c r="N111" i="22"/>
  <c r="N112" i="22"/>
  <c r="N113" i="22"/>
  <c r="N114" i="22"/>
  <c r="N120" i="22"/>
  <c r="N121" i="22"/>
  <c r="N122" i="22"/>
  <c r="N123" i="22"/>
  <c r="N124" i="22"/>
  <c r="N125" i="22"/>
  <c r="N126" i="22"/>
  <c r="N127" i="22"/>
  <c r="N128" i="22"/>
  <c r="N129" i="22"/>
  <c r="N130" i="22"/>
  <c r="N133" i="22"/>
  <c r="N134" i="22"/>
  <c r="N135" i="22"/>
  <c r="N138" i="22"/>
  <c r="N139" i="22"/>
  <c r="N140" i="22"/>
  <c r="N141" i="22"/>
  <c r="N142" i="22"/>
  <c r="N143" i="22"/>
  <c r="N144" i="22"/>
  <c r="N145" i="22"/>
  <c r="N146" i="22"/>
  <c r="N147" i="22"/>
  <c r="N148" i="22"/>
  <c r="N151" i="22"/>
  <c r="N152" i="22"/>
  <c r="N153" i="22"/>
  <c r="N154" i="22"/>
  <c r="N155" i="22"/>
  <c r="N156" i="22"/>
  <c r="N157" i="22"/>
  <c r="N158" i="22"/>
  <c r="N159" i="22"/>
  <c r="N160" i="22"/>
  <c r="N161" i="22"/>
  <c r="N162" i="22"/>
  <c r="N163" i="22"/>
  <c r="N164" i="22"/>
  <c r="N165" i="22"/>
  <c r="N168" i="22"/>
  <c r="N169" i="22"/>
  <c r="N170" i="22"/>
  <c r="P5" i="22"/>
  <c r="P6" i="22" s="1"/>
  <c r="P7" i="22" s="1"/>
  <c r="P8" i="22" s="1"/>
  <c r="P9" i="22" s="1"/>
  <c r="P10" i="22" s="1"/>
  <c r="P11" i="22" s="1"/>
  <c r="P12" i="22" s="1"/>
  <c r="P13" i="22" s="1"/>
  <c r="P14" i="22" s="1"/>
  <c r="P15" i="22" s="1"/>
  <c r="P16" i="22" s="1"/>
  <c r="P17" i="22" s="1"/>
  <c r="P18" i="22" s="1"/>
  <c r="P19" i="22" s="1"/>
  <c r="P20" i="22" s="1"/>
  <c r="P21" i="22" s="1"/>
  <c r="P22" i="22" s="1"/>
  <c r="P23" i="22" s="1"/>
  <c r="P24" i="22" s="1"/>
  <c r="P25" i="22" s="1"/>
  <c r="P26" i="22" s="1"/>
  <c r="P27" i="22" s="1"/>
  <c r="P28" i="22" s="1"/>
  <c r="P29" i="22" s="1"/>
  <c r="P30" i="22" s="1"/>
  <c r="P31" i="22" s="1"/>
  <c r="P32" i="22" s="1"/>
  <c r="P33" i="22" s="1"/>
  <c r="P34" i="22" s="1"/>
  <c r="P35" i="22" s="1"/>
  <c r="P36" i="22" s="1"/>
  <c r="P37" i="22" s="1"/>
  <c r="P38" i="22" s="1"/>
  <c r="P39" i="22" s="1"/>
  <c r="P40" i="22" s="1"/>
  <c r="P41" i="22" s="1"/>
  <c r="P42" i="22" s="1"/>
  <c r="N11" i="22"/>
  <c r="Q129" i="6"/>
  <c r="Q130" i="6"/>
  <c r="N129" i="6"/>
  <c r="N138" i="6"/>
  <c r="Q138"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31" i="6"/>
  <c r="Q132" i="6"/>
  <c r="Q133" i="6"/>
  <c r="Q134" i="6"/>
  <c r="Q135" i="6"/>
  <c r="Q136" i="6"/>
  <c r="Q137"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4" i="6"/>
  <c r="P5" i="6"/>
  <c r="P6" i="6" s="1"/>
  <c r="P7" i="6" s="1"/>
  <c r="P8" i="6" s="1"/>
  <c r="P9" i="6" s="1"/>
  <c r="P10" i="6" s="1"/>
  <c r="P11" i="6" s="1"/>
  <c r="P12" i="6" s="1"/>
  <c r="P13" i="6" s="1"/>
  <c r="P14" i="6" s="1"/>
  <c r="P15" i="6" s="1"/>
  <c r="P16" i="6" s="1"/>
  <c r="P17" i="6" s="1"/>
  <c r="P18" i="6" s="1"/>
  <c r="P19" i="6" s="1"/>
  <c r="P20" i="6" s="1"/>
  <c r="P21" i="6" s="1"/>
  <c r="P22" i="6" s="1"/>
  <c r="P23" i="6" s="1"/>
  <c r="P24" i="6" s="1"/>
  <c r="P25" i="6" s="1"/>
  <c r="P26" i="6" s="1"/>
  <c r="P27" i="6" s="1"/>
  <c r="P28" i="6" s="1"/>
  <c r="P29" i="6" s="1"/>
  <c r="P30" i="6" s="1"/>
  <c r="P31" i="6" s="1"/>
  <c r="P32" i="6" s="1"/>
  <c r="P33" i="6" s="1"/>
  <c r="P34" i="6" s="1"/>
  <c r="P35" i="6" s="1"/>
  <c r="P36" i="6" s="1"/>
  <c r="P37" i="6" s="1"/>
  <c r="P38" i="6" s="1"/>
  <c r="P39" i="6" s="1"/>
  <c r="P40" i="6" s="1"/>
  <c r="P41" i="6" s="1"/>
  <c r="P42" i="6" s="1"/>
  <c r="P43" i="6" s="1"/>
  <c r="P44" i="6" s="1"/>
  <c r="P45" i="6" s="1"/>
  <c r="P46" i="6" s="1"/>
  <c r="P47" i="6" s="1"/>
  <c r="P48" i="6" s="1"/>
  <c r="P49" i="6" s="1"/>
  <c r="P50" i="6" s="1"/>
  <c r="P51" i="6" s="1"/>
  <c r="P52" i="6" s="1"/>
  <c r="P53" i="6" s="1"/>
  <c r="P54" i="6" s="1"/>
  <c r="P55" i="6" s="1"/>
  <c r="P56" i="6" s="1"/>
  <c r="P57" i="6" s="1"/>
  <c r="P58" i="6" s="1"/>
  <c r="P59" i="6" s="1"/>
  <c r="P60" i="6" s="1"/>
  <c r="P61" i="6" s="1"/>
  <c r="P62" i="6" s="1"/>
  <c r="P63" i="6" s="1"/>
  <c r="P64" i="6" s="1"/>
  <c r="P65" i="6" s="1"/>
  <c r="P66" i="6" s="1"/>
  <c r="P67" i="6" s="1"/>
  <c r="P68" i="6" s="1"/>
  <c r="P69" i="6" s="1"/>
  <c r="P70" i="6" s="1"/>
  <c r="P71" i="6" s="1"/>
  <c r="P72" i="6" s="1"/>
  <c r="P73" i="6" s="1"/>
  <c r="P74" i="6" s="1"/>
  <c r="P75" i="6" s="1"/>
  <c r="P76" i="6" s="1"/>
  <c r="P77" i="6" s="1"/>
  <c r="P78" i="6" s="1"/>
  <c r="P79" i="6" s="1"/>
  <c r="P80" i="6" s="1"/>
  <c r="P81" i="6" s="1"/>
  <c r="P82" i="6" s="1"/>
  <c r="P83" i="6" s="1"/>
  <c r="P84" i="6" s="1"/>
  <c r="P85" i="6" s="1"/>
  <c r="P86" i="6" s="1"/>
  <c r="P87" i="6" s="1"/>
  <c r="P88" i="6" s="1"/>
  <c r="P89" i="6" s="1"/>
  <c r="P90" i="6" s="1"/>
  <c r="P91" i="6" s="1"/>
  <c r="P92" i="6" s="1"/>
  <c r="P93" i="6" s="1"/>
  <c r="P94" i="6" s="1"/>
  <c r="P95" i="6" s="1"/>
  <c r="P96" i="6" s="1"/>
  <c r="P97" i="6" s="1"/>
  <c r="P98" i="6" s="1"/>
  <c r="P99" i="6" s="1"/>
  <c r="P100" i="6" s="1"/>
  <c r="P101" i="6" s="1"/>
  <c r="P102" i="6" s="1"/>
  <c r="P103" i="6" s="1"/>
  <c r="P104" i="6" s="1"/>
  <c r="P105" i="6" s="1"/>
  <c r="P106" i="6" s="1"/>
  <c r="P107" i="6" s="1"/>
  <c r="P108" i="6" s="1"/>
  <c r="P109" i="6" s="1"/>
  <c r="P110" i="6" s="1"/>
  <c r="P111" i="6" s="1"/>
  <c r="P112" i="6" s="1"/>
  <c r="P113" i="6" s="1"/>
  <c r="P114" i="6" s="1"/>
  <c r="P115" i="6" s="1"/>
  <c r="P116" i="6" s="1"/>
  <c r="P117" i="6" s="1"/>
  <c r="P118" i="6" s="1"/>
  <c r="P119" i="6" s="1"/>
  <c r="P120" i="6" s="1"/>
  <c r="P121" i="6" s="1"/>
  <c r="P122" i="6" s="1"/>
  <c r="P123" i="6" s="1"/>
  <c r="P124" i="6" s="1"/>
  <c r="P125" i="6" s="1"/>
  <c r="P126" i="6" s="1"/>
  <c r="P127" i="6" s="1"/>
  <c r="P128" i="6" s="1"/>
  <c r="N165" i="6"/>
  <c r="N164" i="6"/>
  <c r="N163" i="6"/>
  <c r="N162" i="6"/>
  <c r="N161" i="6"/>
  <c r="N160" i="6"/>
  <c r="N159" i="6"/>
  <c r="N158" i="6"/>
  <c r="N157" i="6"/>
  <c r="N126" i="6"/>
  <c r="N127" i="6"/>
  <c r="N128" i="6"/>
  <c r="N130" i="6"/>
  <c r="N131" i="6"/>
  <c r="N132" i="6"/>
  <c r="N133" i="6"/>
  <c r="N134" i="6"/>
  <c r="N135" i="6"/>
  <c r="N136" i="6"/>
  <c r="N137" i="6"/>
  <c r="N139" i="6"/>
  <c r="N140" i="6"/>
  <c r="N141" i="6"/>
  <c r="N142" i="6"/>
  <c r="N143" i="6"/>
  <c r="N144" i="6"/>
  <c r="N145" i="6"/>
  <c r="N146" i="6"/>
  <c r="N147" i="6"/>
  <c r="N148" i="6"/>
  <c r="N149" i="6"/>
  <c r="N150" i="6"/>
  <c r="N151" i="6"/>
  <c r="N152" i="6"/>
  <c r="N153" i="6"/>
  <c r="N154" i="6"/>
  <c r="N155" i="6"/>
  <c r="N156"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P131" i="15" l="1"/>
  <c r="P132" i="15" s="1"/>
  <c r="P133" i="15" s="1"/>
  <c r="P134" i="15" s="1"/>
  <c r="P135" i="15" s="1"/>
  <c r="P136" i="15" s="1"/>
  <c r="P137" i="15" s="1"/>
  <c r="P138" i="15" s="1"/>
  <c r="P139" i="15" s="1"/>
  <c r="P140" i="15" s="1"/>
  <c r="P141" i="15" s="1"/>
  <c r="P142" i="15" s="1"/>
  <c r="P143" i="15" s="1"/>
  <c r="P144" i="15" s="1"/>
  <c r="P145" i="15" s="1"/>
  <c r="P146" i="15" s="1"/>
  <c r="P147" i="15" s="1"/>
  <c r="P148" i="15" s="1"/>
  <c r="P149" i="15" s="1"/>
  <c r="P150" i="15" s="1"/>
  <c r="P43" i="22"/>
  <c r="P44" i="22" s="1"/>
  <c r="P45" i="22" s="1"/>
  <c r="P46" i="22" s="1"/>
  <c r="P47" i="22" s="1"/>
  <c r="P48" i="22" s="1"/>
  <c r="P49" i="22" s="1"/>
  <c r="P50" i="22" s="1"/>
  <c r="P51" i="22" s="1"/>
  <c r="P52" i="22" s="1"/>
  <c r="P53" i="22" s="1"/>
  <c r="P54" i="22" s="1"/>
  <c r="P55" i="22" s="1"/>
  <c r="P56" i="22" s="1"/>
  <c r="P57" i="22" s="1"/>
  <c r="P58" i="22" s="1"/>
  <c r="P59" i="22" s="1"/>
  <c r="P60" i="22" s="1"/>
  <c r="P61" i="22" s="1"/>
  <c r="P62" i="22" s="1"/>
  <c r="P63" i="22" s="1"/>
  <c r="P64" i="22" s="1"/>
  <c r="P65" i="22" s="1"/>
  <c r="P129" i="6"/>
  <c r="P130" i="6" s="1"/>
  <c r="P131" i="6" s="1"/>
  <c r="P132" i="6" s="1"/>
  <c r="P133" i="6" s="1"/>
  <c r="P134" i="6" s="1"/>
  <c r="P135" i="6" s="1"/>
  <c r="P136" i="6" s="1"/>
  <c r="P137" i="6" s="1"/>
  <c r="P138" i="6" s="1"/>
  <c r="P139" i="6" s="1"/>
  <c r="P140" i="6" s="1"/>
  <c r="P141" i="6" s="1"/>
  <c r="P142" i="6" s="1"/>
  <c r="P143" i="6" s="1"/>
  <c r="P144" i="6" s="1"/>
  <c r="P145" i="6" s="1"/>
  <c r="P146" i="6" s="1"/>
  <c r="P147" i="6" s="1"/>
  <c r="P148" i="6" s="1"/>
  <c r="P149" i="6" s="1"/>
  <c r="P150" i="6" s="1"/>
  <c r="P151" i="6" s="1"/>
  <c r="P152" i="6" s="1"/>
  <c r="P153" i="6" s="1"/>
  <c r="P154" i="6" s="1"/>
  <c r="P155" i="6" s="1"/>
  <c r="P156" i="6" s="1"/>
  <c r="P157" i="6" s="1"/>
  <c r="P158" i="6" s="1"/>
  <c r="P159" i="6" s="1"/>
  <c r="P160" i="6" s="1"/>
  <c r="P161" i="6" s="1"/>
  <c r="P162" i="6" s="1"/>
  <c r="P163" i="6" s="1"/>
  <c r="P164" i="6" s="1"/>
  <c r="P165" i="6" s="1"/>
  <c r="N79" i="21"/>
  <c r="N80" i="21"/>
  <c r="N78" i="21"/>
  <c r="N77" i="21"/>
  <c r="N76" i="21"/>
  <c r="N75" i="21"/>
  <c r="N74" i="21"/>
  <c r="N73" i="21"/>
  <c r="N72" i="21"/>
  <c r="N71" i="21"/>
  <c r="N70" i="21"/>
  <c r="N69" i="21"/>
  <c r="N68" i="21"/>
  <c r="N67" i="21"/>
  <c r="N35" i="21"/>
  <c r="N36" i="21"/>
  <c r="N60" i="21"/>
  <c r="N50" i="21"/>
  <c r="N51" i="21"/>
  <c r="N52" i="21"/>
  <c r="N53" i="21"/>
  <c r="N54" i="21"/>
  <c r="N55" i="21"/>
  <c r="N56" i="21"/>
  <c r="N57" i="21"/>
  <c r="N58" i="21"/>
  <c r="N59" i="21"/>
  <c r="N61" i="21"/>
  <c r="N62" i="21"/>
  <c r="N63" i="21"/>
  <c r="N64" i="21"/>
  <c r="N65" i="21"/>
  <c r="N66" i="21"/>
  <c r="N40" i="21"/>
  <c r="N41" i="21"/>
  <c r="N34" i="21"/>
  <c r="N37" i="21"/>
  <c r="N38" i="21"/>
  <c r="N39" i="21"/>
  <c r="N42" i="21"/>
  <c r="N43" i="21"/>
  <c r="N44" i="21"/>
  <c r="N45" i="21"/>
  <c r="N46" i="21"/>
  <c r="N47" i="21"/>
  <c r="N48" i="21"/>
  <c r="N49" i="21"/>
  <c r="P5" i="21"/>
  <c r="P6" i="21" s="1"/>
  <c r="P7" i="21" s="1"/>
  <c r="P8" i="21" s="1"/>
  <c r="P9" i="21" s="1"/>
  <c r="P10" i="21" s="1"/>
  <c r="P11" i="21" s="1"/>
  <c r="P12" i="21" s="1"/>
  <c r="P13" i="21" s="1"/>
  <c r="P14" i="21" s="1"/>
  <c r="P15" i="21" s="1"/>
  <c r="P16" i="21" s="1"/>
  <c r="P17" i="21" s="1"/>
  <c r="P18" i="21" s="1"/>
  <c r="P19" i="21" s="1"/>
  <c r="P20" i="21" s="1"/>
  <c r="P21" i="21" s="1"/>
  <c r="P22" i="21" s="1"/>
  <c r="P23" i="21" s="1"/>
  <c r="P24" i="21" s="1"/>
  <c r="P25" i="21" s="1"/>
  <c r="P26" i="21" s="1"/>
  <c r="P27" i="21" s="1"/>
  <c r="P28" i="21" s="1"/>
  <c r="P29" i="21" s="1"/>
  <c r="P30" i="21" s="1"/>
  <c r="P31" i="21" s="1"/>
  <c r="P32" i="21" s="1"/>
  <c r="P33" i="21" s="1"/>
  <c r="P34" i="21" s="1"/>
  <c r="P35" i="21" s="1"/>
  <c r="P36" i="21" s="1"/>
  <c r="N6" i="21"/>
  <c r="N7" i="21"/>
  <c r="N8" i="21"/>
  <c r="N9" i="21"/>
  <c r="N10" i="21"/>
  <c r="N119" i="20"/>
  <c r="N118" i="20"/>
  <c r="N117" i="20"/>
  <c r="N116"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P5" i="20"/>
  <c r="P6" i="20" s="1"/>
  <c r="P7" i="20" s="1"/>
  <c r="P8" i="20" s="1"/>
  <c r="P9" i="20" s="1"/>
  <c r="P10" i="20" s="1"/>
  <c r="P11" i="20" s="1"/>
  <c r="P12" i="20" s="1"/>
  <c r="P13" i="20" s="1"/>
  <c r="P14" i="20" s="1"/>
  <c r="P15" i="20" s="1"/>
  <c r="P16" i="20" s="1"/>
  <c r="P17" i="20" s="1"/>
  <c r="P18" i="20" s="1"/>
  <c r="P19" i="20" s="1"/>
  <c r="P20" i="20" s="1"/>
  <c r="P21" i="20" s="1"/>
  <c r="P22" i="20" s="1"/>
  <c r="P23" i="20" s="1"/>
  <c r="P24" i="20" s="1"/>
  <c r="P25" i="20" s="1"/>
  <c r="P26" i="20" s="1"/>
  <c r="P27" i="20" s="1"/>
  <c r="P28" i="20" s="1"/>
  <c r="P29" i="20" s="1"/>
  <c r="P30" i="20" s="1"/>
  <c r="P31" i="20" s="1"/>
  <c r="P32" i="20" s="1"/>
  <c r="P33" i="20" s="1"/>
  <c r="P34" i="20" s="1"/>
  <c r="P35" i="20" s="1"/>
  <c r="P36" i="20" s="1"/>
  <c r="P37" i="20" s="1"/>
  <c r="P38" i="20" s="1"/>
  <c r="P39" i="20" s="1"/>
  <c r="P40" i="20" s="1"/>
  <c r="P41" i="20" s="1"/>
  <c r="P42" i="20" s="1"/>
  <c r="P43" i="20" s="1"/>
  <c r="P44" i="20" s="1"/>
  <c r="P45" i="20" s="1"/>
  <c r="P46" i="20" s="1"/>
  <c r="P47" i="20" s="1"/>
  <c r="P48" i="20" s="1"/>
  <c r="P49" i="20" s="1"/>
  <c r="P50" i="20" s="1"/>
  <c r="P51" i="20" s="1"/>
  <c r="P52" i="20" s="1"/>
  <c r="P53" i="20" s="1"/>
  <c r="P54" i="20" s="1"/>
  <c r="P55" i="20" s="1"/>
  <c r="P56" i="20" s="1"/>
  <c r="P57" i="20" s="1"/>
  <c r="P58" i="20" s="1"/>
  <c r="P59" i="20" s="1"/>
  <c r="P60" i="20" s="1"/>
  <c r="P61" i="20" s="1"/>
  <c r="P62" i="20" s="1"/>
  <c r="P63" i="20" s="1"/>
  <c r="P64" i="20" s="1"/>
  <c r="P65" i="20" s="1"/>
  <c r="P66" i="20" s="1"/>
  <c r="P67" i="20" s="1"/>
  <c r="P68" i="20" s="1"/>
  <c r="P69" i="20" s="1"/>
  <c r="P70" i="20" s="1"/>
  <c r="P71" i="20" s="1"/>
  <c r="P72" i="20" s="1"/>
  <c r="P73" i="20" s="1"/>
  <c r="P74" i="20" s="1"/>
  <c r="P75" i="20" s="1"/>
  <c r="P76" i="20" s="1"/>
  <c r="P77" i="20" s="1"/>
  <c r="P78" i="20" s="1"/>
  <c r="P79" i="20" s="1"/>
  <c r="P80" i="20" s="1"/>
  <c r="N111" i="25"/>
  <c r="N140" i="25"/>
  <c r="N141" i="25"/>
  <c r="N139" i="25"/>
  <c r="N138" i="25"/>
  <c r="N137" i="25"/>
  <c r="N136" i="25"/>
  <c r="N135" i="25"/>
  <c r="N134" i="25"/>
  <c r="N133" i="25"/>
  <c r="N132" i="25"/>
  <c r="N131" i="25"/>
  <c r="N130" i="25"/>
  <c r="N129" i="25"/>
  <c r="N128" i="25"/>
  <c r="N127" i="25"/>
  <c r="N126" i="25"/>
  <c r="N125" i="25"/>
  <c r="N124" i="25"/>
  <c r="N123" i="25"/>
  <c r="N122" i="25"/>
  <c r="N121" i="25"/>
  <c r="N120" i="25"/>
  <c r="N119" i="25"/>
  <c r="N118" i="25"/>
  <c r="N117" i="25"/>
  <c r="N116" i="25"/>
  <c r="N115" i="25"/>
  <c r="N114" i="25"/>
  <c r="N113" i="25"/>
  <c r="N112" i="25"/>
  <c r="F79" i="25"/>
  <c r="F77" i="25"/>
  <c r="F72" i="25"/>
  <c r="F70" i="25"/>
  <c r="F68" i="25"/>
  <c r="F66" i="25"/>
  <c r="F64" i="25"/>
  <c r="F62" i="25"/>
  <c r="F60" i="25"/>
  <c r="F58" i="25"/>
  <c r="F56" i="25"/>
  <c r="F54" i="25"/>
  <c r="F52" i="25"/>
  <c r="F50" i="25"/>
  <c r="F48" i="25"/>
  <c r="F46" i="25"/>
  <c r="F44" i="25"/>
  <c r="F42" i="25"/>
  <c r="F40" i="25"/>
  <c r="F38" i="25"/>
  <c r="F36" i="25"/>
  <c r="F34" i="25"/>
  <c r="F32" i="25"/>
  <c r="F30" i="25"/>
  <c r="F28" i="25"/>
  <c r="N81" i="25"/>
  <c r="N82" i="25"/>
  <c r="N83" i="25"/>
  <c r="N84" i="25"/>
  <c r="N85" i="25"/>
  <c r="P5" i="25"/>
  <c r="P6" i="25" s="1"/>
  <c r="P7" i="25" s="1"/>
  <c r="P8" i="25" s="1"/>
  <c r="P9" i="25" s="1"/>
  <c r="P10" i="25" s="1"/>
  <c r="P11" i="25" s="1"/>
  <c r="P12" i="25" s="1"/>
  <c r="P13" i="25" s="1"/>
  <c r="P14" i="25" s="1"/>
  <c r="P15" i="25" s="1"/>
  <c r="P16" i="25" s="1"/>
  <c r="P17" i="25" s="1"/>
  <c r="P18" i="25" s="1"/>
  <c r="P19" i="25" s="1"/>
  <c r="P20" i="25" s="1"/>
  <c r="P21" i="25" s="1"/>
  <c r="P22" i="25" s="1"/>
  <c r="P23" i="25" s="1"/>
  <c r="P24" i="25" s="1"/>
  <c r="P25" i="25" s="1"/>
  <c r="P26" i="25" s="1"/>
  <c r="P27" i="25" s="1"/>
  <c r="P28" i="25" s="1"/>
  <c r="P29" i="25" s="1"/>
  <c r="P30" i="25" s="1"/>
  <c r="P31" i="25" s="1"/>
  <c r="P32" i="25" s="1"/>
  <c r="P33" i="25" s="1"/>
  <c r="P34" i="25" s="1"/>
  <c r="P35" i="25" s="1"/>
  <c r="P36" i="25" s="1"/>
  <c r="P37" i="25" s="1"/>
  <c r="P38" i="25" s="1"/>
  <c r="P39" i="25" s="1"/>
  <c r="P40" i="25" s="1"/>
  <c r="P41" i="25" s="1"/>
  <c r="P42" i="25" s="1"/>
  <c r="P43" i="25" s="1"/>
  <c r="P44" i="25" s="1"/>
  <c r="P45" i="25" s="1"/>
  <c r="P46" i="25" s="1"/>
  <c r="P47" i="25" s="1"/>
  <c r="P48" i="25" s="1"/>
  <c r="P49" i="25" s="1"/>
  <c r="P50" i="25" s="1"/>
  <c r="P51" i="25" s="1"/>
  <c r="P52" i="25" s="1"/>
  <c r="P53" i="25" s="1"/>
  <c r="P54" i="25" s="1"/>
  <c r="P55" i="25" s="1"/>
  <c r="P56" i="25" s="1"/>
  <c r="P57" i="25" s="1"/>
  <c r="P58" i="25" s="1"/>
  <c r="P59" i="25" s="1"/>
  <c r="P60" i="25" s="1"/>
  <c r="P61" i="25" s="1"/>
  <c r="P62" i="25" s="1"/>
  <c r="P63" i="25" s="1"/>
  <c r="P64" i="25" s="1"/>
  <c r="P65" i="25" s="1"/>
  <c r="P66" i="25" s="1"/>
  <c r="P67" i="25" s="1"/>
  <c r="P68" i="25" s="1"/>
  <c r="P69" i="25" s="1"/>
  <c r="P70" i="25" s="1"/>
  <c r="P71" i="25" s="1"/>
  <c r="P72" i="25" s="1"/>
  <c r="P73" i="25" s="1"/>
  <c r="P74" i="25" s="1"/>
  <c r="P75" i="25" s="1"/>
  <c r="P76" i="25" s="1"/>
  <c r="P77" i="25" s="1"/>
  <c r="P78" i="25" s="1"/>
  <c r="P79" i="25" s="1"/>
  <c r="P80" i="25" s="1"/>
  <c r="P81" i="25" s="1"/>
  <c r="P82" i="25" s="1"/>
  <c r="P83" i="25" s="1"/>
  <c r="P84" i="25" s="1"/>
  <c r="P85" i="25" s="1"/>
  <c r="N86" i="25"/>
  <c r="N87" i="25"/>
  <c r="N88" i="25"/>
  <c r="N89" i="25"/>
  <c r="N90" i="25"/>
  <c r="N91" i="25"/>
  <c r="N92" i="25"/>
  <c r="N93" i="25"/>
  <c r="N94" i="25"/>
  <c r="N95" i="25"/>
  <c r="N96" i="25"/>
  <c r="N97" i="25"/>
  <c r="N98" i="25"/>
  <c r="N99" i="25"/>
  <c r="N100" i="25"/>
  <c r="N101" i="25"/>
  <c r="N102" i="25"/>
  <c r="N103" i="25"/>
  <c r="N104" i="25"/>
  <c r="N105" i="25"/>
  <c r="N106" i="25"/>
  <c r="N107" i="25"/>
  <c r="N108" i="25"/>
  <c r="N109" i="25"/>
  <c r="N110" i="25"/>
  <c r="N253" i="18"/>
  <c r="N254" i="18"/>
  <c r="N255" i="18"/>
  <c r="N252" i="18"/>
  <c r="N250" i="18"/>
  <c r="N251" i="18"/>
  <c r="N249" i="18"/>
  <c r="N248" i="18"/>
  <c r="N247" i="18"/>
  <c r="N246" i="18"/>
  <c r="N245" i="18"/>
  <c r="N244" i="18"/>
  <c r="N172" i="18"/>
  <c r="N173" i="18"/>
  <c r="N174" i="18"/>
  <c r="N175" i="18"/>
  <c r="N176" i="18"/>
  <c r="N177" i="18"/>
  <c r="N178" i="18"/>
  <c r="N179" i="18"/>
  <c r="N180" i="18"/>
  <c r="N181" i="18"/>
  <c r="N182" i="18"/>
  <c r="N165" i="18"/>
  <c r="N157" i="18"/>
  <c r="N151" i="18"/>
  <c r="N152" i="18"/>
  <c r="N153" i="18"/>
  <c r="N154" i="18"/>
  <c r="N144" i="18"/>
  <c r="N145" i="18"/>
  <c r="N146" i="18"/>
  <c r="N147" i="18"/>
  <c r="N136" i="18"/>
  <c r="N137" i="18"/>
  <c r="N138" i="18"/>
  <c r="N139" i="18"/>
  <c r="N140" i="18"/>
  <c r="N141" i="18"/>
  <c r="N130" i="18"/>
  <c r="N131" i="18"/>
  <c r="N132" i="18"/>
  <c r="N133" i="18"/>
  <c r="N122" i="18"/>
  <c r="N119" i="18"/>
  <c r="N116" i="18"/>
  <c r="N109" i="18"/>
  <c r="N164" i="18"/>
  <c r="N162" i="18"/>
  <c r="N103" i="18"/>
  <c r="N104" i="18"/>
  <c r="N105" i="18"/>
  <c r="N106" i="18"/>
  <c r="N102" i="18"/>
  <c r="N107" i="18"/>
  <c r="N108" i="18"/>
  <c r="N110" i="18"/>
  <c r="N111" i="18"/>
  <c r="N112" i="18"/>
  <c r="N113" i="18"/>
  <c r="N114" i="18"/>
  <c r="N115" i="18"/>
  <c r="N117" i="18"/>
  <c r="N118" i="18"/>
  <c r="N120" i="18"/>
  <c r="N121" i="18"/>
  <c r="N123" i="18"/>
  <c r="N124" i="18"/>
  <c r="N125" i="18"/>
  <c r="N126" i="18"/>
  <c r="N127" i="18"/>
  <c r="N128" i="18"/>
  <c r="N129" i="18"/>
  <c r="N134" i="18"/>
  <c r="N135" i="18"/>
  <c r="N142" i="18"/>
  <c r="N143" i="18"/>
  <c r="N148" i="18"/>
  <c r="N149" i="18"/>
  <c r="N150" i="18"/>
  <c r="N155" i="18"/>
  <c r="N156" i="18"/>
  <c r="N158" i="18"/>
  <c r="N159" i="18"/>
  <c r="N160" i="18"/>
  <c r="N161" i="18"/>
  <c r="N163" i="18"/>
  <c r="N166" i="18"/>
  <c r="N167" i="18"/>
  <c r="N168" i="18"/>
  <c r="N169" i="18"/>
  <c r="N170" i="18"/>
  <c r="N171" i="18"/>
  <c r="P5" i="18"/>
  <c r="P6" i="18" s="1"/>
  <c r="P7" i="18" s="1"/>
  <c r="P8" i="18" s="1"/>
  <c r="P9" i="18" s="1"/>
  <c r="P10" i="18" s="1"/>
  <c r="P11" i="18" s="1"/>
  <c r="P12" i="18" s="1"/>
  <c r="P13" i="18" s="1"/>
  <c r="P14" i="18" s="1"/>
  <c r="P15" i="18" s="1"/>
  <c r="P16" i="18" s="1"/>
  <c r="P17" i="18" s="1"/>
  <c r="P18" i="18" s="1"/>
  <c r="P19" i="18" s="1"/>
  <c r="P20" i="18" s="1"/>
  <c r="P21" i="18" s="1"/>
  <c r="P22" i="18" s="1"/>
  <c r="P23" i="18" s="1"/>
  <c r="P24" i="18" s="1"/>
  <c r="P25" i="18" s="1"/>
  <c r="P26" i="18" s="1"/>
  <c r="P27" i="18" s="1"/>
  <c r="P28" i="18" s="1"/>
  <c r="P29" i="18" s="1"/>
  <c r="P30" i="18" s="1"/>
  <c r="P31" i="18" s="1"/>
  <c r="P32" i="18" s="1"/>
  <c r="P33" i="18" s="1"/>
  <c r="P34" i="18" s="1"/>
  <c r="P35" i="18" s="1"/>
  <c r="P36" i="18" s="1"/>
  <c r="P37" i="18" s="1"/>
  <c r="P38" i="18" s="1"/>
  <c r="P39" i="18" s="1"/>
  <c r="P40" i="18" s="1"/>
  <c r="P41" i="18" s="1"/>
  <c r="P42" i="18" s="1"/>
  <c r="P43" i="18" s="1"/>
  <c r="P44" i="18" s="1"/>
  <c r="P45" i="18" s="1"/>
  <c r="P46" i="18" s="1"/>
  <c r="P47" i="18" s="1"/>
  <c r="P48" i="18" s="1"/>
  <c r="P49" i="18" s="1"/>
  <c r="P50" i="18" s="1"/>
  <c r="P51" i="18" s="1"/>
  <c r="P52" i="18" s="1"/>
  <c r="P53" i="18" s="1"/>
  <c r="P54" i="18" s="1"/>
  <c r="P55" i="18" s="1"/>
  <c r="P56" i="18" s="1"/>
  <c r="P57" i="18" s="1"/>
  <c r="P58" i="18" s="1"/>
  <c r="P59" i="18" s="1"/>
  <c r="P60" i="18" s="1"/>
  <c r="P61" i="18" s="1"/>
  <c r="P62" i="18" s="1"/>
  <c r="P63" i="18" s="1"/>
  <c r="P64" i="18" s="1"/>
  <c r="P65" i="18" s="1"/>
  <c r="P66" i="18" s="1"/>
  <c r="P67" i="18" s="1"/>
  <c r="P68" i="18" s="1"/>
  <c r="P69" i="18" s="1"/>
  <c r="P70" i="18" s="1"/>
  <c r="P71" i="18" s="1"/>
  <c r="P72" i="18" s="1"/>
  <c r="P73" i="18" s="1"/>
  <c r="P74" i="18" s="1"/>
  <c r="P75" i="18" s="1"/>
  <c r="P76" i="18" s="1"/>
  <c r="P77" i="18" s="1"/>
  <c r="P78" i="18" s="1"/>
  <c r="P79" i="18" s="1"/>
  <c r="P80" i="18" s="1"/>
  <c r="P81" i="18" s="1"/>
  <c r="P82" i="18" s="1"/>
  <c r="P83" i="18" s="1"/>
  <c r="P84" i="18" s="1"/>
  <c r="P85" i="18" s="1"/>
  <c r="P86" i="18" s="1"/>
  <c r="P87" i="18" s="1"/>
  <c r="P88" i="18" s="1"/>
  <c r="P89" i="18" s="1"/>
  <c r="P90" i="18" s="1"/>
  <c r="P91" i="18" s="1"/>
  <c r="P92" i="18" s="1"/>
  <c r="P93" i="18" s="1"/>
  <c r="P94" i="18" s="1"/>
  <c r="P95" i="18" s="1"/>
  <c r="P96" i="18" s="1"/>
  <c r="P97" i="18" s="1"/>
  <c r="P98" i="18" s="1"/>
  <c r="P99" i="18" s="1"/>
  <c r="P100" i="18" s="1"/>
  <c r="P101" i="18" s="1"/>
  <c r="P102" i="18" s="1"/>
  <c r="P103" i="18" s="1"/>
  <c r="P104" i="18" s="1"/>
  <c r="P105" i="18" s="1"/>
  <c r="P106" i="18" s="1"/>
  <c r="N91" i="18"/>
  <c r="N195" i="14"/>
  <c r="N194" i="14"/>
  <c r="N193" i="14"/>
  <c r="N192" i="14"/>
  <c r="N191" i="14"/>
  <c r="N190" i="14"/>
  <c r="N189" i="14"/>
  <c r="N188" i="14"/>
  <c r="N187" i="14"/>
  <c r="N186" i="14"/>
  <c r="N185" i="14"/>
  <c r="N184" i="14"/>
  <c r="N183" i="14"/>
  <c r="N182" i="14"/>
  <c r="N181" i="14"/>
  <c r="N180" i="14"/>
  <c r="N179" i="14"/>
  <c r="N178" i="14"/>
  <c r="N177" i="14"/>
  <c r="N176" i="14"/>
  <c r="N175" i="14"/>
  <c r="N174" i="14"/>
  <c r="N173" i="14"/>
  <c r="N172" i="14"/>
  <c r="N171" i="14"/>
  <c r="N170" i="14"/>
  <c r="N169" i="14"/>
  <c r="N168" i="14"/>
  <c r="N167" i="14"/>
  <c r="N166" i="14"/>
  <c r="N165" i="14"/>
  <c r="N164" i="14"/>
  <c r="N163" i="14"/>
  <c r="N162" i="14"/>
  <c r="N161" i="14"/>
  <c r="N160" i="14"/>
  <c r="N159" i="14"/>
  <c r="N158" i="14"/>
  <c r="N157" i="14"/>
  <c r="N156" i="14"/>
  <c r="N155" i="14"/>
  <c r="N154" i="14"/>
  <c r="N153" i="14"/>
  <c r="N152" i="14"/>
  <c r="N151" i="14"/>
  <c r="N150" i="14"/>
  <c r="N149" i="14"/>
  <c r="N148" i="14"/>
  <c r="N147" i="14"/>
  <c r="N146" i="14"/>
  <c r="N145" i="14"/>
  <c r="N144" i="14"/>
  <c r="N143" i="14"/>
  <c r="N142" i="14"/>
  <c r="N141" i="14"/>
  <c r="N140" i="14"/>
  <c r="N139" i="14"/>
  <c r="N138" i="14"/>
  <c r="N137" i="14"/>
  <c r="N136" i="14"/>
  <c r="N135" i="14"/>
  <c r="N134" i="14"/>
  <c r="N133" i="14"/>
  <c r="N132" i="14"/>
  <c r="N131" i="14"/>
  <c r="N130" i="14"/>
  <c r="N129" i="14"/>
  <c r="N128" i="14"/>
  <c r="N127" i="14"/>
  <c r="N126" i="14"/>
  <c r="N125" i="14"/>
  <c r="N124" i="14"/>
  <c r="N123" i="14"/>
  <c r="N122" i="14"/>
  <c r="N121" i="14"/>
  <c r="N120" i="14"/>
  <c r="N119" i="14"/>
  <c r="N118" i="14"/>
  <c r="N117" i="14"/>
  <c r="N116" i="14"/>
  <c r="N115" i="14"/>
  <c r="N114" i="14"/>
  <c r="N113" i="14"/>
  <c r="N112" i="14"/>
  <c r="N111" i="14"/>
  <c r="N110" i="14"/>
  <c r="N109" i="14"/>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7" i="14"/>
  <c r="N76" i="14"/>
  <c r="N75" i="14"/>
  <c r="N74" i="14"/>
  <c r="N73" i="14"/>
  <c r="N72" i="14"/>
  <c r="N71" i="14"/>
  <c r="N70" i="14"/>
  <c r="N69" i="14"/>
  <c r="N68" i="14"/>
  <c r="N67" i="14"/>
  <c r="N66" i="14"/>
  <c r="N65" i="14"/>
  <c r="N64" i="14"/>
  <c r="N63" i="14"/>
  <c r="N62" i="14"/>
  <c r="N61" i="14"/>
  <c r="N60" i="14"/>
  <c r="N59" i="14"/>
  <c r="N58" i="14"/>
  <c r="N57"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10" i="14"/>
  <c r="N9" i="14"/>
  <c r="N8" i="14"/>
  <c r="N7" i="14"/>
  <c r="N6" i="14"/>
  <c r="P5" i="14"/>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P114" i="14" s="1"/>
  <c r="P115" i="14" s="1"/>
  <c r="P116" i="14" s="1"/>
  <c r="P117" i="14" s="1"/>
  <c r="P118" i="14" s="1"/>
  <c r="P119" i="14" s="1"/>
  <c r="P120" i="14" s="1"/>
  <c r="P121" i="14" s="1"/>
  <c r="P122" i="14" s="1"/>
  <c r="P123" i="14" s="1"/>
  <c r="P124" i="14" s="1"/>
  <c r="P125" i="14" s="1"/>
  <c r="P126" i="14" s="1"/>
  <c r="P127" i="14" s="1"/>
  <c r="P128" i="14" s="1"/>
  <c r="P129" i="14" s="1"/>
  <c r="P130" i="14" s="1"/>
  <c r="P131" i="14" s="1"/>
  <c r="P132" i="14" s="1"/>
  <c r="P133" i="14" s="1"/>
  <c r="P134" i="14" s="1"/>
  <c r="P135" i="14" s="1"/>
  <c r="P136" i="14" s="1"/>
  <c r="P137" i="14" s="1"/>
  <c r="P138" i="14" s="1"/>
  <c r="P139" i="14" s="1"/>
  <c r="P140" i="14" s="1"/>
  <c r="P141" i="14" s="1"/>
  <c r="P142" i="14" s="1"/>
  <c r="P143" i="14" s="1"/>
  <c r="P144" i="14" s="1"/>
  <c r="P145" i="14" s="1"/>
  <c r="P146" i="14" s="1"/>
  <c r="P147" i="14" s="1"/>
  <c r="P148" i="14" s="1"/>
  <c r="P149" i="14" s="1"/>
  <c r="P150" i="14" s="1"/>
  <c r="P151" i="14" s="1"/>
  <c r="P152" i="14" s="1"/>
  <c r="P153" i="14" s="1"/>
  <c r="P154" i="14" s="1"/>
  <c r="P155" i="14" s="1"/>
  <c r="P156" i="14" s="1"/>
  <c r="P157" i="14" s="1"/>
  <c r="P158" i="14" s="1"/>
  <c r="P159" i="14" s="1"/>
  <c r="P160" i="14" s="1"/>
  <c r="P161" i="14" s="1"/>
  <c r="P162" i="14" s="1"/>
  <c r="P163" i="14" s="1"/>
  <c r="P164" i="14" s="1"/>
  <c r="P165" i="14" s="1"/>
  <c r="P166" i="14" s="1"/>
  <c r="P167" i="14" s="1"/>
  <c r="P168" i="14" s="1"/>
  <c r="P169" i="14" s="1"/>
  <c r="P170" i="14" s="1"/>
  <c r="P171" i="14" s="1"/>
  <c r="P172" i="14" s="1"/>
  <c r="P173" i="14" s="1"/>
  <c r="P174" i="14" s="1"/>
  <c r="P175" i="14" s="1"/>
  <c r="P176" i="14" s="1"/>
  <c r="P177" i="14" s="1"/>
  <c r="P178" i="14" s="1"/>
  <c r="P179" i="14" s="1"/>
  <c r="P180" i="14" s="1"/>
  <c r="P181" i="14" s="1"/>
  <c r="P182" i="14" s="1"/>
  <c r="P183" i="14" s="1"/>
  <c r="P184" i="14" s="1"/>
  <c r="P185" i="14" s="1"/>
  <c r="P186" i="14" s="1"/>
  <c r="P187" i="14" s="1"/>
  <c r="P188" i="14" s="1"/>
  <c r="P189" i="14" s="1"/>
  <c r="P190" i="14" s="1"/>
  <c r="P191" i="14" s="1"/>
  <c r="P192" i="14" s="1"/>
  <c r="P193" i="14" s="1"/>
  <c r="P194" i="14" s="1"/>
  <c r="P195" i="14" s="1"/>
  <c r="P196" i="14" s="1"/>
  <c r="P197" i="14" s="1"/>
  <c r="P198" i="14" s="1"/>
  <c r="P199" i="14" s="1"/>
  <c r="N5" i="14"/>
  <c r="N4" i="14"/>
  <c r="C4" i="14"/>
  <c r="C5" i="14" s="1"/>
  <c r="C6" i="14" s="1"/>
  <c r="C7" i="14" s="1"/>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C36" i="14" s="1"/>
  <c r="C37" i="14" s="1"/>
  <c r="C38" i="14" s="1"/>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C81" i="14" s="1"/>
  <c r="C82" i="14" s="1"/>
  <c r="C83" i="14" s="1"/>
  <c r="C84" i="14" s="1"/>
  <c r="C85" i="14" s="1"/>
  <c r="C86" i="14" s="1"/>
  <c r="C87" i="14" s="1"/>
  <c r="C88" i="14" s="1"/>
  <c r="C89" i="14" s="1"/>
  <c r="C90" i="14" s="1"/>
  <c r="C91" i="14" s="1"/>
  <c r="C92" i="14" s="1"/>
  <c r="C93" i="14" s="1"/>
  <c r="C94" i="14" s="1"/>
  <c r="C95" i="14" s="1"/>
  <c r="C96" i="14" s="1"/>
  <c r="C97" i="14" s="1"/>
  <c r="C98" i="14" s="1"/>
  <c r="C99" i="14" s="1"/>
  <c r="C100" i="14" s="1"/>
  <c r="C101" i="14" s="1"/>
  <c r="C102" i="14" s="1"/>
  <c r="C103" i="14" s="1"/>
  <c r="C104" i="14" s="1"/>
  <c r="C105" i="14" s="1"/>
  <c r="C106" i="14" s="1"/>
  <c r="C107" i="14" s="1"/>
  <c r="C108" i="14" s="1"/>
  <c r="C109" i="14" s="1"/>
  <c r="C110" i="14" s="1"/>
  <c r="C111" i="14" s="1"/>
  <c r="C112" i="14" s="1"/>
  <c r="C113" i="14" s="1"/>
  <c r="C114" i="14" s="1"/>
  <c r="C115" i="14" s="1"/>
  <c r="C116" i="14" s="1"/>
  <c r="C117" i="14" s="1"/>
  <c r="C118" i="14" s="1"/>
  <c r="C119" i="14" s="1"/>
  <c r="C120" i="14" s="1"/>
  <c r="C121" i="14" s="1"/>
  <c r="C122" i="14" s="1"/>
  <c r="C123" i="14" s="1"/>
  <c r="C124" i="14" s="1"/>
  <c r="C125" i="14" s="1"/>
  <c r="C126" i="14" s="1"/>
  <c r="C127" i="14" s="1"/>
  <c r="C128" i="14" s="1"/>
  <c r="C129" i="14" s="1"/>
  <c r="C130" i="14" s="1"/>
  <c r="C131" i="14" s="1"/>
  <c r="C132" i="14" s="1"/>
  <c r="C133" i="14" s="1"/>
  <c r="C134" i="14" s="1"/>
  <c r="C135" i="14" s="1"/>
  <c r="C136" i="14" s="1"/>
  <c r="C137" i="14" s="1"/>
  <c r="C138" i="14" s="1"/>
  <c r="C139" i="14" s="1"/>
  <c r="C140" i="14" s="1"/>
  <c r="C141" i="14" s="1"/>
  <c r="C142" i="14" s="1"/>
  <c r="C143" i="14" s="1"/>
  <c r="C144" i="14" s="1"/>
  <c r="C145" i="14" s="1"/>
  <c r="C146" i="14" s="1"/>
  <c r="C147" i="14" s="1"/>
  <c r="C148" i="14" s="1"/>
  <c r="C149" i="14" s="1"/>
  <c r="C150" i="14" s="1"/>
  <c r="C151" i="14" s="1"/>
  <c r="C152" i="14" s="1"/>
  <c r="C153" i="14" s="1"/>
  <c r="C154" i="14" s="1"/>
  <c r="C155" i="14" s="1"/>
  <c r="C156" i="14" s="1"/>
  <c r="C157" i="14" s="1"/>
  <c r="C158" i="14" s="1"/>
  <c r="C159" i="14" s="1"/>
  <c r="C160" i="14" s="1"/>
  <c r="C161" i="14" s="1"/>
  <c r="C162" i="14" s="1"/>
  <c r="C163" i="14" s="1"/>
  <c r="C164" i="14" s="1"/>
  <c r="C165" i="14" s="1"/>
  <c r="C166" i="14" s="1"/>
  <c r="C167" i="14" s="1"/>
  <c r="C168" i="14" s="1"/>
  <c r="C169" i="14" s="1"/>
  <c r="C170" i="14" s="1"/>
  <c r="C171" i="14" s="1"/>
  <c r="C172" i="14" s="1"/>
  <c r="C173" i="14" s="1"/>
  <c r="C174" i="14" s="1"/>
  <c r="C175" i="14" s="1"/>
  <c r="C176" i="14" s="1"/>
  <c r="C177" i="14" s="1"/>
  <c r="C178" i="14" s="1"/>
  <c r="C179" i="14" s="1"/>
  <c r="C180" i="14" s="1"/>
  <c r="C181" i="14" s="1"/>
  <c r="C182" i="14" s="1"/>
  <c r="C183" i="14" s="1"/>
  <c r="C184" i="14" s="1"/>
  <c r="C185" i="14" s="1"/>
  <c r="C186" i="14" s="1"/>
  <c r="C187" i="14" s="1"/>
  <c r="C188" i="14" s="1"/>
  <c r="C189" i="14" s="1"/>
  <c r="C190" i="14" s="1"/>
  <c r="C191" i="14" s="1"/>
  <c r="C192" i="14" s="1"/>
  <c r="C193" i="14" s="1"/>
  <c r="C194" i="14" s="1"/>
  <c r="C195" i="14" s="1"/>
  <c r="C196" i="14" s="1"/>
  <c r="C197" i="14" s="1"/>
  <c r="C198" i="14" s="1"/>
  <c r="C199" i="14" s="1"/>
  <c r="P151" i="15" l="1"/>
  <c r="P152" i="15" s="1"/>
  <c r="P153" i="15" s="1"/>
  <c r="P154" i="15" s="1"/>
  <c r="P155" i="15" s="1"/>
  <c r="P156" i="15" s="1"/>
  <c r="P157" i="15" s="1"/>
  <c r="P158" i="15" s="1"/>
  <c r="P159" i="15" s="1"/>
  <c r="P160" i="15" s="1"/>
  <c r="P161" i="15" s="1"/>
  <c r="P162" i="15" s="1"/>
  <c r="P163" i="15" s="1"/>
  <c r="P164" i="15" s="1"/>
  <c r="P165" i="15" s="1"/>
  <c r="P166" i="15" s="1"/>
  <c r="P167" i="15" s="1"/>
  <c r="P168" i="15" s="1"/>
  <c r="P169" i="15" s="1"/>
  <c r="P170" i="15" s="1"/>
  <c r="P171" i="15" s="1"/>
  <c r="P172" i="15" s="1"/>
  <c r="P173" i="15" s="1"/>
  <c r="P174" i="15" s="1"/>
  <c r="P175" i="15" s="1"/>
  <c r="P176" i="15" s="1"/>
  <c r="P177" i="15" s="1"/>
  <c r="P178" i="15" s="1"/>
  <c r="P179" i="15" s="1"/>
  <c r="P180" i="15" s="1"/>
  <c r="P66" i="22"/>
  <c r="P67" i="22" s="1"/>
  <c r="P68" i="22" s="1"/>
  <c r="P69" i="22" s="1"/>
  <c r="P70" i="22" s="1"/>
  <c r="P71" i="22" s="1"/>
  <c r="P72" i="22" s="1"/>
  <c r="P73" i="22" s="1"/>
  <c r="P74" i="22" s="1"/>
  <c r="P75" i="22" s="1"/>
  <c r="P76" i="22" s="1"/>
  <c r="P77" i="22" s="1"/>
  <c r="P78" i="22" s="1"/>
  <c r="P79" i="22" s="1"/>
  <c r="P37" i="21"/>
  <c r="P38" i="21" s="1"/>
  <c r="P39" i="21" s="1"/>
  <c r="P40" i="21" s="1"/>
  <c r="P41" i="21" s="1"/>
  <c r="P42" i="21" s="1"/>
  <c r="P43" i="21" s="1"/>
  <c r="P44" i="21" s="1"/>
  <c r="P45" i="21" s="1"/>
  <c r="P46" i="21" s="1"/>
  <c r="P47" i="21" s="1"/>
  <c r="P48" i="21" s="1"/>
  <c r="P49" i="21" s="1"/>
  <c r="P50" i="21" s="1"/>
  <c r="P51" i="21" s="1"/>
  <c r="P52" i="21" s="1"/>
  <c r="P53" i="21" s="1"/>
  <c r="P54" i="21" s="1"/>
  <c r="P55" i="21" s="1"/>
  <c r="P56" i="21" s="1"/>
  <c r="P57" i="21" s="1"/>
  <c r="P58" i="21" s="1"/>
  <c r="P59" i="21" s="1"/>
  <c r="P60" i="21" s="1"/>
  <c r="P61" i="21" s="1"/>
  <c r="P62" i="21" s="1"/>
  <c r="P63" i="21" s="1"/>
  <c r="P64" i="21" s="1"/>
  <c r="P65" i="21" s="1"/>
  <c r="P66" i="21" s="1"/>
  <c r="P67" i="21" s="1"/>
  <c r="P68" i="21" s="1"/>
  <c r="P69" i="21" s="1"/>
  <c r="P70" i="21" s="1"/>
  <c r="P71" i="21" s="1"/>
  <c r="P72" i="21" s="1"/>
  <c r="P73" i="21" s="1"/>
  <c r="P74" i="21" s="1"/>
  <c r="P75" i="21" s="1"/>
  <c r="P76" i="21" s="1"/>
  <c r="P77" i="21" s="1"/>
  <c r="P78" i="21" s="1"/>
  <c r="P79" i="21" s="1"/>
  <c r="P80" i="21" s="1"/>
  <c r="P81" i="20"/>
  <c r="P82" i="20" s="1"/>
  <c r="P83" i="20" s="1"/>
  <c r="P84" i="20" s="1"/>
  <c r="P85" i="20" s="1"/>
  <c r="P86" i="20" s="1"/>
  <c r="P87" i="20" s="1"/>
  <c r="P88" i="20" s="1"/>
  <c r="P89" i="20" s="1"/>
  <c r="P90" i="20" s="1"/>
  <c r="P91" i="20" s="1"/>
  <c r="P92" i="20" s="1"/>
  <c r="P93" i="20" s="1"/>
  <c r="P94" i="20" s="1"/>
  <c r="P95" i="20" s="1"/>
  <c r="P96" i="20" s="1"/>
  <c r="P97" i="20" s="1"/>
  <c r="P98" i="20" s="1"/>
  <c r="P99" i="20" s="1"/>
  <c r="P100" i="20" s="1"/>
  <c r="P101" i="20" s="1"/>
  <c r="P102" i="20" s="1"/>
  <c r="P103" i="20" s="1"/>
  <c r="P104" i="20" s="1"/>
  <c r="P105" i="20" s="1"/>
  <c r="P106" i="20" s="1"/>
  <c r="P107" i="20" s="1"/>
  <c r="P108" i="20" s="1"/>
  <c r="P109" i="20" s="1"/>
  <c r="P110" i="20" s="1"/>
  <c r="P111" i="20" s="1"/>
  <c r="P112" i="20" s="1"/>
  <c r="P113" i="20" s="1"/>
  <c r="P114" i="20" s="1"/>
  <c r="P115" i="20" s="1"/>
  <c r="P116" i="20" s="1"/>
  <c r="P117" i="20" s="1"/>
  <c r="P118" i="20" s="1"/>
  <c r="P119" i="20" s="1"/>
  <c r="P86" i="25"/>
  <c r="P87" i="25" s="1"/>
  <c r="P88" i="25" s="1"/>
  <c r="P89" i="25" s="1"/>
  <c r="P90" i="25" s="1"/>
  <c r="P91" i="25" s="1"/>
  <c r="P92" i="25" s="1"/>
  <c r="P93" i="25" s="1"/>
  <c r="P94" i="25" s="1"/>
  <c r="P95" i="25" s="1"/>
  <c r="P96" i="25" s="1"/>
  <c r="P97" i="25" s="1"/>
  <c r="P98" i="25" s="1"/>
  <c r="P99" i="25" s="1"/>
  <c r="P100" i="25" s="1"/>
  <c r="P101" i="25" s="1"/>
  <c r="P102" i="25" s="1"/>
  <c r="P103" i="25" s="1"/>
  <c r="P104" i="25" s="1"/>
  <c r="P105" i="25" s="1"/>
  <c r="P106" i="25" s="1"/>
  <c r="P107" i="25" s="1"/>
  <c r="P108" i="25" s="1"/>
  <c r="P109" i="25" s="1"/>
  <c r="P110" i="25" s="1"/>
  <c r="P107" i="18"/>
  <c r="P108" i="18" s="1"/>
  <c r="N7" i="32"/>
  <c r="N6" i="32"/>
  <c r="N5" i="32"/>
  <c r="N4" i="32"/>
  <c r="C4" i="32"/>
  <c r="C5" i="32" s="1"/>
  <c r="C6" i="32" s="1"/>
  <c r="C7" i="32" s="1"/>
  <c r="P80" i="22" l="1"/>
  <c r="P81" i="22" s="1"/>
  <c r="P82" i="22" s="1"/>
  <c r="P83" i="22" s="1"/>
  <c r="P84" i="22" s="1"/>
  <c r="P85" i="22" s="1"/>
  <c r="P86" i="22" s="1"/>
  <c r="P87" i="22" s="1"/>
  <c r="P111" i="25"/>
  <c r="P112" i="25" s="1"/>
  <c r="P113" i="25" s="1"/>
  <c r="P114" i="25" s="1"/>
  <c r="P115" i="25" s="1"/>
  <c r="P116" i="25" s="1"/>
  <c r="P117" i="25" s="1"/>
  <c r="P118" i="25" s="1"/>
  <c r="P119" i="25" s="1"/>
  <c r="P120" i="25" s="1"/>
  <c r="P121" i="25" s="1"/>
  <c r="P122" i="25" s="1"/>
  <c r="P123" i="25" s="1"/>
  <c r="P124" i="25" s="1"/>
  <c r="P125" i="25" s="1"/>
  <c r="P126" i="25" s="1"/>
  <c r="P127" i="25" s="1"/>
  <c r="P128" i="25" s="1"/>
  <c r="P129" i="25" s="1"/>
  <c r="P130" i="25" s="1"/>
  <c r="P131" i="25" s="1"/>
  <c r="P132" i="25" s="1"/>
  <c r="P133" i="25" s="1"/>
  <c r="P134" i="25" s="1"/>
  <c r="P135" i="25" s="1"/>
  <c r="P136" i="25" s="1"/>
  <c r="P137" i="25" s="1"/>
  <c r="P138" i="25" s="1"/>
  <c r="P139" i="25" s="1"/>
  <c r="P140" i="25" s="1"/>
  <c r="P141" i="25" s="1"/>
  <c r="P109" i="18"/>
  <c r="P110" i="18" s="1"/>
  <c r="P111" i="18" s="1"/>
  <c r="P112" i="18" s="1"/>
  <c r="P113" i="18" s="1"/>
  <c r="P114" i="18" s="1"/>
  <c r="P115" i="18" s="1"/>
  <c r="P116" i="18" s="1"/>
  <c r="P117" i="18" s="1"/>
  <c r="N66" i="31"/>
  <c r="N68" i="31"/>
  <c r="N70" i="31"/>
  <c r="N72" i="31"/>
  <c r="N74" i="31"/>
  <c r="N76" i="31"/>
  <c r="N78" i="31"/>
  <c r="N80" i="31"/>
  <c r="N82" i="31"/>
  <c r="N84" i="31"/>
  <c r="N86" i="31"/>
  <c r="N88" i="31"/>
  <c r="N90" i="31"/>
  <c r="N92" i="31"/>
  <c r="N94" i="31"/>
  <c r="N96" i="31"/>
  <c r="N98" i="31"/>
  <c r="N100" i="31"/>
  <c r="N102" i="31"/>
  <c r="N104" i="31"/>
  <c r="N106" i="31"/>
  <c r="N108" i="31"/>
  <c r="N65" i="31"/>
  <c r="N67" i="31"/>
  <c r="N69" i="31"/>
  <c r="N71" i="31"/>
  <c r="N73" i="31"/>
  <c r="N75" i="31"/>
  <c r="N77" i="31"/>
  <c r="N79" i="31"/>
  <c r="N81" i="31"/>
  <c r="N83" i="31"/>
  <c r="N85" i="31"/>
  <c r="N87" i="31"/>
  <c r="N89" i="31"/>
  <c r="N91" i="31"/>
  <c r="N93" i="31"/>
  <c r="N95" i="31"/>
  <c r="N97" i="31"/>
  <c r="N99" i="31"/>
  <c r="N101" i="31"/>
  <c r="N103" i="31"/>
  <c r="N105" i="31"/>
  <c r="N107" i="31"/>
  <c r="N29" i="31"/>
  <c r="N30" i="31"/>
  <c r="N31"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57" i="31"/>
  <c r="N58" i="31"/>
  <c r="N59" i="31"/>
  <c r="N60" i="31"/>
  <c r="N61" i="31"/>
  <c r="N62" i="31"/>
  <c r="N63" i="31"/>
  <c r="N28" i="31"/>
  <c r="N27" i="31"/>
  <c r="N26" i="31"/>
  <c r="N25" i="31"/>
  <c r="N24" i="31"/>
  <c r="N23" i="31"/>
  <c r="N22" i="31"/>
  <c r="N21" i="31"/>
  <c r="N20" i="31"/>
  <c r="N19" i="31"/>
  <c r="N18" i="31"/>
  <c r="N17" i="31"/>
  <c r="N16" i="31"/>
  <c r="N15" i="31"/>
  <c r="N14" i="31"/>
  <c r="N13" i="31"/>
  <c r="N12" i="31"/>
  <c r="N11" i="31"/>
  <c r="N10" i="31"/>
  <c r="N9" i="31"/>
  <c r="N8" i="31"/>
  <c r="N7" i="31"/>
  <c r="N6" i="31"/>
  <c r="N5" i="31"/>
  <c r="N4" i="31"/>
  <c r="C4" i="31"/>
  <c r="N28" i="30"/>
  <c r="N26" i="30"/>
  <c r="N24" i="30"/>
  <c r="N22" i="30"/>
  <c r="N20" i="30"/>
  <c r="N18" i="30"/>
  <c r="N16" i="30"/>
  <c r="N14" i="30"/>
  <c r="N12" i="30"/>
  <c r="N10" i="30"/>
  <c r="N27" i="30"/>
  <c r="N25" i="30"/>
  <c r="N23" i="30"/>
  <c r="N21" i="30"/>
  <c r="N19" i="30"/>
  <c r="N17" i="30"/>
  <c r="N15" i="30"/>
  <c r="N13" i="30"/>
  <c r="N11" i="30"/>
  <c r="N9" i="30"/>
  <c r="N8" i="30"/>
  <c r="N7" i="30"/>
  <c r="N6" i="30"/>
  <c r="N5" i="30"/>
  <c r="N4" i="30"/>
  <c r="C4" i="30"/>
  <c r="N98" i="29"/>
  <c r="N96" i="29"/>
  <c r="N95" i="29"/>
  <c r="N92" i="29"/>
  <c r="N91" i="29"/>
  <c r="N88" i="29"/>
  <c r="N87" i="29"/>
  <c r="N84" i="29"/>
  <c r="N83" i="29"/>
  <c r="N80" i="29"/>
  <c r="N79" i="29"/>
  <c r="N76" i="29"/>
  <c r="N74" i="29"/>
  <c r="N72" i="29"/>
  <c r="N70" i="29"/>
  <c r="N68" i="29"/>
  <c r="N66" i="29"/>
  <c r="N64" i="29"/>
  <c r="N62" i="29"/>
  <c r="N60" i="29"/>
  <c r="N58" i="29"/>
  <c r="N56" i="29"/>
  <c r="N54" i="29"/>
  <c r="N52" i="29"/>
  <c r="N50" i="29"/>
  <c r="N48" i="29"/>
  <c r="N46" i="29"/>
  <c r="N44" i="29"/>
  <c r="N42" i="29"/>
  <c r="N40" i="29"/>
  <c r="N38" i="29"/>
  <c r="N36" i="29"/>
  <c r="N34" i="29"/>
  <c r="N32" i="29"/>
  <c r="N30" i="29"/>
  <c r="N28" i="29"/>
  <c r="N26" i="29"/>
  <c r="N24" i="29"/>
  <c r="N22" i="29"/>
  <c r="N97" i="29"/>
  <c r="N94" i="29"/>
  <c r="N93" i="29"/>
  <c r="N90" i="29"/>
  <c r="N89" i="29"/>
  <c r="N86" i="29"/>
  <c r="N85" i="29"/>
  <c r="N82" i="29"/>
  <c r="N81" i="29"/>
  <c r="N78" i="29"/>
  <c r="N77" i="29"/>
  <c r="N75" i="29"/>
  <c r="N73" i="29"/>
  <c r="N71" i="29"/>
  <c r="N69" i="29"/>
  <c r="N67" i="29"/>
  <c r="N65" i="29"/>
  <c r="N63" i="29"/>
  <c r="N61" i="29"/>
  <c r="N59" i="29"/>
  <c r="N57" i="29"/>
  <c r="N55" i="29"/>
  <c r="N53" i="29"/>
  <c r="N51" i="29"/>
  <c r="N49" i="29"/>
  <c r="N47" i="29"/>
  <c r="N45" i="29"/>
  <c r="N43" i="29"/>
  <c r="N41" i="29"/>
  <c r="N39" i="29"/>
  <c r="N37" i="29"/>
  <c r="N35" i="29"/>
  <c r="N33" i="29"/>
  <c r="N31" i="29"/>
  <c r="N29" i="29"/>
  <c r="N27" i="29"/>
  <c r="N25" i="29"/>
  <c r="N23" i="29"/>
  <c r="N21" i="29"/>
  <c r="N20" i="29"/>
  <c r="N19" i="29"/>
  <c r="N18" i="29"/>
  <c r="N17" i="29"/>
  <c r="N16" i="29"/>
  <c r="N15" i="29"/>
  <c r="N14" i="29"/>
  <c r="N13" i="29"/>
  <c r="N12" i="29"/>
  <c r="N11" i="29"/>
  <c r="N10" i="29"/>
  <c r="N9" i="29"/>
  <c r="N8" i="29"/>
  <c r="N7" i="29"/>
  <c r="N6" i="29"/>
  <c r="N5" i="29"/>
  <c r="N4" i="29"/>
  <c r="C4" i="29"/>
  <c r="C5" i="29" s="1"/>
  <c r="C6" i="29" s="1"/>
  <c r="C7" i="29" s="1"/>
  <c r="C8" i="29" s="1"/>
  <c r="C9" i="29" s="1"/>
  <c r="C10" i="29" s="1"/>
  <c r="C11" i="29" s="1"/>
  <c r="C12" i="29" s="1"/>
  <c r="C13" i="29" s="1"/>
  <c r="C14" i="29" s="1"/>
  <c r="C15" i="29" s="1"/>
  <c r="C16" i="29" s="1"/>
  <c r="C17" i="29" s="1"/>
  <c r="C18" i="29" s="1"/>
  <c r="C19" i="29" s="1"/>
  <c r="C20" i="29" s="1"/>
  <c r="C21" i="29" s="1"/>
  <c r="N116" i="28"/>
  <c r="N114" i="28"/>
  <c r="N112" i="28"/>
  <c r="N110" i="28"/>
  <c r="N108" i="28"/>
  <c r="N106" i="28"/>
  <c r="N104" i="28"/>
  <c r="N102" i="28"/>
  <c r="N100" i="28"/>
  <c r="N98" i="28"/>
  <c r="N96" i="28"/>
  <c r="N94" i="28"/>
  <c r="N92" i="28"/>
  <c r="N90" i="28"/>
  <c r="N88" i="28"/>
  <c r="N86" i="28"/>
  <c r="N84" i="28"/>
  <c r="N82" i="28"/>
  <c r="N80" i="28"/>
  <c r="N78" i="28"/>
  <c r="N76" i="28"/>
  <c r="N74" i="28"/>
  <c r="N72" i="28"/>
  <c r="N70" i="28"/>
  <c r="N68" i="28"/>
  <c r="N66" i="28"/>
  <c r="N64" i="28"/>
  <c r="N62" i="28"/>
  <c r="N60" i="28"/>
  <c r="N58" i="28"/>
  <c r="N56" i="28"/>
  <c r="N54" i="28"/>
  <c r="N52" i="28"/>
  <c r="N50" i="28"/>
  <c r="N49" i="28"/>
  <c r="N51" i="28"/>
  <c r="N53" i="28"/>
  <c r="N55" i="28"/>
  <c r="N57" i="28"/>
  <c r="N59" i="28"/>
  <c r="N61" i="28"/>
  <c r="N63" i="28"/>
  <c r="N65" i="28"/>
  <c r="N67" i="28"/>
  <c r="N69" i="28"/>
  <c r="N71" i="28"/>
  <c r="N73" i="28"/>
  <c r="N75" i="28"/>
  <c r="N77" i="28"/>
  <c r="N79" i="28"/>
  <c r="N81" i="28"/>
  <c r="N83" i="28"/>
  <c r="N85" i="28"/>
  <c r="N87" i="28"/>
  <c r="N89" i="28"/>
  <c r="N91" i="28"/>
  <c r="N93" i="28"/>
  <c r="N95" i="28"/>
  <c r="N97" i="28"/>
  <c r="N99" i="28"/>
  <c r="N101" i="28"/>
  <c r="N103" i="28"/>
  <c r="N105" i="28"/>
  <c r="N107" i="28"/>
  <c r="N109" i="28"/>
  <c r="N111" i="28"/>
  <c r="N113" i="28"/>
  <c r="N115" i="28"/>
  <c r="N5" i="28"/>
  <c r="N6" i="28"/>
  <c r="N7" i="28"/>
  <c r="N8" i="28"/>
  <c r="N9" i="28"/>
  <c r="N10" i="28"/>
  <c r="N11" i="28"/>
  <c r="N12" i="28"/>
  <c r="N13" i="28"/>
  <c r="N14" i="28"/>
  <c r="N15" i="28"/>
  <c r="N16" i="28"/>
  <c r="N17" i="28"/>
  <c r="N18" i="28"/>
  <c r="N19" i="28"/>
  <c r="N20" i="28"/>
  <c r="N21" i="28"/>
  <c r="N22" i="28"/>
  <c r="N23" i="28"/>
  <c r="N24" i="28"/>
  <c r="N25" i="28"/>
  <c r="N26" i="28"/>
  <c r="N27" i="28"/>
  <c r="N28" i="28"/>
  <c r="N29" i="28"/>
  <c r="N30" i="28"/>
  <c r="N31" i="28"/>
  <c r="N32" i="28"/>
  <c r="N33" i="28"/>
  <c r="N34" i="28"/>
  <c r="N35" i="28"/>
  <c r="N36" i="28"/>
  <c r="N37" i="28"/>
  <c r="N38" i="28"/>
  <c r="N39" i="28"/>
  <c r="N40" i="28"/>
  <c r="N41" i="28"/>
  <c r="N42" i="28"/>
  <c r="N43" i="28"/>
  <c r="N44" i="28"/>
  <c r="N45" i="28"/>
  <c r="N46" i="28"/>
  <c r="N47" i="28"/>
  <c r="N48" i="28"/>
  <c r="N4" i="28"/>
  <c r="C4" i="28"/>
  <c r="Q586" i="13"/>
  <c r="Q587" i="13"/>
  <c r="Q588" i="13"/>
  <c r="Q589" i="13"/>
  <c r="Q590" i="13"/>
  <c r="N586" i="13"/>
  <c r="N587" i="13"/>
  <c r="N588" i="13"/>
  <c r="N589" i="13"/>
  <c r="N590"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Q502" i="13"/>
  <c r="Q503" i="13"/>
  <c r="Q504" i="13"/>
  <c r="Q505" i="13"/>
  <c r="Q506" i="13"/>
  <c r="Q507" i="13"/>
  <c r="Q508" i="13"/>
  <c r="Q509" i="13"/>
  <c r="Q510" i="13"/>
  <c r="Q511" i="13"/>
  <c r="Q512" i="13"/>
  <c r="Q513" i="13"/>
  <c r="Q514" i="13"/>
  <c r="Q515" i="13"/>
  <c r="Q516" i="13"/>
  <c r="Q517" i="13"/>
  <c r="Q518" i="13"/>
  <c r="Q519" i="13"/>
  <c r="Q520" i="13"/>
  <c r="Q521" i="13"/>
  <c r="Q522" i="13"/>
  <c r="Q523" i="13"/>
  <c r="Q524" i="13"/>
  <c r="Q525" i="13"/>
  <c r="Q526" i="13"/>
  <c r="Q527" i="13"/>
  <c r="Q528" i="13"/>
  <c r="Q529" i="13"/>
  <c r="Q530" i="13"/>
  <c r="Q531" i="13"/>
  <c r="Q532" i="13"/>
  <c r="Q533" i="13"/>
  <c r="Q534" i="13"/>
  <c r="Q535" i="13"/>
  <c r="Q536" i="13"/>
  <c r="Q537" i="13"/>
  <c r="Q538" i="13"/>
  <c r="Q539" i="13"/>
  <c r="Q540" i="13"/>
  <c r="Q541" i="13"/>
  <c r="Q542" i="13"/>
  <c r="Q543" i="13"/>
  <c r="Q544" i="13"/>
  <c r="Q545" i="13"/>
  <c r="Q546" i="13"/>
  <c r="Q547" i="13"/>
  <c r="Q548" i="13"/>
  <c r="Q549" i="13"/>
  <c r="Q550" i="13"/>
  <c r="Q551" i="13"/>
  <c r="Q552" i="13"/>
  <c r="Q553" i="13"/>
  <c r="Q554" i="13"/>
  <c r="Q555" i="13"/>
  <c r="Q556" i="13"/>
  <c r="Q557" i="13"/>
  <c r="Q558" i="13"/>
  <c r="Q559" i="13"/>
  <c r="Q560" i="13"/>
  <c r="Q561" i="13"/>
  <c r="Q562" i="13"/>
  <c r="Q563" i="13"/>
  <c r="Q564" i="13"/>
  <c r="Q565" i="13"/>
  <c r="Q566" i="13"/>
  <c r="Q567" i="13"/>
  <c r="Q568" i="13"/>
  <c r="Q569" i="13"/>
  <c r="Q570" i="13"/>
  <c r="Q571" i="13"/>
  <c r="Q572" i="13"/>
  <c r="Q573" i="13"/>
  <c r="Q574" i="13"/>
  <c r="Q575" i="13"/>
  <c r="Q576" i="13"/>
  <c r="Q577" i="13"/>
  <c r="Q578" i="13"/>
  <c r="Q579" i="13"/>
  <c r="Q580" i="13"/>
  <c r="Q581" i="13"/>
  <c r="Q582" i="13"/>
  <c r="Q583" i="13"/>
  <c r="Q584" i="13"/>
  <c r="Q585" i="13"/>
  <c r="N585" i="13"/>
  <c r="N584" i="13"/>
  <c r="N583" i="13"/>
  <c r="N582" i="13"/>
  <c r="N581" i="13"/>
  <c r="N580" i="13"/>
  <c r="N579" i="13"/>
  <c r="N578" i="13"/>
  <c r="N577" i="13"/>
  <c r="N576" i="13"/>
  <c r="N575" i="13"/>
  <c r="N574" i="13"/>
  <c r="N573" i="13"/>
  <c r="N572" i="13"/>
  <c r="N571" i="13"/>
  <c r="N570" i="13"/>
  <c r="N569" i="13"/>
  <c r="N568" i="13"/>
  <c r="N567" i="13"/>
  <c r="N566" i="13"/>
  <c r="N565" i="13"/>
  <c r="N564" i="13"/>
  <c r="N563" i="13"/>
  <c r="N562" i="13"/>
  <c r="N561" i="13"/>
  <c r="N560" i="13"/>
  <c r="N559" i="13"/>
  <c r="N558" i="13"/>
  <c r="N557" i="13"/>
  <c r="N556" i="13"/>
  <c r="N555" i="13"/>
  <c r="N554" i="13"/>
  <c r="N553" i="13"/>
  <c r="N552" i="13"/>
  <c r="N551" i="13"/>
  <c r="N550" i="13"/>
  <c r="N549" i="13"/>
  <c r="N548" i="13"/>
  <c r="N547" i="13"/>
  <c r="N546" i="13"/>
  <c r="N545" i="13"/>
  <c r="N544" i="13"/>
  <c r="N543" i="13"/>
  <c r="N542" i="13"/>
  <c r="N541" i="13"/>
  <c r="N540" i="13"/>
  <c r="N539" i="13"/>
  <c r="N538" i="13"/>
  <c r="N537" i="13"/>
  <c r="N536" i="13"/>
  <c r="N535" i="13"/>
  <c r="N534" i="13"/>
  <c r="N533" i="13"/>
  <c r="N532" i="13"/>
  <c r="N531" i="13"/>
  <c r="N530" i="13"/>
  <c r="N529" i="13"/>
  <c r="N528" i="13"/>
  <c r="N527" i="13"/>
  <c r="N526" i="13"/>
  <c r="N525" i="13"/>
  <c r="N524" i="13"/>
  <c r="N523" i="13"/>
  <c r="N522" i="13"/>
  <c r="N521" i="13"/>
  <c r="N520" i="13"/>
  <c r="N519" i="13"/>
  <c r="N518" i="13"/>
  <c r="N517" i="13"/>
  <c r="N516" i="13"/>
  <c r="N515" i="13"/>
  <c r="N514" i="13"/>
  <c r="N513" i="13"/>
  <c r="N512" i="13"/>
  <c r="N511" i="13"/>
  <c r="N510" i="13"/>
  <c r="N509" i="13"/>
  <c r="N508" i="13"/>
  <c r="N507" i="13"/>
  <c r="N506" i="13"/>
  <c r="N505" i="13"/>
  <c r="N504" i="13"/>
  <c r="N503" i="13"/>
  <c r="N502" i="13"/>
  <c r="N501" i="13"/>
  <c r="N500" i="13"/>
  <c r="N499" i="13"/>
  <c r="N498" i="13"/>
  <c r="N497" i="13"/>
  <c r="N496" i="13"/>
  <c r="N495" i="13"/>
  <c r="N494" i="13"/>
  <c r="N493" i="13"/>
  <c r="N492" i="13"/>
  <c r="N491" i="13"/>
  <c r="N490" i="13"/>
  <c r="N489" i="13"/>
  <c r="N488" i="13"/>
  <c r="N487" i="13"/>
  <c r="N486" i="13"/>
  <c r="N485" i="13"/>
  <c r="N484" i="13"/>
  <c r="N483" i="13"/>
  <c r="N482" i="13"/>
  <c r="N481" i="13"/>
  <c r="N480" i="13"/>
  <c r="N479" i="13"/>
  <c r="N478" i="13"/>
  <c r="N477" i="13"/>
  <c r="N476" i="13"/>
  <c r="N475" i="13"/>
  <c r="N474" i="13"/>
  <c r="N473" i="13"/>
  <c r="N472" i="13"/>
  <c r="N471" i="13"/>
  <c r="N470" i="13"/>
  <c r="N469" i="13"/>
  <c r="N468" i="13"/>
  <c r="N467" i="13"/>
  <c r="N466" i="13"/>
  <c r="N465" i="13"/>
  <c r="N464" i="13"/>
  <c r="N463" i="13"/>
  <c r="N462" i="13"/>
  <c r="N461" i="13"/>
  <c r="N460" i="13"/>
  <c r="N459" i="13"/>
  <c r="N458" i="13"/>
  <c r="N457" i="13"/>
  <c r="N456" i="13"/>
  <c r="N455" i="13"/>
  <c r="N454" i="13"/>
  <c r="N453" i="13"/>
  <c r="N452" i="13"/>
  <c r="N451" i="13"/>
  <c r="N450" i="13"/>
  <c r="N449" i="13"/>
  <c r="N448" i="13"/>
  <c r="N447" i="13"/>
  <c r="N446" i="13"/>
  <c r="N445" i="13"/>
  <c r="N444" i="13"/>
  <c r="N443" i="13"/>
  <c r="N442" i="13"/>
  <c r="N441" i="13"/>
  <c r="N440" i="13"/>
  <c r="N439" i="13"/>
  <c r="N438" i="13"/>
  <c r="N437" i="13"/>
  <c r="N436" i="13"/>
  <c r="N435" i="13"/>
  <c r="N434" i="13"/>
  <c r="N433" i="13"/>
  <c r="N432" i="13"/>
  <c r="N431" i="13"/>
  <c r="N430" i="13"/>
  <c r="N429" i="13"/>
  <c r="N428" i="13"/>
  <c r="N427" i="13"/>
  <c r="N426" i="13"/>
  <c r="N425" i="13"/>
  <c r="N424" i="13"/>
  <c r="N423" i="13"/>
  <c r="N422" i="13"/>
  <c r="N421" i="13"/>
  <c r="N420" i="13"/>
  <c r="N419" i="13"/>
  <c r="N418" i="13"/>
  <c r="N417" i="13"/>
  <c r="N416" i="13"/>
  <c r="N415" i="13"/>
  <c r="N414" i="13"/>
  <c r="N413" i="13"/>
  <c r="N412" i="13"/>
  <c r="N411" i="13"/>
  <c r="N410" i="13"/>
  <c r="N409" i="13"/>
  <c r="N408" i="13"/>
  <c r="N407" i="13"/>
  <c r="N406" i="13"/>
  <c r="N405" i="13"/>
  <c r="N404" i="13"/>
  <c r="N403" i="13"/>
  <c r="N402" i="13"/>
  <c r="N401" i="13"/>
  <c r="N400" i="13"/>
  <c r="N399" i="13"/>
  <c r="N398" i="13"/>
  <c r="N397" i="13"/>
  <c r="N396" i="13"/>
  <c r="N395" i="13"/>
  <c r="N394" i="13"/>
  <c r="N393" i="13"/>
  <c r="N392" i="13"/>
  <c r="N391" i="13"/>
  <c r="N390" i="13"/>
  <c r="N389" i="13"/>
  <c r="N388" i="13"/>
  <c r="N387" i="13"/>
  <c r="N386" i="13"/>
  <c r="N385" i="13"/>
  <c r="N384" i="13"/>
  <c r="N383" i="13"/>
  <c r="N382" i="13"/>
  <c r="N381" i="13"/>
  <c r="N380" i="13"/>
  <c r="N379" i="13"/>
  <c r="N378" i="13"/>
  <c r="N377" i="13"/>
  <c r="N376" i="13"/>
  <c r="N375" i="13"/>
  <c r="N374" i="13"/>
  <c r="N373" i="13"/>
  <c r="N372" i="13"/>
  <c r="N371" i="13"/>
  <c r="N370" i="13"/>
  <c r="N369" i="13"/>
  <c r="N368" i="13"/>
  <c r="N367" i="13"/>
  <c r="N366" i="13"/>
  <c r="N365" i="13"/>
  <c r="N364" i="13"/>
  <c r="N363" i="13"/>
  <c r="N362" i="13"/>
  <c r="N361" i="13"/>
  <c r="N360" i="13"/>
  <c r="N359" i="13"/>
  <c r="N358" i="13"/>
  <c r="N357" i="13"/>
  <c r="N356" i="13"/>
  <c r="N355" i="13"/>
  <c r="N354" i="13"/>
  <c r="N353" i="13"/>
  <c r="N352" i="13"/>
  <c r="N351" i="13"/>
  <c r="N350" i="13"/>
  <c r="N349" i="13"/>
  <c r="N348" i="13"/>
  <c r="N347" i="13"/>
  <c r="N346" i="13"/>
  <c r="N345" i="13"/>
  <c r="N344" i="13"/>
  <c r="N343" i="13"/>
  <c r="N342" i="13"/>
  <c r="N341" i="13"/>
  <c r="N340" i="13"/>
  <c r="N339" i="13"/>
  <c r="N338" i="13"/>
  <c r="N337" i="13"/>
  <c r="N336" i="13"/>
  <c r="N335" i="13"/>
  <c r="N334" i="13"/>
  <c r="N333" i="13"/>
  <c r="N332" i="13"/>
  <c r="N331" i="13"/>
  <c r="N330" i="13"/>
  <c r="N329" i="13"/>
  <c r="N328" i="13"/>
  <c r="N327" i="13"/>
  <c r="N326" i="13"/>
  <c r="N325"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4" i="13"/>
  <c r="N316" i="13"/>
  <c r="N311" i="13"/>
  <c r="N312" i="13"/>
  <c r="N313" i="13"/>
  <c r="N314" i="13"/>
  <c r="N315" i="13"/>
  <c r="N317" i="13"/>
  <c r="N318" i="13"/>
  <c r="N319" i="13"/>
  <c r="N320" i="13"/>
  <c r="N321" i="13"/>
  <c r="N322" i="13"/>
  <c r="N323" i="13"/>
  <c r="N324" i="13"/>
  <c r="P5" i="13"/>
  <c r="P6" i="13" s="1"/>
  <c r="P7" i="13" s="1"/>
  <c r="P8" i="13" s="1"/>
  <c r="P9" i="13" s="1"/>
  <c r="P10" i="13" s="1"/>
  <c r="P11" i="13" s="1"/>
  <c r="P12" i="13" s="1"/>
  <c r="P13" i="13" s="1"/>
  <c r="P14" i="13" s="1"/>
  <c r="P15" i="13" s="1"/>
  <c r="P16" i="13" s="1"/>
  <c r="P17" i="13" s="1"/>
  <c r="P18" i="13" s="1"/>
  <c r="P19" i="13" s="1"/>
  <c r="P20" i="13" s="1"/>
  <c r="P21" i="13" s="1"/>
  <c r="P22" i="13" s="1"/>
  <c r="P23" i="13" s="1"/>
  <c r="P24" i="13" s="1"/>
  <c r="P25" i="13" s="1"/>
  <c r="P26" i="13" s="1"/>
  <c r="P27" i="13" s="1"/>
  <c r="P28" i="13" s="1"/>
  <c r="P29" i="13" s="1"/>
  <c r="P30" i="13" s="1"/>
  <c r="P31" i="13" s="1"/>
  <c r="P32" i="13" s="1"/>
  <c r="P33" i="13" s="1"/>
  <c r="P34" i="13" s="1"/>
  <c r="P35" i="13" s="1"/>
  <c r="P36" i="13" s="1"/>
  <c r="P37" i="13" s="1"/>
  <c r="P38" i="13" s="1"/>
  <c r="P39" i="13" s="1"/>
  <c r="P40" i="13" s="1"/>
  <c r="P41" i="13" s="1"/>
  <c r="P42" i="13" s="1"/>
  <c r="P43" i="13" s="1"/>
  <c r="P44" i="13" s="1"/>
  <c r="P45" i="13" s="1"/>
  <c r="P46" i="13" s="1"/>
  <c r="P47" i="13" s="1"/>
  <c r="P48" i="13" s="1"/>
  <c r="P49" i="13" s="1"/>
  <c r="P50" i="13" s="1"/>
  <c r="P51" i="13" s="1"/>
  <c r="P52" i="13" s="1"/>
  <c r="P53" i="13" s="1"/>
  <c r="P54" i="13" s="1"/>
  <c r="P55" i="13" s="1"/>
  <c r="P56" i="13" s="1"/>
  <c r="P57" i="13" s="1"/>
  <c r="P58" i="13" s="1"/>
  <c r="P59" i="13" s="1"/>
  <c r="P60" i="13" s="1"/>
  <c r="P61" i="13" s="1"/>
  <c r="P62" i="13" s="1"/>
  <c r="P63" i="13" s="1"/>
  <c r="P64" i="13" s="1"/>
  <c r="P65" i="13" s="1"/>
  <c r="P66" i="13" s="1"/>
  <c r="P67" i="13" s="1"/>
  <c r="P68" i="13" s="1"/>
  <c r="P69" i="13" s="1"/>
  <c r="P70" i="13" s="1"/>
  <c r="P71" i="13" s="1"/>
  <c r="P72" i="13" s="1"/>
  <c r="P73" i="13" s="1"/>
  <c r="P74" i="13" s="1"/>
  <c r="P75" i="13" s="1"/>
  <c r="P76" i="13" s="1"/>
  <c r="P77" i="13" s="1"/>
  <c r="P78" i="13" s="1"/>
  <c r="P79" i="13" s="1"/>
  <c r="P80" i="13" s="1"/>
  <c r="P81" i="13" s="1"/>
  <c r="P82" i="13" s="1"/>
  <c r="P83" i="13" s="1"/>
  <c r="P84" i="13" s="1"/>
  <c r="P85" i="13" s="1"/>
  <c r="P86" i="13" s="1"/>
  <c r="P87" i="13" s="1"/>
  <c r="P88" i="13" s="1"/>
  <c r="P89" i="13" s="1"/>
  <c r="P90" i="13" s="1"/>
  <c r="P91" i="13" s="1"/>
  <c r="P92" i="13" s="1"/>
  <c r="P93" i="13" s="1"/>
  <c r="P94" i="13" s="1"/>
  <c r="P95" i="13" s="1"/>
  <c r="P96" i="13" s="1"/>
  <c r="P97" i="13" s="1"/>
  <c r="P98" i="13" s="1"/>
  <c r="P99" i="13" s="1"/>
  <c r="P100" i="13" s="1"/>
  <c r="P101" i="13" s="1"/>
  <c r="P102" i="13" s="1"/>
  <c r="P103" i="13" s="1"/>
  <c r="P104" i="13" s="1"/>
  <c r="P105" i="13" s="1"/>
  <c r="P106" i="13" s="1"/>
  <c r="P107" i="13" s="1"/>
  <c r="P108" i="13" s="1"/>
  <c r="P109" i="13" s="1"/>
  <c r="P110" i="13" s="1"/>
  <c r="P111" i="13" s="1"/>
  <c r="P112" i="13" s="1"/>
  <c r="P113" i="13" s="1"/>
  <c r="P114" i="13" s="1"/>
  <c r="P115" i="13" s="1"/>
  <c r="P116" i="13" s="1"/>
  <c r="P117" i="13" s="1"/>
  <c r="P118" i="13" s="1"/>
  <c r="P119" i="13" s="1"/>
  <c r="P120" i="13" s="1"/>
  <c r="P121" i="13" s="1"/>
  <c r="P122" i="13" s="1"/>
  <c r="P123" i="13" s="1"/>
  <c r="P124" i="13" s="1"/>
  <c r="P125" i="13" s="1"/>
  <c r="P126" i="13" s="1"/>
  <c r="P127" i="13" s="1"/>
  <c r="P128" i="13" s="1"/>
  <c r="P129" i="13" s="1"/>
  <c r="P130" i="13" s="1"/>
  <c r="P131" i="13" s="1"/>
  <c r="P132" i="13" s="1"/>
  <c r="P133" i="13" s="1"/>
  <c r="P134" i="13" s="1"/>
  <c r="P135" i="13" s="1"/>
  <c r="P136" i="13" s="1"/>
  <c r="P137" i="13" s="1"/>
  <c r="P138" i="13" s="1"/>
  <c r="P139" i="13" s="1"/>
  <c r="P140" i="13" s="1"/>
  <c r="P141" i="13" s="1"/>
  <c r="P142" i="13" s="1"/>
  <c r="P143" i="13" s="1"/>
  <c r="P144" i="13" s="1"/>
  <c r="P145" i="13" s="1"/>
  <c r="P146" i="13" s="1"/>
  <c r="P147" i="13" s="1"/>
  <c r="P148" i="13" s="1"/>
  <c r="P149" i="13" s="1"/>
  <c r="P150" i="13" s="1"/>
  <c r="P151" i="13" s="1"/>
  <c r="P152" i="13" s="1"/>
  <c r="P153" i="13" s="1"/>
  <c r="P154" i="13" s="1"/>
  <c r="P155" i="13" s="1"/>
  <c r="P156" i="13" s="1"/>
  <c r="P157" i="13" s="1"/>
  <c r="P158" i="13" s="1"/>
  <c r="P159" i="13" s="1"/>
  <c r="P160" i="13" s="1"/>
  <c r="P161" i="13" s="1"/>
  <c r="P162" i="13" s="1"/>
  <c r="P163" i="13" s="1"/>
  <c r="P164" i="13" s="1"/>
  <c r="P165" i="13" s="1"/>
  <c r="P166" i="13" s="1"/>
  <c r="P167" i="13" s="1"/>
  <c r="P168" i="13" s="1"/>
  <c r="P169" i="13" s="1"/>
  <c r="P170" i="13" s="1"/>
  <c r="P171" i="13" s="1"/>
  <c r="P172" i="13" s="1"/>
  <c r="P173" i="13" s="1"/>
  <c r="P174" i="13" s="1"/>
  <c r="P175" i="13" s="1"/>
  <c r="P176" i="13" s="1"/>
  <c r="P177" i="13" s="1"/>
  <c r="P178" i="13" s="1"/>
  <c r="P179" i="13" s="1"/>
  <c r="P180" i="13" s="1"/>
  <c r="P181" i="13" s="1"/>
  <c r="P182" i="13" s="1"/>
  <c r="P183" i="13" s="1"/>
  <c r="P184" i="13" s="1"/>
  <c r="P185" i="13" s="1"/>
  <c r="P186" i="13" s="1"/>
  <c r="P187" i="13" s="1"/>
  <c r="P188" i="13" s="1"/>
  <c r="P189" i="13" s="1"/>
  <c r="P190" i="13" s="1"/>
  <c r="P191" i="13" s="1"/>
  <c r="P192" i="13" s="1"/>
  <c r="P193" i="13" s="1"/>
  <c r="P194" i="13" s="1"/>
  <c r="P195" i="13" s="1"/>
  <c r="P196" i="13" s="1"/>
  <c r="P197" i="13" s="1"/>
  <c r="P198" i="13" s="1"/>
  <c r="P199" i="13" s="1"/>
  <c r="P200" i="13" s="1"/>
  <c r="P201" i="13" s="1"/>
  <c r="P202" i="13" s="1"/>
  <c r="P203" i="13" s="1"/>
  <c r="P204" i="13" s="1"/>
  <c r="P205" i="13" s="1"/>
  <c r="P206" i="13" s="1"/>
  <c r="P207" i="13" s="1"/>
  <c r="P208" i="13" s="1"/>
  <c r="P209" i="13" s="1"/>
  <c r="P210" i="13" s="1"/>
  <c r="P211" i="13" s="1"/>
  <c r="P212" i="13" s="1"/>
  <c r="P213" i="13" s="1"/>
  <c r="P214" i="13" s="1"/>
  <c r="P215" i="13" s="1"/>
  <c r="P216" i="13" s="1"/>
  <c r="P217" i="13" s="1"/>
  <c r="P218" i="13" s="1"/>
  <c r="P219" i="13" s="1"/>
  <c r="P220" i="13" s="1"/>
  <c r="P221" i="13" s="1"/>
  <c r="P222" i="13" s="1"/>
  <c r="P223" i="13" s="1"/>
  <c r="P224" i="13" s="1"/>
  <c r="P225" i="13" s="1"/>
  <c r="P226" i="13" s="1"/>
  <c r="P227" i="13" s="1"/>
  <c r="P228" i="13" s="1"/>
  <c r="P229" i="13" s="1"/>
  <c r="P230" i="13" s="1"/>
  <c r="P231" i="13" s="1"/>
  <c r="P232" i="13" s="1"/>
  <c r="P233" i="13" s="1"/>
  <c r="P234" i="13" s="1"/>
  <c r="P235" i="13" s="1"/>
  <c r="P236" i="13" s="1"/>
  <c r="P237" i="13" s="1"/>
  <c r="P238" i="13" s="1"/>
  <c r="P239" i="13" s="1"/>
  <c r="P240" i="13" s="1"/>
  <c r="P241" i="13" s="1"/>
  <c r="P242" i="13" s="1"/>
  <c r="P243" i="13" s="1"/>
  <c r="P244" i="13" s="1"/>
  <c r="P245" i="13" s="1"/>
  <c r="P246" i="13" s="1"/>
  <c r="P247" i="13" s="1"/>
  <c r="P248" i="13" s="1"/>
  <c r="P249" i="13" s="1"/>
  <c r="P250" i="13" s="1"/>
  <c r="P251" i="13" s="1"/>
  <c r="P252" i="13" s="1"/>
  <c r="P253" i="13" s="1"/>
  <c r="P254" i="13" s="1"/>
  <c r="P255" i="13" s="1"/>
  <c r="P256" i="13" s="1"/>
  <c r="P257" i="13" s="1"/>
  <c r="P258" i="13" s="1"/>
  <c r="P259" i="13" s="1"/>
  <c r="P260" i="13" s="1"/>
  <c r="P261" i="13" s="1"/>
  <c r="P262" i="13" s="1"/>
  <c r="P263" i="13" s="1"/>
  <c r="P264" i="13" s="1"/>
  <c r="P265" i="13" s="1"/>
  <c r="P266" i="13" s="1"/>
  <c r="P267" i="13" s="1"/>
  <c r="P268" i="13" s="1"/>
  <c r="P269" i="13" s="1"/>
  <c r="P270" i="13" s="1"/>
  <c r="P271" i="13" s="1"/>
  <c r="P272" i="13" s="1"/>
  <c r="P273" i="13" s="1"/>
  <c r="P274" i="13" s="1"/>
  <c r="P275" i="13" s="1"/>
  <c r="P276" i="13" s="1"/>
  <c r="P277" i="13" s="1"/>
  <c r="P278" i="13" s="1"/>
  <c r="P279" i="13" s="1"/>
  <c r="P280" i="13" s="1"/>
  <c r="P281" i="13" s="1"/>
  <c r="P282" i="13" s="1"/>
  <c r="P283" i="13" s="1"/>
  <c r="P284" i="13" s="1"/>
  <c r="P285" i="13" s="1"/>
  <c r="P286" i="13" s="1"/>
  <c r="P287" i="13" s="1"/>
  <c r="P288" i="13" s="1"/>
  <c r="P289" i="13" s="1"/>
  <c r="P290" i="13" s="1"/>
  <c r="P291" i="13" s="1"/>
  <c r="P292" i="13" s="1"/>
  <c r="P293" i="13" s="1"/>
  <c r="P294" i="13" s="1"/>
  <c r="P295" i="13" s="1"/>
  <c r="P296" i="13" s="1"/>
  <c r="P297" i="13" s="1"/>
  <c r="P298" i="13" s="1"/>
  <c r="P299" i="13" s="1"/>
  <c r="P300" i="13" s="1"/>
  <c r="P301" i="13" s="1"/>
  <c r="P302" i="13" s="1"/>
  <c r="P303" i="13" s="1"/>
  <c r="P304" i="13" s="1"/>
  <c r="P305" i="13" s="1"/>
  <c r="P306" i="13" s="1"/>
  <c r="P307" i="13" s="1"/>
  <c r="P308" i="13" s="1"/>
  <c r="P309" i="13" s="1"/>
  <c r="P310" i="13" s="1"/>
  <c r="P311" i="13" s="1"/>
  <c r="P312" i="13" s="1"/>
  <c r="P313" i="13" s="1"/>
  <c r="P314" i="13" s="1"/>
  <c r="P315" i="13" s="1"/>
  <c r="P316" i="13" s="1"/>
  <c r="P317" i="13" s="1"/>
  <c r="N294" i="13"/>
  <c r="N295" i="13"/>
  <c r="N296" i="13"/>
  <c r="N297" i="13"/>
  <c r="N298" i="13"/>
  <c r="N299" i="13"/>
  <c r="N300" i="13"/>
  <c r="N301" i="13"/>
  <c r="N302" i="13"/>
  <c r="N303" i="13"/>
  <c r="N304" i="13"/>
  <c r="N305" i="13"/>
  <c r="N306" i="13"/>
  <c r="N307" i="13"/>
  <c r="N308" i="13"/>
  <c r="N309" i="13"/>
  <c r="N310" i="13"/>
  <c r="Q227" i="5"/>
  <c r="N227"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4" i="5"/>
  <c r="N225" i="5"/>
  <c r="N226" i="5"/>
  <c r="N224" i="5"/>
  <c r="N223" i="5"/>
  <c r="N222" i="5"/>
  <c r="N221" i="5"/>
  <c r="N220" i="5"/>
  <c r="N219" i="5"/>
  <c r="N218" i="5"/>
  <c r="N217" i="5"/>
  <c r="N216" i="5"/>
  <c r="N215" i="5"/>
  <c r="N214" i="5"/>
  <c r="N213" i="5"/>
  <c r="N212" i="5"/>
  <c r="N211" i="5"/>
  <c r="N210" i="5"/>
  <c r="N209" i="5"/>
  <c r="N208" i="5"/>
  <c r="N207" i="5"/>
  <c r="N206" i="5"/>
  <c r="N205" i="5"/>
  <c r="N204" i="5"/>
  <c r="N203" i="5"/>
  <c r="N202" i="5"/>
  <c r="N201" i="5"/>
  <c r="N200" i="5"/>
  <c r="N199" i="5"/>
  <c r="N198" i="5"/>
  <c r="N197" i="5"/>
  <c r="N196" i="5"/>
  <c r="N195" i="5"/>
  <c r="N194" i="5"/>
  <c r="N193" i="5"/>
  <c r="N192" i="5"/>
  <c r="N191" i="5"/>
  <c r="N190" i="5"/>
  <c r="N189" i="5"/>
  <c r="N147" i="5"/>
  <c r="P5" i="5"/>
  <c r="P6" i="5" s="1"/>
  <c r="P7" i="5" s="1"/>
  <c r="P8" i="5" s="1"/>
  <c r="P9" i="5" s="1"/>
  <c r="P10" i="5" s="1"/>
  <c r="P11" i="5" s="1"/>
  <c r="P12" i="5" s="1"/>
  <c r="P13" i="5" s="1"/>
  <c r="P14" i="5" s="1"/>
  <c r="P15" i="5" s="1"/>
  <c r="P16" i="5" s="1"/>
  <c r="P17" i="5" s="1"/>
  <c r="P18" i="5" s="1"/>
  <c r="P19" i="5" s="1"/>
  <c r="P20" i="5" s="1"/>
  <c r="P21" i="5" s="1"/>
  <c r="P22" i="5" s="1"/>
  <c r="P23" i="5" s="1"/>
  <c r="P24" i="5" s="1"/>
  <c r="P25" i="5" s="1"/>
  <c r="P26" i="5" s="1"/>
  <c r="P27" i="5" s="1"/>
  <c r="P28" i="5" s="1"/>
  <c r="P29" i="5" s="1"/>
  <c r="P30" i="5" s="1"/>
  <c r="P31" i="5" s="1"/>
  <c r="P32" i="5" s="1"/>
  <c r="P33" i="5" s="1"/>
  <c r="P34" i="5" s="1"/>
  <c r="P35" i="5" s="1"/>
  <c r="P36" i="5" s="1"/>
  <c r="P37" i="5" s="1"/>
  <c r="P38" i="5" s="1"/>
  <c r="P39" i="5" s="1"/>
  <c r="P40" i="5" s="1"/>
  <c r="P41" i="5" s="1"/>
  <c r="P42" i="5" s="1"/>
  <c r="P43" i="5" s="1"/>
  <c r="P44" i="5" s="1"/>
  <c r="P45" i="5" s="1"/>
  <c r="P46" i="5" s="1"/>
  <c r="P47" i="5" s="1"/>
  <c r="P48" i="5" s="1"/>
  <c r="P49" i="5" s="1"/>
  <c r="P50" i="5" s="1"/>
  <c r="P51" i="5" s="1"/>
  <c r="P52" i="5" s="1"/>
  <c r="P53" i="5" s="1"/>
  <c r="P54" i="5" s="1"/>
  <c r="P55" i="5" s="1"/>
  <c r="P56" i="5" s="1"/>
  <c r="P57" i="5" s="1"/>
  <c r="P58" i="5" s="1"/>
  <c r="P59" i="5" s="1"/>
  <c r="P60" i="5" s="1"/>
  <c r="P61" i="5" s="1"/>
  <c r="P62" i="5" s="1"/>
  <c r="P63" i="5" s="1"/>
  <c r="P64" i="5" s="1"/>
  <c r="P65" i="5" s="1"/>
  <c r="P66" i="5" s="1"/>
  <c r="P67" i="5" s="1"/>
  <c r="P68" i="5" s="1"/>
  <c r="P69" i="5" s="1"/>
  <c r="P70" i="5" s="1"/>
  <c r="P71" i="5" s="1"/>
  <c r="P72" i="5" s="1"/>
  <c r="P73" i="5" s="1"/>
  <c r="P74" i="5" s="1"/>
  <c r="P75" i="5" s="1"/>
  <c r="P76" i="5" s="1"/>
  <c r="P77" i="5" s="1"/>
  <c r="P78" i="5" s="1"/>
  <c r="P79" i="5" s="1"/>
  <c r="P80" i="5" s="1"/>
  <c r="P81" i="5" s="1"/>
  <c r="P82" i="5" s="1"/>
  <c r="P83" i="5" s="1"/>
  <c r="P84" i="5" s="1"/>
  <c r="P85" i="5" s="1"/>
  <c r="P86" i="5" s="1"/>
  <c r="P87" i="5" s="1"/>
  <c r="P88" i="5" s="1"/>
  <c r="P89" i="5" s="1"/>
  <c r="P90" i="5" s="1"/>
  <c r="P91" i="5" s="1"/>
  <c r="P92" i="5" s="1"/>
  <c r="P93" i="5" s="1"/>
  <c r="P94" i="5" s="1"/>
  <c r="P95" i="5" s="1"/>
  <c r="P96" i="5" s="1"/>
  <c r="P97" i="5" s="1"/>
  <c r="P98" i="5" s="1"/>
  <c r="P99" i="5" s="1"/>
  <c r="P100" i="5" s="1"/>
  <c r="P101" i="5" s="1"/>
  <c r="P102" i="5" s="1"/>
  <c r="P103" i="5" s="1"/>
  <c r="P104" i="5" s="1"/>
  <c r="P105" i="5" s="1"/>
  <c r="P106" i="5" s="1"/>
  <c r="P107" i="5" s="1"/>
  <c r="P108" i="5" s="1"/>
  <c r="P109" i="5" s="1"/>
  <c r="P110" i="5" s="1"/>
  <c r="P111" i="5" s="1"/>
  <c r="P112" i="5" s="1"/>
  <c r="P113" i="5" s="1"/>
  <c r="P114" i="5" s="1"/>
  <c r="P115" i="5" s="1"/>
  <c r="P116" i="5" s="1"/>
  <c r="P117" i="5" s="1"/>
  <c r="P118" i="5" s="1"/>
  <c r="P119" i="5" s="1"/>
  <c r="P120" i="5" s="1"/>
  <c r="P121" i="5" s="1"/>
  <c r="P122" i="5" s="1"/>
  <c r="P123" i="5" s="1"/>
  <c r="P124" i="5" s="1"/>
  <c r="P125" i="5" s="1"/>
  <c r="P126" i="5" s="1"/>
  <c r="P127" i="5" s="1"/>
  <c r="P128" i="5" s="1"/>
  <c r="P129" i="5" s="1"/>
  <c r="P130" i="5" s="1"/>
  <c r="P131" i="5" s="1"/>
  <c r="P132" i="5" s="1"/>
  <c r="P133" i="5" s="1"/>
  <c r="P134" i="5" s="1"/>
  <c r="P135" i="5" s="1"/>
  <c r="P136" i="5" s="1"/>
  <c r="P137" i="5" s="1"/>
  <c r="P138" i="5" s="1"/>
  <c r="P139" i="5" s="1"/>
  <c r="P140" i="5" s="1"/>
  <c r="P141" i="5" s="1"/>
  <c r="P142" i="5" s="1"/>
  <c r="P143" i="5" s="1"/>
  <c r="P144" i="5" s="1"/>
  <c r="P145" i="5" s="1"/>
  <c r="P146" i="5" s="1"/>
  <c r="P147" i="5" s="1"/>
  <c r="P148" i="5" s="1"/>
  <c r="P149" i="5" s="1"/>
  <c r="P150" i="5" s="1"/>
  <c r="P151" i="5" s="1"/>
  <c r="P152" i="5" s="1"/>
  <c r="P153" i="5" s="1"/>
  <c r="P154" i="5" s="1"/>
  <c r="P155" i="5" s="1"/>
  <c r="P156" i="5" s="1"/>
  <c r="P157" i="5" s="1"/>
  <c r="P158" i="5" s="1"/>
  <c r="P159" i="5" s="1"/>
  <c r="P160" i="5" s="1"/>
  <c r="P161" i="5" s="1"/>
  <c r="P162" i="5" s="1"/>
  <c r="P163" i="5" s="1"/>
  <c r="P164" i="5" s="1"/>
  <c r="P165" i="5" s="1"/>
  <c r="P166" i="5" s="1"/>
  <c r="P167" i="5" s="1"/>
  <c r="P168" i="5" s="1"/>
  <c r="P169" i="5" s="1"/>
  <c r="P170" i="5" s="1"/>
  <c r="P171" i="5" s="1"/>
  <c r="P172" i="5" s="1"/>
  <c r="P173" i="5" s="1"/>
  <c r="P174" i="5" s="1"/>
  <c r="P175" i="5" s="1"/>
  <c r="P176" i="5" s="1"/>
  <c r="P177" i="5" s="1"/>
  <c r="P178" i="5" s="1"/>
  <c r="P179" i="5" s="1"/>
  <c r="P180" i="5" s="1"/>
  <c r="P181" i="5" s="1"/>
  <c r="P182" i="5" s="1"/>
  <c r="P183" i="5" s="1"/>
  <c r="P184" i="5" s="1"/>
  <c r="P185" i="5" s="1"/>
  <c r="P186" i="5" s="1"/>
  <c r="P187" i="5" s="1"/>
  <c r="P188" i="5" s="1"/>
  <c r="P189" i="5" s="1"/>
  <c r="P190" i="5" s="1"/>
  <c r="P191" i="5" s="1"/>
  <c r="P192" i="5" s="1"/>
  <c r="P193" i="5" s="1"/>
  <c r="P194" i="5" s="1"/>
  <c r="P195" i="5" s="1"/>
  <c r="P196" i="5" s="1"/>
  <c r="P197" i="5" s="1"/>
  <c r="P198" i="5" s="1"/>
  <c r="P199" i="5" s="1"/>
  <c r="P200" i="5" s="1"/>
  <c r="P201" i="5" s="1"/>
  <c r="P202" i="5" s="1"/>
  <c r="P203" i="5" s="1"/>
  <c r="P204" i="5" s="1"/>
  <c r="P205" i="5" s="1"/>
  <c r="P206" i="5" s="1"/>
  <c r="P207" i="5" s="1"/>
  <c r="P208" i="5" s="1"/>
  <c r="P209" i="5" s="1"/>
  <c r="P210" i="5" s="1"/>
  <c r="P211" i="5" s="1"/>
  <c r="P212" i="5" s="1"/>
  <c r="P213" i="5" s="1"/>
  <c r="P214" i="5" s="1"/>
  <c r="P215" i="5" s="1"/>
  <c r="P216" i="5" s="1"/>
  <c r="P217" i="5" s="1"/>
  <c r="P218" i="5" s="1"/>
  <c r="P219" i="5" s="1"/>
  <c r="P220" i="5" s="1"/>
  <c r="P221" i="5" s="1"/>
  <c r="P222" i="5" s="1"/>
  <c r="P223" i="5" s="1"/>
  <c r="P224" i="5" s="1"/>
  <c r="P225" i="5" s="1"/>
  <c r="P226" i="5" s="1"/>
  <c r="P227" i="5" s="1"/>
  <c r="P228" i="5" s="1"/>
  <c r="P229" i="5" s="1"/>
  <c r="P230" i="5" s="1"/>
  <c r="P231" i="5" s="1"/>
  <c r="N136" i="5"/>
  <c r="N137" i="5"/>
  <c r="Q5" i="23"/>
  <c r="Q6" i="23"/>
  <c r="Q7" i="23"/>
  <c r="Q8" i="23"/>
  <c r="Q9" i="23"/>
  <c r="Q10" i="23"/>
  <c r="Q11" i="23"/>
  <c r="Q12" i="23"/>
  <c r="Q13" i="23"/>
  <c r="Q14" i="23"/>
  <c r="Q15" i="23"/>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221" i="23"/>
  <c r="Q222" i="23"/>
  <c r="Q4" i="23"/>
  <c r="N222" i="23"/>
  <c r="N189" i="23"/>
  <c r="N221" i="23"/>
  <c r="N217" i="23"/>
  <c r="N216" i="23"/>
  <c r="N212" i="23"/>
  <c r="N206" i="23"/>
  <c r="N205" i="23"/>
  <c r="N192" i="23"/>
  <c r="N191" i="23"/>
  <c r="N181" i="23"/>
  <c r="N180" i="23"/>
  <c r="N160" i="23"/>
  <c r="N161" i="23"/>
  <c r="N162" i="23"/>
  <c r="N152" i="23"/>
  <c r="N151" i="23"/>
  <c r="N144" i="23"/>
  <c r="N145" i="23"/>
  <c r="N146" i="23"/>
  <c r="N147" i="23"/>
  <c r="N148" i="23"/>
  <c r="N149" i="23"/>
  <c r="N150" i="23"/>
  <c r="N153" i="23"/>
  <c r="N154" i="23"/>
  <c r="N155" i="23"/>
  <c r="N156" i="23"/>
  <c r="N157" i="23"/>
  <c r="N158" i="23"/>
  <c r="N159" i="23"/>
  <c r="N163" i="23"/>
  <c r="N164" i="23"/>
  <c r="N165" i="23"/>
  <c r="N166" i="23"/>
  <c r="N167" i="23"/>
  <c r="N168" i="23"/>
  <c r="N169" i="23"/>
  <c r="N170" i="23"/>
  <c r="N171" i="23"/>
  <c r="N172" i="23"/>
  <c r="N173" i="23"/>
  <c r="N174" i="23"/>
  <c r="N175" i="23"/>
  <c r="N176" i="23"/>
  <c r="N177" i="23"/>
  <c r="N178" i="23"/>
  <c r="N179" i="23"/>
  <c r="N182" i="23"/>
  <c r="N183" i="23"/>
  <c r="N184" i="23"/>
  <c r="N185" i="23"/>
  <c r="N186" i="23"/>
  <c r="N187" i="23"/>
  <c r="N188" i="23"/>
  <c r="N190" i="23"/>
  <c r="N193" i="23"/>
  <c r="N194" i="23"/>
  <c r="N195" i="23"/>
  <c r="N196" i="23"/>
  <c r="N197" i="23"/>
  <c r="N198" i="23"/>
  <c r="N199" i="23"/>
  <c r="N200" i="23"/>
  <c r="N201" i="23"/>
  <c r="N202" i="23"/>
  <c r="N203" i="23"/>
  <c r="N204" i="23"/>
  <c r="N207" i="23"/>
  <c r="N208" i="23"/>
  <c r="N209" i="23"/>
  <c r="N210" i="23"/>
  <c r="N211" i="23"/>
  <c r="N213" i="23"/>
  <c r="N214" i="23"/>
  <c r="N215" i="23"/>
  <c r="N218" i="23"/>
  <c r="N219" i="23"/>
  <c r="N220" i="23"/>
  <c r="N188" i="5"/>
  <c r="N187" i="5"/>
  <c r="N186" i="5"/>
  <c r="N185" i="5"/>
  <c r="N184" i="5"/>
  <c r="N183" i="5"/>
  <c r="N182" i="5"/>
  <c r="N181" i="5"/>
  <c r="N180" i="5"/>
  <c r="N179" i="5"/>
  <c r="N178" i="5"/>
  <c r="N177" i="5"/>
  <c r="N176" i="5"/>
  <c r="N175" i="5"/>
  <c r="N174" i="5"/>
  <c r="N173" i="5"/>
  <c r="N172" i="5"/>
  <c r="N171" i="5"/>
  <c r="N170" i="5"/>
  <c r="N169" i="5"/>
  <c r="N168" i="5"/>
  <c r="N167" i="5"/>
  <c r="N166" i="5"/>
  <c r="N165" i="5"/>
  <c r="N164" i="5"/>
  <c r="N163" i="5"/>
  <c r="N162" i="5"/>
  <c r="N161" i="5"/>
  <c r="N160" i="5"/>
  <c r="N159" i="5"/>
  <c r="N158" i="5"/>
  <c r="N157" i="5"/>
  <c r="N156" i="5"/>
  <c r="N155" i="5"/>
  <c r="N154" i="5"/>
  <c r="N153" i="5"/>
  <c r="N152" i="5"/>
  <c r="N151" i="5"/>
  <c r="N150" i="5"/>
  <c r="N149" i="5"/>
  <c r="N148" i="5"/>
  <c r="N146" i="5"/>
  <c r="N145" i="5"/>
  <c r="N144" i="5"/>
  <c r="N143" i="5"/>
  <c r="N142" i="5"/>
  <c r="N141" i="5"/>
  <c r="N140" i="5"/>
  <c r="N139" i="5"/>
  <c r="N138" i="5"/>
  <c r="P5" i="23"/>
  <c r="P6" i="23" s="1"/>
  <c r="P7" i="23" s="1"/>
  <c r="P8" i="23" s="1"/>
  <c r="P9" i="23" s="1"/>
  <c r="P10" i="23" s="1"/>
  <c r="P11" i="23" s="1"/>
  <c r="P12" i="23" s="1"/>
  <c r="P13" i="23" s="1"/>
  <c r="P14" i="23" s="1"/>
  <c r="P15" i="23" s="1"/>
  <c r="P16" i="23" s="1"/>
  <c r="P17" i="23" s="1"/>
  <c r="P18" i="23" s="1"/>
  <c r="P19" i="23" s="1"/>
  <c r="P20" i="23" s="1"/>
  <c r="P21" i="23" s="1"/>
  <c r="P22" i="23" s="1"/>
  <c r="P23" i="23" s="1"/>
  <c r="P24" i="23" s="1"/>
  <c r="P25" i="23" s="1"/>
  <c r="P26" i="23" s="1"/>
  <c r="P27" i="23" s="1"/>
  <c r="P28" i="23" s="1"/>
  <c r="P29" i="23" s="1"/>
  <c r="P30" i="23" s="1"/>
  <c r="P31" i="23" s="1"/>
  <c r="P32" i="23" s="1"/>
  <c r="P33" i="23" s="1"/>
  <c r="P34" i="23" s="1"/>
  <c r="P35" i="23" s="1"/>
  <c r="P36" i="23" s="1"/>
  <c r="P37" i="23" s="1"/>
  <c r="P38" i="23" s="1"/>
  <c r="P39" i="23" s="1"/>
  <c r="P40" i="23" s="1"/>
  <c r="P41" i="23" s="1"/>
  <c r="P42" i="23" s="1"/>
  <c r="P43" i="23" s="1"/>
  <c r="P44" i="23" s="1"/>
  <c r="P45" i="23" s="1"/>
  <c r="P46" i="23" s="1"/>
  <c r="P47" i="23" s="1"/>
  <c r="P48" i="23" s="1"/>
  <c r="P49" i="23" s="1"/>
  <c r="P50" i="23" s="1"/>
  <c r="P51" i="23" s="1"/>
  <c r="P52" i="23" s="1"/>
  <c r="P53" i="23" s="1"/>
  <c r="P54" i="23" s="1"/>
  <c r="P55" i="23" s="1"/>
  <c r="P56" i="23" s="1"/>
  <c r="P57" i="23" s="1"/>
  <c r="P58" i="23" s="1"/>
  <c r="P59" i="23" s="1"/>
  <c r="P60" i="23" s="1"/>
  <c r="P61" i="23" s="1"/>
  <c r="P62" i="23" s="1"/>
  <c r="P63" i="23" s="1"/>
  <c r="P64" i="23" s="1"/>
  <c r="N143" i="23"/>
  <c r="N142" i="23"/>
  <c r="N141" i="23"/>
  <c r="N140" i="23"/>
  <c r="N139" i="23"/>
  <c r="N138" i="23"/>
  <c r="N137" i="23"/>
  <c r="N136" i="23"/>
  <c r="N135" i="23"/>
  <c r="N134" i="23"/>
  <c r="N133" i="23"/>
  <c r="N132" i="23"/>
  <c r="N131" i="23"/>
  <c r="N130" i="23"/>
  <c r="N129" i="23"/>
  <c r="N128" i="23"/>
  <c r="N127" i="23"/>
  <c r="N126" i="23"/>
  <c r="N125" i="23"/>
  <c r="N124" i="23"/>
  <c r="N123" i="23"/>
  <c r="N122" i="23"/>
  <c r="N121" i="23"/>
  <c r="N120" i="23"/>
  <c r="N119" i="23"/>
  <c r="N118" i="23"/>
  <c r="N117" i="23"/>
  <c r="N116" i="23"/>
  <c r="N115" i="23"/>
  <c r="N114" i="23"/>
  <c r="N113" i="23"/>
  <c r="N112" i="23"/>
  <c r="N111" i="23"/>
  <c r="N110" i="23"/>
  <c r="N109" i="23"/>
  <c r="N108" i="23"/>
  <c r="Q206" i="11"/>
  <c r="Q210" i="11"/>
  <c r="N210"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09" i="11"/>
  <c r="Q208" i="11"/>
  <c r="Q207"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N235" i="11"/>
  <c r="N234" i="11"/>
  <c r="N233" i="11"/>
  <c r="N232" i="11"/>
  <c r="N231" i="11"/>
  <c r="N230" i="11"/>
  <c r="N229" i="11"/>
  <c r="N228" i="11"/>
  <c r="N227" i="11"/>
  <c r="N226" i="11"/>
  <c r="N225" i="11"/>
  <c r="N224" i="11"/>
  <c r="N223" i="11"/>
  <c r="N222" i="11"/>
  <c r="N221" i="11"/>
  <c r="N220" i="11"/>
  <c r="N219" i="11"/>
  <c r="N218" i="11"/>
  <c r="N217" i="11"/>
  <c r="N216" i="11"/>
  <c r="N215" i="11"/>
  <c r="N214" i="11"/>
  <c r="N213" i="11"/>
  <c r="N172" i="11"/>
  <c r="N121" i="11"/>
  <c r="N110" i="11"/>
  <c r="N111" i="11"/>
  <c r="N112" i="11"/>
  <c r="N113" i="11"/>
  <c r="N114" i="11"/>
  <c r="N115" i="11"/>
  <c r="N116" i="11"/>
  <c r="N117" i="11"/>
  <c r="N118" i="11"/>
  <c r="N119" i="11"/>
  <c r="N120"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1" i="11"/>
  <c r="N212" i="11"/>
  <c r="N7" i="11"/>
  <c r="P5" i="11"/>
  <c r="P6" i="11" s="1"/>
  <c r="P7" i="11" s="1"/>
  <c r="P8" i="11" s="1"/>
  <c r="P9" i="11" s="1"/>
  <c r="P10" i="11" s="1"/>
  <c r="P11" i="11" s="1"/>
  <c r="P12" i="11" s="1"/>
  <c r="P13" i="11" s="1"/>
  <c r="P14" i="11" s="1"/>
  <c r="P15" i="11" s="1"/>
  <c r="P16" i="11" s="1"/>
  <c r="P17" i="11" s="1"/>
  <c r="P18" i="11" s="1"/>
  <c r="P19" i="11" s="1"/>
  <c r="P20" i="11" s="1"/>
  <c r="P21" i="11" s="1"/>
  <c r="P22" i="11" s="1"/>
  <c r="P23" i="11" s="1"/>
  <c r="P24" i="11" s="1"/>
  <c r="P25" i="11" s="1"/>
  <c r="P26" i="11" s="1"/>
  <c r="P27" i="11" s="1"/>
  <c r="P28" i="11" s="1"/>
  <c r="P29" i="11" s="1"/>
  <c r="P30" i="11" s="1"/>
  <c r="P31" i="11" s="1"/>
  <c r="P32" i="11" s="1"/>
  <c r="P33" i="11" s="1"/>
  <c r="P34" i="11" s="1"/>
  <c r="N97" i="9"/>
  <c r="N155" i="9"/>
  <c r="N154" i="9"/>
  <c r="N153" i="9"/>
  <c r="N152" i="9"/>
  <c r="N151" i="9"/>
  <c r="N150" i="9"/>
  <c r="N149" i="9"/>
  <c r="N148" i="9"/>
  <c r="N147" i="9"/>
  <c r="N146" i="9"/>
  <c r="N145" i="9"/>
  <c r="N144" i="9"/>
  <c r="N143" i="9"/>
  <c r="N142" i="9"/>
  <c r="N141" i="9"/>
  <c r="N140" i="9"/>
  <c r="N139" i="9"/>
  <c r="N138" i="9"/>
  <c r="N137" i="9"/>
  <c r="N136" i="9"/>
  <c r="N135" i="9"/>
  <c r="N134" i="9"/>
  <c r="N133" i="9"/>
  <c r="N132" i="9"/>
  <c r="N131" i="9"/>
  <c r="N130" i="9"/>
  <c r="N129" i="9"/>
  <c r="N128" i="9"/>
  <c r="N127" i="9"/>
  <c r="N90" i="9"/>
  <c r="N99" i="9"/>
  <c r="N126" i="9"/>
  <c r="P5" i="9"/>
  <c r="P6" i="9" s="1"/>
  <c r="P7" i="9" s="1"/>
  <c r="P8" i="9" s="1"/>
  <c r="P9" i="9" s="1"/>
  <c r="P10" i="9" s="1"/>
  <c r="P11" i="9" s="1"/>
  <c r="P12" i="9" s="1"/>
  <c r="P13" i="9" s="1"/>
  <c r="P14" i="9" s="1"/>
  <c r="P15" i="9" s="1"/>
  <c r="P16" i="9" s="1"/>
  <c r="P17" i="9" s="1"/>
  <c r="P18" i="9" s="1"/>
  <c r="P19" i="9" s="1"/>
  <c r="P20" i="9" s="1"/>
  <c r="P21" i="9" s="1"/>
  <c r="P22" i="9" s="1"/>
  <c r="P23" i="9" s="1"/>
  <c r="P24" i="9" s="1"/>
  <c r="P25" i="9" s="1"/>
  <c r="P26" i="9" s="1"/>
  <c r="P27" i="9" s="1"/>
  <c r="P28" i="9" s="1"/>
  <c r="P29" i="9" s="1"/>
  <c r="P30" i="9" s="1"/>
  <c r="P31" i="9" s="1"/>
  <c r="P32" i="9" s="1"/>
  <c r="P33" i="9" s="1"/>
  <c r="P34" i="9" s="1"/>
  <c r="P35" i="9" s="1"/>
  <c r="P36" i="9" s="1"/>
  <c r="P37" i="9" s="1"/>
  <c r="P38" i="9" s="1"/>
  <c r="P39" i="9" s="1"/>
  <c r="P40" i="9" s="1"/>
  <c r="P41" i="9" s="1"/>
  <c r="P42" i="9" s="1"/>
  <c r="P43" i="9" s="1"/>
  <c r="P44" i="9" s="1"/>
  <c r="P45" i="9" s="1"/>
  <c r="P46" i="9" s="1"/>
  <c r="P47" i="9" s="1"/>
  <c r="P48" i="9" s="1"/>
  <c r="P49" i="9" s="1"/>
  <c r="P50" i="9" s="1"/>
  <c r="P51" i="9" s="1"/>
  <c r="P52" i="9" s="1"/>
  <c r="P53" i="9" s="1"/>
  <c r="P54" i="9" s="1"/>
  <c r="P55" i="9" s="1"/>
  <c r="P56" i="9" s="1"/>
  <c r="P57" i="9" s="1"/>
  <c r="P58" i="9" s="1"/>
  <c r="P59" i="9" s="1"/>
  <c r="P60" i="9" s="1"/>
  <c r="P61" i="9" s="1"/>
  <c r="P62" i="9" s="1"/>
  <c r="P63" i="9" s="1"/>
  <c r="P64" i="9" s="1"/>
  <c r="P65" i="9" s="1"/>
  <c r="P66" i="9" s="1"/>
  <c r="P67" i="9" s="1"/>
  <c r="P68" i="9" s="1"/>
  <c r="P69" i="9" s="1"/>
  <c r="P70" i="9" s="1"/>
  <c r="P71" i="9" s="1"/>
  <c r="P72" i="9" s="1"/>
  <c r="P73" i="9" s="1"/>
  <c r="P74" i="9" s="1"/>
  <c r="P75" i="9" s="1"/>
  <c r="P76" i="9" s="1"/>
  <c r="P77" i="9" s="1"/>
  <c r="P78" i="9" s="1"/>
  <c r="P79" i="9" s="1"/>
  <c r="P80" i="9" s="1"/>
  <c r="P81" i="9" s="1"/>
  <c r="P82" i="9" s="1"/>
  <c r="P83" i="9" s="1"/>
  <c r="P84" i="9" s="1"/>
  <c r="P85" i="9" s="1"/>
  <c r="P86" i="9" s="1"/>
  <c r="P87" i="9" s="1"/>
  <c r="P88" i="9" s="1"/>
  <c r="P89" i="9" s="1"/>
  <c r="P90" i="9" s="1"/>
  <c r="P91" i="9" s="1"/>
  <c r="P92" i="9" s="1"/>
  <c r="P93" i="9" s="1"/>
  <c r="P94" i="9" s="1"/>
  <c r="P95" i="9" s="1"/>
  <c r="P96" i="9" s="1"/>
  <c r="P97" i="9" s="1"/>
  <c r="P98" i="9" s="1"/>
  <c r="N81" i="9"/>
  <c r="N82" i="9"/>
  <c r="N83" i="9"/>
  <c r="N84" i="9"/>
  <c r="N85" i="9"/>
  <c r="N86" i="9"/>
  <c r="N87" i="9"/>
  <c r="N88" i="9"/>
  <c r="N89" i="9"/>
  <c r="N91" i="9"/>
  <c r="N92" i="9"/>
  <c r="N93" i="9"/>
  <c r="N94" i="9"/>
  <c r="N95" i="9"/>
  <c r="N96" i="9"/>
  <c r="N98"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17" i="7"/>
  <c r="N116" i="7"/>
  <c r="N115" i="7"/>
  <c r="N114" i="7"/>
  <c r="N113" i="7"/>
  <c r="N112" i="7"/>
  <c r="N111" i="7"/>
  <c r="N110" i="7"/>
  <c r="N109" i="7"/>
  <c r="N108" i="7"/>
  <c r="N107" i="7"/>
  <c r="N106" i="7"/>
  <c r="N105" i="7"/>
  <c r="N104" i="7"/>
  <c r="N103" i="7"/>
  <c r="N102" i="7"/>
  <c r="N101" i="7"/>
  <c r="N100" i="7"/>
  <c r="N99" i="7"/>
  <c r="N98" i="7"/>
  <c r="N97" i="7"/>
  <c r="N96" i="7"/>
  <c r="N95" i="7"/>
  <c r="N94" i="7"/>
  <c r="N93" i="7"/>
  <c r="N89" i="7"/>
  <c r="N86"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7" i="7"/>
  <c r="N88" i="7"/>
  <c r="N90" i="7"/>
  <c r="N91" i="7"/>
  <c r="N92" i="7"/>
  <c r="N208" i="19"/>
  <c r="N207" i="19"/>
  <c r="N206" i="19"/>
  <c r="N205" i="19"/>
  <c r="N204" i="19"/>
  <c r="N203" i="19"/>
  <c r="N202" i="19"/>
  <c r="N201" i="19"/>
  <c r="N200" i="19"/>
  <c r="N199" i="19"/>
  <c r="N198" i="19"/>
  <c r="N197" i="19"/>
  <c r="N196" i="19"/>
  <c r="N195" i="19"/>
  <c r="N194" i="19"/>
  <c r="N191" i="19"/>
  <c r="N192" i="19"/>
  <c r="N193" i="19"/>
  <c r="Y191" i="19"/>
  <c r="Z191" i="19"/>
  <c r="Y192" i="19"/>
  <c r="Z192" i="19"/>
  <c r="Y193" i="19"/>
  <c r="Z193" i="19"/>
  <c r="N146" i="19"/>
  <c r="N72" i="19"/>
  <c r="N73" i="19"/>
  <c r="N74" i="19"/>
  <c r="N70" i="19"/>
  <c r="Z88" i="19"/>
  <c r="Z89" i="19"/>
  <c r="Z90" i="19"/>
  <c r="Z91" i="19"/>
  <c r="Z92" i="19"/>
  <c r="Z93" i="19"/>
  <c r="Z94" i="19"/>
  <c r="Z95" i="19"/>
  <c r="Z96" i="19"/>
  <c r="Z97" i="19"/>
  <c r="Z98" i="19"/>
  <c r="Z99" i="19"/>
  <c r="Z100" i="19"/>
  <c r="Z101" i="19"/>
  <c r="Z102" i="19"/>
  <c r="Z103" i="19"/>
  <c r="Z104" i="19"/>
  <c r="Z105" i="19"/>
  <c r="Z106" i="19"/>
  <c r="Z107" i="19"/>
  <c r="Z108" i="19"/>
  <c r="Z109" i="19"/>
  <c r="Z110" i="19"/>
  <c r="Z111" i="19"/>
  <c r="Z112"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Z189" i="19"/>
  <c r="Z190" i="19"/>
  <c r="Z194" i="19"/>
  <c r="Z195" i="19"/>
  <c r="Z196" i="19"/>
  <c r="Z197" i="19"/>
  <c r="Z87" i="19"/>
  <c r="P80" i="19"/>
  <c r="P81" i="19" s="1"/>
  <c r="P82" i="19" s="1"/>
  <c r="P83" i="19" s="1"/>
  <c r="P84" i="19" s="1"/>
  <c r="P85" i="19" s="1"/>
  <c r="P86" i="19" s="1"/>
  <c r="P87" i="19" s="1"/>
  <c r="P88" i="19" s="1"/>
  <c r="P89" i="19" s="1"/>
  <c r="P90" i="19" s="1"/>
  <c r="P91" i="19" s="1"/>
  <c r="P92" i="19" s="1"/>
  <c r="P93" i="19" s="1"/>
  <c r="P94" i="19" s="1"/>
  <c r="P95" i="19" s="1"/>
  <c r="P96" i="19" s="1"/>
  <c r="P97" i="19" s="1"/>
  <c r="P98" i="19" s="1"/>
  <c r="P99" i="19" s="1"/>
  <c r="P100" i="19" s="1"/>
  <c r="P101" i="19" s="1"/>
  <c r="P102" i="19" s="1"/>
  <c r="P103" i="19" s="1"/>
  <c r="P104" i="19" s="1"/>
  <c r="P105" i="19" s="1"/>
  <c r="P106" i="19" s="1"/>
  <c r="P107" i="19" s="1"/>
  <c r="P108" i="19" s="1"/>
  <c r="P109" i="19" s="1"/>
  <c r="P110" i="19" s="1"/>
  <c r="P111" i="19" s="1"/>
  <c r="P112" i="19" s="1"/>
  <c r="P113" i="19" s="1"/>
  <c r="P114" i="19" s="1"/>
  <c r="P115" i="19" s="1"/>
  <c r="P116" i="19" s="1"/>
  <c r="P117" i="19" s="1"/>
  <c r="P118" i="19" s="1"/>
  <c r="P119" i="19" s="1"/>
  <c r="P120" i="19" s="1"/>
  <c r="P121" i="19" s="1"/>
  <c r="P122" i="19" s="1"/>
  <c r="P123" i="19" s="1"/>
  <c r="P124" i="19" s="1"/>
  <c r="P125" i="19" s="1"/>
  <c r="P126" i="19" s="1"/>
  <c r="P127" i="19" s="1"/>
  <c r="P128" i="19" s="1"/>
  <c r="P129" i="19" s="1"/>
  <c r="P130" i="19" s="1"/>
  <c r="P131" i="19" s="1"/>
  <c r="P132" i="19" s="1"/>
  <c r="P133" i="19" s="1"/>
  <c r="P134" i="19" s="1"/>
  <c r="P135" i="19" s="1"/>
  <c r="P136" i="19" s="1"/>
  <c r="P137" i="19" s="1"/>
  <c r="P138" i="19" s="1"/>
  <c r="P139" i="19" s="1"/>
  <c r="P140" i="19" s="1"/>
  <c r="P141" i="19" s="1"/>
  <c r="P142" i="19" s="1"/>
  <c r="P143" i="19" s="1"/>
  <c r="P144" i="19" s="1"/>
  <c r="P145" i="19" s="1"/>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Y90" i="19"/>
  <c r="Y88" i="19"/>
  <c r="Y89" i="19"/>
  <c r="Y91" i="19"/>
  <c r="Y92" i="19"/>
  <c r="Y93" i="19"/>
  <c r="Y94" i="19"/>
  <c r="Y95" i="19"/>
  <c r="Y96" i="19"/>
  <c r="Y97" i="19"/>
  <c r="Y98" i="19"/>
  <c r="Y99" i="19"/>
  <c r="Y100" i="19"/>
  <c r="Y101" i="19"/>
  <c r="Y102" i="19"/>
  <c r="Y103" i="19"/>
  <c r="Y104" i="19"/>
  <c r="Y105" i="19"/>
  <c r="Y106" i="19"/>
  <c r="Y107" i="19"/>
  <c r="Y108" i="19"/>
  <c r="Y109" i="19"/>
  <c r="Y110" i="19"/>
  <c r="Y111" i="19"/>
  <c r="Y112" i="19"/>
  <c r="Y113" i="19"/>
  <c r="Y114" i="19"/>
  <c r="Y115" i="19"/>
  <c r="Y116" i="19"/>
  <c r="Y117" i="19"/>
  <c r="Y118" i="19"/>
  <c r="Y119" i="19"/>
  <c r="Y120" i="19"/>
  <c r="Y121" i="19"/>
  <c r="Y122" i="19"/>
  <c r="Y123" i="19"/>
  <c r="Y124" i="19"/>
  <c r="Y125" i="19"/>
  <c r="Y126" i="19"/>
  <c r="Y127" i="19"/>
  <c r="Y128" i="19"/>
  <c r="Y129" i="19"/>
  <c r="Y130" i="19"/>
  <c r="Y131" i="19"/>
  <c r="Y132" i="19"/>
  <c r="Y133" i="19"/>
  <c r="Y134" i="19"/>
  <c r="Y135" i="19"/>
  <c r="Y136" i="19"/>
  <c r="Y137" i="19"/>
  <c r="Y138" i="19"/>
  <c r="Y139" i="19"/>
  <c r="Y140" i="19"/>
  <c r="Y141" i="19"/>
  <c r="Y142" i="19"/>
  <c r="Y143" i="19"/>
  <c r="Y144" i="19"/>
  <c r="Y145" i="19"/>
  <c r="Y147" i="19"/>
  <c r="Y148" i="19"/>
  <c r="Y149" i="19"/>
  <c r="Y150" i="19"/>
  <c r="Y151" i="19"/>
  <c r="Y152" i="19"/>
  <c r="Y153" i="19"/>
  <c r="Y154" i="19"/>
  <c r="Y155" i="19"/>
  <c r="Y156" i="19"/>
  <c r="Y157" i="19"/>
  <c r="Y158" i="19"/>
  <c r="Y159" i="19"/>
  <c r="Y160" i="19"/>
  <c r="Y161" i="19"/>
  <c r="Y162" i="19"/>
  <c r="Y163" i="19"/>
  <c r="Y164" i="19"/>
  <c r="Y165" i="19"/>
  <c r="Y166" i="19"/>
  <c r="Y167" i="19"/>
  <c r="Y168" i="19"/>
  <c r="Y169" i="19"/>
  <c r="Y170" i="19"/>
  <c r="Y171" i="19"/>
  <c r="Y172" i="19"/>
  <c r="Y173" i="19"/>
  <c r="Y174" i="19"/>
  <c r="Y175" i="19"/>
  <c r="Y176" i="19"/>
  <c r="Y177" i="19"/>
  <c r="Y178" i="19"/>
  <c r="Y179" i="19"/>
  <c r="Y180" i="19"/>
  <c r="Y181" i="19"/>
  <c r="Y182" i="19"/>
  <c r="Y183" i="19"/>
  <c r="Y184" i="19"/>
  <c r="Y185" i="19"/>
  <c r="Y186" i="19"/>
  <c r="Y187" i="19"/>
  <c r="Y188" i="19"/>
  <c r="Y189" i="19"/>
  <c r="Y190" i="19"/>
  <c r="Y194" i="19"/>
  <c r="Y195" i="19"/>
  <c r="Y196" i="19"/>
  <c r="Y197" i="19"/>
  <c r="Y87" i="19"/>
  <c r="N87" i="12"/>
  <c r="N85" i="12"/>
  <c r="N86" i="12"/>
  <c r="N84" i="12"/>
  <c r="N83" i="12"/>
  <c r="N82" i="12"/>
  <c r="N81" i="12"/>
  <c r="N80" i="12"/>
  <c r="N79" i="12"/>
  <c r="N78" i="12"/>
  <c r="N77" i="12"/>
  <c r="N76" i="12"/>
  <c r="N75" i="12"/>
  <c r="N74" i="12"/>
  <c r="N73" i="12"/>
  <c r="N72" i="12"/>
  <c r="N71" i="12"/>
  <c r="N63" i="12"/>
  <c r="N64" i="12"/>
  <c r="N61" i="12"/>
  <c r="N62" i="12"/>
  <c r="N44" i="12"/>
  <c r="N45" i="12"/>
  <c r="N46" i="12"/>
  <c r="N33" i="12"/>
  <c r="N34" i="12"/>
  <c r="N35" i="12"/>
  <c r="N31" i="12"/>
  <c r="N32" i="12"/>
  <c r="N36" i="12"/>
  <c r="N37" i="12"/>
  <c r="N38" i="12"/>
  <c r="N39" i="12"/>
  <c r="N40" i="12"/>
  <c r="N41" i="12"/>
  <c r="N42" i="12"/>
  <c r="N43" i="12"/>
  <c r="N47" i="12"/>
  <c r="N48" i="12"/>
  <c r="N49" i="12"/>
  <c r="N50" i="12"/>
  <c r="N51" i="12"/>
  <c r="N52" i="12"/>
  <c r="N53" i="12"/>
  <c r="N54" i="12"/>
  <c r="N55" i="12"/>
  <c r="N56" i="12"/>
  <c r="N57" i="12"/>
  <c r="N58" i="12"/>
  <c r="N59" i="12"/>
  <c r="N60" i="12"/>
  <c r="N65" i="12"/>
  <c r="N66" i="12"/>
  <c r="N67" i="12"/>
  <c r="N68" i="12"/>
  <c r="N69" i="12"/>
  <c r="N70" i="12"/>
  <c r="A4" i="17"/>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N211" i="3"/>
  <c r="N210" i="3"/>
  <c r="N209" i="3"/>
  <c r="N208" i="3"/>
  <c r="P232" i="5" l="1"/>
  <c r="P233" i="5" s="1"/>
  <c r="P234" i="5" s="1"/>
  <c r="P235" i="5" s="1"/>
  <c r="P236" i="5" s="1"/>
  <c r="P237" i="5" s="1"/>
  <c r="P238" i="5" s="1"/>
  <c r="P239" i="5" s="1"/>
  <c r="P240" i="5" s="1"/>
  <c r="P241" i="5" s="1"/>
  <c r="P242" i="5" s="1"/>
  <c r="P243" i="5" s="1"/>
  <c r="C5" i="28"/>
  <c r="E5" i="28" s="1"/>
  <c r="E4" i="28"/>
  <c r="C5" i="30"/>
  <c r="E4" i="30"/>
  <c r="C5" i="31"/>
  <c r="E4" i="31"/>
  <c r="A30" i="17"/>
  <c r="A31" i="17" s="1"/>
  <c r="P88" i="22"/>
  <c r="P89" i="22" s="1"/>
  <c r="P90" i="22" s="1"/>
  <c r="P91" i="22" s="1"/>
  <c r="P99" i="9"/>
  <c r="P100" i="9" s="1"/>
  <c r="P101" i="9" s="1"/>
  <c r="P102" i="9" s="1"/>
  <c r="P103" i="9" s="1"/>
  <c r="P104" i="9" s="1"/>
  <c r="P105" i="9" s="1"/>
  <c r="P106" i="9" s="1"/>
  <c r="P107" i="9" s="1"/>
  <c r="P108" i="9" s="1"/>
  <c r="P109" i="9" s="1"/>
  <c r="P110" i="9" s="1"/>
  <c r="P111" i="9" s="1"/>
  <c r="P112" i="9" s="1"/>
  <c r="P113" i="9" s="1"/>
  <c r="P114" i="9" s="1"/>
  <c r="P115" i="9" s="1"/>
  <c r="P116" i="9" s="1"/>
  <c r="P117" i="9" s="1"/>
  <c r="P118" i="9" s="1"/>
  <c r="P119" i="9" s="1"/>
  <c r="P120" i="9" s="1"/>
  <c r="P121" i="9" s="1"/>
  <c r="P122" i="9" s="1"/>
  <c r="P123" i="9" s="1"/>
  <c r="P124" i="9" s="1"/>
  <c r="P125" i="9" s="1"/>
  <c r="P126" i="9" s="1"/>
  <c r="P127" i="9" s="1"/>
  <c r="P128" i="9" s="1"/>
  <c r="P129" i="9" s="1"/>
  <c r="P130" i="9" s="1"/>
  <c r="P131" i="9" s="1"/>
  <c r="P132" i="9" s="1"/>
  <c r="P133" i="9" s="1"/>
  <c r="P134" i="9" s="1"/>
  <c r="P135" i="9" s="1"/>
  <c r="P136" i="9" s="1"/>
  <c r="P137" i="9" s="1"/>
  <c r="P138" i="9" s="1"/>
  <c r="P139" i="9" s="1"/>
  <c r="P140" i="9" s="1"/>
  <c r="P141" i="9" s="1"/>
  <c r="P142" i="9" s="1"/>
  <c r="P143" i="9" s="1"/>
  <c r="P144" i="9" s="1"/>
  <c r="P145" i="9" s="1"/>
  <c r="P146" i="9" s="1"/>
  <c r="P147" i="9" s="1"/>
  <c r="P148" i="9" s="1"/>
  <c r="P149" i="9" s="1"/>
  <c r="P150" i="9" s="1"/>
  <c r="P151" i="9" s="1"/>
  <c r="P152" i="9" s="1"/>
  <c r="P153" i="9" s="1"/>
  <c r="P154" i="9" s="1"/>
  <c r="P155" i="9" s="1"/>
  <c r="P118" i="18"/>
  <c r="P119" i="18" s="1"/>
  <c r="P120" i="18" s="1"/>
  <c r="P121" i="18" s="1"/>
  <c r="P318" i="13"/>
  <c r="P319" i="13" s="1"/>
  <c r="P320" i="13" s="1"/>
  <c r="P321" i="13" s="1"/>
  <c r="P322" i="13" s="1"/>
  <c r="P323" i="13" s="1"/>
  <c r="P324" i="13" s="1"/>
  <c r="P325" i="13" s="1"/>
  <c r="P326" i="13" s="1"/>
  <c r="P327" i="13" s="1"/>
  <c r="P328" i="13" s="1"/>
  <c r="P329" i="13" s="1"/>
  <c r="P330" i="13" s="1"/>
  <c r="P331" i="13" s="1"/>
  <c r="P332" i="13" s="1"/>
  <c r="P333" i="13" s="1"/>
  <c r="P334" i="13" s="1"/>
  <c r="P335" i="13" s="1"/>
  <c r="P336" i="13" s="1"/>
  <c r="P337" i="13" s="1"/>
  <c r="P338" i="13" s="1"/>
  <c r="P339" i="13" s="1"/>
  <c r="P340" i="13" s="1"/>
  <c r="P341" i="13" s="1"/>
  <c r="P342" i="13" s="1"/>
  <c r="P343" i="13" s="1"/>
  <c r="P344" i="13" s="1"/>
  <c r="P345" i="13" s="1"/>
  <c r="P346" i="13" s="1"/>
  <c r="P347" i="13" s="1"/>
  <c r="P348" i="13" s="1"/>
  <c r="P349" i="13" s="1"/>
  <c r="P350" i="13" s="1"/>
  <c r="P351" i="13" s="1"/>
  <c r="P352" i="13" s="1"/>
  <c r="P353" i="13" s="1"/>
  <c r="P354" i="13" s="1"/>
  <c r="P355" i="13" s="1"/>
  <c r="P356" i="13" s="1"/>
  <c r="P357" i="13" s="1"/>
  <c r="P358" i="13" s="1"/>
  <c r="P359" i="13" s="1"/>
  <c r="P360" i="13" s="1"/>
  <c r="P361" i="13" s="1"/>
  <c r="P362" i="13" s="1"/>
  <c r="P363" i="13" s="1"/>
  <c r="P364" i="13" s="1"/>
  <c r="P365" i="13" s="1"/>
  <c r="P366" i="13" s="1"/>
  <c r="P367" i="13" s="1"/>
  <c r="P368" i="13" s="1"/>
  <c r="P369" i="13" s="1"/>
  <c r="P370" i="13" s="1"/>
  <c r="P371" i="13" s="1"/>
  <c r="P372" i="13" s="1"/>
  <c r="P373" i="13" s="1"/>
  <c r="P374" i="13" s="1"/>
  <c r="P375" i="13" s="1"/>
  <c r="P376" i="13" s="1"/>
  <c r="P377" i="13" s="1"/>
  <c r="P378" i="13" s="1"/>
  <c r="P379" i="13" s="1"/>
  <c r="P380" i="13" s="1"/>
  <c r="P381" i="13" s="1"/>
  <c r="P382" i="13" s="1"/>
  <c r="P383" i="13" s="1"/>
  <c r="P384" i="13" s="1"/>
  <c r="P385" i="13" s="1"/>
  <c r="P386" i="13" s="1"/>
  <c r="P387" i="13" s="1"/>
  <c r="P388" i="13" s="1"/>
  <c r="P389" i="13" s="1"/>
  <c r="P390" i="13" s="1"/>
  <c r="P391" i="13" s="1"/>
  <c r="P392" i="13" s="1"/>
  <c r="P393" i="13" s="1"/>
  <c r="P394" i="13" s="1"/>
  <c r="P395" i="13" s="1"/>
  <c r="P396" i="13" s="1"/>
  <c r="P397" i="13" s="1"/>
  <c r="P398" i="13" s="1"/>
  <c r="P399" i="13" s="1"/>
  <c r="P400" i="13" s="1"/>
  <c r="P401" i="13" s="1"/>
  <c r="P402" i="13" s="1"/>
  <c r="P403" i="13" s="1"/>
  <c r="P404" i="13" s="1"/>
  <c r="P405" i="13" s="1"/>
  <c r="P406" i="13" s="1"/>
  <c r="P407" i="13" s="1"/>
  <c r="P408" i="13" s="1"/>
  <c r="P409" i="13" s="1"/>
  <c r="P410" i="13" s="1"/>
  <c r="P411" i="13" s="1"/>
  <c r="P412" i="13" s="1"/>
  <c r="P413" i="13" s="1"/>
  <c r="P414" i="13" s="1"/>
  <c r="P415" i="13" s="1"/>
  <c r="P416" i="13" s="1"/>
  <c r="P417" i="13" s="1"/>
  <c r="P418" i="13" s="1"/>
  <c r="P419" i="13" s="1"/>
  <c r="P420" i="13" s="1"/>
  <c r="P421" i="13" s="1"/>
  <c r="P422" i="13" s="1"/>
  <c r="P423" i="13" s="1"/>
  <c r="P424" i="13" s="1"/>
  <c r="P425" i="13" s="1"/>
  <c r="P426" i="13" s="1"/>
  <c r="P427" i="13" s="1"/>
  <c r="P428" i="13" s="1"/>
  <c r="P429" i="13" s="1"/>
  <c r="P430" i="13" s="1"/>
  <c r="P431" i="13" s="1"/>
  <c r="P432" i="13" s="1"/>
  <c r="P433" i="13" s="1"/>
  <c r="P434" i="13" s="1"/>
  <c r="P435" i="13" s="1"/>
  <c r="P436" i="13" s="1"/>
  <c r="P437" i="13" s="1"/>
  <c r="P438" i="13" s="1"/>
  <c r="P439" i="13" s="1"/>
  <c r="P440" i="13" s="1"/>
  <c r="P441" i="13" s="1"/>
  <c r="P442" i="13" s="1"/>
  <c r="P443" i="13" s="1"/>
  <c r="P444" i="13" s="1"/>
  <c r="P445" i="13" s="1"/>
  <c r="P446" i="13" s="1"/>
  <c r="P447" i="13" s="1"/>
  <c r="P448" i="13" s="1"/>
  <c r="P449" i="13" s="1"/>
  <c r="P450" i="13" s="1"/>
  <c r="P451" i="13" s="1"/>
  <c r="P452" i="13" s="1"/>
  <c r="P453" i="13" s="1"/>
  <c r="P454" i="13" s="1"/>
  <c r="P455" i="13" s="1"/>
  <c r="P456" i="13" s="1"/>
  <c r="P457" i="13" s="1"/>
  <c r="P458" i="13" s="1"/>
  <c r="P459" i="13" s="1"/>
  <c r="P460" i="13" s="1"/>
  <c r="P461" i="13" s="1"/>
  <c r="P462" i="13" s="1"/>
  <c r="P463" i="13" s="1"/>
  <c r="P464" i="13" s="1"/>
  <c r="P465" i="13" s="1"/>
  <c r="P466" i="13" s="1"/>
  <c r="P467" i="13" s="1"/>
  <c r="P468" i="13" s="1"/>
  <c r="P469" i="13" s="1"/>
  <c r="P470" i="13" s="1"/>
  <c r="P471" i="13" s="1"/>
  <c r="P472" i="13" s="1"/>
  <c r="P473" i="13" s="1"/>
  <c r="P474" i="13" s="1"/>
  <c r="P475" i="13" s="1"/>
  <c r="P476" i="13" s="1"/>
  <c r="P477" i="13" s="1"/>
  <c r="P478" i="13" s="1"/>
  <c r="P479" i="13" s="1"/>
  <c r="P480" i="13" s="1"/>
  <c r="P481" i="13" s="1"/>
  <c r="P482" i="13" s="1"/>
  <c r="P483" i="13" s="1"/>
  <c r="P484" i="13" s="1"/>
  <c r="P485" i="13" s="1"/>
  <c r="P486" i="13" s="1"/>
  <c r="P487" i="13" s="1"/>
  <c r="P488" i="13" s="1"/>
  <c r="P489" i="13" s="1"/>
  <c r="P490" i="13" s="1"/>
  <c r="P491" i="13" s="1"/>
  <c r="P492" i="13" s="1"/>
  <c r="P493" i="13" s="1"/>
  <c r="P494" i="13" s="1"/>
  <c r="P495" i="13" s="1"/>
  <c r="P496" i="13" s="1"/>
  <c r="P497" i="13" s="1"/>
  <c r="P498" i="13" s="1"/>
  <c r="P499" i="13" s="1"/>
  <c r="P500" i="13" s="1"/>
  <c r="P501" i="13" s="1"/>
  <c r="P502" i="13" s="1"/>
  <c r="P503" i="13" s="1"/>
  <c r="P504" i="13" s="1"/>
  <c r="P505" i="13" s="1"/>
  <c r="P506" i="13" s="1"/>
  <c r="P507" i="13" s="1"/>
  <c r="P508" i="13" s="1"/>
  <c r="P509" i="13" s="1"/>
  <c r="P510" i="13" s="1"/>
  <c r="P511" i="13" s="1"/>
  <c r="P512" i="13" s="1"/>
  <c r="P513" i="13" s="1"/>
  <c r="P514" i="13" s="1"/>
  <c r="P515" i="13" s="1"/>
  <c r="P516" i="13" s="1"/>
  <c r="P517" i="13" s="1"/>
  <c r="P518" i="13" s="1"/>
  <c r="P519" i="13" s="1"/>
  <c r="P520" i="13" s="1"/>
  <c r="P521" i="13" s="1"/>
  <c r="P522" i="13" s="1"/>
  <c r="P523" i="13" s="1"/>
  <c r="P524" i="13" s="1"/>
  <c r="P525" i="13" s="1"/>
  <c r="P526" i="13" s="1"/>
  <c r="P527" i="13" s="1"/>
  <c r="P528" i="13" s="1"/>
  <c r="P529" i="13" s="1"/>
  <c r="P530" i="13" s="1"/>
  <c r="P531" i="13" s="1"/>
  <c r="P532" i="13" s="1"/>
  <c r="P533" i="13" s="1"/>
  <c r="P534" i="13" s="1"/>
  <c r="P535" i="13" s="1"/>
  <c r="P536" i="13" s="1"/>
  <c r="P537" i="13" s="1"/>
  <c r="P538" i="13" s="1"/>
  <c r="P539" i="13" s="1"/>
  <c r="P540" i="13" s="1"/>
  <c r="P541" i="13" s="1"/>
  <c r="P542" i="13" s="1"/>
  <c r="P543" i="13" s="1"/>
  <c r="P544" i="13" s="1"/>
  <c r="P545" i="13" s="1"/>
  <c r="P546" i="13" s="1"/>
  <c r="P547" i="13" s="1"/>
  <c r="P548" i="13" s="1"/>
  <c r="P549" i="13" s="1"/>
  <c r="P550" i="13" s="1"/>
  <c r="P551" i="13" s="1"/>
  <c r="P552" i="13" s="1"/>
  <c r="P553" i="13" s="1"/>
  <c r="P554" i="13" s="1"/>
  <c r="P555" i="13" s="1"/>
  <c r="P556" i="13" s="1"/>
  <c r="P557" i="13" s="1"/>
  <c r="P558" i="13" s="1"/>
  <c r="P559" i="13" s="1"/>
  <c r="P560" i="13" s="1"/>
  <c r="P561" i="13" s="1"/>
  <c r="P562" i="13" s="1"/>
  <c r="P563" i="13" s="1"/>
  <c r="P564" i="13" s="1"/>
  <c r="P565" i="13" s="1"/>
  <c r="P566" i="13" s="1"/>
  <c r="P567" i="13" s="1"/>
  <c r="P568" i="13" s="1"/>
  <c r="P569" i="13" s="1"/>
  <c r="P570" i="13" s="1"/>
  <c r="P571" i="13" s="1"/>
  <c r="P572" i="13" s="1"/>
  <c r="P573" i="13" s="1"/>
  <c r="P574" i="13" s="1"/>
  <c r="P575" i="13" s="1"/>
  <c r="P576" i="13" s="1"/>
  <c r="P577" i="13" s="1"/>
  <c r="P578" i="13" s="1"/>
  <c r="P579" i="13" s="1"/>
  <c r="P580" i="13" s="1"/>
  <c r="P581" i="13" s="1"/>
  <c r="P582" i="13" s="1"/>
  <c r="P583" i="13" s="1"/>
  <c r="P584" i="13" s="1"/>
  <c r="P585" i="13" s="1"/>
  <c r="P586" i="13" s="1"/>
  <c r="P587" i="13" s="1"/>
  <c r="P588" i="13" s="1"/>
  <c r="P589" i="13" s="1"/>
  <c r="P590" i="13" s="1"/>
  <c r="P65" i="23"/>
  <c r="P66" i="23" s="1"/>
  <c r="P67" i="23" s="1"/>
  <c r="P68" i="23" s="1"/>
  <c r="P69" i="23" s="1"/>
  <c r="P70" i="23" s="1"/>
  <c r="P71" i="23" s="1"/>
  <c r="P72" i="23" s="1"/>
  <c r="P73" i="23" s="1"/>
  <c r="P74" i="23" s="1"/>
  <c r="P75" i="23" s="1"/>
  <c r="P76" i="23" s="1"/>
  <c r="P77" i="23" s="1"/>
  <c r="P78" i="23" s="1"/>
  <c r="P79" i="23" s="1"/>
  <c r="P80" i="23" s="1"/>
  <c r="P81" i="23" s="1"/>
  <c r="P82" i="23" s="1"/>
  <c r="P83" i="23" s="1"/>
  <c r="P84" i="23" s="1"/>
  <c r="P85" i="23" s="1"/>
  <c r="P86" i="23" s="1"/>
  <c r="P87" i="23" s="1"/>
  <c r="P88" i="23" s="1"/>
  <c r="P89" i="23" s="1"/>
  <c r="P90" i="23" s="1"/>
  <c r="P91" i="23" s="1"/>
  <c r="P92" i="23" s="1"/>
  <c r="P93" i="23" s="1"/>
  <c r="P94" i="23" s="1"/>
  <c r="P95" i="23" s="1"/>
  <c r="P96" i="23" s="1"/>
  <c r="P97" i="23" s="1"/>
  <c r="P98" i="23" s="1"/>
  <c r="P99" i="23" s="1"/>
  <c r="P100" i="23" s="1"/>
  <c r="P101" i="23" s="1"/>
  <c r="P102" i="23" s="1"/>
  <c r="P103" i="23" s="1"/>
  <c r="P104" i="23" s="1"/>
  <c r="P35" i="11"/>
  <c r="P36" i="11" s="1"/>
  <c r="P37" i="11" s="1"/>
  <c r="P38" i="11" s="1"/>
  <c r="P39" i="11" s="1"/>
  <c r="P40" i="11" s="1"/>
  <c r="P41" i="11" s="1"/>
  <c r="P42" i="11" s="1"/>
  <c r="P43" i="11" s="1"/>
  <c r="P44" i="11" s="1"/>
  <c r="P45" i="11" s="1"/>
  <c r="P46" i="11" s="1"/>
  <c r="P146" i="19"/>
  <c r="P147" i="19" s="1"/>
  <c r="P148" i="19" s="1"/>
  <c r="P149" i="19" s="1"/>
  <c r="P150" i="19" s="1"/>
  <c r="P151" i="19" s="1"/>
  <c r="P152" i="19" s="1"/>
  <c r="P153" i="19" s="1"/>
  <c r="P154" i="19" s="1"/>
  <c r="P155" i="19" s="1"/>
  <c r="P156" i="19" s="1"/>
  <c r="P157" i="19" s="1"/>
  <c r="P158" i="19" s="1"/>
  <c r="P159" i="19" s="1"/>
  <c r="P160" i="19" s="1"/>
  <c r="P161" i="19" s="1"/>
  <c r="P162" i="19" s="1"/>
  <c r="P163" i="19" s="1"/>
  <c r="P164" i="19" s="1"/>
  <c r="P165" i="19" s="1"/>
  <c r="P166" i="19" s="1"/>
  <c r="P167" i="19" s="1"/>
  <c r="P168" i="19" s="1"/>
  <c r="P169" i="19" s="1"/>
  <c r="P170" i="19" s="1"/>
  <c r="P171" i="19" s="1"/>
  <c r="P172" i="19" s="1"/>
  <c r="P173" i="19" s="1"/>
  <c r="P174" i="19" s="1"/>
  <c r="P175" i="19" s="1"/>
  <c r="P176" i="19" s="1"/>
  <c r="P177" i="19" s="1"/>
  <c r="P178" i="19" s="1"/>
  <c r="P179" i="19" s="1"/>
  <c r="P180" i="19" s="1"/>
  <c r="P181" i="19" s="1"/>
  <c r="P182" i="19" s="1"/>
  <c r="P183" i="19" s="1"/>
  <c r="P184" i="19" s="1"/>
  <c r="P185" i="19" s="1"/>
  <c r="P186" i="19" s="1"/>
  <c r="P187" i="19" s="1"/>
  <c r="P188" i="19" s="1"/>
  <c r="P189" i="19" s="1"/>
  <c r="P190" i="19" s="1"/>
  <c r="P191" i="19" s="1"/>
  <c r="P192" i="19" s="1"/>
  <c r="P193" i="19" s="1"/>
  <c r="P194" i="19" s="1"/>
  <c r="P195" i="19" s="1"/>
  <c r="P196" i="19" s="1"/>
  <c r="P197" i="19" s="1"/>
  <c r="P198" i="19" s="1"/>
  <c r="P199" i="19" s="1"/>
  <c r="P200" i="19" s="1"/>
  <c r="P201" i="19" s="1"/>
  <c r="P202" i="19" s="1"/>
  <c r="P203" i="19" s="1"/>
  <c r="P204" i="19" s="1"/>
  <c r="P205" i="19" s="1"/>
  <c r="P206" i="19" s="1"/>
  <c r="P207" i="19" s="1"/>
  <c r="P208" i="19" s="1"/>
  <c r="N125" i="26"/>
  <c r="N126" i="26"/>
  <c r="N127" i="26"/>
  <c r="N128" i="26"/>
  <c r="N129" i="26"/>
  <c r="N130" i="26"/>
  <c r="N131" i="26"/>
  <c r="N132" i="26"/>
  <c r="N133" i="26"/>
  <c r="N134" i="26"/>
  <c r="N135" i="26"/>
  <c r="N116" i="26"/>
  <c r="P244" i="5" l="1"/>
  <c r="P245" i="5" s="1"/>
  <c r="P246" i="5" s="1"/>
  <c r="P247" i="5" s="1"/>
  <c r="P248" i="5" s="1"/>
  <c r="P249" i="5" s="1"/>
  <c r="P250" i="5" s="1"/>
  <c r="P251" i="5" s="1"/>
  <c r="P252" i="5" s="1"/>
  <c r="P253" i="5" s="1"/>
  <c r="P254" i="5" s="1"/>
  <c r="P255" i="5" s="1"/>
  <c r="P256" i="5" s="1"/>
  <c r="P257" i="5" s="1"/>
  <c r="C6" i="28"/>
  <c r="E6" i="28" s="1"/>
  <c r="C6" i="30"/>
  <c r="E5" i="30"/>
  <c r="C6" i="31"/>
  <c r="E5" i="31"/>
  <c r="P92" i="22"/>
  <c r="P93" i="22" s="1"/>
  <c r="P94" i="22" s="1"/>
  <c r="P95" i="22" s="1"/>
  <c r="P96" i="22" s="1"/>
  <c r="P122" i="18"/>
  <c r="P123" i="18" s="1"/>
  <c r="P124" i="18" s="1"/>
  <c r="P125" i="18" s="1"/>
  <c r="P126" i="18" s="1"/>
  <c r="P127" i="18" s="1"/>
  <c r="P128" i="18" s="1"/>
  <c r="P129" i="18" s="1"/>
  <c r="P105" i="23"/>
  <c r="P106" i="23" s="1"/>
  <c r="P107" i="23" s="1"/>
  <c r="P108" i="23" s="1"/>
  <c r="P109" i="23" s="1"/>
  <c r="P110" i="23" s="1"/>
  <c r="P111" i="23" s="1"/>
  <c r="P112" i="23" s="1"/>
  <c r="P113" i="23" s="1"/>
  <c r="P114" i="23" s="1"/>
  <c r="P115" i="23" s="1"/>
  <c r="P116" i="23" s="1"/>
  <c r="P117" i="23" s="1"/>
  <c r="P118" i="23" s="1"/>
  <c r="P119" i="23" s="1"/>
  <c r="P120" i="23" s="1"/>
  <c r="P121" i="23" s="1"/>
  <c r="P122" i="23" s="1"/>
  <c r="P123" i="23" s="1"/>
  <c r="P124" i="23" s="1"/>
  <c r="P125" i="23" s="1"/>
  <c r="P126" i="23" s="1"/>
  <c r="P127" i="23" s="1"/>
  <c r="P128" i="23" s="1"/>
  <c r="P129" i="23" s="1"/>
  <c r="P130" i="23" s="1"/>
  <c r="P131" i="23" s="1"/>
  <c r="P47" i="11"/>
  <c r="P48" i="11" s="1"/>
  <c r="P49" i="11" s="1"/>
  <c r="P50" i="11" s="1"/>
  <c r="P51" i="11" s="1"/>
  <c r="P52" i="11" s="1"/>
  <c r="P53" i="11" s="1"/>
  <c r="P54" i="11" s="1"/>
  <c r="P55" i="11" s="1"/>
  <c r="P56" i="11" s="1"/>
  <c r="P57" i="11" s="1"/>
  <c r="P58" i="11" s="1"/>
  <c r="P59" i="11" s="1"/>
  <c r="P60" i="11" s="1"/>
  <c r="P61" i="11" s="1"/>
  <c r="P62" i="11" s="1"/>
  <c r="P63" i="11" s="1"/>
  <c r="P64" i="11" s="1"/>
  <c r="P65" i="11" s="1"/>
  <c r="P66" i="11" s="1"/>
  <c r="P67" i="11" s="1"/>
  <c r="P68" i="11" s="1"/>
  <c r="P69" i="11" s="1"/>
  <c r="P70" i="11" s="1"/>
  <c r="P71" i="11" s="1"/>
  <c r="P72" i="11" s="1"/>
  <c r="P73" i="11" s="1"/>
  <c r="P74" i="11" s="1"/>
  <c r="P75" i="11" s="1"/>
  <c r="P76" i="11" s="1"/>
  <c r="P77" i="11" s="1"/>
  <c r="P78" i="11" s="1"/>
  <c r="P79" i="11" s="1"/>
  <c r="P80" i="11" s="1"/>
  <c r="P81" i="11" s="1"/>
  <c r="P82" i="11" s="1"/>
  <c r="P83" i="11" s="1"/>
  <c r="P84" i="11" s="1"/>
  <c r="P85" i="11" s="1"/>
  <c r="P86" i="11" s="1"/>
  <c r="P87" i="11" s="1"/>
  <c r="P88" i="11" s="1"/>
  <c r="P89" i="11" s="1"/>
  <c r="P90" i="11" s="1"/>
  <c r="P91" i="11" s="1"/>
  <c r="P92" i="11" s="1"/>
  <c r="P93" i="11" s="1"/>
  <c r="P94" i="11" s="1"/>
  <c r="P95" i="11" s="1"/>
  <c r="P96" i="11" s="1"/>
  <c r="P97" i="11" s="1"/>
  <c r="P98" i="11" s="1"/>
  <c r="P99" i="11" s="1"/>
  <c r="P100" i="11" s="1"/>
  <c r="P101" i="11" s="1"/>
  <c r="P102" i="11" s="1"/>
  <c r="P103" i="11" s="1"/>
  <c r="P104" i="11" s="1"/>
  <c r="P105" i="11" s="1"/>
  <c r="P106" i="11" s="1"/>
  <c r="P107" i="11" s="1"/>
  <c r="P108" i="11" s="1"/>
  <c r="P109" i="11" s="1"/>
  <c r="P110" i="11" s="1"/>
  <c r="P111" i="11" s="1"/>
  <c r="P112" i="11" s="1"/>
  <c r="P113" i="11" s="1"/>
  <c r="P114" i="11" s="1"/>
  <c r="P115" i="11" s="1"/>
  <c r="P116" i="11" s="1"/>
  <c r="P117" i="11" s="1"/>
  <c r="P118" i="11" s="1"/>
  <c r="P119" i="11" s="1"/>
  <c r="P120" i="11" s="1"/>
  <c r="P121" i="11" s="1"/>
  <c r="P122" i="11" s="1"/>
  <c r="P123" i="11" s="1"/>
  <c r="P124" i="11" s="1"/>
  <c r="P125" i="11" s="1"/>
  <c r="P126" i="11" s="1"/>
  <c r="P127" i="11" s="1"/>
  <c r="P128" i="11" s="1"/>
  <c r="P129" i="11" s="1"/>
  <c r="P130" i="11" s="1"/>
  <c r="P131" i="11" s="1"/>
  <c r="P132" i="11" s="1"/>
  <c r="P133" i="11" s="1"/>
  <c r="P134" i="11" s="1"/>
  <c r="P135" i="11" s="1"/>
  <c r="P136" i="11" s="1"/>
  <c r="P137" i="11" s="1"/>
  <c r="P138" i="11" s="1"/>
  <c r="P139" i="11" s="1"/>
  <c r="P140" i="11" s="1"/>
  <c r="P141" i="11" s="1"/>
  <c r="P142" i="11" s="1"/>
  <c r="P143" i="11" s="1"/>
  <c r="P144" i="11" s="1"/>
  <c r="P145" i="11" s="1"/>
  <c r="P146" i="11" s="1"/>
  <c r="P147" i="11" s="1"/>
  <c r="P148" i="11" s="1"/>
  <c r="P149" i="11" s="1"/>
  <c r="P150" i="11" s="1"/>
  <c r="P151" i="11" s="1"/>
  <c r="P152" i="11" s="1"/>
  <c r="P153" i="11" s="1"/>
  <c r="P154" i="11" s="1"/>
  <c r="P155" i="11" s="1"/>
  <c r="P156" i="11" s="1"/>
  <c r="P157" i="11" s="1"/>
  <c r="P158" i="11" s="1"/>
  <c r="P159" i="11" s="1"/>
  <c r="P160" i="11" s="1"/>
  <c r="P161" i="11" s="1"/>
  <c r="P162" i="11" s="1"/>
  <c r="P163" i="11" s="1"/>
  <c r="P164" i="11" s="1"/>
  <c r="P165" i="11" s="1"/>
  <c r="P166" i="11" s="1"/>
  <c r="P167" i="11" s="1"/>
  <c r="P168" i="11" s="1"/>
  <c r="P169" i="11" s="1"/>
  <c r="P170" i="11" s="1"/>
  <c r="P171" i="11" s="1"/>
  <c r="P172" i="11" s="1"/>
  <c r="P173" i="11" s="1"/>
  <c r="P174" i="11" s="1"/>
  <c r="P175" i="11" s="1"/>
  <c r="P176" i="11" s="1"/>
  <c r="P177" i="11" s="1"/>
  <c r="P178" i="11" s="1"/>
  <c r="P179" i="11" s="1"/>
  <c r="P180" i="11" s="1"/>
  <c r="P181" i="11" s="1"/>
  <c r="P182" i="11" s="1"/>
  <c r="P183" i="11" s="1"/>
  <c r="P184" i="11" s="1"/>
  <c r="P185" i="11" s="1"/>
  <c r="P186" i="11" s="1"/>
  <c r="P187" i="11" s="1"/>
  <c r="P188" i="11" s="1"/>
  <c r="P189" i="11" s="1"/>
  <c r="P190" i="11" s="1"/>
  <c r="P191" i="11" s="1"/>
  <c r="P192" i="11" s="1"/>
  <c r="P193" i="11" s="1"/>
  <c r="P194" i="11" s="1"/>
  <c r="P195" i="11" s="1"/>
  <c r="P196" i="11" s="1"/>
  <c r="P197" i="11" s="1"/>
  <c r="P198" i="11" s="1"/>
  <c r="P199" i="11" s="1"/>
  <c r="P200" i="11" s="1"/>
  <c r="P201" i="11" s="1"/>
  <c r="P202" i="11" s="1"/>
  <c r="P203" i="11" s="1"/>
  <c r="P204" i="11" s="1"/>
  <c r="P205" i="11" s="1"/>
  <c r="P206" i="11" s="1"/>
  <c r="P207" i="11" s="1"/>
  <c r="P208" i="11" s="1"/>
  <c r="P209" i="11" s="1"/>
  <c r="N112" i="26"/>
  <c r="N113" i="26"/>
  <c r="N114" i="26"/>
  <c r="N115" i="26"/>
  <c r="N117" i="26"/>
  <c r="N118" i="26"/>
  <c r="N119" i="26"/>
  <c r="N120" i="26"/>
  <c r="N121" i="26"/>
  <c r="N122" i="26"/>
  <c r="N123" i="26"/>
  <c r="N124" i="26"/>
  <c r="N101" i="26"/>
  <c r="N102" i="26"/>
  <c r="N103" i="26"/>
  <c r="N104" i="26"/>
  <c r="N105" i="26"/>
  <c r="N106" i="26"/>
  <c r="N107" i="26"/>
  <c r="N108" i="26"/>
  <c r="N109" i="26"/>
  <c r="N110" i="26"/>
  <c r="N111" i="26"/>
  <c r="P5" i="26"/>
  <c r="P6" i="26" s="1"/>
  <c r="P7" i="26" s="1"/>
  <c r="P8" i="26" s="1"/>
  <c r="P9" i="26" s="1"/>
  <c r="P10" i="26" s="1"/>
  <c r="P11" i="26" s="1"/>
  <c r="P12" i="26" s="1"/>
  <c r="P13" i="26" s="1"/>
  <c r="P14" i="26" s="1"/>
  <c r="P15" i="26" s="1"/>
  <c r="P16" i="26" s="1"/>
  <c r="P17" i="26" s="1"/>
  <c r="P18" i="26" s="1"/>
  <c r="P19" i="26" s="1"/>
  <c r="P20" i="26" s="1"/>
  <c r="P21" i="26" s="1"/>
  <c r="P22" i="26" s="1"/>
  <c r="P23" i="26" s="1"/>
  <c r="P24" i="26" s="1"/>
  <c r="P25" i="26" s="1"/>
  <c r="P26" i="26" s="1"/>
  <c r="P27" i="26" s="1"/>
  <c r="P28" i="26" s="1"/>
  <c r="P29" i="26" s="1"/>
  <c r="P30" i="26" s="1"/>
  <c r="P31" i="26" s="1"/>
  <c r="P32" i="26" s="1"/>
  <c r="P33" i="26" s="1"/>
  <c r="P34" i="26" s="1"/>
  <c r="P35" i="26" s="1"/>
  <c r="P36" i="26" s="1"/>
  <c r="P37" i="26" s="1"/>
  <c r="P38" i="26" s="1"/>
  <c r="P39" i="26" s="1"/>
  <c r="P40" i="26" s="1"/>
  <c r="P41" i="26" s="1"/>
  <c r="P42" i="26" s="1"/>
  <c r="P43" i="26" s="1"/>
  <c r="P44" i="26" s="1"/>
  <c r="P45" i="26" s="1"/>
  <c r="P46" i="26" s="1"/>
  <c r="P47" i="26" s="1"/>
  <c r="P48" i="26" s="1"/>
  <c r="P49" i="26" s="1"/>
  <c r="P50" i="26" s="1"/>
  <c r="P51" i="26" s="1"/>
  <c r="P52" i="26" s="1"/>
  <c r="P53" i="26" s="1"/>
  <c r="P54" i="26" s="1"/>
  <c r="P55" i="26" s="1"/>
  <c r="P56" i="26" s="1"/>
  <c r="P57" i="26" s="1"/>
  <c r="P58" i="26" s="1"/>
  <c r="P59" i="26" s="1"/>
  <c r="P60" i="26" s="1"/>
  <c r="P61" i="26" s="1"/>
  <c r="P62" i="26" s="1"/>
  <c r="P63" i="26" s="1"/>
  <c r="P64" i="26" s="1"/>
  <c r="P65" i="26" s="1"/>
  <c r="P66" i="26" s="1"/>
  <c r="P67" i="26" s="1"/>
  <c r="P68" i="26" s="1"/>
  <c r="P69" i="26" s="1"/>
  <c r="P70" i="26" s="1"/>
  <c r="P71" i="26" s="1"/>
  <c r="P72" i="26" s="1"/>
  <c r="P73" i="26" s="1"/>
  <c r="P74" i="26" s="1"/>
  <c r="P75" i="26" s="1"/>
  <c r="P76" i="26" s="1"/>
  <c r="P77" i="26" s="1"/>
  <c r="P78" i="26" s="1"/>
  <c r="P79" i="26" s="1"/>
  <c r="P80" i="26" s="1"/>
  <c r="P81" i="26" s="1"/>
  <c r="P82" i="26" s="1"/>
  <c r="P83" i="26" s="1"/>
  <c r="P84" i="26" s="1"/>
  <c r="P85" i="26" s="1"/>
  <c r="P86" i="26" s="1"/>
  <c r="P87" i="26" s="1"/>
  <c r="P88" i="26" s="1"/>
  <c r="P89" i="26" s="1"/>
  <c r="P90" i="26" s="1"/>
  <c r="P91" i="26" s="1"/>
  <c r="P92" i="26" s="1"/>
  <c r="P93" i="26" s="1"/>
  <c r="P94" i="26" s="1"/>
  <c r="P95" i="26" s="1"/>
  <c r="P96" i="26" s="1"/>
  <c r="P97" i="26" s="1"/>
  <c r="P98" i="26" s="1"/>
  <c r="P99" i="26" s="1"/>
  <c r="P100" i="26" s="1"/>
  <c r="P101" i="26" s="1"/>
  <c r="P102" i="26" s="1"/>
  <c r="P103" i="26" s="1"/>
  <c r="P104" i="26" s="1"/>
  <c r="P105" i="26" s="1"/>
  <c r="P106" i="26" s="1"/>
  <c r="P107" i="26" s="1"/>
  <c r="P108" i="26" s="1"/>
  <c r="P109" i="26" s="1"/>
  <c r="P110" i="26" s="1"/>
  <c r="P111" i="26" s="1"/>
  <c r="P112" i="26" s="1"/>
  <c r="P113" i="26" s="1"/>
  <c r="P114" i="26" s="1"/>
  <c r="P115" i="26" s="1"/>
  <c r="P116" i="26" s="1"/>
  <c r="P117" i="26" s="1"/>
  <c r="P118" i="26" s="1"/>
  <c r="P119" i="26" s="1"/>
  <c r="P120" i="26" s="1"/>
  <c r="P121" i="26" s="1"/>
  <c r="P122" i="26" s="1"/>
  <c r="P123" i="26" s="1"/>
  <c r="P124" i="26" s="1"/>
  <c r="P125" i="26" s="1"/>
  <c r="P126" i="26" s="1"/>
  <c r="P127" i="26" s="1"/>
  <c r="P128" i="26" s="1"/>
  <c r="P129" i="26" s="1"/>
  <c r="P130" i="26" s="1"/>
  <c r="P131" i="26" s="1"/>
  <c r="P132" i="26" s="1"/>
  <c r="P133" i="26" s="1"/>
  <c r="P134" i="26" s="1"/>
  <c r="P135" i="26" s="1"/>
  <c r="N83" i="26"/>
  <c r="N84" i="26"/>
  <c r="N85" i="26"/>
  <c r="N86" i="26"/>
  <c r="N87" i="26"/>
  <c r="N88" i="26"/>
  <c r="N89" i="26"/>
  <c r="N90" i="26"/>
  <c r="N91" i="26"/>
  <c r="N92" i="26"/>
  <c r="N93" i="26"/>
  <c r="N94" i="26"/>
  <c r="N95" i="26"/>
  <c r="N96" i="26"/>
  <c r="N97" i="26"/>
  <c r="N98" i="26"/>
  <c r="N99" i="26"/>
  <c r="N100" i="26"/>
  <c r="P5" i="3"/>
  <c r="P6" i="3" s="1"/>
  <c r="P7" i="3" s="1"/>
  <c r="P8" i="3" s="1"/>
  <c r="P9" i="3" s="1"/>
  <c r="P10" i="3" s="1"/>
  <c r="P11" i="3" s="1"/>
  <c r="P12" i="3" s="1"/>
  <c r="P13" i="3" s="1"/>
  <c r="P14" i="3" s="1"/>
  <c r="P15" i="3" s="1"/>
  <c r="P16" i="3" s="1"/>
  <c r="P17" i="3" s="1"/>
  <c r="P18" i="3" s="1"/>
  <c r="P19" i="3" s="1"/>
  <c r="P20" i="3" s="1"/>
  <c r="P21" i="3" s="1"/>
  <c r="P22" i="3" s="1"/>
  <c r="P23" i="3" s="1"/>
  <c r="P24" i="3" s="1"/>
  <c r="P25" i="3" s="1"/>
  <c r="P26" i="3" s="1"/>
  <c r="P27" i="3" s="1"/>
  <c r="P28" i="3" s="1"/>
  <c r="P29" i="3" s="1"/>
  <c r="P30" i="3" s="1"/>
  <c r="P31" i="3" s="1"/>
  <c r="P32" i="3" s="1"/>
  <c r="P33" i="3" s="1"/>
  <c r="P34" i="3" s="1"/>
  <c r="P35" i="3" s="1"/>
  <c r="P36" i="3" s="1"/>
  <c r="P37" i="3" s="1"/>
  <c r="P38" i="3" s="1"/>
  <c r="P39" i="3" s="1"/>
  <c r="P40" i="3" s="1"/>
  <c r="P41" i="3" s="1"/>
  <c r="P42" i="3" s="1"/>
  <c r="P43" i="3" s="1"/>
  <c r="P44" i="3" s="1"/>
  <c r="P45" i="3" s="1"/>
  <c r="P46" i="3" s="1"/>
  <c r="P47" i="3" s="1"/>
  <c r="P48" i="3" s="1"/>
  <c r="P49" i="3" s="1"/>
  <c r="P50" i="3" s="1"/>
  <c r="P51" i="3" s="1"/>
  <c r="P52" i="3" s="1"/>
  <c r="P53" i="3" s="1"/>
  <c r="P54" i="3" s="1"/>
  <c r="P55" i="3" s="1"/>
  <c r="P56" i="3" s="1"/>
  <c r="P57" i="3" s="1"/>
  <c r="P58" i="3" s="1"/>
  <c r="P59" i="3" s="1"/>
  <c r="P60" i="3" s="1"/>
  <c r="P61" i="3" s="1"/>
  <c r="P62" i="3" s="1"/>
  <c r="P63" i="3" s="1"/>
  <c r="P64" i="3" s="1"/>
  <c r="P65" i="3" s="1"/>
  <c r="P66" i="3" s="1"/>
  <c r="P67" i="3" s="1"/>
  <c r="P68" i="3" s="1"/>
  <c r="P69" i="3" s="1"/>
  <c r="P70" i="3" s="1"/>
  <c r="P71" i="3" s="1"/>
  <c r="P72" i="3" s="1"/>
  <c r="P73" i="3" s="1"/>
  <c r="P74" i="3" s="1"/>
  <c r="P75" i="3" s="1"/>
  <c r="P76" i="3" s="1"/>
  <c r="P77" i="3" s="1"/>
  <c r="P78" i="3" s="1"/>
  <c r="P79" i="3" s="1"/>
  <c r="P80" i="3" s="1"/>
  <c r="P81" i="3" s="1"/>
  <c r="P82" i="3" s="1"/>
  <c r="P83" i="3" s="1"/>
  <c r="P84" i="3" s="1"/>
  <c r="P85" i="3" s="1"/>
  <c r="P86" i="3" s="1"/>
  <c r="P87" i="3" s="1"/>
  <c r="P88" i="3" s="1"/>
  <c r="P89" i="3" s="1"/>
  <c r="P90" i="3" s="1"/>
  <c r="P91" i="3" s="1"/>
  <c r="P92" i="3" s="1"/>
  <c r="P93" i="3" s="1"/>
  <c r="P94" i="3" s="1"/>
  <c r="P95" i="3" s="1"/>
  <c r="P96" i="3" s="1"/>
  <c r="P97" i="3" s="1"/>
  <c r="P98" i="3" s="1"/>
  <c r="P99" i="3" s="1"/>
  <c r="P100" i="3" s="1"/>
  <c r="P101" i="3" s="1"/>
  <c r="P102" i="3" s="1"/>
  <c r="P103" i="3" s="1"/>
  <c r="P104" i="3" s="1"/>
  <c r="P105" i="3" s="1"/>
  <c r="P106" i="3" s="1"/>
  <c r="P107" i="3" s="1"/>
  <c r="P108" i="3" s="1"/>
  <c r="P109" i="3" s="1"/>
  <c r="P110" i="3" s="1"/>
  <c r="P111" i="3" s="1"/>
  <c r="P112" i="3" s="1"/>
  <c r="P113" i="3" s="1"/>
  <c r="P114" i="3" s="1"/>
  <c r="P115" i="3" s="1"/>
  <c r="P116" i="3" s="1"/>
  <c r="P117" i="3" s="1"/>
  <c r="P118" i="3" s="1"/>
  <c r="P119" i="3" s="1"/>
  <c r="P120" i="3" s="1"/>
  <c r="P121" i="3" s="1"/>
  <c r="P122" i="3" s="1"/>
  <c r="P123" i="3" s="1"/>
  <c r="P124" i="3" s="1"/>
  <c r="P125" i="3" s="1"/>
  <c r="P126" i="3" s="1"/>
  <c r="P127" i="3" s="1"/>
  <c r="P128" i="3" s="1"/>
  <c r="P129" i="3" s="1"/>
  <c r="P130" i="3" s="1"/>
  <c r="P131" i="3" s="1"/>
  <c r="P132" i="3" s="1"/>
  <c r="P133" i="3" s="1"/>
  <c r="P134" i="3" s="1"/>
  <c r="P135" i="3" s="1"/>
  <c r="P136" i="3" s="1"/>
  <c r="P137" i="3" s="1"/>
  <c r="P138" i="3" s="1"/>
  <c r="P139" i="3" s="1"/>
  <c r="P140" i="3" s="1"/>
  <c r="P141" i="3" s="1"/>
  <c r="P142" i="3" s="1"/>
  <c r="P143" i="3" s="1"/>
  <c r="P144" i="3" s="1"/>
  <c r="P145" i="3" s="1"/>
  <c r="P146" i="3" s="1"/>
  <c r="P147" i="3" s="1"/>
  <c r="P148" i="3" s="1"/>
  <c r="P149" i="3" s="1"/>
  <c r="P150" i="3" s="1"/>
  <c r="P151" i="3" s="1"/>
  <c r="P152" i="3" s="1"/>
  <c r="P153" i="3" s="1"/>
  <c r="P154" i="3" s="1"/>
  <c r="P155" i="3" s="1"/>
  <c r="P156" i="3" s="1"/>
  <c r="P157" i="3" s="1"/>
  <c r="P158" i="3" s="1"/>
  <c r="P159" i="3" s="1"/>
  <c r="P160" i="3" s="1"/>
  <c r="P161" i="3" s="1"/>
  <c r="P162" i="3" s="1"/>
  <c r="P163" i="3" s="1"/>
  <c r="P164" i="3" s="1"/>
  <c r="P165" i="3" s="1"/>
  <c r="P166" i="3" s="1"/>
  <c r="P167" i="3" s="1"/>
  <c r="P168" i="3" s="1"/>
  <c r="P169" i="3" s="1"/>
  <c r="P170" i="3" s="1"/>
  <c r="P171" i="3" s="1"/>
  <c r="P172" i="3" s="1"/>
  <c r="P173" i="3" s="1"/>
  <c r="P174" i="3" s="1"/>
  <c r="P175" i="3" s="1"/>
  <c r="P176" i="3" s="1"/>
  <c r="P177" i="3" s="1"/>
  <c r="P178" i="3" s="1"/>
  <c r="P179" i="3" s="1"/>
  <c r="P180" i="3" s="1"/>
  <c r="P181" i="3" s="1"/>
  <c r="P182" i="3" s="1"/>
  <c r="P183" i="3" s="1"/>
  <c r="P184" i="3" s="1"/>
  <c r="P185" i="3" s="1"/>
  <c r="P186" i="3" s="1"/>
  <c r="P187" i="3" s="1"/>
  <c r="P188" i="3" s="1"/>
  <c r="P189" i="3" s="1"/>
  <c r="P190" i="3" s="1"/>
  <c r="P191" i="3" s="1"/>
  <c r="P192" i="3" s="1"/>
  <c r="P193" i="3" s="1"/>
  <c r="P194" i="3" s="1"/>
  <c r="P195" i="3" s="1"/>
  <c r="P196" i="3" s="1"/>
  <c r="P197" i="3" s="1"/>
  <c r="P198" i="3" s="1"/>
  <c r="P199" i="3" s="1"/>
  <c r="P200" i="3" s="1"/>
  <c r="P201" i="3" s="1"/>
  <c r="P202" i="3" s="1"/>
  <c r="P203" i="3" s="1"/>
  <c r="P204" i="3" s="1"/>
  <c r="P205" i="3" s="1"/>
  <c r="P206" i="3" s="1"/>
  <c r="P207" i="3" s="1"/>
  <c r="P208" i="3" s="1"/>
  <c r="P209" i="3" s="1"/>
  <c r="P210" i="3" s="1"/>
  <c r="P211" i="3" s="1"/>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127" i="3"/>
  <c r="N128" i="3"/>
  <c r="N120" i="3"/>
  <c r="N121" i="3"/>
  <c r="N122" i="3"/>
  <c r="N123" i="3"/>
  <c r="N124" i="3"/>
  <c r="N125" i="3"/>
  <c r="N126"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P258" i="5" l="1"/>
  <c r="P259" i="5" s="1"/>
  <c r="P260" i="5" s="1"/>
  <c r="C7" i="28"/>
  <c r="E7" i="28" s="1"/>
  <c r="C7" i="30"/>
  <c r="E6" i="30"/>
  <c r="C7" i="31"/>
  <c r="E6" i="31"/>
  <c r="P97" i="22"/>
  <c r="P98" i="22" s="1"/>
  <c r="P99" i="22" s="1"/>
  <c r="P100" i="22" s="1"/>
  <c r="P101" i="22" s="1"/>
  <c r="P102" i="22" s="1"/>
  <c r="P103" i="22" s="1"/>
  <c r="P104" i="22" s="1"/>
  <c r="P105" i="22" s="1"/>
  <c r="P106" i="22" s="1"/>
  <c r="P107" i="22" s="1"/>
  <c r="P108" i="22" s="1"/>
  <c r="P109" i="22" s="1"/>
  <c r="P110" i="22" s="1"/>
  <c r="P111" i="22" s="1"/>
  <c r="P112" i="22" s="1"/>
  <c r="P113" i="22" s="1"/>
  <c r="P114" i="22" s="1"/>
  <c r="P130" i="18"/>
  <c r="P131" i="18" s="1"/>
  <c r="P132" i="18" s="1"/>
  <c r="P133" i="18" s="1"/>
  <c r="P134" i="18" s="1"/>
  <c r="P135" i="18" s="1"/>
  <c r="P132" i="23"/>
  <c r="P133" i="23" s="1"/>
  <c r="P134" i="23" s="1"/>
  <c r="P135" i="23" s="1"/>
  <c r="P136" i="23" s="1"/>
  <c r="P137" i="23" s="1"/>
  <c r="P138" i="23" s="1"/>
  <c r="P139" i="23" s="1"/>
  <c r="P140" i="23" s="1"/>
  <c r="P141" i="23" s="1"/>
  <c r="P142" i="23" s="1"/>
  <c r="P143" i="23" s="1"/>
  <c r="P144" i="23" s="1"/>
  <c r="P145" i="23" s="1"/>
  <c r="P146" i="23" s="1"/>
  <c r="P147" i="23" s="1"/>
  <c r="P148" i="23" s="1"/>
  <c r="P149" i="23" s="1"/>
  <c r="P150" i="23" s="1"/>
  <c r="P210" i="11"/>
  <c r="P211" i="11" s="1"/>
  <c r="P212" i="11" s="1"/>
  <c r="P213" i="11" s="1"/>
  <c r="P214" i="11" s="1"/>
  <c r="P215" i="11" s="1"/>
  <c r="P216" i="11" s="1"/>
  <c r="P217" i="11" s="1"/>
  <c r="P218" i="11" s="1"/>
  <c r="P219" i="11" s="1"/>
  <c r="P220" i="11" s="1"/>
  <c r="P221" i="11" s="1"/>
  <c r="P222" i="11" s="1"/>
  <c r="P223" i="11" s="1"/>
  <c r="P224" i="11" s="1"/>
  <c r="P225" i="11" s="1"/>
  <c r="P226" i="11" s="1"/>
  <c r="P227" i="11" s="1"/>
  <c r="P228" i="11" s="1"/>
  <c r="P229" i="11" s="1"/>
  <c r="P230" i="11" s="1"/>
  <c r="P231" i="11" s="1"/>
  <c r="P232" i="11" s="1"/>
  <c r="P233" i="11" s="1"/>
  <c r="P234" i="11" s="1"/>
  <c r="P235" i="11" s="1"/>
  <c r="N103" i="3"/>
  <c r="N104" i="3"/>
  <c r="N105" i="3"/>
  <c r="N106" i="3"/>
  <c r="N107" i="3"/>
  <c r="N108" i="3"/>
  <c r="N109" i="3"/>
  <c r="N110" i="3"/>
  <c r="N111" i="3"/>
  <c r="N112" i="3"/>
  <c r="N113" i="3"/>
  <c r="N114" i="3"/>
  <c r="N115" i="3"/>
  <c r="N116" i="3"/>
  <c r="N117" i="3"/>
  <c r="N118" i="3"/>
  <c r="N119" i="3"/>
  <c r="N656" i="1"/>
  <c r="N662" i="1"/>
  <c r="N661" i="1"/>
  <c r="N660" i="1"/>
  <c r="N659" i="1"/>
  <c r="N658" i="1"/>
  <c r="N657" i="1"/>
  <c r="N347" i="1"/>
  <c r="N342" i="1"/>
  <c r="N345" i="1"/>
  <c r="N348" i="1"/>
  <c r="N349" i="1"/>
  <c r="P261" i="5" l="1"/>
  <c r="P262" i="5" s="1"/>
  <c r="P263" i="5" s="1"/>
  <c r="P264" i="5" s="1"/>
  <c r="C8" i="28"/>
  <c r="E8" i="28" s="1"/>
  <c r="C8" i="30"/>
  <c r="E7" i="30"/>
  <c r="C8" i="31"/>
  <c r="E7" i="31"/>
  <c r="P115" i="22"/>
  <c r="P116" i="22" s="1"/>
  <c r="P117" i="22" s="1"/>
  <c r="P118" i="22" s="1"/>
  <c r="P119" i="22" s="1"/>
  <c r="P120" i="22" s="1"/>
  <c r="P121" i="22" s="1"/>
  <c r="P122" i="22" s="1"/>
  <c r="P123" i="22" s="1"/>
  <c r="P124" i="22" s="1"/>
  <c r="P125" i="22" s="1"/>
  <c r="P126" i="22" s="1"/>
  <c r="P127" i="22" s="1"/>
  <c r="P128" i="22" s="1"/>
  <c r="P129" i="22" s="1"/>
  <c r="P130" i="22" s="1"/>
  <c r="P136" i="18"/>
  <c r="P137" i="18" s="1"/>
  <c r="P138" i="18" s="1"/>
  <c r="P139" i="18" s="1"/>
  <c r="P140" i="18" s="1"/>
  <c r="P141" i="18" s="1"/>
  <c r="P142" i="18" s="1"/>
  <c r="P143" i="18" s="1"/>
  <c r="P151" i="23"/>
  <c r="P152" i="23" s="1"/>
  <c r="P153" i="23" s="1"/>
  <c r="P154" i="23" s="1"/>
  <c r="P155" i="23" s="1"/>
  <c r="P156" i="23" s="1"/>
  <c r="P157" i="23" s="1"/>
  <c r="P158" i="23" s="1"/>
  <c r="P159" i="23" s="1"/>
  <c r="N343" i="1"/>
  <c r="N344" i="1"/>
  <c r="N346" i="1"/>
  <c r="P5" i="1"/>
  <c r="P6" i="1" s="1"/>
  <c r="P7" i="1" s="1"/>
  <c r="P8" i="1" s="1"/>
  <c r="P9" i="1" s="1"/>
  <c r="P10" i="1" s="1"/>
  <c r="P11" i="1" s="1"/>
  <c r="P12" i="1" s="1"/>
  <c r="P13" i="1" s="1"/>
  <c r="P14" i="1" s="1"/>
  <c r="P15" i="1" s="1"/>
  <c r="P16" i="1" s="1"/>
  <c r="P17" i="1" s="1"/>
  <c r="P18" i="1" s="1"/>
  <c r="P19" i="1" s="1"/>
  <c r="P20" i="1" s="1"/>
  <c r="P21" i="1" s="1"/>
  <c r="P22" i="1" s="1"/>
  <c r="P23" i="1" s="1"/>
  <c r="P24" i="1" s="1"/>
  <c r="P25" i="1" s="1"/>
  <c r="P26" i="1" s="1"/>
  <c r="P27" i="1" s="1"/>
  <c r="P28" i="1" s="1"/>
  <c r="P29" i="1" s="1"/>
  <c r="P30" i="1" s="1"/>
  <c r="P31" i="1" s="1"/>
  <c r="P32" i="1" s="1"/>
  <c r="P33" i="1" s="1"/>
  <c r="P34" i="1" s="1"/>
  <c r="P35" i="1" s="1"/>
  <c r="P36" i="1" s="1"/>
  <c r="P37" i="1" s="1"/>
  <c r="P38" i="1" s="1"/>
  <c r="P39" i="1" s="1"/>
  <c r="P40" i="1" s="1"/>
  <c r="P41" i="1" s="1"/>
  <c r="P42" i="1" s="1"/>
  <c r="P43" i="1" s="1"/>
  <c r="P44" i="1" s="1"/>
  <c r="P45" i="1" s="1"/>
  <c r="P46" i="1" s="1"/>
  <c r="P47" i="1" s="1"/>
  <c r="P48" i="1" s="1"/>
  <c r="P49" i="1" s="1"/>
  <c r="P50" i="1" s="1"/>
  <c r="P51" i="1" s="1"/>
  <c r="P52" i="1" s="1"/>
  <c r="P53" i="1" s="1"/>
  <c r="P54" i="1" s="1"/>
  <c r="P55" i="1" s="1"/>
  <c r="P56" i="1" s="1"/>
  <c r="P57" i="1" s="1"/>
  <c r="P58" i="1" s="1"/>
  <c r="P59" i="1" s="1"/>
  <c r="P60" i="1" s="1"/>
  <c r="P61" i="1" s="1"/>
  <c r="P62" i="1" s="1"/>
  <c r="P63" i="1" s="1"/>
  <c r="P64" i="1" s="1"/>
  <c r="P65" i="1" s="1"/>
  <c r="P66" i="1" s="1"/>
  <c r="P67" i="1" s="1"/>
  <c r="P68" i="1" s="1"/>
  <c r="P69" i="1" s="1"/>
  <c r="P70" i="1" s="1"/>
  <c r="P71" i="1" s="1"/>
  <c r="P72" i="1" s="1"/>
  <c r="P73" i="1" s="1"/>
  <c r="P74" i="1" s="1"/>
  <c r="P75" i="1" s="1"/>
  <c r="P76" i="1" s="1"/>
  <c r="P77" i="1" s="1"/>
  <c r="P78" i="1" s="1"/>
  <c r="P79" i="1" s="1"/>
  <c r="P80" i="1" s="1"/>
  <c r="P81" i="1" s="1"/>
  <c r="P82" i="1" s="1"/>
  <c r="P83" i="1" s="1"/>
  <c r="P84" i="1" s="1"/>
  <c r="P85" i="1" s="1"/>
  <c r="P86" i="1" s="1"/>
  <c r="P87" i="1" s="1"/>
  <c r="P88" i="1" s="1"/>
  <c r="P89" i="1" s="1"/>
  <c r="P90" i="1" s="1"/>
  <c r="P91" i="1" s="1"/>
  <c r="P92" i="1" s="1"/>
  <c r="P93" i="1" s="1"/>
  <c r="P94" i="1" s="1"/>
  <c r="P95" i="1" s="1"/>
  <c r="P96" i="1" s="1"/>
  <c r="P97" i="1" s="1"/>
  <c r="P98" i="1" s="1"/>
  <c r="P99" i="1" s="1"/>
  <c r="P100" i="1" s="1"/>
  <c r="P101" i="1" s="1"/>
  <c r="P102" i="1" s="1"/>
  <c r="P103" i="1" s="1"/>
  <c r="P104" i="1" s="1"/>
  <c r="P105" i="1" s="1"/>
  <c r="P106" i="1" s="1"/>
  <c r="P107" i="1" s="1"/>
  <c r="P108" i="1" s="1"/>
  <c r="P109" i="1" s="1"/>
  <c r="P110" i="1" s="1"/>
  <c r="P111" i="1" s="1"/>
  <c r="P112" i="1" s="1"/>
  <c r="P113" i="1" s="1"/>
  <c r="P114" i="1" s="1"/>
  <c r="P115" i="1" s="1"/>
  <c r="P116" i="1" s="1"/>
  <c r="P117" i="1" s="1"/>
  <c r="P118" i="1" s="1"/>
  <c r="P119" i="1" s="1"/>
  <c r="P120" i="1" s="1"/>
  <c r="P121" i="1" s="1"/>
  <c r="P122" i="1" s="1"/>
  <c r="P123" i="1" s="1"/>
  <c r="P124" i="1" s="1"/>
  <c r="P125" i="1" s="1"/>
  <c r="P126" i="1" s="1"/>
  <c r="P127" i="1" s="1"/>
  <c r="P128" i="1" s="1"/>
  <c r="P129" i="1" s="1"/>
  <c r="P130" i="1" s="1"/>
  <c r="P131" i="1" s="1"/>
  <c r="P132" i="1" s="1"/>
  <c r="P133" i="1" s="1"/>
  <c r="P134" i="1" s="1"/>
  <c r="P135" i="1" s="1"/>
  <c r="P136" i="1" s="1"/>
  <c r="P137" i="1" s="1"/>
  <c r="P138" i="1" s="1"/>
  <c r="P139" i="1" s="1"/>
  <c r="P140" i="1" s="1"/>
  <c r="P141" i="1" s="1"/>
  <c r="P142" i="1" s="1"/>
  <c r="P143" i="1" s="1"/>
  <c r="P144" i="1" s="1"/>
  <c r="P145" i="1" s="1"/>
  <c r="P146" i="1" s="1"/>
  <c r="P147" i="1" s="1"/>
  <c r="P148" i="1" s="1"/>
  <c r="P149" i="1" s="1"/>
  <c r="P150" i="1" s="1"/>
  <c r="P151" i="1" s="1"/>
  <c r="P152" i="1" s="1"/>
  <c r="P153" i="1" s="1"/>
  <c r="P154" i="1" s="1"/>
  <c r="P155" i="1" s="1"/>
  <c r="P156" i="1" s="1"/>
  <c r="P157" i="1" s="1"/>
  <c r="P158" i="1" s="1"/>
  <c r="P159" i="1" s="1"/>
  <c r="P160" i="1" s="1"/>
  <c r="P161" i="1" s="1"/>
  <c r="P162" i="1" s="1"/>
  <c r="P163" i="1" s="1"/>
  <c r="P164" i="1" s="1"/>
  <c r="P165" i="1" s="1"/>
  <c r="P166" i="1" s="1"/>
  <c r="P167" i="1" s="1"/>
  <c r="P168" i="1" s="1"/>
  <c r="P169" i="1" s="1"/>
  <c r="P170" i="1" s="1"/>
  <c r="P171" i="1" s="1"/>
  <c r="P172" i="1" s="1"/>
  <c r="P173" i="1" s="1"/>
  <c r="P174" i="1" s="1"/>
  <c r="P175" i="1" s="1"/>
  <c r="P176" i="1" s="1"/>
  <c r="P177" i="1" s="1"/>
  <c r="P178" i="1" s="1"/>
  <c r="P179" i="1" s="1"/>
  <c r="P180" i="1" s="1"/>
  <c r="P181" i="1" s="1"/>
  <c r="P182" i="1" s="1"/>
  <c r="P183" i="1" s="1"/>
  <c r="P184" i="1" s="1"/>
  <c r="P185" i="1" s="1"/>
  <c r="P186" i="1" s="1"/>
  <c r="P187" i="1" s="1"/>
  <c r="P188" i="1" s="1"/>
  <c r="P189" i="1" s="1"/>
  <c r="P190" i="1" s="1"/>
  <c r="P191" i="1" s="1"/>
  <c r="P192" i="1" s="1"/>
  <c r="P193" i="1" s="1"/>
  <c r="P194" i="1" s="1"/>
  <c r="P195" i="1" s="1"/>
  <c r="P196" i="1" s="1"/>
  <c r="P197" i="1" s="1"/>
  <c r="P198" i="1" s="1"/>
  <c r="P199" i="1" s="1"/>
  <c r="P200" i="1" s="1"/>
  <c r="P201" i="1" s="1"/>
  <c r="P202" i="1" s="1"/>
  <c r="P203" i="1" s="1"/>
  <c r="P204" i="1" s="1"/>
  <c r="P205" i="1" s="1"/>
  <c r="P206" i="1" s="1"/>
  <c r="P207" i="1" s="1"/>
  <c r="P208" i="1" s="1"/>
  <c r="P209" i="1" s="1"/>
  <c r="P210" i="1" s="1"/>
  <c r="P211" i="1" s="1"/>
  <c r="P212" i="1" s="1"/>
  <c r="P213" i="1" s="1"/>
  <c r="P214" i="1" s="1"/>
  <c r="P215" i="1" s="1"/>
  <c r="P216" i="1" s="1"/>
  <c r="P217" i="1" s="1"/>
  <c r="P218" i="1" s="1"/>
  <c r="P219" i="1" s="1"/>
  <c r="P220" i="1" s="1"/>
  <c r="P221" i="1" s="1"/>
  <c r="P222" i="1" s="1"/>
  <c r="P223" i="1" s="1"/>
  <c r="P224" i="1" s="1"/>
  <c r="P225" i="1" s="1"/>
  <c r="P226" i="1" s="1"/>
  <c r="P227" i="1" s="1"/>
  <c r="P228" i="1" s="1"/>
  <c r="P229" i="1" s="1"/>
  <c r="P230" i="1" s="1"/>
  <c r="P231" i="1" s="1"/>
  <c r="P232" i="1" s="1"/>
  <c r="P233" i="1" s="1"/>
  <c r="P234" i="1" s="1"/>
  <c r="P235" i="1" s="1"/>
  <c r="P236" i="1" s="1"/>
  <c r="P237" i="1" s="1"/>
  <c r="P238" i="1" s="1"/>
  <c r="P239" i="1" s="1"/>
  <c r="P240" i="1" s="1"/>
  <c r="P241" i="1" s="1"/>
  <c r="P242" i="1" s="1"/>
  <c r="P243" i="1" s="1"/>
  <c r="P244" i="1" s="1"/>
  <c r="P245" i="1" s="1"/>
  <c r="P246" i="1" s="1"/>
  <c r="P247" i="1" s="1"/>
  <c r="P248" i="1" s="1"/>
  <c r="P249" i="1" s="1"/>
  <c r="P250" i="1" s="1"/>
  <c r="P251" i="1" s="1"/>
  <c r="P252" i="1" s="1"/>
  <c r="P253" i="1" s="1"/>
  <c r="P254" i="1" s="1"/>
  <c r="P255" i="1" s="1"/>
  <c r="P256" i="1" s="1"/>
  <c r="P257" i="1" s="1"/>
  <c r="P258" i="1" s="1"/>
  <c r="P259" i="1" s="1"/>
  <c r="P260" i="1" s="1"/>
  <c r="P261" i="1" s="1"/>
  <c r="P262" i="1" s="1"/>
  <c r="P263" i="1" s="1"/>
  <c r="P264" i="1" s="1"/>
  <c r="P265" i="1" s="1"/>
  <c r="P266" i="1" s="1"/>
  <c r="P267" i="1" s="1"/>
  <c r="P268" i="1" s="1"/>
  <c r="P269" i="1" s="1"/>
  <c r="P270" i="1" s="1"/>
  <c r="P271" i="1" s="1"/>
  <c r="P272" i="1" s="1"/>
  <c r="P273" i="1" s="1"/>
  <c r="P274" i="1" s="1"/>
  <c r="P275" i="1" s="1"/>
  <c r="P276" i="1" s="1"/>
  <c r="P277" i="1" s="1"/>
  <c r="P278" i="1" s="1"/>
  <c r="P279" i="1" s="1"/>
  <c r="P280" i="1" s="1"/>
  <c r="P281" i="1" s="1"/>
  <c r="P282" i="1" s="1"/>
  <c r="P283" i="1" s="1"/>
  <c r="P284" i="1" s="1"/>
  <c r="P285" i="1" s="1"/>
  <c r="P286" i="1" s="1"/>
  <c r="P287" i="1" s="1"/>
  <c r="P288" i="1" s="1"/>
  <c r="P289" i="1" s="1"/>
  <c r="P290" i="1" s="1"/>
  <c r="P291" i="1" s="1"/>
  <c r="P292" i="1" s="1"/>
  <c r="P293" i="1" s="1"/>
  <c r="P294" i="1" s="1"/>
  <c r="P295" i="1" s="1"/>
  <c r="P296" i="1" s="1"/>
  <c r="P297" i="1" s="1"/>
  <c r="P298" i="1" s="1"/>
  <c r="P299" i="1" s="1"/>
  <c r="P300" i="1" s="1"/>
  <c r="P301" i="1" s="1"/>
  <c r="P302" i="1" s="1"/>
  <c r="P303" i="1" s="1"/>
  <c r="P304" i="1" s="1"/>
  <c r="P305" i="1" s="1"/>
  <c r="P306" i="1" s="1"/>
  <c r="P307" i="1" s="1"/>
  <c r="P308" i="1" s="1"/>
  <c r="P309" i="1" s="1"/>
  <c r="P310" i="1" s="1"/>
  <c r="P311" i="1" s="1"/>
  <c r="P312" i="1" s="1"/>
  <c r="P313" i="1" s="1"/>
  <c r="P314" i="1" s="1"/>
  <c r="P315" i="1" s="1"/>
  <c r="P316" i="1" s="1"/>
  <c r="P317" i="1" s="1"/>
  <c r="P318" i="1" s="1"/>
  <c r="P319" i="1" s="1"/>
  <c r="P320" i="1" s="1"/>
  <c r="P321" i="1" s="1"/>
  <c r="P322" i="1" s="1"/>
  <c r="P323" i="1" s="1"/>
  <c r="P324" i="1" s="1"/>
  <c r="P325" i="1" s="1"/>
  <c r="P326" i="1" s="1"/>
  <c r="P327" i="1" s="1"/>
  <c r="P328" i="1" s="1"/>
  <c r="P329" i="1" s="1"/>
  <c r="P330" i="1" s="1"/>
  <c r="P331" i="1" s="1"/>
  <c r="P332" i="1" s="1"/>
  <c r="P333" i="1" s="1"/>
  <c r="P334" i="1" s="1"/>
  <c r="P335" i="1" s="1"/>
  <c r="P336" i="1" s="1"/>
  <c r="P337" i="1" s="1"/>
  <c r="P338" i="1" s="1"/>
  <c r="P339" i="1" s="1"/>
  <c r="P340" i="1" s="1"/>
  <c r="P341" i="1" s="1"/>
  <c r="C9" i="28" l="1"/>
  <c r="E9" i="28" s="1"/>
  <c r="C9" i="30"/>
  <c r="E8" i="30"/>
  <c r="C9" i="31"/>
  <c r="E8" i="31"/>
  <c r="P131" i="22"/>
  <c r="P132" i="22" s="1"/>
  <c r="P133" i="22" s="1"/>
  <c r="P134" i="22" s="1"/>
  <c r="P135" i="22" s="1"/>
  <c r="P144" i="18"/>
  <c r="P145" i="18" s="1"/>
  <c r="P146" i="18" s="1"/>
  <c r="P147" i="18" s="1"/>
  <c r="P148" i="18" s="1"/>
  <c r="P149" i="18" s="1"/>
  <c r="P150" i="18" s="1"/>
  <c r="P160" i="23"/>
  <c r="P161" i="23" s="1"/>
  <c r="P162" i="23" s="1"/>
  <c r="P163" i="23" s="1"/>
  <c r="P164" i="23" s="1"/>
  <c r="P165" i="23" s="1"/>
  <c r="P166" i="23" s="1"/>
  <c r="P167" i="23" s="1"/>
  <c r="P168" i="23" s="1"/>
  <c r="P169" i="23" s="1"/>
  <c r="P170" i="23" s="1"/>
  <c r="P171" i="23" s="1"/>
  <c r="P172" i="23" s="1"/>
  <c r="P173" i="23" s="1"/>
  <c r="P174" i="23" s="1"/>
  <c r="P175" i="23" s="1"/>
  <c r="P176" i="23" s="1"/>
  <c r="P177" i="23" s="1"/>
  <c r="P178" i="23" s="1"/>
  <c r="P179" i="23" s="1"/>
  <c r="P342" i="1"/>
  <c r="P343" i="1" s="1"/>
  <c r="P344" i="1" s="1"/>
  <c r="P345" i="1" s="1"/>
  <c r="P346" i="1" s="1"/>
  <c r="N645" i="1"/>
  <c r="N646" i="1"/>
  <c r="N647" i="1"/>
  <c r="N648" i="1"/>
  <c r="N649" i="1"/>
  <c r="N650" i="1"/>
  <c r="N651" i="1"/>
  <c r="N652" i="1"/>
  <c r="N653" i="1"/>
  <c r="N654" i="1"/>
  <c r="N655" i="1"/>
  <c r="N624" i="1"/>
  <c r="N625" i="1"/>
  <c r="N626" i="1"/>
  <c r="N627" i="1"/>
  <c r="N628" i="1"/>
  <c r="N629" i="1"/>
  <c r="N630" i="1"/>
  <c r="N631" i="1"/>
  <c r="N632" i="1"/>
  <c r="N633" i="1"/>
  <c r="N634" i="1"/>
  <c r="N635" i="1"/>
  <c r="N636" i="1"/>
  <c r="N637" i="1"/>
  <c r="N638" i="1"/>
  <c r="N639" i="1"/>
  <c r="N640" i="1"/>
  <c r="N641" i="1"/>
  <c r="N642" i="1"/>
  <c r="N643" i="1"/>
  <c r="N644"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374" i="1"/>
  <c r="N308" i="1"/>
  <c r="N310" i="1"/>
  <c r="N312" i="1"/>
  <c r="N314" i="1"/>
  <c r="N316" i="1"/>
  <c r="N318" i="1"/>
  <c r="N320" i="1"/>
  <c r="N322" i="1"/>
  <c r="N307" i="1"/>
  <c r="N309" i="1"/>
  <c r="N311" i="1"/>
  <c r="N313" i="1"/>
  <c r="N315" i="1"/>
  <c r="N317" i="1"/>
  <c r="N319" i="1"/>
  <c r="N321" i="1"/>
  <c r="C10" i="28" l="1"/>
  <c r="E10" i="28" s="1"/>
  <c r="C10" i="30"/>
  <c r="E9" i="30"/>
  <c r="C10" i="31"/>
  <c r="E9" i="31"/>
  <c r="P136" i="22"/>
  <c r="P137" i="22" s="1"/>
  <c r="P138" i="22" s="1"/>
  <c r="P139" i="22" s="1"/>
  <c r="P140" i="22" s="1"/>
  <c r="P141" i="22" s="1"/>
  <c r="P142" i="22" s="1"/>
  <c r="P143" i="22" s="1"/>
  <c r="P144" i="22" s="1"/>
  <c r="P145" i="22" s="1"/>
  <c r="P146" i="22" s="1"/>
  <c r="P147" i="22" s="1"/>
  <c r="P148" i="22" s="1"/>
  <c r="P151" i="18"/>
  <c r="P152" i="18" s="1"/>
  <c r="P153" i="18" s="1"/>
  <c r="P154" i="18" s="1"/>
  <c r="P155" i="18" s="1"/>
  <c r="P156" i="18" s="1"/>
  <c r="P180" i="23"/>
  <c r="P181" i="23" s="1"/>
  <c r="P182" i="23" s="1"/>
  <c r="P183" i="23" s="1"/>
  <c r="P184" i="23" s="1"/>
  <c r="P185" i="23" s="1"/>
  <c r="P186" i="23" s="1"/>
  <c r="P187" i="23" s="1"/>
  <c r="P188" i="23" s="1"/>
  <c r="P189" i="23" s="1"/>
  <c r="P190" i="23" s="1"/>
  <c r="P347" i="1"/>
  <c r="P348" i="1" s="1"/>
  <c r="P349" i="1" s="1"/>
  <c r="P350" i="1" s="1"/>
  <c r="P351" i="1" s="1"/>
  <c r="P352" i="1" s="1"/>
  <c r="P353" i="1" s="1"/>
  <c r="P354" i="1" s="1"/>
  <c r="P355" i="1" s="1"/>
  <c r="P356" i="1" s="1"/>
  <c r="P357" i="1" s="1"/>
  <c r="P358" i="1" s="1"/>
  <c r="P359" i="1" s="1"/>
  <c r="P360" i="1" s="1"/>
  <c r="P361" i="1" s="1"/>
  <c r="P362" i="1" s="1"/>
  <c r="P363" i="1" s="1"/>
  <c r="P364" i="1" s="1"/>
  <c r="P365" i="1" s="1"/>
  <c r="P366" i="1" s="1"/>
  <c r="P367" i="1" s="1"/>
  <c r="P368" i="1" s="1"/>
  <c r="P369" i="1" s="1"/>
  <c r="P370" i="1" s="1"/>
  <c r="P371" i="1" s="1"/>
  <c r="P372" i="1" s="1"/>
  <c r="P373" i="1" s="1"/>
  <c r="P374" i="1" s="1"/>
  <c r="P375" i="1" s="1"/>
  <c r="P376" i="1" s="1"/>
  <c r="P377" i="1" s="1"/>
  <c r="P378" i="1" s="1"/>
  <c r="P379" i="1" s="1"/>
  <c r="P380" i="1" s="1"/>
  <c r="P381" i="1" s="1"/>
  <c r="P382" i="1" s="1"/>
  <c r="P383" i="1" s="1"/>
  <c r="P384" i="1" s="1"/>
  <c r="P385" i="1" s="1"/>
  <c r="P386" i="1" s="1"/>
  <c r="P387" i="1" s="1"/>
  <c r="P388" i="1" s="1"/>
  <c r="P389" i="1" s="1"/>
  <c r="P390" i="1" s="1"/>
  <c r="P391" i="1" s="1"/>
  <c r="P392" i="1" s="1"/>
  <c r="P393" i="1" s="1"/>
  <c r="P394" i="1" s="1"/>
  <c r="P395" i="1" s="1"/>
  <c r="P396" i="1" s="1"/>
  <c r="P397" i="1" s="1"/>
  <c r="P398" i="1" s="1"/>
  <c r="P399" i="1" s="1"/>
  <c r="P400" i="1" s="1"/>
  <c r="P401" i="1" s="1"/>
  <c r="P402" i="1" s="1"/>
  <c r="P403" i="1" s="1"/>
  <c r="P404" i="1" s="1"/>
  <c r="P405" i="1" s="1"/>
  <c r="P406" i="1" s="1"/>
  <c r="P407" i="1" s="1"/>
  <c r="P408" i="1" s="1"/>
  <c r="P409" i="1" s="1"/>
  <c r="P410" i="1" s="1"/>
  <c r="P411" i="1" s="1"/>
  <c r="P412" i="1" s="1"/>
  <c r="P413" i="1" s="1"/>
  <c r="P414" i="1" s="1"/>
  <c r="P415" i="1" s="1"/>
  <c r="P416" i="1" s="1"/>
  <c r="P417" i="1" s="1"/>
  <c r="P418" i="1" s="1"/>
  <c r="P419" i="1" s="1"/>
  <c r="P420" i="1" s="1"/>
  <c r="P421" i="1" s="1"/>
  <c r="P422" i="1" s="1"/>
  <c r="P423" i="1" s="1"/>
  <c r="P424" i="1" s="1"/>
  <c r="P425" i="1" s="1"/>
  <c r="P426" i="1" s="1"/>
  <c r="P427" i="1" s="1"/>
  <c r="P428" i="1" s="1"/>
  <c r="P429" i="1" s="1"/>
  <c r="P430" i="1" s="1"/>
  <c r="P431" i="1" s="1"/>
  <c r="P432" i="1" s="1"/>
  <c r="P433" i="1" s="1"/>
  <c r="P434" i="1" s="1"/>
  <c r="P435" i="1" s="1"/>
  <c r="P436" i="1" s="1"/>
  <c r="P437" i="1" s="1"/>
  <c r="P438" i="1" s="1"/>
  <c r="P439" i="1" s="1"/>
  <c r="P440" i="1" s="1"/>
  <c r="P441" i="1" s="1"/>
  <c r="P442" i="1" s="1"/>
  <c r="P443" i="1" s="1"/>
  <c r="P444" i="1" s="1"/>
  <c r="P445" i="1" s="1"/>
  <c r="P446" i="1" s="1"/>
  <c r="P447" i="1" s="1"/>
  <c r="P448" i="1" s="1"/>
  <c r="P449" i="1" s="1"/>
  <c r="P450" i="1" s="1"/>
  <c r="P451" i="1" s="1"/>
  <c r="P452" i="1" s="1"/>
  <c r="P453" i="1" s="1"/>
  <c r="P454" i="1" s="1"/>
  <c r="P455" i="1" s="1"/>
  <c r="P456" i="1" s="1"/>
  <c r="P457" i="1" s="1"/>
  <c r="P458" i="1" s="1"/>
  <c r="P459" i="1" s="1"/>
  <c r="P460" i="1" s="1"/>
  <c r="P461" i="1" s="1"/>
  <c r="P462" i="1" s="1"/>
  <c r="P463" i="1" s="1"/>
  <c r="P464" i="1" s="1"/>
  <c r="P465" i="1" s="1"/>
  <c r="P466" i="1" s="1"/>
  <c r="P467" i="1" s="1"/>
  <c r="P468" i="1" s="1"/>
  <c r="P469" i="1" s="1"/>
  <c r="P470" i="1" s="1"/>
  <c r="P471" i="1" s="1"/>
  <c r="P472" i="1" s="1"/>
  <c r="P473" i="1" s="1"/>
  <c r="P474" i="1" s="1"/>
  <c r="P475" i="1" s="1"/>
  <c r="P476" i="1" s="1"/>
  <c r="P477" i="1" s="1"/>
  <c r="P478" i="1" s="1"/>
  <c r="P479" i="1" s="1"/>
  <c r="P480" i="1" s="1"/>
  <c r="P481" i="1" s="1"/>
  <c r="P482" i="1" s="1"/>
  <c r="P483" i="1" s="1"/>
  <c r="P484" i="1" s="1"/>
  <c r="P485" i="1" s="1"/>
  <c r="P486" i="1" s="1"/>
  <c r="P487" i="1" s="1"/>
  <c r="P488" i="1" s="1"/>
  <c r="P489" i="1" s="1"/>
  <c r="P490" i="1" s="1"/>
  <c r="P491" i="1" s="1"/>
  <c r="P492" i="1" s="1"/>
  <c r="P493" i="1" s="1"/>
  <c r="P494" i="1" s="1"/>
  <c r="P495" i="1" s="1"/>
  <c r="P496" i="1" s="1"/>
  <c r="P497" i="1" s="1"/>
  <c r="P498" i="1" s="1"/>
  <c r="P499" i="1" s="1"/>
  <c r="P500" i="1" s="1"/>
  <c r="P501" i="1" s="1"/>
  <c r="P502" i="1" s="1"/>
  <c r="P503" i="1" s="1"/>
  <c r="P504" i="1" s="1"/>
  <c r="P505" i="1" s="1"/>
  <c r="P506" i="1" s="1"/>
  <c r="P507" i="1" s="1"/>
  <c r="P508" i="1" s="1"/>
  <c r="P509" i="1" s="1"/>
  <c r="P510" i="1" s="1"/>
  <c r="P511" i="1" s="1"/>
  <c r="P512" i="1" s="1"/>
  <c r="P513" i="1" s="1"/>
  <c r="P514" i="1" s="1"/>
  <c r="P515" i="1" s="1"/>
  <c r="P516" i="1" s="1"/>
  <c r="P517" i="1" s="1"/>
  <c r="P518" i="1" s="1"/>
  <c r="P519" i="1" s="1"/>
  <c r="P520" i="1" s="1"/>
  <c r="P521" i="1" s="1"/>
  <c r="P522" i="1" s="1"/>
  <c r="P523" i="1" s="1"/>
  <c r="P524" i="1" s="1"/>
  <c r="P525" i="1" s="1"/>
  <c r="P526" i="1" s="1"/>
  <c r="P527" i="1" s="1"/>
  <c r="P528" i="1" s="1"/>
  <c r="P529" i="1" s="1"/>
  <c r="P530" i="1" s="1"/>
  <c r="P531" i="1" s="1"/>
  <c r="P532" i="1" s="1"/>
  <c r="P533" i="1" s="1"/>
  <c r="P534" i="1" s="1"/>
  <c r="P535" i="1" s="1"/>
  <c r="P536" i="1" s="1"/>
  <c r="P537" i="1" s="1"/>
  <c r="P538" i="1" s="1"/>
  <c r="P539" i="1" s="1"/>
  <c r="P540" i="1" s="1"/>
  <c r="P541" i="1" s="1"/>
  <c r="P542" i="1" s="1"/>
  <c r="P543" i="1" s="1"/>
  <c r="P544" i="1" s="1"/>
  <c r="P545" i="1" s="1"/>
  <c r="P546" i="1" s="1"/>
  <c r="P547" i="1" s="1"/>
  <c r="P548" i="1" s="1"/>
  <c r="P549" i="1" s="1"/>
  <c r="P550" i="1" s="1"/>
  <c r="P551" i="1" s="1"/>
  <c r="P552" i="1" s="1"/>
  <c r="P553" i="1" s="1"/>
  <c r="P554" i="1" s="1"/>
  <c r="P555" i="1" s="1"/>
  <c r="P556" i="1" s="1"/>
  <c r="P557" i="1" s="1"/>
  <c r="P558" i="1" s="1"/>
  <c r="P559" i="1" s="1"/>
  <c r="P560" i="1" s="1"/>
  <c r="P561" i="1" s="1"/>
  <c r="P562" i="1" s="1"/>
  <c r="P563" i="1" s="1"/>
  <c r="P564" i="1" s="1"/>
  <c r="P565" i="1" s="1"/>
  <c r="P566" i="1" s="1"/>
  <c r="P567" i="1" s="1"/>
  <c r="P568" i="1" s="1"/>
  <c r="P569" i="1" s="1"/>
  <c r="P570" i="1" s="1"/>
  <c r="P571" i="1" s="1"/>
  <c r="P572" i="1" s="1"/>
  <c r="P573" i="1" s="1"/>
  <c r="P574" i="1" s="1"/>
  <c r="P575" i="1" s="1"/>
  <c r="P576" i="1" s="1"/>
  <c r="P577" i="1" s="1"/>
  <c r="P578" i="1" s="1"/>
  <c r="P579" i="1" s="1"/>
  <c r="P580" i="1" s="1"/>
  <c r="P581" i="1" s="1"/>
  <c r="P582" i="1" s="1"/>
  <c r="P583" i="1" s="1"/>
  <c r="P584" i="1" s="1"/>
  <c r="P585" i="1" s="1"/>
  <c r="P586" i="1" s="1"/>
  <c r="P587" i="1" s="1"/>
  <c r="P588" i="1" s="1"/>
  <c r="P589" i="1" s="1"/>
  <c r="P590" i="1" s="1"/>
  <c r="P591" i="1" s="1"/>
  <c r="P592" i="1" s="1"/>
  <c r="P593" i="1" s="1"/>
  <c r="P594" i="1" s="1"/>
  <c r="P595" i="1" s="1"/>
  <c r="P596" i="1" s="1"/>
  <c r="P597" i="1" s="1"/>
  <c r="P598" i="1" s="1"/>
  <c r="P599" i="1" s="1"/>
  <c r="P600" i="1" s="1"/>
  <c r="P601" i="1" s="1"/>
  <c r="P602" i="1" s="1"/>
  <c r="P603" i="1" s="1"/>
  <c r="P604" i="1" s="1"/>
  <c r="P605" i="1" s="1"/>
  <c r="P606" i="1" s="1"/>
  <c r="P607" i="1" s="1"/>
  <c r="P608" i="1" s="1"/>
  <c r="P609" i="1" s="1"/>
  <c r="P610" i="1" s="1"/>
  <c r="P611" i="1" s="1"/>
  <c r="P612" i="1" s="1"/>
  <c r="P613" i="1" s="1"/>
  <c r="P614" i="1" s="1"/>
  <c r="P615" i="1" s="1"/>
  <c r="P616" i="1" s="1"/>
  <c r="P617" i="1" s="1"/>
  <c r="P618" i="1" s="1"/>
  <c r="P619" i="1" s="1"/>
  <c r="P620" i="1" s="1"/>
  <c r="P621" i="1" s="1"/>
  <c r="P622" i="1" s="1"/>
  <c r="P623" i="1" s="1"/>
  <c r="P624" i="1" s="1"/>
  <c r="P625" i="1" s="1"/>
  <c r="P626" i="1" s="1"/>
  <c r="P627" i="1" s="1"/>
  <c r="P628" i="1" s="1"/>
  <c r="P629" i="1" s="1"/>
  <c r="P630" i="1" s="1"/>
  <c r="P631" i="1" s="1"/>
  <c r="P632" i="1" s="1"/>
  <c r="P633" i="1" s="1"/>
  <c r="P634" i="1" s="1"/>
  <c r="P635" i="1" s="1"/>
  <c r="P636" i="1" s="1"/>
  <c r="P637" i="1" s="1"/>
  <c r="P638" i="1" s="1"/>
  <c r="P639" i="1" s="1"/>
  <c r="P640" i="1" s="1"/>
  <c r="P641" i="1" s="1"/>
  <c r="P642" i="1" s="1"/>
  <c r="P643" i="1" s="1"/>
  <c r="P644" i="1" s="1"/>
  <c r="P645" i="1" s="1"/>
  <c r="P646" i="1" s="1"/>
  <c r="P647" i="1" s="1"/>
  <c r="P648" i="1" s="1"/>
  <c r="P649" i="1" s="1"/>
  <c r="P650" i="1" s="1"/>
  <c r="P651" i="1" s="1"/>
  <c r="P652" i="1" s="1"/>
  <c r="P653" i="1" s="1"/>
  <c r="P654" i="1" s="1"/>
  <c r="P655" i="1" s="1"/>
  <c r="N350" i="1"/>
  <c r="N351" i="1"/>
  <c r="N352" i="1"/>
  <c r="N353" i="1"/>
  <c r="N354" i="1"/>
  <c r="N355" i="1"/>
  <c r="N356" i="1"/>
  <c r="N357" i="1"/>
  <c r="N358" i="1"/>
  <c r="N359" i="1"/>
  <c r="N360" i="1"/>
  <c r="N361" i="1"/>
  <c r="N362" i="1"/>
  <c r="N363" i="1"/>
  <c r="N364" i="1"/>
  <c r="N365" i="1"/>
  <c r="N366" i="1"/>
  <c r="N367" i="1"/>
  <c r="N368" i="1"/>
  <c r="N369" i="1"/>
  <c r="N370" i="1"/>
  <c r="N371" i="1"/>
  <c r="N372" i="1"/>
  <c r="N373" i="1"/>
  <c r="N36" i="27"/>
  <c r="N37" i="27"/>
  <c r="N80" i="25"/>
  <c r="N78" i="25"/>
  <c r="N77" i="25"/>
  <c r="N79" i="25"/>
  <c r="N27" i="25"/>
  <c r="N40" i="23"/>
  <c r="N28" i="15"/>
  <c r="N95" i="11"/>
  <c r="N97" i="11"/>
  <c r="N99" i="11"/>
  <c r="N101" i="11"/>
  <c r="N103" i="11"/>
  <c r="N105" i="11"/>
  <c r="N107" i="11"/>
  <c r="N109" i="11"/>
  <c r="N94" i="11"/>
  <c r="N96" i="11"/>
  <c r="N98" i="11"/>
  <c r="N100" i="11"/>
  <c r="N102" i="11"/>
  <c r="N104" i="11"/>
  <c r="N106" i="11"/>
  <c r="N108" i="11"/>
  <c r="N26" i="11"/>
  <c r="N131" i="5"/>
  <c r="N132" i="5"/>
  <c r="N35" i="5"/>
  <c r="N36" i="5"/>
  <c r="N76" i="9"/>
  <c r="N77" i="9"/>
  <c r="N287" i="13"/>
  <c r="N289" i="13"/>
  <c r="N288" i="13"/>
  <c r="N290" i="13"/>
  <c r="N249" i="13"/>
  <c r="N250" i="13"/>
  <c r="N251" i="13"/>
  <c r="N252" i="13"/>
  <c r="N253" i="13"/>
  <c r="N254" i="13"/>
  <c r="N255" i="13"/>
  <c r="N256" i="13"/>
  <c r="N257" i="13"/>
  <c r="N258" i="13"/>
  <c r="N259" i="13"/>
  <c r="N260" i="13"/>
  <c r="N261" i="13"/>
  <c r="N262" i="13"/>
  <c r="N263" i="13"/>
  <c r="N264" i="13"/>
  <c r="N265" i="13"/>
  <c r="N266" i="13"/>
  <c r="N333" i="1"/>
  <c r="N335" i="1"/>
  <c r="N337" i="1"/>
  <c r="N334" i="1"/>
  <c r="N336" i="1"/>
  <c r="N338" i="1"/>
  <c r="N270" i="1"/>
  <c r="N271" i="1"/>
  <c r="N272" i="1"/>
  <c r="N273" i="1"/>
  <c r="N274" i="1"/>
  <c r="N275" i="1"/>
  <c r="N276" i="1"/>
  <c r="N277" i="1"/>
  <c r="N278" i="1"/>
  <c r="N279" i="1"/>
  <c r="N280" i="1"/>
  <c r="N281" i="1"/>
  <c r="N282" i="1"/>
  <c r="N283" i="1"/>
  <c r="N284" i="1"/>
  <c r="N285" i="1"/>
  <c r="N286" i="1"/>
  <c r="N287" i="1"/>
  <c r="N288" i="1"/>
  <c r="N98" i="3"/>
  <c r="N99" i="3"/>
  <c r="N48" i="3"/>
  <c r="N50" i="3"/>
  <c r="N52" i="3"/>
  <c r="N49" i="3"/>
  <c r="N51" i="3"/>
  <c r="N53" i="3"/>
  <c r="N54" i="3"/>
  <c r="N18" i="21"/>
  <c r="N20" i="21"/>
  <c r="N19" i="21"/>
  <c r="N21" i="21"/>
  <c r="N22" i="7"/>
  <c r="N24" i="7"/>
  <c r="N23" i="7"/>
  <c r="N25" i="7"/>
  <c r="N47" i="7"/>
  <c r="N79" i="19"/>
  <c r="N77" i="19"/>
  <c r="N78" i="19"/>
  <c r="N75" i="19"/>
  <c r="N76" i="19"/>
  <c r="N68" i="8"/>
  <c r="N70" i="8"/>
  <c r="N72" i="8"/>
  <c r="N74" i="8"/>
  <c r="N76" i="8"/>
  <c r="N78" i="8"/>
  <c r="N80" i="8"/>
  <c r="N82" i="8"/>
  <c r="N84" i="8"/>
  <c r="N86" i="8"/>
  <c r="N88" i="8"/>
  <c r="N90" i="8"/>
  <c r="N92" i="8"/>
  <c r="N94" i="8"/>
  <c r="N96" i="8"/>
  <c r="N67" i="8"/>
  <c r="N69" i="8"/>
  <c r="N71" i="8"/>
  <c r="N73" i="8"/>
  <c r="N75" i="8"/>
  <c r="N77" i="8"/>
  <c r="N79" i="8"/>
  <c r="N81" i="8"/>
  <c r="N83" i="8"/>
  <c r="N85" i="8"/>
  <c r="N87" i="8"/>
  <c r="N89" i="8"/>
  <c r="N91" i="8"/>
  <c r="N93" i="8"/>
  <c r="N95" i="8"/>
  <c r="N66" i="8"/>
  <c r="N93" i="18"/>
  <c r="N95" i="18"/>
  <c r="N97" i="18"/>
  <c r="N99" i="18"/>
  <c r="N101" i="18"/>
  <c r="N92" i="18"/>
  <c r="N94" i="18"/>
  <c r="N96" i="18"/>
  <c r="N98" i="18"/>
  <c r="N100" i="18"/>
  <c r="N87" i="18"/>
  <c r="N88" i="18"/>
  <c r="N89" i="18"/>
  <c r="N90" i="18"/>
  <c r="N74" i="4"/>
  <c r="N75" i="4"/>
  <c r="N76" i="4"/>
  <c r="N38" i="27"/>
  <c r="N39" i="27"/>
  <c r="N40" i="27"/>
  <c r="N7" i="27"/>
  <c r="N9" i="27"/>
  <c r="N11" i="27"/>
  <c r="N13" i="27"/>
  <c r="N15" i="27"/>
  <c r="N17" i="27"/>
  <c r="N19" i="27"/>
  <c r="N21" i="27"/>
  <c r="N23" i="27"/>
  <c r="N25" i="27"/>
  <c r="N27" i="27"/>
  <c r="N29" i="27"/>
  <c r="N31" i="27"/>
  <c r="N33" i="27"/>
  <c r="N35" i="27"/>
  <c r="C4" i="27"/>
  <c r="C5" i="27" s="1"/>
  <c r="C6" i="27" s="1"/>
  <c r="N20" i="27"/>
  <c r="N22" i="27"/>
  <c r="N24" i="27"/>
  <c r="N26" i="27"/>
  <c r="N28" i="27"/>
  <c r="N30" i="27"/>
  <c r="N32" i="27"/>
  <c r="N34" i="27"/>
  <c r="N80" i="26"/>
  <c r="N81" i="26"/>
  <c r="N82" i="26"/>
  <c r="N17" i="26"/>
  <c r="N19" i="26"/>
  <c r="N21" i="26"/>
  <c r="N23" i="26"/>
  <c r="N25" i="26"/>
  <c r="N27" i="26"/>
  <c r="N29" i="26"/>
  <c r="N31" i="26"/>
  <c r="N33" i="26"/>
  <c r="N35" i="26"/>
  <c r="N37" i="26"/>
  <c r="N39" i="26"/>
  <c r="N41" i="26"/>
  <c r="N43" i="26"/>
  <c r="N45" i="26"/>
  <c r="N47" i="26"/>
  <c r="N49" i="26"/>
  <c r="N51" i="26"/>
  <c r="N53" i="26"/>
  <c r="N55" i="26"/>
  <c r="N57" i="26"/>
  <c r="N59" i="26"/>
  <c r="N61" i="26"/>
  <c r="N63" i="26"/>
  <c r="N65" i="26"/>
  <c r="N67" i="26"/>
  <c r="N69" i="26"/>
  <c r="N71" i="26"/>
  <c r="N73" i="26"/>
  <c r="N75" i="26"/>
  <c r="N77" i="26"/>
  <c r="N79" i="26"/>
  <c r="N38" i="26"/>
  <c r="N40" i="26"/>
  <c r="N42" i="26"/>
  <c r="N44" i="26"/>
  <c r="N46" i="26"/>
  <c r="N48" i="26"/>
  <c r="N50" i="26"/>
  <c r="N52" i="26"/>
  <c r="N54" i="26"/>
  <c r="N56" i="26"/>
  <c r="N58" i="26"/>
  <c r="N60" i="26"/>
  <c r="N62" i="26"/>
  <c r="N64" i="26"/>
  <c r="N66" i="26"/>
  <c r="N68" i="26"/>
  <c r="N70" i="26"/>
  <c r="N72" i="26"/>
  <c r="N74" i="26"/>
  <c r="N76" i="26"/>
  <c r="N78" i="26"/>
  <c r="N5" i="26"/>
  <c r="N6" i="26"/>
  <c r="N7" i="26"/>
  <c r="N8" i="26"/>
  <c r="N9" i="26"/>
  <c r="N10" i="26"/>
  <c r="N11" i="26"/>
  <c r="N12" i="26"/>
  <c r="N13" i="26"/>
  <c r="N14" i="26"/>
  <c r="N15" i="26"/>
  <c r="N16" i="26"/>
  <c r="N18" i="26"/>
  <c r="N20" i="26"/>
  <c r="N22" i="26"/>
  <c r="N24" i="26"/>
  <c r="N26" i="26"/>
  <c r="N28" i="26"/>
  <c r="N30" i="26"/>
  <c r="N32" i="26"/>
  <c r="N34" i="26"/>
  <c r="N36" i="26"/>
  <c r="N74" i="25"/>
  <c r="N75" i="25"/>
  <c r="N76" i="25"/>
  <c r="C11" i="28" l="1"/>
  <c r="E11" i="28" s="1"/>
  <c r="E10" i="30"/>
  <c r="C11" i="30"/>
  <c r="C11" i="31"/>
  <c r="E10" i="31"/>
  <c r="P149" i="22"/>
  <c r="P150" i="22" s="1"/>
  <c r="P151" i="22" s="1"/>
  <c r="P152" i="22" s="1"/>
  <c r="P153" i="22" s="1"/>
  <c r="P154" i="22" s="1"/>
  <c r="P155" i="22" s="1"/>
  <c r="P156" i="22" s="1"/>
  <c r="P157" i="22" s="1"/>
  <c r="P158" i="22" s="1"/>
  <c r="P159" i="22" s="1"/>
  <c r="P160" i="22" s="1"/>
  <c r="P161" i="22" s="1"/>
  <c r="P162" i="22" s="1"/>
  <c r="P163" i="22" s="1"/>
  <c r="P164" i="22" s="1"/>
  <c r="P165" i="22" s="1"/>
  <c r="P157" i="18"/>
  <c r="P158" i="18" s="1"/>
  <c r="P159" i="18" s="1"/>
  <c r="P160" i="18" s="1"/>
  <c r="P161" i="18" s="1"/>
  <c r="P162" i="18" s="1"/>
  <c r="P163" i="18" s="1"/>
  <c r="P164" i="18" s="1"/>
  <c r="P191" i="23"/>
  <c r="P192" i="23" s="1"/>
  <c r="P193" i="23" s="1"/>
  <c r="P194" i="23" s="1"/>
  <c r="P195" i="23" s="1"/>
  <c r="P196" i="23" s="1"/>
  <c r="P197" i="23" s="1"/>
  <c r="P198" i="23" s="1"/>
  <c r="P199" i="23" s="1"/>
  <c r="P200" i="23" s="1"/>
  <c r="P201" i="23" s="1"/>
  <c r="P202" i="23" s="1"/>
  <c r="P203" i="23" s="1"/>
  <c r="P204" i="23" s="1"/>
  <c r="C7" i="27"/>
  <c r="C8" i="27" s="1"/>
  <c r="C12" i="28" l="1"/>
  <c r="E12" i="28" s="1"/>
  <c r="E11" i="30"/>
  <c r="C12" i="30"/>
  <c r="C12" i="31"/>
  <c r="E11" i="31"/>
  <c r="P166" i="22"/>
  <c r="P167" i="22" s="1"/>
  <c r="P168" i="22" s="1"/>
  <c r="P169" i="22" s="1"/>
  <c r="P170" i="22" s="1"/>
  <c r="P171" i="22" s="1"/>
  <c r="P172" i="22" s="1"/>
  <c r="P173" i="22" s="1"/>
  <c r="P174" i="22" s="1"/>
  <c r="P175" i="22" s="1"/>
  <c r="P176" i="22" s="1"/>
  <c r="P177" i="22" s="1"/>
  <c r="P165" i="18"/>
  <c r="P166" i="18" s="1"/>
  <c r="P167" i="18" s="1"/>
  <c r="P168" i="18" s="1"/>
  <c r="P169" i="18" s="1"/>
  <c r="P170" i="18" s="1"/>
  <c r="P171" i="18" s="1"/>
  <c r="P172" i="18" s="1"/>
  <c r="P173" i="18" s="1"/>
  <c r="P174" i="18" s="1"/>
  <c r="P175" i="18" s="1"/>
  <c r="P176" i="18" s="1"/>
  <c r="P177" i="18" s="1"/>
  <c r="P178" i="18" s="1"/>
  <c r="P179" i="18" s="1"/>
  <c r="P180" i="18" s="1"/>
  <c r="P181" i="18" s="1"/>
  <c r="P182" i="18" s="1"/>
  <c r="P183" i="18" s="1"/>
  <c r="P184" i="18" s="1"/>
  <c r="P185" i="18" s="1"/>
  <c r="P186" i="18" s="1"/>
  <c r="P187" i="18" s="1"/>
  <c r="P188" i="18" s="1"/>
  <c r="P189" i="18" s="1"/>
  <c r="P190" i="18" s="1"/>
  <c r="P191" i="18" s="1"/>
  <c r="P192" i="18" s="1"/>
  <c r="P193" i="18" s="1"/>
  <c r="P194" i="18" s="1"/>
  <c r="P195" i="18" s="1"/>
  <c r="P196" i="18" s="1"/>
  <c r="P197" i="18" s="1"/>
  <c r="P198" i="18" s="1"/>
  <c r="P199" i="18" s="1"/>
  <c r="P200" i="18" s="1"/>
  <c r="P201" i="18" s="1"/>
  <c r="P202" i="18" s="1"/>
  <c r="P203" i="18" s="1"/>
  <c r="P204" i="18" s="1"/>
  <c r="P205" i="18" s="1"/>
  <c r="P206" i="18" s="1"/>
  <c r="P207" i="18" s="1"/>
  <c r="P208" i="18" s="1"/>
  <c r="P209" i="18" s="1"/>
  <c r="P210" i="18" s="1"/>
  <c r="P211" i="18" s="1"/>
  <c r="P212" i="18" s="1"/>
  <c r="P213" i="18" s="1"/>
  <c r="P214" i="18" s="1"/>
  <c r="P215" i="18" s="1"/>
  <c r="P216" i="18" s="1"/>
  <c r="P217" i="18" s="1"/>
  <c r="P218" i="18" s="1"/>
  <c r="P219" i="18" s="1"/>
  <c r="P220" i="18" s="1"/>
  <c r="P221" i="18" s="1"/>
  <c r="P222" i="18" s="1"/>
  <c r="P223" i="18" s="1"/>
  <c r="P224" i="18" s="1"/>
  <c r="P225" i="18" s="1"/>
  <c r="P226" i="18" s="1"/>
  <c r="P227" i="18" s="1"/>
  <c r="P228" i="18" s="1"/>
  <c r="P229" i="18" s="1"/>
  <c r="P230" i="18" s="1"/>
  <c r="P231" i="18" s="1"/>
  <c r="P232" i="18" s="1"/>
  <c r="P233" i="18" s="1"/>
  <c r="P234" i="18" s="1"/>
  <c r="P235" i="18" s="1"/>
  <c r="P236" i="18" s="1"/>
  <c r="P237" i="18" s="1"/>
  <c r="P238" i="18" s="1"/>
  <c r="P239" i="18" s="1"/>
  <c r="P240" i="18" s="1"/>
  <c r="P241" i="18" s="1"/>
  <c r="P242" i="18" s="1"/>
  <c r="P243" i="18" s="1"/>
  <c r="P244" i="18" s="1"/>
  <c r="P245" i="18" s="1"/>
  <c r="P246" i="18" s="1"/>
  <c r="P247" i="18" s="1"/>
  <c r="P248" i="18" s="1"/>
  <c r="P249" i="18" s="1"/>
  <c r="P250" i="18" s="1"/>
  <c r="P251" i="18" s="1"/>
  <c r="P252" i="18" s="1"/>
  <c r="P253" i="18" s="1"/>
  <c r="P254" i="18" s="1"/>
  <c r="P255" i="18" s="1"/>
  <c r="P205" i="23"/>
  <c r="P206" i="23" s="1"/>
  <c r="P207" i="23" s="1"/>
  <c r="P208" i="23" s="1"/>
  <c r="P209" i="23" s="1"/>
  <c r="P210" i="23" s="1"/>
  <c r="P211" i="23" s="1"/>
  <c r="C9" i="27"/>
  <c r="C10" i="27" s="1"/>
  <c r="C13" i="28" l="1"/>
  <c r="E13" i="28" s="1"/>
  <c r="E12" i="30"/>
  <c r="C13" i="30"/>
  <c r="C13" i="31"/>
  <c r="E12" i="31"/>
  <c r="P212" i="23"/>
  <c r="P213" i="23" s="1"/>
  <c r="P214" i="23" s="1"/>
  <c r="P215" i="23" s="1"/>
  <c r="C11" i="27"/>
  <c r="C12" i="27" s="1"/>
  <c r="C14" i="28" l="1"/>
  <c r="E14" i="28" s="1"/>
  <c r="E13" i="30"/>
  <c r="C14" i="30"/>
  <c r="C14" i="31"/>
  <c r="E13" i="31"/>
  <c r="P216" i="23"/>
  <c r="P217" i="23" s="1"/>
  <c r="P218" i="23" s="1"/>
  <c r="P219" i="23" s="1"/>
  <c r="P220" i="23" s="1"/>
  <c r="P221" i="23" s="1"/>
  <c r="P222" i="23" s="1"/>
  <c r="C13" i="27"/>
  <c r="C14" i="27" s="1"/>
  <c r="C15" i="28" l="1"/>
  <c r="E15" i="28" s="1"/>
  <c r="E14" i="30"/>
  <c r="C15" i="30"/>
  <c r="C15" i="31"/>
  <c r="E14" i="31"/>
  <c r="C15" i="27"/>
  <c r="C16" i="28" l="1"/>
  <c r="E16" i="28" s="1"/>
  <c r="C16" i="30"/>
  <c r="E15" i="30"/>
  <c r="C16" i="31"/>
  <c r="E15" i="31"/>
  <c r="C16" i="27"/>
  <c r="C17" i="28" l="1"/>
  <c r="E17" i="28" s="1"/>
  <c r="E16" i="30"/>
  <c r="C17" i="30"/>
  <c r="C17" i="31"/>
  <c r="E16" i="31"/>
  <c r="C17" i="27"/>
  <c r="C18" i="28" l="1"/>
  <c r="E18" i="28" s="1"/>
  <c r="C18" i="30"/>
  <c r="E17" i="30"/>
  <c r="C18" i="31"/>
  <c r="E17" i="31"/>
  <c r="C18" i="27"/>
  <c r="C19" i="28" l="1"/>
  <c r="E19" i="28" s="1"/>
  <c r="E18" i="30"/>
  <c r="C19" i="30"/>
  <c r="C19" i="31"/>
  <c r="E18" i="31"/>
  <c r="C19" i="27"/>
  <c r="C20" i="28" l="1"/>
  <c r="E20" i="28" s="1"/>
  <c r="E19" i="30"/>
  <c r="C20" i="30"/>
  <c r="C20" i="31"/>
  <c r="E19" i="31"/>
  <c r="C20" i="27"/>
  <c r="C21" i="28" l="1"/>
  <c r="E21" i="28" s="1"/>
  <c r="E20" i="30"/>
  <c r="C21" i="30"/>
  <c r="C21" i="31"/>
  <c r="E20" i="31"/>
  <c r="C21" i="27"/>
  <c r="C22" i="28" l="1"/>
  <c r="E22" i="28" s="1"/>
  <c r="E21" i="30"/>
  <c r="C22" i="30"/>
  <c r="C22" i="31"/>
  <c r="E21" i="31"/>
  <c r="C22" i="27"/>
  <c r="C23" i="28" l="1"/>
  <c r="E23" i="28" s="1"/>
  <c r="E22" i="30"/>
  <c r="C23" i="30"/>
  <c r="C23" i="31"/>
  <c r="E22" i="31"/>
  <c r="C23" i="27"/>
  <c r="C24" i="28" l="1"/>
  <c r="E24" i="28" s="1"/>
  <c r="E23" i="30"/>
  <c r="C24" i="30"/>
  <c r="C24" i="31"/>
  <c r="E23" i="31"/>
  <c r="C24" i="27"/>
  <c r="C25" i="28" l="1"/>
  <c r="E25" i="28" s="1"/>
  <c r="C25" i="30"/>
  <c r="E24" i="30"/>
  <c r="C25" i="31"/>
  <c r="E24" i="31"/>
  <c r="C25" i="27"/>
  <c r="C26" i="28" l="1"/>
  <c r="E26" i="28" s="1"/>
  <c r="E25" i="30"/>
  <c r="C26" i="30"/>
  <c r="C26" i="31"/>
  <c r="E25" i="31"/>
  <c r="C26" i="27"/>
  <c r="C27" i="28" l="1"/>
  <c r="E27" i="28" s="1"/>
  <c r="C27" i="30"/>
  <c r="E26" i="30"/>
  <c r="C27" i="31"/>
  <c r="E26" i="31"/>
  <c r="C27" i="27"/>
  <c r="C28" i="28" l="1"/>
  <c r="E28" i="28" s="1"/>
  <c r="E27" i="30"/>
  <c r="C28" i="30"/>
  <c r="C28" i="31"/>
  <c r="E27" i="31"/>
  <c r="C28" i="27"/>
  <c r="C29" i="28" l="1"/>
  <c r="E29" i="28" s="1"/>
  <c r="C29" i="30"/>
  <c r="E28" i="30"/>
  <c r="C29" i="31"/>
  <c r="E28" i="31"/>
  <c r="C29" i="27"/>
  <c r="C30" i="27" s="1"/>
  <c r="C30" i="28" l="1"/>
  <c r="E30" i="28" s="1"/>
  <c r="C30" i="30"/>
  <c r="E29" i="30"/>
  <c r="C30" i="31"/>
  <c r="E29" i="31"/>
  <c r="C31" i="27"/>
  <c r="C31" i="28" l="1"/>
  <c r="E31" i="28" s="1"/>
  <c r="C31" i="30"/>
  <c r="E30" i="30"/>
  <c r="C31" i="31"/>
  <c r="E30" i="31"/>
  <c r="C32" i="27"/>
  <c r="C32" i="28" l="1"/>
  <c r="E32" i="28" s="1"/>
  <c r="C32" i="30"/>
  <c r="E31" i="30"/>
  <c r="C32" i="31"/>
  <c r="E31" i="31"/>
  <c r="C33" i="27"/>
  <c r="C33" i="28" l="1"/>
  <c r="E33" i="28" s="1"/>
  <c r="C33" i="30"/>
  <c r="E32" i="30"/>
  <c r="C33" i="31"/>
  <c r="E32" i="31"/>
  <c r="C34" i="27"/>
  <c r="C35" i="27" s="1"/>
  <c r="C34" i="28" l="1"/>
  <c r="E34" i="28" s="1"/>
  <c r="C34" i="30"/>
  <c r="E33" i="30"/>
  <c r="C34" i="31"/>
  <c r="E33" i="31"/>
  <c r="C36" i="27"/>
  <c r="C37" i="27" s="1"/>
  <c r="C38" i="27" s="1"/>
  <c r="C39" i="27" s="1"/>
  <c r="C40" i="27" s="1"/>
  <c r="N29" i="25"/>
  <c r="N31" i="25"/>
  <c r="N33" i="25"/>
  <c r="N35" i="25"/>
  <c r="N37" i="25"/>
  <c r="N39" i="25"/>
  <c r="N41" i="25"/>
  <c r="N43" i="25"/>
  <c r="N45" i="25"/>
  <c r="N47" i="25"/>
  <c r="N49" i="25"/>
  <c r="N51" i="25"/>
  <c r="N53" i="25"/>
  <c r="N55" i="25"/>
  <c r="N57" i="25"/>
  <c r="N59" i="25"/>
  <c r="N61" i="25"/>
  <c r="N63" i="25"/>
  <c r="N65" i="25"/>
  <c r="N67" i="25"/>
  <c r="N69" i="25"/>
  <c r="N71" i="25"/>
  <c r="N73" i="25"/>
  <c r="N36" i="25"/>
  <c r="N38" i="25"/>
  <c r="N40" i="25"/>
  <c r="N42" i="25"/>
  <c r="N44" i="25"/>
  <c r="N46" i="25"/>
  <c r="N48" i="25"/>
  <c r="N50" i="25"/>
  <c r="N52" i="25"/>
  <c r="N54" i="25"/>
  <c r="N56" i="25"/>
  <c r="N58" i="25"/>
  <c r="N60" i="25"/>
  <c r="N62" i="25"/>
  <c r="N64" i="25"/>
  <c r="N66" i="25"/>
  <c r="N68" i="25"/>
  <c r="N70" i="25"/>
  <c r="N72" i="25"/>
  <c r="C4" i="25"/>
  <c r="C5" i="25" s="1"/>
  <c r="C6" i="25" s="1"/>
  <c r="C7" i="25" s="1"/>
  <c r="C8" i="25" s="1"/>
  <c r="C9" i="25" s="1"/>
  <c r="C10" i="25" s="1"/>
  <c r="C11" i="25" s="1"/>
  <c r="C12" i="25" s="1"/>
  <c r="C13" i="25" s="1"/>
  <c r="C14" i="25" s="1"/>
  <c r="C15" i="25" s="1"/>
  <c r="C16" i="25" s="1"/>
  <c r="C17" i="25" s="1"/>
  <c r="C18" i="25" s="1"/>
  <c r="C19" i="25" s="1"/>
  <c r="C20" i="25" s="1"/>
  <c r="C21" i="25" s="1"/>
  <c r="C22" i="25" s="1"/>
  <c r="C23" i="25" s="1"/>
  <c r="C24" i="25" s="1"/>
  <c r="C25" i="25" s="1"/>
  <c r="C26" i="25" s="1"/>
  <c r="C27" i="25" s="1"/>
  <c r="C28" i="25" s="1"/>
  <c r="N105" i="23"/>
  <c r="N106" i="23"/>
  <c r="N107" i="23"/>
  <c r="C35" i="28" l="1"/>
  <c r="E35" i="28" s="1"/>
  <c r="C35" i="30"/>
  <c r="E34" i="30"/>
  <c r="C35" i="31"/>
  <c r="E34" i="31"/>
  <c r="C41" i="27"/>
  <c r="C42" i="27" s="1"/>
  <c r="C43" i="27" s="1"/>
  <c r="C44" i="27" s="1"/>
  <c r="C45" i="27" s="1"/>
  <c r="C46" i="27" s="1"/>
  <c r="C47" i="27" s="1"/>
  <c r="C48" i="27" s="1"/>
  <c r="C29" i="25"/>
  <c r="N42" i="23"/>
  <c r="N44" i="23"/>
  <c r="N46" i="23"/>
  <c r="N48" i="23"/>
  <c r="N50" i="23"/>
  <c r="N52" i="23"/>
  <c r="N54" i="23"/>
  <c r="N56" i="23"/>
  <c r="N58" i="23"/>
  <c r="N60" i="23"/>
  <c r="N62" i="23"/>
  <c r="N64" i="23"/>
  <c r="N66" i="23"/>
  <c r="N68" i="23"/>
  <c r="N70" i="23"/>
  <c r="N72" i="23"/>
  <c r="N74" i="23"/>
  <c r="N76" i="23"/>
  <c r="N78" i="23"/>
  <c r="N80" i="23"/>
  <c r="N82" i="23"/>
  <c r="N84" i="23"/>
  <c r="N86" i="23"/>
  <c r="N88" i="23"/>
  <c r="N90" i="23"/>
  <c r="N92" i="23"/>
  <c r="N94" i="23"/>
  <c r="N96" i="23"/>
  <c r="N98" i="23"/>
  <c r="N100" i="23"/>
  <c r="N102" i="23"/>
  <c r="N104" i="23"/>
  <c r="N87" i="23"/>
  <c r="N89" i="23"/>
  <c r="N91" i="23"/>
  <c r="N93" i="23"/>
  <c r="N95" i="23"/>
  <c r="N97" i="23"/>
  <c r="N99" i="23"/>
  <c r="N101" i="23"/>
  <c r="N103" i="23"/>
  <c r="C4" i="23"/>
  <c r="C5" i="23" s="1"/>
  <c r="C6" i="23" s="1"/>
  <c r="C7" i="23" s="1"/>
  <c r="C8" i="23" s="1"/>
  <c r="C9" i="23" s="1"/>
  <c r="C10" i="23" s="1"/>
  <c r="C11" i="23" s="1"/>
  <c r="C12" i="23" s="1"/>
  <c r="C13" i="23" s="1"/>
  <c r="C14" i="23" s="1"/>
  <c r="C15" i="23" s="1"/>
  <c r="C16" i="23" s="1"/>
  <c r="C17" i="23" s="1"/>
  <c r="C18" i="23" s="1"/>
  <c r="C19" i="23" s="1"/>
  <c r="C20" i="23" s="1"/>
  <c r="C21" i="23" s="1"/>
  <c r="C22" i="23" s="1"/>
  <c r="C23" i="23" s="1"/>
  <c r="C24" i="23" s="1"/>
  <c r="C25" i="23" s="1"/>
  <c r="C26" i="23" s="1"/>
  <c r="C27" i="23" s="1"/>
  <c r="C28" i="23" s="1"/>
  <c r="C29" i="23" s="1"/>
  <c r="C30" i="23" s="1"/>
  <c r="C31" i="23" s="1"/>
  <c r="C32" i="23" s="1"/>
  <c r="C33" i="23" s="1"/>
  <c r="C34" i="23" s="1"/>
  <c r="C35" i="23" s="1"/>
  <c r="C36" i="23" s="1"/>
  <c r="C37" i="23" s="1"/>
  <c r="C38" i="23" s="1"/>
  <c r="C39" i="23" s="1"/>
  <c r="C40" i="23" s="1"/>
  <c r="C41" i="23" s="1"/>
  <c r="N91" i="11"/>
  <c r="N92" i="11"/>
  <c r="N93" i="11"/>
  <c r="N5" i="11"/>
  <c r="N6" i="11"/>
  <c r="N8" i="11"/>
  <c r="N9" i="11"/>
  <c r="N10" i="11"/>
  <c r="N11" i="11"/>
  <c r="N12" i="11"/>
  <c r="N13" i="11"/>
  <c r="N14" i="11"/>
  <c r="N15" i="11"/>
  <c r="N16" i="11"/>
  <c r="N17" i="11"/>
  <c r="N18" i="11"/>
  <c r="N19" i="11"/>
  <c r="N20" i="11"/>
  <c r="N21" i="11"/>
  <c r="N22" i="11"/>
  <c r="N23" i="11"/>
  <c r="N24" i="11"/>
  <c r="N25" i="11"/>
  <c r="N27" i="11"/>
  <c r="N29" i="11"/>
  <c r="N31" i="11"/>
  <c r="N33" i="11"/>
  <c r="N35" i="11"/>
  <c r="N37" i="11"/>
  <c r="N39" i="11"/>
  <c r="N41" i="11"/>
  <c r="N43" i="11"/>
  <c r="N45" i="11"/>
  <c r="N47" i="11"/>
  <c r="N49" i="11"/>
  <c r="N51" i="11"/>
  <c r="N53" i="11"/>
  <c r="N55" i="11"/>
  <c r="N57" i="11"/>
  <c r="N59" i="11"/>
  <c r="N61" i="11"/>
  <c r="N63" i="11"/>
  <c r="N65" i="11"/>
  <c r="N67" i="11"/>
  <c r="N69" i="11"/>
  <c r="N71" i="11"/>
  <c r="N73" i="11"/>
  <c r="N75" i="11"/>
  <c r="N77" i="11"/>
  <c r="N79" i="11"/>
  <c r="N81" i="11"/>
  <c r="N83" i="11"/>
  <c r="N85" i="11"/>
  <c r="N87" i="11"/>
  <c r="N89" i="11"/>
  <c r="N28" i="11"/>
  <c r="N30" i="11"/>
  <c r="N32" i="11"/>
  <c r="N34" i="11"/>
  <c r="N36" i="11"/>
  <c r="N38" i="11"/>
  <c r="N40" i="11"/>
  <c r="N42" i="11"/>
  <c r="N44" i="11"/>
  <c r="N46" i="11"/>
  <c r="N48" i="11"/>
  <c r="N50" i="11"/>
  <c r="N52" i="11"/>
  <c r="N54" i="11"/>
  <c r="N56" i="11"/>
  <c r="N58" i="11"/>
  <c r="N60" i="11"/>
  <c r="N62" i="11"/>
  <c r="N64" i="11"/>
  <c r="N66" i="11"/>
  <c r="N68" i="11"/>
  <c r="N70" i="11"/>
  <c r="N72" i="11"/>
  <c r="N74" i="11"/>
  <c r="N76" i="11"/>
  <c r="N78" i="11"/>
  <c r="N80" i="11"/>
  <c r="N82" i="11"/>
  <c r="N84" i="11"/>
  <c r="N86" i="11"/>
  <c r="N88" i="11"/>
  <c r="N90" i="11"/>
  <c r="C36" i="28" l="1"/>
  <c r="E36" i="28" s="1"/>
  <c r="C36" i="30"/>
  <c r="E35" i="30"/>
  <c r="C36" i="31"/>
  <c r="E35" i="31"/>
  <c r="C49" i="27"/>
  <c r="C50" i="27" s="1"/>
  <c r="C51" i="27" s="1"/>
  <c r="C52" i="27" s="1"/>
  <c r="C53" i="27" s="1"/>
  <c r="C54" i="27" s="1"/>
  <c r="C55" i="27" s="1"/>
  <c r="C56" i="27" s="1"/>
  <c r="C57" i="27" s="1"/>
  <c r="C58" i="27" s="1"/>
  <c r="C59" i="27" s="1"/>
  <c r="C60" i="27" s="1"/>
  <c r="C61" i="27" s="1"/>
  <c r="C62" i="27" s="1"/>
  <c r="C63" i="27" s="1"/>
  <c r="C64" i="27" s="1"/>
  <c r="C65" i="27" s="1"/>
  <c r="C66" i="27" s="1"/>
  <c r="C67" i="27" s="1"/>
  <c r="C30" i="25"/>
  <c r="C42" i="23"/>
  <c r="C43" i="23" s="1"/>
  <c r="N42" i="22"/>
  <c r="C37" i="28" l="1"/>
  <c r="E37" i="28" s="1"/>
  <c r="C37" i="30"/>
  <c r="E36" i="30"/>
  <c r="C37" i="31"/>
  <c r="E36" i="31"/>
  <c r="C31" i="25"/>
  <c r="C44" i="23"/>
  <c r="C45" i="23" s="1"/>
  <c r="C4" i="22"/>
  <c r="C5" i="22" s="1"/>
  <c r="C6" i="22" s="1"/>
  <c r="C7" i="22" s="1"/>
  <c r="C8" i="22" s="1"/>
  <c r="C9" i="22" s="1"/>
  <c r="C10" i="22" s="1"/>
  <c r="C11" i="22" s="1"/>
  <c r="C12" i="22" s="1"/>
  <c r="N135" i="5"/>
  <c r="N134" i="5"/>
  <c r="N133" i="5"/>
  <c r="N79" i="6"/>
  <c r="N80" i="6"/>
  <c r="N81" i="6"/>
  <c r="N5" i="6"/>
  <c r="N6" i="6"/>
  <c r="N7" i="6"/>
  <c r="N8" i="6"/>
  <c r="N9" i="6"/>
  <c r="N10" i="6"/>
  <c r="N11" i="6"/>
  <c r="N12" i="6"/>
  <c r="N13" i="6"/>
  <c r="N15" i="6"/>
  <c r="N17" i="6"/>
  <c r="N19" i="6"/>
  <c r="N21" i="6"/>
  <c r="N23" i="6"/>
  <c r="N25" i="6"/>
  <c r="N27" i="6"/>
  <c r="N29" i="6"/>
  <c r="N31" i="6"/>
  <c r="N33" i="6"/>
  <c r="N35" i="6"/>
  <c r="N37" i="6"/>
  <c r="N39" i="6"/>
  <c r="N41" i="6"/>
  <c r="N43" i="6"/>
  <c r="N45" i="6"/>
  <c r="N47" i="6"/>
  <c r="N49" i="6"/>
  <c r="N51" i="6"/>
  <c r="N53" i="6"/>
  <c r="N55" i="6"/>
  <c r="N57" i="6"/>
  <c r="N59" i="6"/>
  <c r="N61" i="6"/>
  <c r="N63" i="6"/>
  <c r="N65" i="6"/>
  <c r="N67" i="6"/>
  <c r="N69" i="6"/>
  <c r="N71" i="6"/>
  <c r="N73" i="6"/>
  <c r="N75" i="6"/>
  <c r="N77" i="6"/>
  <c r="N14" i="6"/>
  <c r="N16" i="6"/>
  <c r="N18" i="6"/>
  <c r="N20" i="6"/>
  <c r="N22" i="6"/>
  <c r="N24" i="6"/>
  <c r="N26" i="6"/>
  <c r="N28" i="6"/>
  <c r="N30" i="6"/>
  <c r="N32" i="6"/>
  <c r="N34" i="6"/>
  <c r="N36" i="6"/>
  <c r="N38" i="6"/>
  <c r="N40" i="6"/>
  <c r="N42" i="6"/>
  <c r="N44" i="6"/>
  <c r="N46" i="6"/>
  <c r="N48" i="6"/>
  <c r="N50" i="6"/>
  <c r="N52" i="6"/>
  <c r="N54" i="6"/>
  <c r="N56" i="6"/>
  <c r="N58" i="6"/>
  <c r="N60" i="6"/>
  <c r="N62" i="6"/>
  <c r="N64" i="6"/>
  <c r="N66" i="6"/>
  <c r="N68" i="6"/>
  <c r="N70" i="6"/>
  <c r="N72" i="6"/>
  <c r="N74" i="6"/>
  <c r="N76" i="6"/>
  <c r="N78" i="6"/>
  <c r="N4" i="6"/>
  <c r="C4" i="6"/>
  <c r="C5" i="6" s="1"/>
  <c r="C6" i="6" s="1"/>
  <c r="C7" i="6" s="1"/>
  <c r="C8" i="6" s="1"/>
  <c r="C9" i="6" s="1"/>
  <c r="C10" i="6" s="1"/>
  <c r="C11" i="6" s="1"/>
  <c r="C12" i="6" s="1"/>
  <c r="C13" i="6" s="1"/>
  <c r="N55" i="9"/>
  <c r="N56" i="9"/>
  <c r="N57" i="9"/>
  <c r="N58" i="9"/>
  <c r="N59" i="9"/>
  <c r="C4" i="9"/>
  <c r="C5" i="9" s="1"/>
  <c r="C6" i="9" s="1"/>
  <c r="C7" i="9" s="1"/>
  <c r="C8" i="9" s="1"/>
  <c r="C9" i="9" s="1"/>
  <c r="C10" i="9" s="1"/>
  <c r="C11" i="9" s="1"/>
  <c r="C12" i="9" s="1"/>
  <c r="C13" i="9" s="1"/>
  <c r="C14" i="9" s="1"/>
  <c r="C15" i="9" s="1"/>
  <c r="C16" i="9" s="1"/>
  <c r="C17" i="9" s="1"/>
  <c r="C18" i="9" s="1"/>
  <c r="C19" i="9" s="1"/>
  <c r="C20" i="9" s="1"/>
  <c r="C21" i="9" s="1"/>
  <c r="C22" i="9" s="1"/>
  <c r="C23" i="9" s="1"/>
  <c r="C24" i="9" s="1"/>
  <c r="C25" i="9" s="1"/>
  <c r="C26" i="9" s="1"/>
  <c r="C27" i="9" s="1"/>
  <c r="C28" i="9" s="1"/>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67" i="13"/>
  <c r="N269" i="13"/>
  <c r="N271" i="13"/>
  <c r="N273" i="13"/>
  <c r="N275" i="13"/>
  <c r="N277" i="13"/>
  <c r="N279" i="13"/>
  <c r="N281" i="13"/>
  <c r="N283" i="13"/>
  <c r="N285" i="13"/>
  <c r="N268" i="13"/>
  <c r="N270" i="13"/>
  <c r="N272" i="13"/>
  <c r="N274" i="13"/>
  <c r="N276" i="13"/>
  <c r="N278" i="13"/>
  <c r="N280" i="13"/>
  <c r="N282" i="13"/>
  <c r="N284" i="13"/>
  <c r="N286" i="13"/>
  <c r="N291" i="13"/>
  <c r="N292" i="13"/>
  <c r="N293" i="13"/>
  <c r="C38" i="28" l="1"/>
  <c r="E38" i="28" s="1"/>
  <c r="C38" i="30"/>
  <c r="E37" i="30"/>
  <c r="C38" i="31"/>
  <c r="E37" i="31"/>
  <c r="C32" i="25"/>
  <c r="C46" i="23"/>
  <c r="C47" i="23" s="1"/>
  <c r="C4" i="1"/>
  <c r="P46" i="10"/>
  <c r="P47" i="10" s="1"/>
  <c r="P48" i="10" s="1"/>
  <c r="P49" i="10" s="1"/>
  <c r="P50" i="10" s="1"/>
  <c r="P51" i="10" s="1"/>
  <c r="P52" i="10" s="1"/>
  <c r="P53" i="10" s="1"/>
  <c r="P54" i="10" s="1"/>
  <c r="P55" i="10" s="1"/>
  <c r="P56" i="10" s="1"/>
  <c r="P57" i="10" s="1"/>
  <c r="C39" i="28" l="1"/>
  <c r="E39" i="28" s="1"/>
  <c r="P58" i="10"/>
  <c r="P59" i="10" s="1"/>
  <c r="P60" i="10" s="1"/>
  <c r="P61" i="10" s="1"/>
  <c r="P62" i="10" s="1"/>
  <c r="P63" i="10" s="1"/>
  <c r="P64" i="10" s="1"/>
  <c r="P65" i="10" s="1"/>
  <c r="P66" i="10" s="1"/>
  <c r="P67" i="10" s="1"/>
  <c r="P68" i="10" s="1"/>
  <c r="P69" i="10" s="1"/>
  <c r="P70" i="10" s="1"/>
  <c r="P71" i="10" s="1"/>
  <c r="P72" i="10" s="1"/>
  <c r="P73" i="10" s="1"/>
  <c r="P74" i="10" s="1"/>
  <c r="P75" i="10" s="1"/>
  <c r="P76" i="10" s="1"/>
  <c r="C39" i="30"/>
  <c r="E38" i="30"/>
  <c r="C39" i="31"/>
  <c r="E38" i="31"/>
  <c r="C33" i="25"/>
  <c r="C48" i="23"/>
  <c r="C40" i="28" l="1"/>
  <c r="E40" i="28" s="1"/>
  <c r="P77" i="10"/>
  <c r="P78" i="10" s="1"/>
  <c r="P79" i="10" s="1"/>
  <c r="P80" i="10" s="1"/>
  <c r="P81" i="10" s="1"/>
  <c r="P82" i="10" s="1"/>
  <c r="P83" i="10" s="1"/>
  <c r="P84" i="10" s="1"/>
  <c r="P85" i="10" s="1"/>
  <c r="P86" i="10" s="1"/>
  <c r="P87" i="10" s="1"/>
  <c r="P88" i="10" s="1"/>
  <c r="P89" i="10" s="1"/>
  <c r="P90" i="10" s="1"/>
  <c r="P91" i="10" s="1"/>
  <c r="P92" i="10" s="1"/>
  <c r="P93" i="10" s="1"/>
  <c r="P94" i="10" s="1"/>
  <c r="P95" i="10" s="1"/>
  <c r="P96" i="10" s="1"/>
  <c r="P97" i="10" s="1"/>
  <c r="P98" i="10" s="1"/>
  <c r="C40" i="30"/>
  <c r="E39" i="30"/>
  <c r="C40" i="31"/>
  <c r="E39" i="31"/>
  <c r="C34" i="25"/>
  <c r="C35" i="25" s="1"/>
  <c r="C49" i="23"/>
  <c r="N48" i="7"/>
  <c r="N49" i="7"/>
  <c r="N50" i="7"/>
  <c r="C41" i="28" l="1"/>
  <c r="E41" i="28" s="1"/>
  <c r="P99" i="10"/>
  <c r="P100" i="10" s="1"/>
  <c r="P101" i="10" s="1"/>
  <c r="P102" i="10" s="1"/>
  <c r="P103" i="10" s="1"/>
  <c r="P104" i="10" s="1"/>
  <c r="P105" i="10" s="1"/>
  <c r="P106" i="10" s="1"/>
  <c r="P107" i="10" s="1"/>
  <c r="P108" i="10" s="1"/>
  <c r="P109" i="10" s="1"/>
  <c r="P110" i="10" s="1"/>
  <c r="P111" i="10" s="1"/>
  <c r="P112" i="10" s="1"/>
  <c r="P113" i="10" s="1"/>
  <c r="P114" i="10" s="1"/>
  <c r="P115" i="10" s="1"/>
  <c r="P116" i="10" s="1"/>
  <c r="P117" i="10" s="1"/>
  <c r="P118" i="10" s="1"/>
  <c r="P119" i="10" s="1"/>
  <c r="P120" i="10" s="1"/>
  <c r="P121" i="10" s="1"/>
  <c r="P122" i="10" s="1"/>
  <c r="P123" i="10" s="1"/>
  <c r="P124" i="10" s="1"/>
  <c r="P125" i="10" s="1"/>
  <c r="C41" i="30"/>
  <c r="E40" i="30"/>
  <c r="C41" i="31"/>
  <c r="E40" i="31"/>
  <c r="C36" i="25"/>
  <c r="C37" i="25" s="1"/>
  <c r="C50" i="23"/>
  <c r="P27" i="7"/>
  <c r="P28" i="7" s="1"/>
  <c r="P29" i="7" s="1"/>
  <c r="P30" i="7" s="1"/>
  <c r="P31" i="7" s="1"/>
  <c r="P32" i="7" s="1"/>
  <c r="P33" i="7" s="1"/>
  <c r="P34" i="7" s="1"/>
  <c r="P35" i="7" s="1"/>
  <c r="P36" i="7" s="1"/>
  <c r="P37" i="7" s="1"/>
  <c r="P38" i="7" s="1"/>
  <c r="P39" i="7" s="1"/>
  <c r="P40" i="7" s="1"/>
  <c r="P41" i="7" s="1"/>
  <c r="P42" i="7" s="1"/>
  <c r="P43" i="7" s="1"/>
  <c r="P44" i="7" s="1"/>
  <c r="P45" i="7" s="1"/>
  <c r="P46" i="7" s="1"/>
  <c r="P47" i="7" s="1"/>
  <c r="P48" i="7" s="1"/>
  <c r="P49" i="7" s="1"/>
  <c r="P50" i="7" s="1"/>
  <c r="P51" i="7" s="1"/>
  <c r="P52" i="7" s="1"/>
  <c r="P53" i="7" s="1"/>
  <c r="P54" i="7" s="1"/>
  <c r="P55" i="7" s="1"/>
  <c r="P56" i="7" s="1"/>
  <c r="P57" i="7" s="1"/>
  <c r="P58" i="7" s="1"/>
  <c r="P59" i="7" s="1"/>
  <c r="P60" i="7" s="1"/>
  <c r="P61" i="7" s="1"/>
  <c r="P62" i="7" s="1"/>
  <c r="P63" i="7" s="1"/>
  <c r="P64" i="7" s="1"/>
  <c r="P65" i="7" s="1"/>
  <c r="P66" i="7" s="1"/>
  <c r="P67" i="7" s="1"/>
  <c r="P68" i="7" s="1"/>
  <c r="P69" i="7" s="1"/>
  <c r="P70" i="7" s="1"/>
  <c r="P71" i="7" s="1"/>
  <c r="P72" i="7" s="1"/>
  <c r="P73" i="7" s="1"/>
  <c r="P74" i="7" s="1"/>
  <c r="P75" i="7" s="1"/>
  <c r="P76" i="7" s="1"/>
  <c r="P77" i="7" s="1"/>
  <c r="P78" i="7" s="1"/>
  <c r="P79" i="7" s="1"/>
  <c r="P80" i="7" s="1"/>
  <c r="P81" i="7" s="1"/>
  <c r="P82" i="7" s="1"/>
  <c r="P83" i="7" s="1"/>
  <c r="P84" i="7" s="1"/>
  <c r="P85" i="7" s="1"/>
  <c r="C42" i="28" l="1"/>
  <c r="E42" i="28" s="1"/>
  <c r="P126" i="10"/>
  <c r="P127" i="10" s="1"/>
  <c r="P128" i="10" s="1"/>
  <c r="P129" i="10" s="1"/>
  <c r="P130" i="10" s="1"/>
  <c r="P131" i="10" s="1"/>
  <c r="P132" i="10" s="1"/>
  <c r="P133" i="10" s="1"/>
  <c r="P134" i="10" s="1"/>
  <c r="P135" i="10" s="1"/>
  <c r="P136" i="10" s="1"/>
  <c r="P137" i="10" s="1"/>
  <c r="P138" i="10" s="1"/>
  <c r="P139" i="10" s="1"/>
  <c r="P140" i="10" s="1"/>
  <c r="P141" i="10" s="1"/>
  <c r="P142" i="10" s="1"/>
  <c r="P143" i="10" s="1"/>
  <c r="P144" i="10" s="1"/>
  <c r="P145" i="10" s="1"/>
  <c r="P146" i="10" s="1"/>
  <c r="P147" i="10" s="1"/>
  <c r="P148" i="10" s="1"/>
  <c r="P149" i="10" s="1"/>
  <c r="P150" i="10" s="1"/>
  <c r="P151" i="10" s="1"/>
  <c r="P152" i="10" s="1"/>
  <c r="P153" i="10" s="1"/>
  <c r="P154" i="10" s="1"/>
  <c r="C42" i="30"/>
  <c r="E41" i="30"/>
  <c r="C42" i="31"/>
  <c r="E41" i="31"/>
  <c r="P86" i="7"/>
  <c r="P87" i="7" s="1"/>
  <c r="P88" i="7" s="1"/>
  <c r="C38" i="25"/>
  <c r="C39" i="25" s="1"/>
  <c r="C51" i="23"/>
  <c r="C43" i="28" l="1"/>
  <c r="E43" i="28" s="1"/>
  <c r="C43" i="30"/>
  <c r="E42" i="30"/>
  <c r="C43" i="31"/>
  <c r="E42" i="31"/>
  <c r="P89" i="7"/>
  <c r="P90" i="7" s="1"/>
  <c r="P91" i="7" s="1"/>
  <c r="P92" i="7" s="1"/>
  <c r="P93" i="7" s="1"/>
  <c r="P94" i="7" s="1"/>
  <c r="P95" i="7" s="1"/>
  <c r="P96" i="7" s="1"/>
  <c r="P97" i="7" s="1"/>
  <c r="P98" i="7" s="1"/>
  <c r="P99" i="7" s="1"/>
  <c r="P100" i="7" s="1"/>
  <c r="P101" i="7" s="1"/>
  <c r="P102" i="7" s="1"/>
  <c r="P103" i="7" s="1"/>
  <c r="P104" i="7" s="1"/>
  <c r="P105" i="7" s="1"/>
  <c r="P106" i="7" s="1"/>
  <c r="P107" i="7" s="1"/>
  <c r="P108" i="7" s="1"/>
  <c r="P109" i="7" s="1"/>
  <c r="P110" i="7" s="1"/>
  <c r="P111" i="7" s="1"/>
  <c r="P112" i="7" s="1"/>
  <c r="P113" i="7" s="1"/>
  <c r="P114" i="7" s="1"/>
  <c r="P115" i="7" s="1"/>
  <c r="P116" i="7" s="1"/>
  <c r="P117" i="7" s="1"/>
  <c r="P118" i="7" s="1"/>
  <c r="P119" i="7" s="1"/>
  <c r="P120" i="7" s="1"/>
  <c r="P121" i="7" s="1"/>
  <c r="P122" i="7" s="1"/>
  <c r="C40" i="25"/>
  <c r="C41" i="25" s="1"/>
  <c r="C52" i="23"/>
  <c r="C4" i="20"/>
  <c r="C44" i="28" l="1"/>
  <c r="E44" i="28" s="1"/>
  <c r="C44" i="30"/>
  <c r="E43" i="30"/>
  <c r="C44" i="31"/>
  <c r="E43" i="31"/>
  <c r="C42" i="25"/>
  <c r="C53" i="23"/>
  <c r="C4" i="19"/>
  <c r="C45" i="28" l="1"/>
  <c r="E45" i="28" s="1"/>
  <c r="C45" i="30"/>
  <c r="E44" i="30"/>
  <c r="C45" i="31"/>
  <c r="E44" i="31"/>
  <c r="C43" i="25"/>
  <c r="C54" i="23"/>
  <c r="N6" i="19"/>
  <c r="N8" i="19"/>
  <c r="N10" i="19"/>
  <c r="N12" i="19"/>
  <c r="N14" i="19"/>
  <c r="N16" i="19"/>
  <c r="N18" i="19"/>
  <c r="N20" i="19"/>
  <c r="N22" i="19"/>
  <c r="N24" i="19"/>
  <c r="N26" i="19"/>
  <c r="N28" i="19"/>
  <c r="N30" i="19"/>
  <c r="N32" i="19"/>
  <c r="N34" i="19"/>
  <c r="N36" i="19"/>
  <c r="N38" i="19"/>
  <c r="N40" i="19"/>
  <c r="N42" i="19"/>
  <c r="N44" i="19"/>
  <c r="N46" i="19"/>
  <c r="N48" i="19"/>
  <c r="N50" i="19"/>
  <c r="N52" i="19"/>
  <c r="N54" i="19"/>
  <c r="N56" i="19"/>
  <c r="N58" i="19"/>
  <c r="N5" i="19"/>
  <c r="N7" i="19"/>
  <c r="N9" i="19"/>
  <c r="N11" i="19"/>
  <c r="N13" i="19"/>
  <c r="N15" i="19"/>
  <c r="N17" i="19"/>
  <c r="N19" i="19"/>
  <c r="N21" i="19"/>
  <c r="N23" i="19"/>
  <c r="N25" i="19"/>
  <c r="N27" i="19"/>
  <c r="N29" i="19"/>
  <c r="N31" i="19"/>
  <c r="N33" i="19"/>
  <c r="N35" i="19"/>
  <c r="N37" i="19"/>
  <c r="N39" i="19"/>
  <c r="N41" i="19"/>
  <c r="N43" i="19"/>
  <c r="N45" i="19"/>
  <c r="N47" i="19"/>
  <c r="N49" i="19"/>
  <c r="N51" i="19"/>
  <c r="N53" i="19"/>
  <c r="N55" i="19"/>
  <c r="N57" i="19"/>
  <c r="N59" i="19"/>
  <c r="N60" i="19"/>
  <c r="N61" i="19"/>
  <c r="N62" i="19"/>
  <c r="N63" i="19"/>
  <c r="N64" i="19"/>
  <c r="N65" i="19"/>
  <c r="N66" i="19"/>
  <c r="N67" i="19"/>
  <c r="N68" i="19"/>
  <c r="N69" i="19"/>
  <c r="N71" i="19"/>
  <c r="C46" i="28" l="1"/>
  <c r="E46" i="28" s="1"/>
  <c r="C46" i="30"/>
  <c r="E45" i="30"/>
  <c r="C46" i="31"/>
  <c r="E45" i="31"/>
  <c r="C44" i="25"/>
  <c r="C55" i="23"/>
  <c r="C47" i="28" l="1"/>
  <c r="E47" i="28" s="1"/>
  <c r="C47" i="30"/>
  <c r="E46" i="30"/>
  <c r="C47" i="31"/>
  <c r="E46" i="31"/>
  <c r="C45" i="25"/>
  <c r="C56" i="23"/>
  <c r="N28" i="12"/>
  <c r="N29" i="12"/>
  <c r="N30" i="12"/>
  <c r="P14" i="12"/>
  <c r="P15" i="12" s="1"/>
  <c r="P16" i="12" s="1"/>
  <c r="P17" i="12" s="1"/>
  <c r="P18" i="12" s="1"/>
  <c r="P19" i="12" s="1"/>
  <c r="P20" i="12" s="1"/>
  <c r="P21" i="12" s="1"/>
  <c r="P22" i="12" s="1"/>
  <c r="P23" i="12" s="1"/>
  <c r="P24" i="12" s="1"/>
  <c r="P25" i="12" s="1"/>
  <c r="P26" i="12" s="1"/>
  <c r="P27" i="12" s="1"/>
  <c r="P28" i="12" s="1"/>
  <c r="P29" i="12" s="1"/>
  <c r="P30" i="12" s="1"/>
  <c r="C48" i="28" l="1"/>
  <c r="E48" i="28" s="1"/>
  <c r="C48" i="30"/>
  <c r="E47" i="30"/>
  <c r="C48" i="31"/>
  <c r="E47" i="31"/>
  <c r="P31" i="12"/>
  <c r="P32" i="12" s="1"/>
  <c r="C46" i="25"/>
  <c r="C57" i="23"/>
  <c r="C49" i="28" l="1"/>
  <c r="E49" i="28" s="1"/>
  <c r="C49" i="30"/>
  <c r="E48" i="30"/>
  <c r="C49" i="31"/>
  <c r="E48" i="31"/>
  <c r="P33" i="12"/>
  <c r="P34" i="12" s="1"/>
  <c r="P35" i="12" s="1"/>
  <c r="P36" i="12" s="1"/>
  <c r="P37" i="12" s="1"/>
  <c r="P38" i="12" s="1"/>
  <c r="P39" i="12" s="1"/>
  <c r="P40" i="12" s="1"/>
  <c r="P41" i="12" s="1"/>
  <c r="P42" i="12" s="1"/>
  <c r="P43" i="12" s="1"/>
  <c r="C47" i="25"/>
  <c r="C58" i="23"/>
  <c r="C4" i="21"/>
  <c r="N81" i="23"/>
  <c r="N83" i="23"/>
  <c r="N85" i="23"/>
  <c r="N55" i="23"/>
  <c r="N59" i="23"/>
  <c r="N61" i="23"/>
  <c r="N63" i="23"/>
  <c r="N45" i="23"/>
  <c r="N77" i="23"/>
  <c r="N79" i="23"/>
  <c r="N49" i="23"/>
  <c r="N51" i="23"/>
  <c r="N53" i="23"/>
  <c r="N57" i="23"/>
  <c r="N65" i="23"/>
  <c r="N67" i="23"/>
  <c r="N69" i="23"/>
  <c r="N71" i="23"/>
  <c r="N73" i="23"/>
  <c r="N75" i="23"/>
  <c r="C50" i="30" l="1"/>
  <c r="E49" i="30"/>
  <c r="C50" i="31"/>
  <c r="E49" i="31"/>
  <c r="P44" i="12"/>
  <c r="P45" i="12" s="1"/>
  <c r="P46" i="12" s="1"/>
  <c r="P47" i="12" s="1"/>
  <c r="P48" i="12" s="1"/>
  <c r="P49" i="12" s="1"/>
  <c r="P50" i="12" s="1"/>
  <c r="P51" i="12" s="1"/>
  <c r="P52" i="12" s="1"/>
  <c r="P53" i="12" s="1"/>
  <c r="P54" i="12" s="1"/>
  <c r="C48" i="25"/>
  <c r="C59" i="23"/>
  <c r="N34" i="25"/>
  <c r="N18" i="27"/>
  <c r="N16" i="27"/>
  <c r="N14" i="27"/>
  <c r="N32" i="25"/>
  <c r="N30" i="25"/>
  <c r="N28" i="25"/>
  <c r="N26" i="25"/>
  <c r="N25" i="25"/>
  <c r="N24" i="25"/>
  <c r="N23" i="25"/>
  <c r="N22" i="25"/>
  <c r="N21" i="25"/>
  <c r="N20" i="25"/>
  <c r="N19" i="25"/>
  <c r="N18" i="25"/>
  <c r="C51" i="30" l="1"/>
  <c r="E51" i="30" s="1"/>
  <c r="E50" i="30"/>
  <c r="C51" i="31"/>
  <c r="E50" i="31"/>
  <c r="P55" i="12"/>
  <c r="P56" i="12" s="1"/>
  <c r="P57" i="12" s="1"/>
  <c r="P58" i="12" s="1"/>
  <c r="P59" i="12" s="1"/>
  <c r="P60" i="12" s="1"/>
  <c r="C49" i="25"/>
  <c r="C60" i="23"/>
  <c r="N12" i="27"/>
  <c r="N10" i="27"/>
  <c r="N8" i="27"/>
  <c r="C52" i="31" l="1"/>
  <c r="E51" i="31"/>
  <c r="P61" i="12"/>
  <c r="P62" i="12" s="1"/>
  <c r="P63" i="12" s="1"/>
  <c r="P64" i="12" s="1"/>
  <c r="P65" i="12" s="1"/>
  <c r="P66" i="12" s="1"/>
  <c r="P67" i="12" s="1"/>
  <c r="P68" i="12" s="1"/>
  <c r="P69" i="12" s="1"/>
  <c r="P70" i="12" s="1"/>
  <c r="P71" i="12" s="1"/>
  <c r="P72" i="12" s="1"/>
  <c r="P73" i="12" s="1"/>
  <c r="P74" i="12" s="1"/>
  <c r="P75" i="12" s="1"/>
  <c r="P76" i="12" s="1"/>
  <c r="P77" i="12" s="1"/>
  <c r="P78" i="12" s="1"/>
  <c r="P79" i="12" s="1"/>
  <c r="P80" i="12" s="1"/>
  <c r="P81" i="12" s="1"/>
  <c r="P82" i="12" s="1"/>
  <c r="P83" i="12" s="1"/>
  <c r="P84" i="12" s="1"/>
  <c r="P85" i="12" s="1"/>
  <c r="P86" i="12" s="1"/>
  <c r="P87" i="12" s="1"/>
  <c r="C50" i="25"/>
  <c r="C61" i="23"/>
  <c r="N47" i="23"/>
  <c r="N43" i="23"/>
  <c r="N41" i="23"/>
  <c r="N39" i="23"/>
  <c r="N38" i="23"/>
  <c r="N37" i="23"/>
  <c r="N36" i="23"/>
  <c r="N35" i="23"/>
  <c r="N34" i="23"/>
  <c r="N33" i="23"/>
  <c r="N32" i="23"/>
  <c r="N31" i="23"/>
  <c r="N30" i="23"/>
  <c r="C1" i="17"/>
  <c r="B1" i="17"/>
  <c r="C53" i="31" l="1"/>
  <c r="E52" i="31"/>
  <c r="C51" i="25"/>
  <c r="C62" i="23"/>
  <c r="C63" i="23" s="1"/>
  <c r="C4" i="18"/>
  <c r="N5" i="27"/>
  <c r="N6" i="27"/>
  <c r="N4" i="27"/>
  <c r="N4" i="26"/>
  <c r="N10" i="25"/>
  <c r="N6" i="25"/>
  <c r="N7" i="25"/>
  <c r="N8" i="25"/>
  <c r="N9" i="25"/>
  <c r="N11" i="25"/>
  <c r="N12" i="25"/>
  <c r="N13" i="25"/>
  <c r="N14" i="25"/>
  <c r="N15" i="25"/>
  <c r="N16" i="25"/>
  <c r="N17" i="25"/>
  <c r="N5" i="25"/>
  <c r="N4" i="25"/>
  <c r="N20" i="23"/>
  <c r="N22" i="23"/>
  <c r="N24" i="23"/>
  <c r="N26" i="23"/>
  <c r="N28" i="23"/>
  <c r="N18" i="23"/>
  <c r="N19" i="23"/>
  <c r="N21" i="23"/>
  <c r="N23" i="23"/>
  <c r="N25" i="23"/>
  <c r="N27" i="23"/>
  <c r="N29" i="23"/>
  <c r="N5" i="23"/>
  <c r="N6" i="23"/>
  <c r="N9" i="23"/>
  <c r="N10" i="23"/>
  <c r="N13" i="23"/>
  <c r="N14" i="23"/>
  <c r="N17" i="23"/>
  <c r="N4" i="23"/>
  <c r="N7" i="23"/>
  <c r="N8" i="23"/>
  <c r="N11" i="23"/>
  <c r="N12" i="23"/>
  <c r="N15" i="23"/>
  <c r="N16" i="23"/>
  <c r="N21" i="22"/>
  <c r="N29" i="22"/>
  <c r="N37" i="22"/>
  <c r="N17" i="22"/>
  <c r="N19" i="22"/>
  <c r="N23" i="22"/>
  <c r="N25" i="22"/>
  <c r="N27" i="22"/>
  <c r="N31" i="22"/>
  <c r="N33" i="22"/>
  <c r="N35" i="22"/>
  <c r="N39" i="22"/>
  <c r="N41" i="22"/>
  <c r="N10" i="22"/>
  <c r="N4" i="22"/>
  <c r="N5" i="22"/>
  <c r="N6" i="22"/>
  <c r="N7" i="22"/>
  <c r="N8" i="22"/>
  <c r="N9" i="22"/>
  <c r="N12" i="22"/>
  <c r="N14" i="22"/>
  <c r="N16" i="22"/>
  <c r="N18" i="22"/>
  <c r="N20" i="22"/>
  <c r="N22" i="22"/>
  <c r="N24" i="22"/>
  <c r="N26" i="22"/>
  <c r="N28" i="22"/>
  <c r="N30" i="22"/>
  <c r="N32" i="22"/>
  <c r="N34" i="22"/>
  <c r="N36" i="22"/>
  <c r="N38" i="22"/>
  <c r="N40" i="22"/>
  <c r="N13" i="22"/>
  <c r="N15" i="22"/>
  <c r="N29" i="21"/>
  <c r="N31" i="21"/>
  <c r="N33" i="21"/>
  <c r="N27" i="21"/>
  <c r="N28" i="21"/>
  <c r="N30" i="21"/>
  <c r="N32" i="21"/>
  <c r="N12" i="21"/>
  <c r="N16" i="21"/>
  <c r="N11" i="21"/>
  <c r="N15" i="21"/>
  <c r="N22" i="21"/>
  <c r="N24" i="21"/>
  <c r="N26" i="21"/>
  <c r="N4" i="21"/>
  <c r="N14" i="21"/>
  <c r="N5" i="21"/>
  <c r="N13" i="21"/>
  <c r="N17" i="21"/>
  <c r="N23" i="21"/>
  <c r="N25" i="21"/>
  <c r="N4" i="20"/>
  <c r="N60" i="18"/>
  <c r="N61" i="18"/>
  <c r="N64" i="18"/>
  <c r="N65" i="18"/>
  <c r="N68" i="18"/>
  <c r="N69" i="18"/>
  <c r="N72" i="18"/>
  <c r="N73" i="18"/>
  <c r="N76" i="18"/>
  <c r="N77" i="18"/>
  <c r="N80" i="18"/>
  <c r="N81" i="18"/>
  <c r="N84" i="18"/>
  <c r="N85" i="18"/>
  <c r="N57" i="18"/>
  <c r="N58" i="18"/>
  <c r="N59" i="18"/>
  <c r="N62" i="18"/>
  <c r="N63" i="18"/>
  <c r="N66" i="18"/>
  <c r="N67" i="18"/>
  <c r="N70" i="18"/>
  <c r="N71" i="18"/>
  <c r="N74" i="18"/>
  <c r="N75" i="18"/>
  <c r="N78" i="18"/>
  <c r="N79" i="18"/>
  <c r="N82" i="18"/>
  <c r="N83" i="18"/>
  <c r="N86" i="18"/>
  <c r="C54" i="31" l="1"/>
  <c r="E53" i="31"/>
  <c r="C52" i="25"/>
  <c r="C64" i="23"/>
  <c r="C65" i="23" s="1"/>
  <c r="N4" i="19"/>
  <c r="N56" i="18"/>
  <c r="N45" i="18"/>
  <c r="N46" i="18"/>
  <c r="N47" i="18"/>
  <c r="N48" i="18"/>
  <c r="N49" i="18"/>
  <c r="N50" i="18"/>
  <c r="N51" i="18"/>
  <c r="N52" i="18"/>
  <c r="N53" i="18"/>
  <c r="N54" i="18"/>
  <c r="N55" i="18"/>
  <c r="N6" i="18"/>
  <c r="N8" i="18"/>
  <c r="N10" i="18"/>
  <c r="N12" i="18"/>
  <c r="N14" i="18"/>
  <c r="N16" i="18"/>
  <c r="N18" i="18"/>
  <c r="N20" i="18"/>
  <c r="N22" i="18"/>
  <c r="N24" i="18"/>
  <c r="N26" i="18"/>
  <c r="N5" i="18"/>
  <c r="N7" i="18"/>
  <c r="N9" i="18"/>
  <c r="N11" i="18"/>
  <c r="N13" i="18"/>
  <c r="N15" i="18"/>
  <c r="N17" i="18"/>
  <c r="N19" i="18"/>
  <c r="N21" i="18"/>
  <c r="N23" i="18"/>
  <c r="N25" i="18"/>
  <c r="N27" i="18"/>
  <c r="N28" i="18"/>
  <c r="N29" i="18"/>
  <c r="N30" i="18"/>
  <c r="N31" i="18"/>
  <c r="N32" i="18"/>
  <c r="N33" i="18"/>
  <c r="N34" i="18"/>
  <c r="N35" i="18"/>
  <c r="N36" i="18"/>
  <c r="N37" i="18"/>
  <c r="N38" i="18"/>
  <c r="N39" i="18"/>
  <c r="N40" i="18"/>
  <c r="N41" i="18"/>
  <c r="N42" i="18"/>
  <c r="N43" i="18"/>
  <c r="N44" i="18"/>
  <c r="N4" i="18"/>
  <c r="C4" i="15"/>
  <c r="C5" i="15" s="1"/>
  <c r="C6" i="15" s="1"/>
  <c r="C7" i="15" s="1"/>
  <c r="C8" i="15" s="1"/>
  <c r="C9" i="15" s="1"/>
  <c r="C10" i="15" s="1"/>
  <c r="C11" i="15" s="1"/>
  <c r="C12" i="15" s="1"/>
  <c r="C13" i="15" s="1"/>
  <c r="C14" i="15" s="1"/>
  <c r="C15" i="15" s="1"/>
  <c r="C16" i="15" s="1"/>
  <c r="C17" i="15" s="1"/>
  <c r="C18" i="15" s="1"/>
  <c r="C19" i="15" s="1"/>
  <c r="C20" i="15" s="1"/>
  <c r="C21" i="15" s="1"/>
  <c r="C22" i="15" s="1"/>
  <c r="C23" i="15" s="1"/>
  <c r="C24" i="15" s="1"/>
  <c r="C25" i="15" s="1"/>
  <c r="C26" i="15" s="1"/>
  <c r="C27" i="15" s="1"/>
  <c r="C28" i="15" s="1"/>
  <c r="C29" i="15" s="1"/>
  <c r="N70" i="15"/>
  <c r="N72" i="15"/>
  <c r="N65" i="15"/>
  <c r="N67" i="15"/>
  <c r="N69" i="15"/>
  <c r="N71" i="15"/>
  <c r="N30" i="15"/>
  <c r="N32" i="15"/>
  <c r="N34" i="15"/>
  <c r="N36" i="15"/>
  <c r="N38" i="15"/>
  <c r="N40" i="15"/>
  <c r="N42" i="15"/>
  <c r="N44" i="15"/>
  <c r="N46" i="15"/>
  <c r="N48" i="15"/>
  <c r="N50" i="15"/>
  <c r="N52" i="15"/>
  <c r="N54" i="15"/>
  <c r="N56" i="15"/>
  <c r="N58" i="15"/>
  <c r="N60" i="15"/>
  <c r="N62" i="15"/>
  <c r="N64" i="15"/>
  <c r="N66" i="15"/>
  <c r="N68" i="15"/>
  <c r="N5" i="15"/>
  <c r="N6" i="15"/>
  <c r="N7" i="15"/>
  <c r="N8" i="15"/>
  <c r="N9" i="15"/>
  <c r="N10" i="15"/>
  <c r="N11" i="15"/>
  <c r="N12" i="15"/>
  <c r="N13" i="15"/>
  <c r="N14" i="15"/>
  <c r="N15" i="15"/>
  <c r="N16" i="15"/>
  <c r="N17" i="15"/>
  <c r="N18" i="15"/>
  <c r="N19" i="15"/>
  <c r="N20" i="15"/>
  <c r="N21" i="15"/>
  <c r="N22" i="15"/>
  <c r="N23" i="15"/>
  <c r="N24" i="15"/>
  <c r="N25" i="15"/>
  <c r="N26" i="15"/>
  <c r="N27" i="15"/>
  <c r="N29" i="15"/>
  <c r="N31" i="15"/>
  <c r="N33" i="15"/>
  <c r="N35" i="15"/>
  <c r="N37" i="15"/>
  <c r="N39" i="15"/>
  <c r="N41" i="15"/>
  <c r="N43" i="15"/>
  <c r="N45" i="15"/>
  <c r="N47" i="15"/>
  <c r="N49" i="15"/>
  <c r="N51" i="15"/>
  <c r="N53" i="15"/>
  <c r="N55" i="15"/>
  <c r="N57" i="15"/>
  <c r="N59" i="15"/>
  <c r="N61" i="15"/>
  <c r="N63" i="15"/>
  <c r="N4" i="15"/>
  <c r="C4" i="13"/>
  <c r="C5" i="13" s="1"/>
  <c r="C6" i="13" s="1"/>
  <c r="C7" i="13" s="1"/>
  <c r="C8" i="13" s="1"/>
  <c r="C9" i="13" s="1"/>
  <c r="C10" i="13" s="1"/>
  <c r="C11" i="13" s="1"/>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49" i="13" s="1"/>
  <c r="C50" i="13" s="1"/>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C73" i="13" s="1"/>
  <c r="C74" i="13" s="1"/>
  <c r="C75" i="13" s="1"/>
  <c r="C76" i="13" s="1"/>
  <c r="C77" i="13" s="1"/>
  <c r="C78" i="13" s="1"/>
  <c r="C79" i="13" s="1"/>
  <c r="C80" i="13" s="1"/>
  <c r="C81" i="13" s="1"/>
  <c r="C82" i="13" s="1"/>
  <c r="C83" i="13" s="1"/>
  <c r="C84" i="13" s="1"/>
  <c r="C85" i="13" s="1"/>
  <c r="C86" i="13" s="1"/>
  <c r="C87" i="13" s="1"/>
  <c r="C88" i="13" s="1"/>
  <c r="C89" i="13" s="1"/>
  <c r="C90" i="13" s="1"/>
  <c r="C91" i="13" s="1"/>
  <c r="C92" i="13" s="1"/>
  <c r="C93" i="13" s="1"/>
  <c r="C94" i="13" s="1"/>
  <c r="C95" i="13" s="1"/>
  <c r="C96" i="13" s="1"/>
  <c r="C97" i="13" s="1"/>
  <c r="C98" i="13" s="1"/>
  <c r="C99" i="13" s="1"/>
  <c r="C100" i="13" s="1"/>
  <c r="C101" i="13" s="1"/>
  <c r="C102" i="13" s="1"/>
  <c r="C103" i="13" s="1"/>
  <c r="C104" i="13" s="1"/>
  <c r="C105" i="13" s="1"/>
  <c r="C106" i="13" s="1"/>
  <c r="C107" i="13" s="1"/>
  <c r="C108" i="13" s="1"/>
  <c r="C109" i="13" s="1"/>
  <c r="C110" i="13" s="1"/>
  <c r="C111" i="13" s="1"/>
  <c r="C112" i="13" s="1"/>
  <c r="C113" i="13" s="1"/>
  <c r="C114" i="13" s="1"/>
  <c r="C115" i="13" s="1"/>
  <c r="C116" i="13" s="1"/>
  <c r="C117" i="13" s="1"/>
  <c r="C118" i="13" s="1"/>
  <c r="C119" i="13" s="1"/>
  <c r="C120" i="13" s="1"/>
  <c r="C121" i="13" s="1"/>
  <c r="C122" i="13" s="1"/>
  <c r="C123" i="13" s="1"/>
  <c r="C124" i="13" s="1"/>
  <c r="C125" i="13" s="1"/>
  <c r="C126" i="13" s="1"/>
  <c r="C127" i="13" s="1"/>
  <c r="C128" i="13" s="1"/>
  <c r="C129" i="13" s="1"/>
  <c r="C130" i="13" s="1"/>
  <c r="C131" i="13" s="1"/>
  <c r="C132" i="13" s="1"/>
  <c r="C133" i="13" s="1"/>
  <c r="C134" i="13" s="1"/>
  <c r="C135" i="13" s="1"/>
  <c r="C136" i="13" s="1"/>
  <c r="C137" i="13" s="1"/>
  <c r="C138" i="13" s="1"/>
  <c r="C139" i="13" s="1"/>
  <c r="C140" i="13" s="1"/>
  <c r="C141" i="13" s="1"/>
  <c r="C142" i="13" s="1"/>
  <c r="C143" i="13" s="1"/>
  <c r="C144" i="13" s="1"/>
  <c r="C145" i="13" s="1"/>
  <c r="C146" i="13" s="1"/>
  <c r="C147" i="13" s="1"/>
  <c r="C148" i="13" s="1"/>
  <c r="C149" i="13" s="1"/>
  <c r="C150" i="13" s="1"/>
  <c r="C151" i="13" s="1"/>
  <c r="C152" i="13" s="1"/>
  <c r="C153" i="13" s="1"/>
  <c r="C154" i="13" s="1"/>
  <c r="C155" i="13" s="1"/>
  <c r="C156" i="13" s="1"/>
  <c r="C157" i="13" s="1"/>
  <c r="C158" i="13" s="1"/>
  <c r="C159" i="13" s="1"/>
  <c r="C160" i="13" s="1"/>
  <c r="C161" i="13" s="1"/>
  <c r="C162" i="13" s="1"/>
  <c r="C163" i="13" s="1"/>
  <c r="C164" i="13" s="1"/>
  <c r="C165" i="13" s="1"/>
  <c r="C166" i="13" s="1"/>
  <c r="C167" i="13" s="1"/>
  <c r="C168" i="13" s="1"/>
  <c r="C169" i="13" s="1"/>
  <c r="C170" i="13" s="1"/>
  <c r="C171" i="13" s="1"/>
  <c r="C172" i="13" s="1"/>
  <c r="C173" i="13" s="1"/>
  <c r="C174" i="13" s="1"/>
  <c r="C175" i="13" s="1"/>
  <c r="C176" i="13" s="1"/>
  <c r="C177" i="13" s="1"/>
  <c r="C178" i="13" s="1"/>
  <c r="C179" i="13" s="1"/>
  <c r="C180" i="13" s="1"/>
  <c r="C181" i="13" s="1"/>
  <c r="C182" i="13" s="1"/>
  <c r="C183" i="13" s="1"/>
  <c r="C184" i="13" s="1"/>
  <c r="C185" i="13" s="1"/>
  <c r="C186" i="13" s="1"/>
  <c r="C187" i="13" s="1"/>
  <c r="C188" i="13" s="1"/>
  <c r="C189" i="13" s="1"/>
  <c r="C190" i="13" s="1"/>
  <c r="C191" i="13" s="1"/>
  <c r="C192" i="13" s="1"/>
  <c r="C193" i="13" s="1"/>
  <c r="C194" i="13" s="1"/>
  <c r="C195" i="13" s="1"/>
  <c r="C196" i="13" s="1"/>
  <c r="C197" i="13" s="1"/>
  <c r="C198" i="13" s="1"/>
  <c r="C199" i="13" s="1"/>
  <c r="C200" i="13" s="1"/>
  <c r="C201" i="13" s="1"/>
  <c r="C202" i="13" s="1"/>
  <c r="C203" i="13" s="1"/>
  <c r="C204" i="13" s="1"/>
  <c r="C205" i="13" s="1"/>
  <c r="C206" i="13" s="1"/>
  <c r="C207" i="13" s="1"/>
  <c r="C208" i="13" s="1"/>
  <c r="C209" i="13" s="1"/>
  <c r="C210" i="13" s="1"/>
  <c r="C211" i="13" s="1"/>
  <c r="C212" i="13" s="1"/>
  <c r="C213" i="13" s="1"/>
  <c r="C214" i="13" s="1"/>
  <c r="C215" i="13" s="1"/>
  <c r="C216" i="13" s="1"/>
  <c r="C217" i="13" s="1"/>
  <c r="C218" i="13" s="1"/>
  <c r="C219" i="13" s="1"/>
  <c r="C220" i="13" s="1"/>
  <c r="C221" i="13" s="1"/>
  <c r="C222" i="13" s="1"/>
  <c r="C223" i="13" s="1"/>
  <c r="C224" i="13" s="1"/>
  <c r="C225" i="13" s="1"/>
  <c r="C226" i="13" s="1"/>
  <c r="C227" i="13" s="1"/>
  <c r="C228" i="13" s="1"/>
  <c r="C229" i="13" s="1"/>
  <c r="C230" i="13" s="1"/>
  <c r="C231" i="13" s="1"/>
  <c r="C232" i="13" s="1"/>
  <c r="C233" i="13" s="1"/>
  <c r="C234" i="13" s="1"/>
  <c r="C235" i="13" s="1"/>
  <c r="C236" i="13" s="1"/>
  <c r="C237" i="13" s="1"/>
  <c r="C238" i="13" s="1"/>
  <c r="C239" i="13" s="1"/>
  <c r="C240" i="13" s="1"/>
  <c r="C241" i="13" s="1"/>
  <c r="C242" i="13" s="1"/>
  <c r="C243" i="13" s="1"/>
  <c r="C244" i="13" s="1"/>
  <c r="C245" i="13" s="1"/>
  <c r="C246" i="13" s="1"/>
  <c r="C247" i="13" s="1"/>
  <c r="C248" i="13" s="1"/>
  <c r="N4" i="13"/>
  <c r="C4" i="12"/>
  <c r="N6" i="12"/>
  <c r="N8" i="12"/>
  <c r="N10" i="12"/>
  <c r="N12" i="12"/>
  <c r="N5" i="12"/>
  <c r="N7" i="12"/>
  <c r="N9" i="12"/>
  <c r="N11" i="12"/>
  <c r="N13" i="12"/>
  <c r="N14" i="12"/>
  <c r="N15" i="12"/>
  <c r="N16" i="12"/>
  <c r="N17" i="12"/>
  <c r="N18" i="12"/>
  <c r="N19" i="12"/>
  <c r="N20" i="12"/>
  <c r="N21" i="12"/>
  <c r="N22" i="12"/>
  <c r="N23" i="12"/>
  <c r="N24" i="12"/>
  <c r="N25" i="12"/>
  <c r="N26" i="12"/>
  <c r="N27" i="12"/>
  <c r="N4" i="12"/>
  <c r="C4" i="10"/>
  <c r="N6" i="10"/>
  <c r="N8" i="10"/>
  <c r="N10" i="10"/>
  <c r="N12" i="10"/>
  <c r="N14" i="10"/>
  <c r="N16" i="10"/>
  <c r="N18" i="10"/>
  <c r="N20" i="10"/>
  <c r="N22" i="10"/>
  <c r="N24" i="10"/>
  <c r="N26" i="10"/>
  <c r="N28" i="10"/>
  <c r="N30" i="10"/>
  <c r="N32" i="10"/>
  <c r="N34" i="10"/>
  <c r="N36" i="10"/>
  <c r="N38" i="10"/>
  <c r="N40" i="10"/>
  <c r="N42" i="10"/>
  <c r="N44" i="10"/>
  <c r="N5" i="10"/>
  <c r="N7" i="10"/>
  <c r="N9" i="10"/>
  <c r="N11" i="10"/>
  <c r="N13" i="10"/>
  <c r="N15" i="10"/>
  <c r="N17" i="10"/>
  <c r="N19" i="10"/>
  <c r="N21" i="10"/>
  <c r="N23" i="10"/>
  <c r="N25" i="10"/>
  <c r="N27" i="10"/>
  <c r="N29" i="10"/>
  <c r="N31" i="10"/>
  <c r="N33" i="10"/>
  <c r="N35" i="10"/>
  <c r="N37" i="10"/>
  <c r="N39" i="10"/>
  <c r="N41" i="10"/>
  <c r="N43" i="10"/>
  <c r="N45" i="10"/>
  <c r="N46" i="10"/>
  <c r="N47" i="10"/>
  <c r="N48" i="10"/>
  <c r="N49" i="10"/>
  <c r="N50" i="10"/>
  <c r="N51" i="10"/>
  <c r="N52" i="10"/>
  <c r="N53" i="10"/>
  <c r="N54" i="10"/>
  <c r="N55" i="10"/>
  <c r="N4" i="10"/>
  <c r="N80" i="9"/>
  <c r="N79" i="9"/>
  <c r="N78" i="9"/>
  <c r="N75" i="9"/>
  <c r="N73" i="9"/>
  <c r="N71" i="9"/>
  <c r="N69" i="9"/>
  <c r="N67" i="9"/>
  <c r="N65" i="9"/>
  <c r="N63" i="9"/>
  <c r="N61" i="9"/>
  <c r="N53" i="9"/>
  <c r="N44" i="9"/>
  <c r="N46" i="9"/>
  <c r="N48" i="9"/>
  <c r="N50" i="9"/>
  <c r="N52" i="9"/>
  <c r="N54" i="9"/>
  <c r="N60" i="9"/>
  <c r="N62" i="9"/>
  <c r="N64" i="9"/>
  <c r="N66" i="9"/>
  <c r="N68" i="9"/>
  <c r="N70" i="9"/>
  <c r="N72" i="9"/>
  <c r="N74" i="9"/>
  <c r="N29" i="9"/>
  <c r="N31" i="9"/>
  <c r="N33" i="9"/>
  <c r="N35" i="9"/>
  <c r="N37" i="9"/>
  <c r="N39" i="9"/>
  <c r="N41" i="9"/>
  <c r="N43" i="9"/>
  <c r="N45" i="9"/>
  <c r="N47" i="9"/>
  <c r="N49" i="9"/>
  <c r="N51" i="9"/>
  <c r="N5" i="9"/>
  <c r="N6" i="9"/>
  <c r="N7" i="9"/>
  <c r="N8" i="9"/>
  <c r="N9" i="9"/>
  <c r="N10" i="9"/>
  <c r="N11" i="9"/>
  <c r="N12" i="9"/>
  <c r="N13" i="9"/>
  <c r="N14" i="9"/>
  <c r="N15" i="9"/>
  <c r="N16" i="9"/>
  <c r="N17" i="9"/>
  <c r="N18" i="9"/>
  <c r="N19" i="9"/>
  <c r="N20" i="9"/>
  <c r="N21" i="9"/>
  <c r="N22" i="9"/>
  <c r="N23" i="9"/>
  <c r="N24" i="9"/>
  <c r="N25" i="9"/>
  <c r="N26" i="9"/>
  <c r="N27" i="9"/>
  <c r="N28" i="9"/>
  <c r="N30" i="9"/>
  <c r="N32" i="9"/>
  <c r="N34" i="9"/>
  <c r="N36" i="9"/>
  <c r="N38" i="9"/>
  <c r="N40" i="9"/>
  <c r="N42" i="9"/>
  <c r="N4" i="9"/>
  <c r="N64" i="8"/>
  <c r="C4" i="8"/>
  <c r="N6" i="8"/>
  <c r="N8" i="8"/>
  <c r="N10" i="8"/>
  <c r="N12" i="8"/>
  <c r="N14" i="8"/>
  <c r="N16" i="8"/>
  <c r="N18" i="8"/>
  <c r="N20" i="8"/>
  <c r="N22" i="8"/>
  <c r="N24" i="8"/>
  <c r="N26" i="8"/>
  <c r="N28" i="8"/>
  <c r="N30" i="8"/>
  <c r="N32" i="8"/>
  <c r="N34" i="8"/>
  <c r="N36" i="8"/>
  <c r="N38" i="8"/>
  <c r="N40" i="8"/>
  <c r="N5" i="8"/>
  <c r="N7" i="8"/>
  <c r="N9" i="8"/>
  <c r="N11" i="8"/>
  <c r="N13" i="8"/>
  <c r="N15" i="8"/>
  <c r="N17" i="8"/>
  <c r="N19" i="8"/>
  <c r="N21" i="8"/>
  <c r="N23" i="8"/>
  <c r="N25" i="8"/>
  <c r="N27" i="8"/>
  <c r="N29" i="8"/>
  <c r="N31" i="8"/>
  <c r="N33" i="8"/>
  <c r="N35" i="8"/>
  <c r="N37" i="8"/>
  <c r="N39" i="8"/>
  <c r="N41" i="8"/>
  <c r="N42" i="8"/>
  <c r="N43" i="8"/>
  <c r="N44" i="8"/>
  <c r="N45" i="8"/>
  <c r="N46" i="8"/>
  <c r="N47" i="8"/>
  <c r="N48" i="8"/>
  <c r="N49" i="8"/>
  <c r="N50" i="8"/>
  <c r="N51" i="8"/>
  <c r="N52" i="8"/>
  <c r="N53" i="8"/>
  <c r="N54" i="8"/>
  <c r="N55" i="8"/>
  <c r="N56" i="8"/>
  <c r="N57" i="8"/>
  <c r="N58" i="8"/>
  <c r="N59" i="8"/>
  <c r="N60" i="8"/>
  <c r="N61" i="8"/>
  <c r="N62" i="8"/>
  <c r="N63" i="8"/>
  <c r="N65" i="8"/>
  <c r="N4" i="8"/>
  <c r="C4" i="7"/>
  <c r="N6" i="7"/>
  <c r="N8" i="7"/>
  <c r="N10" i="7"/>
  <c r="N12" i="7"/>
  <c r="N14" i="7"/>
  <c r="N16" i="7"/>
  <c r="N18" i="7"/>
  <c r="N20" i="7"/>
  <c r="N5" i="7"/>
  <c r="N7" i="7"/>
  <c r="N9" i="7"/>
  <c r="N11" i="7"/>
  <c r="N13" i="7"/>
  <c r="N15" i="7"/>
  <c r="N17" i="7"/>
  <c r="N19" i="7"/>
  <c r="N21" i="7"/>
  <c r="N26" i="7"/>
  <c r="N27" i="7"/>
  <c r="N28" i="7"/>
  <c r="N29" i="7"/>
  <c r="N30" i="7"/>
  <c r="N31" i="7"/>
  <c r="N32" i="7"/>
  <c r="N33" i="7"/>
  <c r="N34" i="7"/>
  <c r="N35" i="7"/>
  <c r="N36" i="7"/>
  <c r="N37" i="7"/>
  <c r="N38" i="7"/>
  <c r="N39" i="7"/>
  <c r="N40" i="7"/>
  <c r="N41" i="7"/>
  <c r="N42" i="7"/>
  <c r="N43" i="7"/>
  <c r="N44" i="7"/>
  <c r="N45" i="7"/>
  <c r="N46" i="7"/>
  <c r="N4" i="7"/>
  <c r="N4" i="11"/>
  <c r="C55" i="31" l="1"/>
  <c r="E54" i="31"/>
  <c r="C249" i="13"/>
  <c r="C250" i="13" s="1"/>
  <c r="C251" i="13" s="1"/>
  <c r="C252" i="13" s="1"/>
  <c r="C253" i="13" s="1"/>
  <c r="C254" i="13" s="1"/>
  <c r="C255" i="13" s="1"/>
  <c r="C256" i="13" s="1"/>
  <c r="C257" i="13" s="1"/>
  <c r="C258" i="13" s="1"/>
  <c r="C259" i="13" s="1"/>
  <c r="C260" i="13" s="1"/>
  <c r="C261" i="13" s="1"/>
  <c r="C262" i="13" s="1"/>
  <c r="C263" i="13" s="1"/>
  <c r="C264" i="13" s="1"/>
  <c r="C265" i="13" s="1"/>
  <c r="C266" i="13" s="1"/>
  <c r="C267" i="13" s="1"/>
  <c r="C53" i="25"/>
  <c r="C4" i="5"/>
  <c r="C5" i="5" s="1"/>
  <c r="C6" i="5" s="1"/>
  <c r="C7" i="5" s="1"/>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N130" i="5"/>
  <c r="N128" i="5"/>
  <c r="N126" i="5"/>
  <c r="N120" i="5"/>
  <c r="N104" i="5"/>
  <c r="N96" i="5"/>
  <c r="N94" i="5"/>
  <c r="N92" i="5"/>
  <c r="N90" i="5"/>
  <c r="N86" i="5"/>
  <c r="N88" i="5"/>
  <c r="N66" i="5"/>
  <c r="N68" i="5"/>
  <c r="N70" i="5"/>
  <c r="N72" i="5"/>
  <c r="N74" i="5"/>
  <c r="N76" i="5"/>
  <c r="N78" i="5"/>
  <c r="N80" i="5"/>
  <c r="N82" i="5"/>
  <c r="N84" i="5"/>
  <c r="N98" i="5"/>
  <c r="N100" i="5"/>
  <c r="N102" i="5"/>
  <c r="N106" i="5"/>
  <c r="N108" i="5"/>
  <c r="N110" i="5"/>
  <c r="N112" i="5"/>
  <c r="N114" i="5"/>
  <c r="N116" i="5"/>
  <c r="N118" i="5"/>
  <c r="N122" i="5"/>
  <c r="N124" i="5"/>
  <c r="N64" i="5"/>
  <c r="N60" i="5"/>
  <c r="N62"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7" i="5"/>
  <c r="N39" i="5"/>
  <c r="N41" i="5"/>
  <c r="N43" i="5"/>
  <c r="N45" i="5"/>
  <c r="N47" i="5"/>
  <c r="N49" i="5"/>
  <c r="N51" i="5"/>
  <c r="N53" i="5"/>
  <c r="N55" i="5"/>
  <c r="N57" i="5"/>
  <c r="N59" i="5"/>
  <c r="N61" i="5"/>
  <c r="N63" i="5"/>
  <c r="N65" i="5"/>
  <c r="N67" i="5"/>
  <c r="N69" i="5"/>
  <c r="N71" i="5"/>
  <c r="N73" i="5"/>
  <c r="N75" i="5"/>
  <c r="N77" i="5"/>
  <c r="N79" i="5"/>
  <c r="N81" i="5"/>
  <c r="N83" i="5"/>
  <c r="N85" i="5"/>
  <c r="N87" i="5"/>
  <c r="N89" i="5"/>
  <c r="N91" i="5"/>
  <c r="N93" i="5"/>
  <c r="N95" i="5"/>
  <c r="N97" i="5"/>
  <c r="N99" i="5"/>
  <c r="N101" i="5"/>
  <c r="N103" i="5"/>
  <c r="N105" i="5"/>
  <c r="N107" i="5"/>
  <c r="N109" i="5"/>
  <c r="N111" i="5"/>
  <c r="N113" i="5"/>
  <c r="N115" i="5"/>
  <c r="N117" i="5"/>
  <c r="N119" i="5"/>
  <c r="N121" i="5"/>
  <c r="N123" i="5"/>
  <c r="N125" i="5"/>
  <c r="N127" i="5"/>
  <c r="N129" i="5"/>
  <c r="N38" i="5"/>
  <c r="N40" i="5"/>
  <c r="N42" i="5"/>
  <c r="N44" i="5"/>
  <c r="N46" i="5"/>
  <c r="N48" i="5"/>
  <c r="N50" i="5"/>
  <c r="N52" i="5"/>
  <c r="N54" i="5"/>
  <c r="N56" i="5"/>
  <c r="N58" i="5"/>
  <c r="N4" i="5"/>
  <c r="N73" i="4"/>
  <c r="N70" i="4"/>
  <c r="N68" i="4"/>
  <c r="N66" i="4"/>
  <c r="N58" i="4"/>
  <c r="N56" i="4"/>
  <c r="C4" i="4"/>
  <c r="N43" i="4"/>
  <c r="N45" i="4"/>
  <c r="N47" i="4"/>
  <c r="N49" i="4"/>
  <c r="N51" i="4"/>
  <c r="N53" i="4"/>
  <c r="N54" i="4"/>
  <c r="N55" i="4"/>
  <c r="N57" i="4"/>
  <c r="N59" i="4"/>
  <c r="N60" i="4"/>
  <c r="N61" i="4"/>
  <c r="N62" i="4"/>
  <c r="N63" i="4"/>
  <c r="N64" i="4"/>
  <c r="N65" i="4"/>
  <c r="N67" i="4"/>
  <c r="N69" i="4"/>
  <c r="N71" i="4"/>
  <c r="N72" i="4"/>
  <c r="N48" i="4"/>
  <c r="N50" i="4"/>
  <c r="N52" i="4"/>
  <c r="N5" i="4"/>
  <c r="N7" i="4"/>
  <c r="N9" i="4"/>
  <c r="N11" i="4"/>
  <c r="N13" i="4"/>
  <c r="N15" i="4"/>
  <c r="N17" i="4"/>
  <c r="N19" i="4"/>
  <c r="N21" i="4"/>
  <c r="N23" i="4"/>
  <c r="N25" i="4"/>
  <c r="N27" i="4"/>
  <c r="N29" i="4"/>
  <c r="N31" i="4"/>
  <c r="N33" i="4"/>
  <c r="N35" i="4"/>
  <c r="N37" i="4"/>
  <c r="N39" i="4"/>
  <c r="N41" i="4"/>
  <c r="N6" i="4"/>
  <c r="N8" i="4"/>
  <c r="N10" i="4"/>
  <c r="N12" i="4"/>
  <c r="N14" i="4"/>
  <c r="N16" i="4"/>
  <c r="N18" i="4"/>
  <c r="N20" i="4"/>
  <c r="N22" i="4"/>
  <c r="N24" i="4"/>
  <c r="N26" i="4"/>
  <c r="N28" i="4"/>
  <c r="N30" i="4"/>
  <c r="N32" i="4"/>
  <c r="N34" i="4"/>
  <c r="N36" i="4"/>
  <c r="N38" i="4"/>
  <c r="N40" i="4"/>
  <c r="N42" i="4"/>
  <c r="N44" i="4"/>
  <c r="N46" i="4"/>
  <c r="N4" i="4"/>
  <c r="C56" i="31" l="1"/>
  <c r="E55" i="31"/>
  <c r="C54" i="25"/>
  <c r="C4" i="3"/>
  <c r="N21" i="3"/>
  <c r="N17" i="3"/>
  <c r="N73" i="3"/>
  <c r="N71" i="3"/>
  <c r="N62" i="3"/>
  <c r="N56" i="3"/>
  <c r="N37" i="3"/>
  <c r="N102" i="3"/>
  <c r="N100" i="3"/>
  <c r="N95" i="3"/>
  <c r="N87" i="3"/>
  <c r="N85" i="3"/>
  <c r="N82" i="3"/>
  <c r="N80" i="3"/>
  <c r="N77" i="3"/>
  <c r="N69" i="3"/>
  <c r="N60" i="3"/>
  <c r="N45" i="3"/>
  <c r="N27" i="3"/>
  <c r="N13" i="3"/>
  <c r="N18" i="3"/>
  <c r="N10" i="3"/>
  <c r="N6" i="3"/>
  <c r="N96" i="3"/>
  <c r="N92" i="3"/>
  <c r="N91" i="3"/>
  <c r="N90" i="3"/>
  <c r="N88" i="3"/>
  <c r="N84" i="3"/>
  <c r="N76" i="3"/>
  <c r="N74" i="3"/>
  <c r="N67" i="3"/>
  <c r="N66" i="3"/>
  <c r="N65" i="3"/>
  <c r="N64" i="3"/>
  <c r="N63" i="3"/>
  <c r="N59" i="3"/>
  <c r="N58" i="3"/>
  <c r="N43" i="3"/>
  <c r="N39" i="3"/>
  <c r="N33" i="3"/>
  <c r="N31" i="3"/>
  <c r="N5" i="3"/>
  <c r="N7" i="3"/>
  <c r="N9" i="3"/>
  <c r="N46" i="3"/>
  <c r="N44" i="3"/>
  <c r="N42" i="3"/>
  <c r="N40" i="3"/>
  <c r="N38" i="3"/>
  <c r="N36" i="3"/>
  <c r="N34" i="3"/>
  <c r="N28" i="3"/>
  <c r="N30" i="3"/>
  <c r="N14" i="3"/>
  <c r="N20" i="3"/>
  <c r="N22" i="3"/>
  <c r="N24" i="3"/>
  <c r="N26" i="3"/>
  <c r="N79" i="3"/>
  <c r="N25" i="3"/>
  <c r="N32" i="3"/>
  <c r="N12" i="3"/>
  <c r="N4" i="3"/>
  <c r="N8" i="3"/>
  <c r="N16" i="3"/>
  <c r="N11" i="3"/>
  <c r="N23" i="3"/>
  <c r="N41" i="3"/>
  <c r="N47" i="3"/>
  <c r="N57" i="3"/>
  <c r="N68" i="3"/>
  <c r="N75" i="3"/>
  <c r="N78" i="3"/>
  <c r="N81" i="3"/>
  <c r="N83" i="3"/>
  <c r="N19" i="3"/>
  <c r="N29" i="3"/>
  <c r="N35" i="3"/>
  <c r="N55" i="3"/>
  <c r="N61" i="3"/>
  <c r="N70" i="3"/>
  <c r="N72" i="3"/>
  <c r="N86" i="3"/>
  <c r="N89" i="3"/>
  <c r="N93" i="3"/>
  <c r="N94" i="3"/>
  <c r="N97" i="3"/>
  <c r="N101" i="3"/>
  <c r="N15" i="3"/>
  <c r="C57" i="31" l="1"/>
  <c r="E56" i="31"/>
  <c r="C55" i="25"/>
  <c r="C66" i="23"/>
  <c r="N226" i="1"/>
  <c r="C5" i="1"/>
  <c r="C6" i="1" s="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N296" i="1"/>
  <c r="N253" i="1"/>
  <c r="N234" i="1"/>
  <c r="N219" i="1"/>
  <c r="N202" i="1"/>
  <c r="N196" i="1"/>
  <c r="N187" i="1"/>
  <c r="N162" i="1"/>
  <c r="N157" i="1"/>
  <c r="N137" i="1"/>
  <c r="N130" i="1"/>
  <c r="N125" i="1"/>
  <c r="N121" i="1"/>
  <c r="N9" i="1"/>
  <c r="N114" i="1"/>
  <c r="N115" i="1"/>
  <c r="N11" i="1"/>
  <c r="N29" i="1"/>
  <c r="N10" i="1"/>
  <c r="N102" i="1"/>
  <c r="N101" i="1"/>
  <c r="C58" i="31" l="1"/>
  <c r="E57" i="31"/>
  <c r="C56" i="25"/>
  <c r="C67" i="23"/>
  <c r="C228" i="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N223" i="1"/>
  <c r="N224" i="1"/>
  <c r="N116" i="1"/>
  <c r="N56" i="1"/>
  <c r="N57" i="1"/>
  <c r="N67" i="1"/>
  <c r="N81" i="1"/>
  <c r="N87" i="1"/>
  <c r="N103" i="1"/>
  <c r="N117" i="1"/>
  <c r="N131" i="1"/>
  <c r="N138" i="1"/>
  <c r="N147" i="1"/>
  <c r="N163" i="1"/>
  <c r="N172" i="1"/>
  <c r="N182" i="1"/>
  <c r="N197" i="1"/>
  <c r="N203" i="1"/>
  <c r="N210" i="1"/>
  <c r="N211" i="1"/>
  <c r="N212" i="1"/>
  <c r="N214" i="1"/>
  <c r="N220" i="1"/>
  <c r="N225" i="1"/>
  <c r="N227" i="1"/>
  <c r="N228" i="1"/>
  <c r="N235" i="1"/>
  <c r="N236" i="1"/>
  <c r="N237" i="1"/>
  <c r="N256" i="1"/>
  <c r="N262" i="1"/>
  <c r="N326" i="1"/>
  <c r="N332" i="1"/>
  <c r="N341" i="1"/>
  <c r="N55" i="1"/>
  <c r="N61" i="1"/>
  <c r="N66" i="1"/>
  <c r="N72" i="1"/>
  <c r="N74" i="1"/>
  <c r="N80" i="1"/>
  <c r="N120" i="1"/>
  <c r="N123" i="1"/>
  <c r="N124" i="1"/>
  <c r="N129" i="1"/>
  <c r="N136" i="1"/>
  <c r="N156" i="1"/>
  <c r="N161" i="1"/>
  <c r="N186" i="1"/>
  <c r="N195" i="1"/>
  <c r="N201" i="1"/>
  <c r="N218" i="1"/>
  <c r="N233" i="1"/>
  <c r="N252" i="1"/>
  <c r="N294" i="1"/>
  <c r="N4" i="1"/>
  <c r="N5" i="1"/>
  <c r="N6" i="1"/>
  <c r="N7" i="1"/>
  <c r="N8" i="1"/>
  <c r="N12" i="1"/>
  <c r="N13" i="1"/>
  <c r="N14" i="1"/>
  <c r="N15" i="1"/>
  <c r="N16" i="1"/>
  <c r="N17" i="1"/>
  <c r="N18" i="1"/>
  <c r="N19" i="1"/>
  <c r="N20" i="1"/>
  <c r="N21" i="1"/>
  <c r="N22" i="1"/>
  <c r="N23" i="1"/>
  <c r="N24" i="1"/>
  <c r="N25" i="1"/>
  <c r="N26" i="1"/>
  <c r="N27" i="1"/>
  <c r="N28" i="1"/>
  <c r="N111" i="1"/>
  <c r="N30" i="1"/>
  <c r="N31" i="1"/>
  <c r="N32" i="1"/>
  <c r="N33" i="1"/>
  <c r="N34" i="1"/>
  <c r="N35" i="1"/>
  <c r="N36" i="1"/>
  <c r="N37" i="1"/>
  <c r="N38" i="1"/>
  <c r="N39" i="1"/>
  <c r="N40" i="1"/>
  <c r="N41" i="1"/>
  <c r="N42" i="1"/>
  <c r="N43" i="1"/>
  <c r="N44" i="1"/>
  <c r="N45" i="1"/>
  <c r="N46" i="1"/>
  <c r="N47" i="1"/>
  <c r="N48" i="1"/>
  <c r="N49" i="1"/>
  <c r="N50" i="1"/>
  <c r="N51" i="1"/>
  <c r="N52" i="1"/>
  <c r="N53" i="1"/>
  <c r="N54" i="1"/>
  <c r="N58" i="1"/>
  <c r="N59" i="1"/>
  <c r="N60" i="1"/>
  <c r="N62" i="1"/>
  <c r="N63" i="1"/>
  <c r="N64" i="1"/>
  <c r="N65" i="1"/>
  <c r="N68" i="1"/>
  <c r="N69" i="1"/>
  <c r="N70" i="1"/>
  <c r="N71" i="1"/>
  <c r="N73" i="1"/>
  <c r="N75" i="1"/>
  <c r="N76" i="1"/>
  <c r="N77" i="1"/>
  <c r="N78" i="1"/>
  <c r="N79" i="1"/>
  <c r="N82" i="1"/>
  <c r="N83" i="1"/>
  <c r="N84" i="1"/>
  <c r="N85" i="1"/>
  <c r="N86" i="1"/>
  <c r="N88" i="1"/>
  <c r="N89" i="1"/>
  <c r="N90" i="1"/>
  <c r="N91" i="1"/>
  <c r="N92" i="1"/>
  <c r="N93" i="1"/>
  <c r="N94" i="1"/>
  <c r="N95" i="1"/>
  <c r="N96" i="1"/>
  <c r="N97" i="1"/>
  <c r="N98" i="1"/>
  <c r="N99" i="1"/>
  <c r="N100" i="1"/>
  <c r="N104" i="1"/>
  <c r="N105" i="1"/>
  <c r="N106" i="1"/>
  <c r="N107" i="1"/>
  <c r="N108" i="1"/>
  <c r="N109" i="1"/>
  <c r="N110" i="1"/>
  <c r="N112" i="1"/>
  <c r="N113" i="1"/>
  <c r="N240" i="1"/>
  <c r="N118" i="1"/>
  <c r="N119" i="1"/>
  <c r="N122" i="1"/>
  <c r="N126" i="1"/>
  <c r="N127" i="1"/>
  <c r="N128" i="1"/>
  <c r="N132" i="1"/>
  <c r="N133" i="1"/>
  <c r="N134" i="1"/>
  <c r="N135" i="1"/>
  <c r="N139" i="1"/>
  <c r="N140" i="1"/>
  <c r="N141" i="1"/>
  <c r="N142" i="1"/>
  <c r="N143" i="1"/>
  <c r="N144" i="1"/>
  <c r="N145" i="1"/>
  <c r="N146" i="1"/>
  <c r="N148" i="1"/>
  <c r="N149" i="1"/>
  <c r="N150" i="1"/>
  <c r="N151" i="1"/>
  <c r="N152" i="1"/>
  <c r="N153" i="1"/>
  <c r="N154" i="1"/>
  <c r="N155" i="1"/>
  <c r="N158" i="1"/>
  <c r="N159" i="1"/>
  <c r="N160" i="1"/>
  <c r="N164" i="1"/>
  <c r="N165" i="1"/>
  <c r="N166" i="1"/>
  <c r="N167" i="1"/>
  <c r="N168" i="1"/>
  <c r="N169" i="1"/>
  <c r="N170" i="1"/>
  <c r="N171" i="1"/>
  <c r="N173" i="1"/>
  <c r="N174" i="1"/>
  <c r="N175" i="1"/>
  <c r="N176" i="1"/>
  <c r="N177" i="1"/>
  <c r="N178" i="1"/>
  <c r="N179" i="1"/>
  <c r="N180" i="1"/>
  <c r="N181" i="1"/>
  <c r="N183" i="1"/>
  <c r="N184" i="1"/>
  <c r="N185" i="1"/>
  <c r="N188" i="1"/>
  <c r="N189" i="1"/>
  <c r="N190" i="1"/>
  <c r="N191" i="1"/>
  <c r="N192" i="1"/>
  <c r="N193" i="1"/>
  <c r="N194" i="1"/>
  <c r="N200" i="1"/>
  <c r="N208" i="1"/>
  <c r="N209" i="1"/>
  <c r="N213" i="1"/>
  <c r="N216" i="1"/>
  <c r="N217" i="1"/>
  <c r="N221" i="1"/>
  <c r="N222" i="1"/>
  <c r="N229" i="1"/>
  <c r="N230" i="1"/>
  <c r="N231" i="1"/>
  <c r="N232" i="1"/>
  <c r="N238" i="1"/>
  <c r="N239" i="1"/>
  <c r="N241" i="1"/>
  <c r="N242" i="1"/>
  <c r="N243" i="1"/>
  <c r="N244" i="1"/>
  <c r="N245" i="1"/>
  <c r="N246" i="1"/>
  <c r="N247" i="1"/>
  <c r="N248" i="1"/>
  <c r="N249" i="1"/>
  <c r="N250" i="1"/>
  <c r="N251" i="1"/>
  <c r="N254" i="1"/>
  <c r="N255" i="1"/>
  <c r="N257" i="1"/>
  <c r="N258" i="1"/>
  <c r="N259" i="1"/>
  <c r="N260" i="1"/>
  <c r="N261" i="1"/>
  <c r="N263" i="1"/>
  <c r="N264" i="1"/>
  <c r="N265" i="1"/>
  <c r="N266" i="1"/>
  <c r="N267" i="1"/>
  <c r="N268" i="1"/>
  <c r="N269" i="1"/>
  <c r="N289" i="1"/>
  <c r="N291" i="1"/>
  <c r="N293" i="1"/>
  <c r="N295" i="1"/>
  <c r="N297" i="1"/>
  <c r="N299" i="1"/>
  <c r="N301" i="1"/>
  <c r="N303" i="1"/>
  <c r="N305" i="1"/>
  <c r="N323" i="1"/>
  <c r="N325" i="1"/>
  <c r="N327" i="1"/>
  <c r="N329" i="1"/>
  <c r="N331" i="1"/>
  <c r="N290" i="1"/>
  <c r="N292" i="1"/>
  <c r="N298" i="1"/>
  <c r="N300" i="1"/>
  <c r="N302" i="1"/>
  <c r="N304" i="1"/>
  <c r="N306" i="1"/>
  <c r="N324" i="1"/>
  <c r="N328" i="1"/>
  <c r="N330" i="1"/>
  <c r="N339" i="1"/>
  <c r="N340" i="1"/>
  <c r="N199" i="1"/>
  <c r="N206" i="1"/>
  <c r="N207" i="1"/>
  <c r="N215" i="1"/>
  <c r="N198" i="1"/>
  <c r="N205" i="1"/>
  <c r="N204" i="1"/>
  <c r="C59" i="31" l="1"/>
  <c r="E58" i="31"/>
  <c r="C270" i="1"/>
  <c r="C57" i="25"/>
  <c r="C68" i="23"/>
  <c r="C4" i="11"/>
  <c r="C5" i="11" s="1"/>
  <c r="C60" i="31" l="1"/>
  <c r="E59" i="31"/>
  <c r="C58" i="25"/>
  <c r="C69" i="23"/>
  <c r="C6" i="11"/>
  <c r="C7" i="11" s="1"/>
  <c r="C8" i="11" s="1"/>
  <c r="C61" i="31" l="1"/>
  <c r="E60" i="31"/>
  <c r="C59" i="25"/>
  <c r="C70" i="23"/>
  <c r="C62" i="31" l="1"/>
  <c r="E61" i="31"/>
  <c r="C60" i="25"/>
  <c r="C71" i="23"/>
  <c r="C9" i="11"/>
  <c r="C63" i="31" l="1"/>
  <c r="C64" i="31" s="1"/>
  <c r="E62" i="31"/>
  <c r="C61" i="25"/>
  <c r="C72" i="23"/>
  <c r="C10" i="11"/>
  <c r="C65" i="31" l="1"/>
  <c r="E65" i="31" s="1"/>
  <c r="E64" i="31"/>
  <c r="E63" i="31"/>
  <c r="C62" i="25"/>
  <c r="C73" i="23"/>
  <c r="C11" i="11"/>
  <c r="C63" i="25" l="1"/>
  <c r="C74" i="23"/>
  <c r="C12" i="11"/>
  <c r="C64" i="25" l="1"/>
  <c r="C75" i="23"/>
  <c r="C13" i="11"/>
  <c r="C65" i="25" l="1"/>
  <c r="C76" i="23"/>
  <c r="C14" i="11"/>
  <c r="C66" i="25" l="1"/>
  <c r="C77" i="23"/>
  <c r="C15" i="11"/>
  <c r="C67" i="25" l="1"/>
  <c r="C78" i="23"/>
  <c r="C16" i="11"/>
  <c r="C68" i="25" l="1"/>
  <c r="C79" i="23"/>
  <c r="C17" i="11"/>
  <c r="C69" i="25" l="1"/>
  <c r="C80" i="23"/>
  <c r="C18" i="11"/>
  <c r="C70" i="25" l="1"/>
  <c r="C81" i="23"/>
  <c r="C19" i="11"/>
  <c r="C71" i="25" l="1"/>
  <c r="C82" i="23"/>
  <c r="C20" i="11"/>
  <c r="C72" i="25" l="1"/>
  <c r="C73" i="25" s="1"/>
  <c r="C74" i="25" s="1"/>
  <c r="C75" i="25" s="1"/>
  <c r="C76" i="25" s="1"/>
  <c r="C77" i="25" s="1"/>
  <c r="C83" i="23"/>
  <c r="C21" i="11"/>
  <c r="C78" i="25" l="1"/>
  <c r="C84" i="23"/>
  <c r="C22" i="11"/>
  <c r="C79" i="25" l="1"/>
  <c r="C80" i="25" s="1"/>
  <c r="C85" i="23"/>
  <c r="C86" i="23" s="1"/>
  <c r="C23" i="11"/>
  <c r="C81" i="25" l="1"/>
  <c r="C82" i="25" s="1"/>
  <c r="C83" i="25" s="1"/>
  <c r="C84" i="25" s="1"/>
  <c r="C87" i="23"/>
  <c r="C24" i="11"/>
  <c r="C85" i="25" l="1"/>
  <c r="C86" i="25" s="1"/>
  <c r="C87" i="25" s="1"/>
  <c r="C88" i="25" s="1"/>
  <c r="C89" i="25" s="1"/>
  <c r="C90" i="25" s="1"/>
  <c r="C91" i="25" s="1"/>
  <c r="C92" i="25" s="1"/>
  <c r="C93" i="25" s="1"/>
  <c r="C94" i="25" s="1"/>
  <c r="C95" i="25" s="1"/>
  <c r="C96" i="25" s="1"/>
  <c r="C97" i="25" s="1"/>
  <c r="C98" i="25" s="1"/>
  <c r="C99" i="25" s="1"/>
  <c r="C100" i="25" s="1"/>
  <c r="C101" i="25" s="1"/>
  <c r="C102" i="25" s="1"/>
  <c r="C103" i="25" s="1"/>
  <c r="C104" i="25" s="1"/>
  <c r="C105" i="25" s="1"/>
  <c r="C106" i="25" s="1"/>
  <c r="C107" i="25" s="1"/>
  <c r="C108" i="25" s="1"/>
  <c r="C109" i="25" s="1"/>
  <c r="C110" i="25" s="1"/>
  <c r="C88" i="23"/>
  <c r="C25" i="11"/>
  <c r="C26" i="11" s="1"/>
  <c r="C27" i="11" s="1"/>
  <c r="C111" i="25" l="1"/>
  <c r="C112" i="25" s="1"/>
  <c r="C113" i="25" s="1"/>
  <c r="C114" i="25" s="1"/>
  <c r="C115" i="25" s="1"/>
  <c r="C116" i="25" s="1"/>
  <c r="C117" i="25" s="1"/>
  <c r="C118" i="25" s="1"/>
  <c r="C119" i="25" s="1"/>
  <c r="C120" i="25" s="1"/>
  <c r="C121" i="25" s="1"/>
  <c r="C122" i="25" s="1"/>
  <c r="C123" i="25" s="1"/>
  <c r="C124" i="25" s="1"/>
  <c r="C125" i="25" s="1"/>
  <c r="C126" i="25" s="1"/>
  <c r="C127" i="25" s="1"/>
  <c r="C128" i="25" s="1"/>
  <c r="C129" i="25" s="1"/>
  <c r="C130" i="25" s="1"/>
  <c r="C131" i="25" s="1"/>
  <c r="C132" i="25" s="1"/>
  <c r="C133" i="25" s="1"/>
  <c r="C134" i="25" s="1"/>
  <c r="C135" i="25" s="1"/>
  <c r="C136" i="25" s="1"/>
  <c r="C137" i="25" s="1"/>
  <c r="C138" i="25" s="1"/>
  <c r="C139" i="25" s="1"/>
  <c r="C140" i="25" s="1"/>
  <c r="C141" i="25" s="1"/>
  <c r="C89" i="23"/>
  <c r="C90" i="23" l="1"/>
  <c r="C28" i="11"/>
  <c r="C29" i="11" s="1"/>
  <c r="C91" i="23" l="1"/>
  <c r="C30" i="11"/>
  <c r="C31" i="11" s="1"/>
  <c r="C92" i="23" l="1"/>
  <c r="C32" i="11"/>
  <c r="C33" i="11" s="1"/>
  <c r="C93" i="23" l="1"/>
  <c r="C34" i="11"/>
  <c r="C35" i="11" s="1"/>
  <c r="C36" i="11" s="1"/>
  <c r="C37" i="11" s="1"/>
  <c r="C38" i="11" s="1"/>
  <c r="C39" i="11" s="1"/>
  <c r="C40" i="11" s="1"/>
  <c r="C41" i="11" s="1"/>
  <c r="C42" i="11" s="1"/>
  <c r="C43" i="11" s="1"/>
  <c r="C44" i="11" s="1"/>
  <c r="C45" i="11" s="1"/>
  <c r="C46" i="11" s="1"/>
  <c r="C47" i="11" l="1"/>
  <c r="C48" i="11" s="1"/>
  <c r="C49" i="11" s="1"/>
  <c r="C50" i="11" s="1"/>
  <c r="C51" i="11" s="1"/>
  <c r="C52" i="11" s="1"/>
  <c r="C53" i="11" s="1"/>
  <c r="C54" i="11" s="1"/>
  <c r="C55" i="11" s="1"/>
  <c r="C56" i="11" s="1"/>
  <c r="C57" i="11" s="1"/>
  <c r="C58" i="11" s="1"/>
  <c r="C59" i="11" s="1"/>
  <c r="C60" i="11" s="1"/>
  <c r="C61" i="11" s="1"/>
  <c r="C62" i="11" s="1"/>
  <c r="C63" i="11" s="1"/>
  <c r="C64" i="11" s="1"/>
  <c r="C65" i="11" s="1"/>
  <c r="C66" i="11" s="1"/>
  <c r="C67" i="11" s="1"/>
  <c r="C68" i="11" s="1"/>
  <c r="C69" i="11" s="1"/>
  <c r="C70" i="11" s="1"/>
  <c r="C71" i="11" s="1"/>
  <c r="C72" i="11" s="1"/>
  <c r="C73" i="11" s="1"/>
  <c r="C74" i="11" s="1"/>
  <c r="C75" i="11" s="1"/>
  <c r="C76" i="11" s="1"/>
  <c r="C77" i="11" s="1"/>
  <c r="C78" i="11" s="1"/>
  <c r="C79" i="11" s="1"/>
  <c r="C80" i="11" s="1"/>
  <c r="C81" i="11" s="1"/>
  <c r="C82" i="11" s="1"/>
  <c r="C83" i="11" s="1"/>
  <c r="C84" i="11" s="1"/>
  <c r="C85" i="11" s="1"/>
  <c r="C86" i="11" s="1"/>
  <c r="C87" i="11" s="1"/>
  <c r="C88" i="11" s="1"/>
  <c r="C89" i="11" s="1"/>
  <c r="C90" i="11" s="1"/>
  <c r="C91" i="11" s="1"/>
  <c r="C92" i="11" s="1"/>
  <c r="C93" i="11" s="1"/>
  <c r="C94" i="11" s="1"/>
  <c r="C95" i="11" s="1"/>
  <c r="C96" i="11" s="1"/>
  <c r="C97" i="11" s="1"/>
  <c r="C98" i="11" s="1"/>
  <c r="C99" i="11" s="1"/>
  <c r="C100" i="11" s="1"/>
  <c r="C101" i="11" s="1"/>
  <c r="C102" i="11" s="1"/>
  <c r="C103" i="11" s="1"/>
  <c r="C104" i="11" s="1"/>
  <c r="C105" i="11" s="1"/>
  <c r="C106" i="11" s="1"/>
  <c r="C107" i="11" s="1"/>
  <c r="C108" i="11" s="1"/>
  <c r="C109" i="11" s="1"/>
  <c r="C110" i="11" s="1"/>
  <c r="C111" i="11" s="1"/>
  <c r="C112" i="11" s="1"/>
  <c r="C113" i="11" s="1"/>
  <c r="C114" i="11" s="1"/>
  <c r="C115" i="11" s="1"/>
  <c r="C116" i="11" s="1"/>
  <c r="C117" i="11" s="1"/>
  <c r="C118" i="11" s="1"/>
  <c r="C119" i="11" s="1"/>
  <c r="C120" i="11" s="1"/>
  <c r="C121" i="11" s="1"/>
  <c r="C122" i="11" s="1"/>
  <c r="C123" i="11" s="1"/>
  <c r="C124" i="11" s="1"/>
  <c r="C125" i="11" s="1"/>
  <c r="C126" i="11" s="1"/>
  <c r="C127" i="11" s="1"/>
  <c r="C128" i="11" s="1"/>
  <c r="C129" i="11" s="1"/>
  <c r="C130" i="11" s="1"/>
  <c r="C131" i="11" s="1"/>
  <c r="C132" i="11" s="1"/>
  <c r="C133" i="11" s="1"/>
  <c r="C134" i="11" s="1"/>
  <c r="C135" i="11" s="1"/>
  <c r="C136" i="11" s="1"/>
  <c r="C137" i="11" s="1"/>
  <c r="C138" i="11" s="1"/>
  <c r="C139" i="11" s="1"/>
  <c r="C140" i="11" s="1"/>
  <c r="C141" i="11" s="1"/>
  <c r="C142" i="11" s="1"/>
  <c r="C143" i="11" s="1"/>
  <c r="C144" i="11" s="1"/>
  <c r="C145" i="11" s="1"/>
  <c r="C146" i="11" s="1"/>
  <c r="C147" i="11" s="1"/>
  <c r="C148" i="11" s="1"/>
  <c r="C149" i="11" s="1"/>
  <c r="C150" i="11" s="1"/>
  <c r="C151" i="11" s="1"/>
  <c r="C152" i="11" s="1"/>
  <c r="C153" i="11" s="1"/>
  <c r="C154" i="11" s="1"/>
  <c r="C155" i="11" s="1"/>
  <c r="C156" i="11" s="1"/>
  <c r="C157" i="11" s="1"/>
  <c r="C158" i="11" s="1"/>
  <c r="C159" i="11" s="1"/>
  <c r="C160" i="11" s="1"/>
  <c r="C161" i="11" s="1"/>
  <c r="C162" i="11" s="1"/>
  <c r="C163" i="11" s="1"/>
  <c r="C164" i="11" s="1"/>
  <c r="C165" i="11" s="1"/>
  <c r="C166" i="11" s="1"/>
  <c r="C167" i="11" s="1"/>
  <c r="C168" i="11" s="1"/>
  <c r="C169" i="11" s="1"/>
  <c r="C170" i="11" s="1"/>
  <c r="C171" i="11" s="1"/>
  <c r="C172" i="11" s="1"/>
  <c r="C173" i="11" s="1"/>
  <c r="C174" i="11" s="1"/>
  <c r="C175" i="11" s="1"/>
  <c r="C176" i="11" s="1"/>
  <c r="C177" i="11" s="1"/>
  <c r="C178" i="11" s="1"/>
  <c r="C179" i="11" s="1"/>
  <c r="C180" i="11" s="1"/>
  <c r="C181" i="11" s="1"/>
  <c r="C182" i="11" s="1"/>
  <c r="C183" i="11" s="1"/>
  <c r="C184" i="11" s="1"/>
  <c r="C185" i="11" s="1"/>
  <c r="C186" i="11" s="1"/>
  <c r="C187" i="11" s="1"/>
  <c r="C188" i="11" s="1"/>
  <c r="C189" i="11" s="1"/>
  <c r="C190" i="11" s="1"/>
  <c r="C191" i="11" s="1"/>
  <c r="C192" i="11" s="1"/>
  <c r="C193" i="11" s="1"/>
  <c r="C194" i="11" s="1"/>
  <c r="C195" i="11" s="1"/>
  <c r="C196" i="11" s="1"/>
  <c r="C197" i="11" s="1"/>
  <c r="C198" i="11" s="1"/>
  <c r="C199" i="11" s="1"/>
  <c r="C200" i="11" s="1"/>
  <c r="C201" i="11" s="1"/>
  <c r="C202" i="11" s="1"/>
  <c r="C203" i="11" s="1"/>
  <c r="C204" i="11" s="1"/>
  <c r="C205" i="11" s="1"/>
  <c r="C206" i="11" s="1"/>
  <c r="C207" i="11" s="1"/>
  <c r="C208" i="11" s="1"/>
  <c r="C209" i="11" s="1"/>
  <c r="C94" i="23"/>
  <c r="C210" i="11" l="1"/>
  <c r="C211" i="11" s="1"/>
  <c r="C212" i="11" s="1"/>
  <c r="C213" i="11" s="1"/>
  <c r="C214" i="11" s="1"/>
  <c r="C215" i="11" s="1"/>
  <c r="C216" i="11" s="1"/>
  <c r="C217" i="11" s="1"/>
  <c r="C218" i="11" s="1"/>
  <c r="C219" i="11" s="1"/>
  <c r="C220" i="11" s="1"/>
  <c r="C221" i="11" s="1"/>
  <c r="C222" i="11" s="1"/>
  <c r="C223" i="11" s="1"/>
  <c r="C224" i="11" s="1"/>
  <c r="C225" i="11" s="1"/>
  <c r="C226" i="11" s="1"/>
  <c r="C227" i="11" s="1"/>
  <c r="C228" i="11" s="1"/>
  <c r="C229" i="11" s="1"/>
  <c r="C230" i="11" s="1"/>
  <c r="C231" i="11" s="1"/>
  <c r="C232" i="11" s="1"/>
  <c r="C233" i="11" s="1"/>
  <c r="C234" i="11" s="1"/>
  <c r="C235" i="11" s="1"/>
  <c r="C95" i="23"/>
  <c r="C96" i="23" l="1"/>
  <c r="C97" i="23" l="1"/>
  <c r="C98" i="23" l="1"/>
  <c r="C99" i="23" l="1"/>
  <c r="C100" i="23" l="1"/>
  <c r="C101" i="23" l="1"/>
  <c r="C102" i="23" l="1"/>
  <c r="C103" i="23" l="1"/>
  <c r="C104" i="23" l="1"/>
  <c r="C105" i="23" s="1"/>
  <c r="C106" i="23" l="1"/>
  <c r="C107" i="23" s="1"/>
  <c r="C108" i="23" s="1"/>
  <c r="C109" i="23" s="1"/>
  <c r="C110" i="23" s="1"/>
  <c r="C111" i="23" s="1"/>
  <c r="C112" i="23" s="1"/>
  <c r="C113" i="23" s="1"/>
  <c r="C114" i="23" s="1"/>
  <c r="C115" i="23" s="1"/>
  <c r="C116" i="23" s="1"/>
  <c r="C117" i="23" s="1"/>
  <c r="C118" i="23" s="1"/>
  <c r="C119" i="23" s="1"/>
  <c r="C120" i="23" s="1"/>
  <c r="C121" i="23" s="1"/>
  <c r="C122" i="23" s="1"/>
  <c r="C123" i="23" s="1"/>
  <c r="C124" i="23" s="1"/>
  <c r="C125" i="23" s="1"/>
  <c r="C126" i="23" s="1"/>
  <c r="C127" i="23" s="1"/>
  <c r="C128" i="23" s="1"/>
  <c r="C129" i="23" s="1"/>
  <c r="C130" i="23" s="1"/>
  <c r="C131" i="23" s="1"/>
  <c r="C132" i="23" l="1"/>
  <c r="C133" i="23" s="1"/>
  <c r="C134" i="23" s="1"/>
  <c r="C135" i="23" s="1"/>
  <c r="C136" i="23" s="1"/>
  <c r="C137" i="23" s="1"/>
  <c r="C138" i="23" s="1"/>
  <c r="C139" i="23" s="1"/>
  <c r="C140" i="23" s="1"/>
  <c r="C141" i="23" s="1"/>
  <c r="C142" i="23" s="1"/>
  <c r="C143" i="23" s="1"/>
  <c r="C144" i="23" s="1"/>
  <c r="C145" i="23" s="1"/>
  <c r="C146" i="23" s="1"/>
  <c r="C147" i="23" s="1"/>
  <c r="C148" i="23" s="1"/>
  <c r="C149" i="23" s="1"/>
  <c r="C150" i="23" s="1"/>
  <c r="C151" i="23" s="1"/>
  <c r="C152" i="23" s="1"/>
  <c r="C153" i="23" s="1"/>
  <c r="C154" i="23" s="1"/>
  <c r="C155" i="23" s="1"/>
  <c r="C156" i="23" s="1"/>
  <c r="C157" i="23" s="1"/>
  <c r="C158" i="23" s="1"/>
  <c r="C159" i="23" s="1"/>
  <c r="C4" i="26"/>
  <c r="C5" i="26" s="1"/>
  <c r="C6" i="26" s="1"/>
  <c r="C7" i="26" s="1"/>
  <c r="C8" i="26" s="1"/>
  <c r="C9" i="26" s="1"/>
  <c r="C10" i="26" s="1"/>
  <c r="C11" i="26" s="1"/>
  <c r="C12" i="26" s="1"/>
  <c r="C13" i="26" s="1"/>
  <c r="C14" i="26" s="1"/>
  <c r="C15" i="26" s="1"/>
  <c r="C16" i="26" s="1"/>
  <c r="C5" i="12"/>
  <c r="C6" i="12" s="1"/>
  <c r="C7" i="12" s="1"/>
  <c r="C8" i="12" s="1"/>
  <c r="C9" i="12" s="1"/>
  <c r="C10" i="12" s="1"/>
  <c r="C11" i="12" s="1"/>
  <c r="C12" i="12" s="1"/>
  <c r="C13" i="12" s="1"/>
  <c r="C14" i="12" s="1"/>
  <c r="C15" i="12" s="1"/>
  <c r="C16" i="12" s="1"/>
  <c r="C17" i="12" s="1"/>
  <c r="C18" i="12" s="1"/>
  <c r="C19" i="12" s="1"/>
  <c r="C20" i="12" s="1"/>
  <c r="C21" i="12" s="1"/>
  <c r="C22" i="12" s="1"/>
  <c r="C23" i="12" s="1"/>
  <c r="C24" i="12" s="1"/>
  <c r="C25" i="12" s="1"/>
  <c r="C26" i="12" s="1"/>
  <c r="C27" i="12" s="1"/>
  <c r="C28" i="12" s="1"/>
  <c r="C29" i="12" s="1"/>
  <c r="C30" i="12" s="1"/>
  <c r="C31" i="12" s="1"/>
  <c r="C32" i="12" s="1"/>
  <c r="C5" i="4"/>
  <c r="C6" i="4" s="1"/>
  <c r="C7" i="4" s="1"/>
  <c r="C8" i="4" s="1"/>
  <c r="C9" i="4" s="1"/>
  <c r="C10" i="4" s="1"/>
  <c r="C11" i="4" s="1"/>
  <c r="C12" i="4" s="1"/>
  <c r="C13" i="4" s="1"/>
  <c r="C14" i="4" s="1"/>
  <c r="C15" i="4" s="1"/>
  <c r="C16" i="4" s="1"/>
  <c r="C17" i="4" s="1"/>
  <c r="C18" i="4" s="1"/>
  <c r="C19" i="4" s="1"/>
  <c r="C20" i="4" s="1"/>
  <c r="C21" i="4" s="1"/>
  <c r="C22" i="4" s="1"/>
  <c r="C23" i="4" s="1"/>
  <c r="C24" i="4" s="1"/>
  <c r="C25" i="4" s="1"/>
  <c r="C26" i="4" s="1"/>
  <c r="C27" i="4" s="1"/>
  <c r="C28" i="4" s="1"/>
  <c r="C29" i="4" s="1"/>
  <c r="C30" i="4" s="1"/>
  <c r="C31" i="4" s="1"/>
  <c r="C32" i="4" s="1"/>
  <c r="C33" i="4" s="1"/>
  <c r="C34" i="4" s="1"/>
  <c r="C35" i="4" s="1"/>
  <c r="C36" i="4" s="1"/>
  <c r="C37" i="4" s="1"/>
  <c r="C38" i="4" s="1"/>
  <c r="C39" i="4" s="1"/>
  <c r="C40" i="4" s="1"/>
  <c r="C41" i="4" s="1"/>
  <c r="C42" i="4" s="1"/>
  <c r="C43" i="4" s="1"/>
  <c r="C44" i="4" s="1"/>
  <c r="C45" i="4" s="1"/>
  <c r="C46" i="4" s="1"/>
  <c r="C47" i="4" s="1"/>
  <c r="C48" i="4" s="1"/>
  <c r="C49" i="4" s="1"/>
  <c r="C50" i="4" s="1"/>
  <c r="C51" i="4" s="1"/>
  <c r="C52" i="4" s="1"/>
  <c r="C53" i="4" s="1"/>
  <c r="C54" i="4" s="1"/>
  <c r="C55" i="4" s="1"/>
  <c r="C56" i="4" s="1"/>
  <c r="C57" i="4" s="1"/>
  <c r="C58" i="4" s="1"/>
  <c r="C59" i="4" s="1"/>
  <c r="C60" i="4" s="1"/>
  <c r="C61" i="4" s="1"/>
  <c r="C62" i="4" s="1"/>
  <c r="C63" i="4" s="1"/>
  <c r="C64" i="4" s="1"/>
  <c r="C65" i="4" s="1"/>
  <c r="C66" i="4" s="1"/>
  <c r="C67" i="4" s="1"/>
  <c r="C68" i="4" s="1"/>
  <c r="C69" i="4" s="1"/>
  <c r="C70" i="4" s="1"/>
  <c r="C71" i="4" s="1"/>
  <c r="C72" i="4" s="1"/>
  <c r="C73" i="4" s="1"/>
  <c r="C74" i="4" s="1"/>
  <c r="C75" i="4" s="1"/>
  <c r="C76" i="4" s="1"/>
  <c r="C77" i="4" s="1"/>
  <c r="C78" i="4" s="1"/>
  <c r="C79" i="4" s="1"/>
  <c r="C80" i="4" s="1"/>
  <c r="C81" i="4" s="1"/>
  <c r="C82" i="4" s="1"/>
  <c r="C83" i="4" s="1"/>
  <c r="C84" i="4" s="1"/>
  <c r="C85" i="4" s="1"/>
  <c r="C86" i="4" s="1"/>
  <c r="C87" i="4" s="1"/>
  <c r="C88" i="4" s="1"/>
  <c r="C89" i="4" s="1"/>
  <c r="C90" i="4" s="1"/>
  <c r="C91" i="4" s="1"/>
  <c r="C92" i="4" s="1"/>
  <c r="C93" i="4" s="1"/>
  <c r="C94" i="4" s="1"/>
  <c r="C95" i="4" s="1"/>
  <c r="C96" i="4" s="1"/>
  <c r="C97" i="4" s="1"/>
  <c r="C98" i="4" s="1"/>
  <c r="C99" i="4" s="1"/>
  <c r="C100" i="4" s="1"/>
  <c r="C101" i="4" s="1"/>
  <c r="C102" i="4" s="1"/>
  <c r="C103" i="4" s="1"/>
  <c r="C104" i="4" s="1"/>
  <c r="C105" i="4" s="1"/>
  <c r="C106" i="4" s="1"/>
  <c r="C107" i="4" s="1"/>
  <c r="C108" i="4" s="1"/>
  <c r="C109" i="4" s="1"/>
  <c r="C110" i="4" s="1"/>
  <c r="C111" i="4" s="1"/>
  <c r="C112" i="4" s="1"/>
  <c r="C113" i="4" s="1"/>
  <c r="C114" i="4" s="1"/>
  <c r="C115" i="4" s="1"/>
  <c r="C116" i="4" s="1"/>
  <c r="C117" i="4" s="1"/>
  <c r="C118" i="4" s="1"/>
  <c r="C119" i="4" s="1"/>
  <c r="C120" i="4" s="1"/>
  <c r="C121" i="4" s="1"/>
  <c r="C122" i="4" s="1"/>
  <c r="C123" i="4" s="1"/>
  <c r="C124" i="4" s="1"/>
  <c r="C125" i="4" s="1"/>
  <c r="C126" i="4" s="1"/>
  <c r="C127" i="4" s="1"/>
  <c r="C128" i="4" s="1"/>
  <c r="C129" i="4" s="1"/>
  <c r="C130" i="4" s="1"/>
  <c r="C131" i="4" s="1"/>
  <c r="C132" i="4" s="1"/>
  <c r="C133" i="4" s="1"/>
  <c r="C134" i="4" s="1"/>
  <c r="C135" i="4" s="1"/>
  <c r="C136" i="4" s="1"/>
  <c r="C137" i="4" s="1"/>
  <c r="C138" i="4" s="1"/>
  <c r="C139" i="4" s="1"/>
  <c r="C140" i="4" s="1"/>
  <c r="C141" i="4" s="1"/>
  <c r="C142" i="4" s="1"/>
  <c r="C143" i="4" s="1"/>
  <c r="C144" i="4" s="1"/>
  <c r="C145" i="4" s="1"/>
  <c r="C146" i="4" s="1"/>
  <c r="C147" i="4" s="1"/>
  <c r="C148" i="4" s="1"/>
  <c r="C5" i="18"/>
  <c r="C6" i="18" s="1"/>
  <c r="C7" i="18" s="1"/>
  <c r="C8" i="18" s="1"/>
  <c r="C9" i="18" s="1"/>
  <c r="C10" i="18" s="1"/>
  <c r="C11" i="18" s="1"/>
  <c r="C12" i="18" s="1"/>
  <c r="C13" i="18" s="1"/>
  <c r="C14" i="18" s="1"/>
  <c r="C15" i="18" s="1"/>
  <c r="C16" i="18" s="1"/>
  <c r="C17" i="18" s="1"/>
  <c r="C18" i="18" s="1"/>
  <c r="C19" i="18" s="1"/>
  <c r="C20" i="18" s="1"/>
  <c r="C21" i="18" s="1"/>
  <c r="C22" i="18" s="1"/>
  <c r="C23" i="18" s="1"/>
  <c r="C24" i="18" s="1"/>
  <c r="C25" i="18" s="1"/>
  <c r="C26" i="18" s="1"/>
  <c r="C27" i="18" s="1"/>
  <c r="C28" i="18" s="1"/>
  <c r="C29" i="18" s="1"/>
  <c r="C30" i="18" s="1"/>
  <c r="C31" i="18" s="1"/>
  <c r="C32" i="18" s="1"/>
  <c r="C33" i="18" s="1"/>
  <c r="C34" i="18" s="1"/>
  <c r="C35" i="18" s="1"/>
  <c r="C36" i="18" s="1"/>
  <c r="C37" i="18" s="1"/>
  <c r="C38" i="18" s="1"/>
  <c r="C39" i="18" s="1"/>
  <c r="C40" i="18" s="1"/>
  <c r="C41" i="18" s="1"/>
  <c r="C42" i="18" s="1"/>
  <c r="C43" i="18" s="1"/>
  <c r="C44" i="18" s="1"/>
  <c r="C45" i="18" s="1"/>
  <c r="C46" i="18" s="1"/>
  <c r="C47" i="18" s="1"/>
  <c r="C48" i="18" s="1"/>
  <c r="C49" i="18" s="1"/>
  <c r="C50" i="18" s="1"/>
  <c r="C51" i="18" s="1"/>
  <c r="C52" i="18" s="1"/>
  <c r="C53" i="18" s="1"/>
  <c r="C54" i="18" s="1"/>
  <c r="C55" i="18" s="1"/>
  <c r="C56" i="18" s="1"/>
  <c r="C57" i="18" s="1"/>
  <c r="C58" i="18" s="1"/>
  <c r="C59" i="18" s="1"/>
  <c r="C60" i="18" s="1"/>
  <c r="C61" i="18" s="1"/>
  <c r="C62" i="18" s="1"/>
  <c r="C63" i="18" s="1"/>
  <c r="C64" i="18" s="1"/>
  <c r="C65" i="18" s="1"/>
  <c r="C66" i="18" s="1"/>
  <c r="C67" i="18" s="1"/>
  <c r="C68" i="18" s="1"/>
  <c r="C69" i="18" s="1"/>
  <c r="C70" i="18" s="1"/>
  <c r="C71" i="18" s="1"/>
  <c r="C72" i="18" s="1"/>
  <c r="C73" i="18" s="1"/>
  <c r="C74" i="18" s="1"/>
  <c r="C75" i="18" s="1"/>
  <c r="C76" i="18" s="1"/>
  <c r="C77" i="18" s="1"/>
  <c r="C78" i="18" s="1"/>
  <c r="C79" i="18" s="1"/>
  <c r="C80" i="18" s="1"/>
  <c r="C81" i="18" s="1"/>
  <c r="C82" i="18" s="1"/>
  <c r="C83" i="18" s="1"/>
  <c r="C84" i="18" s="1"/>
  <c r="C85" i="18" s="1"/>
  <c r="C86" i="18" s="1"/>
  <c r="C87" i="18" s="1"/>
  <c r="C88" i="18" s="1"/>
  <c r="C89" i="18" s="1"/>
  <c r="C90" i="18" s="1"/>
  <c r="C91" i="18" s="1"/>
  <c r="C92" i="18" s="1"/>
  <c r="C5" i="8"/>
  <c r="C6" i="8" s="1"/>
  <c r="C7" i="8" s="1"/>
  <c r="C8" i="8" s="1"/>
  <c r="C9" i="8" s="1"/>
  <c r="C10" i="8" s="1"/>
  <c r="C11" i="8" s="1"/>
  <c r="C12" i="8" s="1"/>
  <c r="C13" i="8" s="1"/>
  <c r="C14" i="8" s="1"/>
  <c r="C15" i="8" s="1"/>
  <c r="C16" i="8" s="1"/>
  <c r="C17" i="8" s="1"/>
  <c r="C18" i="8" s="1"/>
  <c r="C19" i="8" s="1"/>
  <c r="C20" i="8" s="1"/>
  <c r="C21" i="8" s="1"/>
  <c r="C22" i="8" s="1"/>
  <c r="C23" i="8" s="1"/>
  <c r="C24" i="8" s="1"/>
  <c r="C25" i="8" s="1"/>
  <c r="C26" i="8" s="1"/>
  <c r="C27" i="8" s="1"/>
  <c r="C28" i="8" s="1"/>
  <c r="C29" i="8" s="1"/>
  <c r="C30" i="8" s="1"/>
  <c r="C31" i="8" s="1"/>
  <c r="C32" i="8" s="1"/>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C55" i="8" s="1"/>
  <c r="C56" i="8" s="1"/>
  <c r="C57" i="8" s="1"/>
  <c r="C58" i="8" s="1"/>
  <c r="C59" i="8" s="1"/>
  <c r="C60" i="8" s="1"/>
  <c r="C61" i="8" s="1"/>
  <c r="C62" i="8" s="1"/>
  <c r="C63" i="8" s="1"/>
  <c r="C64" i="8" s="1"/>
  <c r="C65" i="8" s="1"/>
  <c r="C66" i="8" s="1"/>
  <c r="C67" i="8" s="1"/>
  <c r="C68" i="8" s="1"/>
  <c r="C5" i="19"/>
  <c r="C6" i="19" s="1"/>
  <c r="C7" i="19" s="1"/>
  <c r="C160" i="23" l="1"/>
  <c r="C161" i="23" s="1"/>
  <c r="C162" i="23" s="1"/>
  <c r="C163" i="23" s="1"/>
  <c r="C164" i="23" s="1"/>
  <c r="C165" i="23" s="1"/>
  <c r="C166" i="23" s="1"/>
  <c r="C167" i="23" s="1"/>
  <c r="C168" i="23" s="1"/>
  <c r="C169" i="23" s="1"/>
  <c r="C170" i="23" s="1"/>
  <c r="C171" i="23" s="1"/>
  <c r="C172" i="23" s="1"/>
  <c r="C173" i="23" s="1"/>
  <c r="C174" i="23" s="1"/>
  <c r="C175" i="23" s="1"/>
  <c r="C176" i="23" s="1"/>
  <c r="C177" i="23" s="1"/>
  <c r="C178" i="23" s="1"/>
  <c r="C179" i="23" s="1"/>
  <c r="C33" i="12"/>
  <c r="C34" i="12" s="1"/>
  <c r="C35" i="12" s="1"/>
  <c r="C36" i="12" s="1"/>
  <c r="C37" i="12" s="1"/>
  <c r="C38" i="12" s="1"/>
  <c r="C39" i="12" s="1"/>
  <c r="C40" i="12" s="1"/>
  <c r="C41" i="12" s="1"/>
  <c r="C42" i="12" s="1"/>
  <c r="C43" i="12" s="1"/>
  <c r="C69" i="8"/>
  <c r="C70" i="8" s="1"/>
  <c r="C93" i="18"/>
  <c r="C94" i="18" s="1"/>
  <c r="C17" i="26"/>
  <c r="C18" i="26" s="1"/>
  <c r="C8" i="19"/>
  <c r="C9" i="19" s="1"/>
  <c r="C180" i="23" l="1"/>
  <c r="C181" i="23" s="1"/>
  <c r="C182" i="23" s="1"/>
  <c r="C183" i="23" s="1"/>
  <c r="C184" i="23" s="1"/>
  <c r="C185" i="23" s="1"/>
  <c r="C186" i="23" s="1"/>
  <c r="C187" i="23" s="1"/>
  <c r="C188" i="23" s="1"/>
  <c r="C189" i="23" s="1"/>
  <c r="C190" i="23" s="1"/>
  <c r="C44" i="12"/>
  <c r="C45" i="12" s="1"/>
  <c r="C46" i="12" s="1"/>
  <c r="C47" i="12" s="1"/>
  <c r="C48" i="12" s="1"/>
  <c r="C49" i="12" s="1"/>
  <c r="C50" i="12" s="1"/>
  <c r="C51" i="12" s="1"/>
  <c r="C52" i="12" s="1"/>
  <c r="C53" i="12" s="1"/>
  <c r="C54" i="12" s="1"/>
  <c r="C71" i="8"/>
  <c r="C72" i="8" s="1"/>
  <c r="C95" i="18"/>
  <c r="C19" i="26"/>
  <c r="C20" i="26" s="1"/>
  <c r="C10" i="19"/>
  <c r="C11" i="19" s="1"/>
  <c r="C191" i="23" l="1"/>
  <c r="C192" i="23" s="1"/>
  <c r="C193" i="23" s="1"/>
  <c r="C194" i="23" s="1"/>
  <c r="C195" i="23" s="1"/>
  <c r="C196" i="23" s="1"/>
  <c r="C197" i="23" s="1"/>
  <c r="C198" i="23" s="1"/>
  <c r="C199" i="23" s="1"/>
  <c r="C200" i="23" s="1"/>
  <c r="C201" i="23" s="1"/>
  <c r="C202" i="23" s="1"/>
  <c r="C203" i="23" s="1"/>
  <c r="C204" i="23" s="1"/>
  <c r="C55" i="12"/>
  <c r="C56" i="12" s="1"/>
  <c r="C57" i="12" s="1"/>
  <c r="C58" i="12" s="1"/>
  <c r="C59" i="12" s="1"/>
  <c r="C60" i="12" s="1"/>
  <c r="C73" i="8"/>
  <c r="C74" i="8" s="1"/>
  <c r="C96" i="18"/>
  <c r="C21" i="26"/>
  <c r="C22" i="26" s="1"/>
  <c r="C12" i="19"/>
  <c r="C13" i="19" s="1"/>
  <c r="C205" i="23" l="1"/>
  <c r="C206" i="23" s="1"/>
  <c r="C207" i="23" s="1"/>
  <c r="C208" i="23" s="1"/>
  <c r="C209" i="23" s="1"/>
  <c r="C210" i="23" s="1"/>
  <c r="C211" i="23" s="1"/>
  <c r="C61" i="12"/>
  <c r="C62" i="12" s="1"/>
  <c r="C63" i="12" s="1"/>
  <c r="C64" i="12" s="1"/>
  <c r="C65" i="12" s="1"/>
  <c r="C66" i="12" s="1"/>
  <c r="C67" i="12" s="1"/>
  <c r="C68" i="12" s="1"/>
  <c r="C69" i="12" s="1"/>
  <c r="C70" i="12" s="1"/>
  <c r="C71" i="12" s="1"/>
  <c r="C72" i="12" s="1"/>
  <c r="C73" i="12" s="1"/>
  <c r="C74" i="12" s="1"/>
  <c r="C75" i="12" s="1"/>
  <c r="C76" i="12" s="1"/>
  <c r="C77" i="12" s="1"/>
  <c r="C78" i="12" s="1"/>
  <c r="C79" i="12" s="1"/>
  <c r="C80" i="12" s="1"/>
  <c r="C81" i="12" s="1"/>
  <c r="C82" i="12" s="1"/>
  <c r="C83" i="12" s="1"/>
  <c r="C84" i="12" s="1"/>
  <c r="C85" i="12" s="1"/>
  <c r="C86" i="12" s="1"/>
  <c r="C87" i="12" s="1"/>
  <c r="C75" i="8"/>
  <c r="C76" i="8" s="1"/>
  <c r="C97" i="18"/>
  <c r="C23" i="26"/>
  <c r="C24" i="26" s="1"/>
  <c r="C14" i="19"/>
  <c r="C15" i="19" s="1"/>
  <c r="C212" i="23" l="1"/>
  <c r="C213" i="23" s="1"/>
  <c r="C214" i="23" s="1"/>
  <c r="C215" i="23" s="1"/>
  <c r="C216" i="23" s="1"/>
  <c r="C217" i="23" s="1"/>
  <c r="C218" i="23" s="1"/>
  <c r="C219" i="23" s="1"/>
  <c r="C220" i="23" s="1"/>
  <c r="C221" i="23" s="1"/>
  <c r="C222" i="23" s="1"/>
  <c r="C77" i="8"/>
  <c r="C78" i="8" s="1"/>
  <c r="C98" i="18"/>
  <c r="C25" i="26"/>
  <c r="C26" i="26" s="1"/>
  <c r="C16" i="19"/>
  <c r="C17" i="19" s="1"/>
  <c r="C79" i="8" l="1"/>
  <c r="C80" i="8" s="1"/>
  <c r="C99" i="18"/>
  <c r="C100" i="18" s="1"/>
  <c r="C27" i="26"/>
  <c r="C28" i="26" s="1"/>
  <c r="C18" i="19"/>
  <c r="C19" i="19" s="1"/>
  <c r="C81" i="8" l="1"/>
  <c r="C82" i="8" s="1"/>
  <c r="C101" i="18"/>
  <c r="C102" i="18" s="1"/>
  <c r="C29" i="26"/>
  <c r="C30" i="26" s="1"/>
  <c r="C20" i="19"/>
  <c r="C21" i="19" s="1"/>
  <c r="C103" i="18" l="1"/>
  <c r="C104" i="18" s="1"/>
  <c r="C105" i="18" s="1"/>
  <c r="C106" i="18" s="1"/>
  <c r="C107" i="18" s="1"/>
  <c r="C108" i="18" s="1"/>
  <c r="C83" i="8"/>
  <c r="C84" i="8" s="1"/>
  <c r="C31" i="26"/>
  <c r="C32" i="26" s="1"/>
  <c r="C22" i="19"/>
  <c r="C23" i="19" s="1"/>
  <c r="C109" i="18" l="1"/>
  <c r="C110" i="18" s="1"/>
  <c r="C111" i="18" s="1"/>
  <c r="C112" i="18" s="1"/>
  <c r="C113" i="18" s="1"/>
  <c r="C114" i="18" s="1"/>
  <c r="C115" i="18" s="1"/>
  <c r="C85" i="8"/>
  <c r="C33" i="26"/>
  <c r="C34" i="26" s="1"/>
  <c r="C24" i="19"/>
  <c r="C25" i="19" s="1"/>
  <c r="C116" i="18" l="1"/>
  <c r="C117" i="18" s="1"/>
  <c r="C118" i="18" s="1"/>
  <c r="C86" i="8"/>
  <c r="C35" i="26"/>
  <c r="C36" i="26" s="1"/>
  <c r="C26" i="19"/>
  <c r="C27" i="19" s="1"/>
  <c r="C119" i="18" l="1"/>
  <c r="C120" i="18" s="1"/>
  <c r="C121" i="18" s="1"/>
  <c r="C87" i="8"/>
  <c r="C37" i="26"/>
  <c r="C28" i="19"/>
  <c r="C29" i="19" s="1"/>
  <c r="C122" i="18" l="1"/>
  <c r="C123" i="18" s="1"/>
  <c r="C124" i="18" s="1"/>
  <c r="C125" i="18" s="1"/>
  <c r="C126" i="18" s="1"/>
  <c r="C127" i="18" s="1"/>
  <c r="C128" i="18" s="1"/>
  <c r="C129" i="18" s="1"/>
  <c r="C88" i="8"/>
  <c r="C38" i="26"/>
  <c r="C39" i="26" s="1"/>
  <c r="C30" i="19"/>
  <c r="C31" i="19" s="1"/>
  <c r="C130" i="18" l="1"/>
  <c r="C131" i="18" s="1"/>
  <c r="C132" i="18" s="1"/>
  <c r="C133" i="18" s="1"/>
  <c r="C134" i="18" s="1"/>
  <c r="C135" i="18" s="1"/>
  <c r="C89" i="8"/>
  <c r="C40" i="26"/>
  <c r="C41" i="26" s="1"/>
  <c r="C32" i="19"/>
  <c r="C33" i="19" s="1"/>
  <c r="C136" i="18" l="1"/>
  <c r="C137" i="18" s="1"/>
  <c r="C138" i="18" s="1"/>
  <c r="C139" i="18" s="1"/>
  <c r="C140" i="18" s="1"/>
  <c r="C141" i="18" s="1"/>
  <c r="C142" i="18" s="1"/>
  <c r="C143" i="18" s="1"/>
  <c r="C90" i="8"/>
  <c r="C42" i="26"/>
  <c r="C43" i="26" s="1"/>
  <c r="C34" i="19"/>
  <c r="C35" i="19" s="1"/>
  <c r="C144" i="18" l="1"/>
  <c r="C145" i="18" s="1"/>
  <c r="C146" i="18" s="1"/>
  <c r="C147" i="18" s="1"/>
  <c r="C148" i="18" s="1"/>
  <c r="C149" i="18" s="1"/>
  <c r="C150" i="18" s="1"/>
  <c r="C91" i="8"/>
  <c r="C44" i="26"/>
  <c r="C45" i="26" s="1"/>
  <c r="C36" i="19"/>
  <c r="C37" i="19" s="1"/>
  <c r="C151" i="18" l="1"/>
  <c r="C152" i="18" s="1"/>
  <c r="C153" i="18" s="1"/>
  <c r="C154" i="18" s="1"/>
  <c r="C155" i="18" s="1"/>
  <c r="C156" i="18" s="1"/>
  <c r="C92" i="8"/>
  <c r="C46" i="26"/>
  <c r="C47" i="26" s="1"/>
  <c r="C38" i="19"/>
  <c r="C39" i="19" s="1"/>
  <c r="C157" i="18" l="1"/>
  <c r="C158" i="18" s="1"/>
  <c r="C159" i="18" s="1"/>
  <c r="C160" i="18" s="1"/>
  <c r="C161" i="18" s="1"/>
  <c r="C162" i="18" s="1"/>
  <c r="C163" i="18" s="1"/>
  <c r="C164" i="18" s="1"/>
  <c r="C93" i="8"/>
  <c r="C48" i="26"/>
  <c r="C49" i="26" s="1"/>
  <c r="C40" i="19"/>
  <c r="C41" i="19" s="1"/>
  <c r="C165" i="18" l="1"/>
  <c r="C166" i="18" s="1"/>
  <c r="C167" i="18" s="1"/>
  <c r="C168" i="18" s="1"/>
  <c r="C169" i="18" s="1"/>
  <c r="C170" i="18" s="1"/>
  <c r="C171" i="18" s="1"/>
  <c r="C172" i="18" s="1"/>
  <c r="C173" i="18" s="1"/>
  <c r="C174" i="18" s="1"/>
  <c r="C175" i="18" s="1"/>
  <c r="C176" i="18" s="1"/>
  <c r="C177" i="18" s="1"/>
  <c r="C178" i="18" s="1"/>
  <c r="C179" i="18" s="1"/>
  <c r="C180" i="18" s="1"/>
  <c r="C181" i="18" s="1"/>
  <c r="C182" i="18" s="1"/>
  <c r="C183" i="18" s="1"/>
  <c r="C184" i="18" s="1"/>
  <c r="C185" i="18" s="1"/>
  <c r="C186" i="18" s="1"/>
  <c r="C187" i="18" s="1"/>
  <c r="C188" i="18" s="1"/>
  <c r="C189" i="18" s="1"/>
  <c r="C190" i="18" s="1"/>
  <c r="C191" i="18" s="1"/>
  <c r="C192" i="18" s="1"/>
  <c r="C193" i="18" s="1"/>
  <c r="C194" i="18" s="1"/>
  <c r="C195" i="18" s="1"/>
  <c r="C196" i="18" s="1"/>
  <c r="C197" i="18" s="1"/>
  <c r="C198" i="18" s="1"/>
  <c r="C199" i="18" s="1"/>
  <c r="C200" i="18" s="1"/>
  <c r="C201" i="18" s="1"/>
  <c r="C202" i="18" s="1"/>
  <c r="C203" i="18" s="1"/>
  <c r="C204" i="18" s="1"/>
  <c r="C205" i="18" s="1"/>
  <c r="C206" i="18" s="1"/>
  <c r="C207" i="18" s="1"/>
  <c r="C208" i="18" s="1"/>
  <c r="C209" i="18" s="1"/>
  <c r="C210" i="18" s="1"/>
  <c r="C211" i="18" s="1"/>
  <c r="C212" i="18" s="1"/>
  <c r="C213" i="18" s="1"/>
  <c r="C214" i="18" s="1"/>
  <c r="C215" i="18" s="1"/>
  <c r="C216" i="18" s="1"/>
  <c r="C217" i="18" s="1"/>
  <c r="C218" i="18" s="1"/>
  <c r="C219" i="18" s="1"/>
  <c r="C220" i="18" s="1"/>
  <c r="C221" i="18" s="1"/>
  <c r="C222" i="18" s="1"/>
  <c r="C223" i="18" s="1"/>
  <c r="C224" i="18" s="1"/>
  <c r="C225" i="18" s="1"/>
  <c r="C226" i="18" s="1"/>
  <c r="C227" i="18" s="1"/>
  <c r="C228" i="18" s="1"/>
  <c r="C229" i="18" s="1"/>
  <c r="C230" i="18" s="1"/>
  <c r="C231" i="18" s="1"/>
  <c r="C232" i="18" s="1"/>
  <c r="C233" i="18" s="1"/>
  <c r="C234" i="18" s="1"/>
  <c r="C235" i="18" s="1"/>
  <c r="C236" i="18" s="1"/>
  <c r="C237" i="18" s="1"/>
  <c r="C238" i="18" s="1"/>
  <c r="C239" i="18" s="1"/>
  <c r="C240" i="18" s="1"/>
  <c r="C241" i="18" s="1"/>
  <c r="C242" i="18" s="1"/>
  <c r="C243" i="18" s="1"/>
  <c r="C244" i="18" s="1"/>
  <c r="C245" i="18" s="1"/>
  <c r="C246" i="18" s="1"/>
  <c r="C247" i="18" s="1"/>
  <c r="C248" i="18" s="1"/>
  <c r="C249" i="18" s="1"/>
  <c r="C250" i="18" s="1"/>
  <c r="C251" i="18" s="1"/>
  <c r="C252" i="18" s="1"/>
  <c r="C253" i="18" s="1"/>
  <c r="C254" i="18" s="1"/>
  <c r="C255" i="18" s="1"/>
  <c r="C94" i="8"/>
  <c r="C50" i="26"/>
  <c r="C51" i="26" s="1"/>
  <c r="C42" i="19"/>
  <c r="C43" i="19" s="1"/>
  <c r="C95" i="8" l="1"/>
  <c r="C96" i="8" s="1"/>
  <c r="C52" i="26"/>
  <c r="C44" i="19"/>
  <c r="C45" i="19" s="1"/>
  <c r="C97" i="8" l="1"/>
  <c r="C98" i="8" s="1"/>
  <c r="C99" i="8" s="1"/>
  <c r="C100" i="8" s="1"/>
  <c r="C101" i="8" s="1"/>
  <c r="C102" i="8" s="1"/>
  <c r="C103" i="8" s="1"/>
  <c r="C104" i="8" s="1"/>
  <c r="C53" i="26"/>
  <c r="C46" i="19"/>
  <c r="C47" i="19" s="1"/>
  <c r="C105" i="8" l="1"/>
  <c r="C106" i="8" s="1"/>
  <c r="C107" i="8" s="1"/>
  <c r="C108" i="8" s="1"/>
  <c r="C109" i="8" s="1"/>
  <c r="C110" i="8" s="1"/>
  <c r="C111" i="8" s="1"/>
  <c r="C112" i="8" s="1"/>
  <c r="C113" i="8" s="1"/>
  <c r="C114" i="8" s="1"/>
  <c r="C115" i="8" s="1"/>
  <c r="C116" i="8" s="1"/>
  <c r="C117" i="8" s="1"/>
  <c r="C118" i="8" s="1"/>
  <c r="C119" i="8" s="1"/>
  <c r="C120" i="8" s="1"/>
  <c r="C121" i="8" s="1"/>
  <c r="C122" i="8" s="1"/>
  <c r="C123" i="8" s="1"/>
  <c r="C124" i="8" s="1"/>
  <c r="C125" i="8" s="1"/>
  <c r="C126" i="8" s="1"/>
  <c r="C127" i="8" s="1"/>
  <c r="C128" i="8" s="1"/>
  <c r="C129" i="8" s="1"/>
  <c r="C130" i="8" s="1"/>
  <c r="C131" i="8" s="1"/>
  <c r="C132" i="8" s="1"/>
  <c r="C133" i="8" s="1"/>
  <c r="C134" i="8" s="1"/>
  <c r="C135" i="8" s="1"/>
  <c r="C54" i="26"/>
  <c r="C48" i="19"/>
  <c r="C49" i="19" s="1"/>
  <c r="C136" i="8" l="1"/>
  <c r="C137" i="8" s="1"/>
  <c r="C138" i="8" s="1"/>
  <c r="C139" i="8" s="1"/>
  <c r="C140" i="8" s="1"/>
  <c r="C141" i="8" s="1"/>
  <c r="C142" i="8" s="1"/>
  <c r="C143" i="8" s="1"/>
  <c r="C144" i="8" s="1"/>
  <c r="C145" i="8" s="1"/>
  <c r="C146" i="8" s="1"/>
  <c r="C147" i="8" s="1"/>
  <c r="C148" i="8" s="1"/>
  <c r="C149" i="8" s="1"/>
  <c r="C150" i="8" s="1"/>
  <c r="C151" i="8" s="1"/>
  <c r="C152" i="8" s="1"/>
  <c r="C153" i="8" s="1"/>
  <c r="C154" i="8" s="1"/>
  <c r="C155" i="8" s="1"/>
  <c r="C156" i="8" s="1"/>
  <c r="C157" i="8" s="1"/>
  <c r="C158" i="8" s="1"/>
  <c r="C159" i="8" s="1"/>
  <c r="C160" i="8" s="1"/>
  <c r="C161" i="8" s="1"/>
  <c r="C55" i="26"/>
  <c r="C50" i="19"/>
  <c r="C51" i="19" s="1"/>
  <c r="C162" i="8" l="1"/>
  <c r="C163" i="8" s="1"/>
  <c r="C164" i="8" s="1"/>
  <c r="C165" i="8" s="1"/>
  <c r="C166" i="8" s="1"/>
  <c r="C167" i="8" s="1"/>
  <c r="C168" i="8" s="1"/>
  <c r="C169" i="8" s="1"/>
  <c r="C170" i="8" s="1"/>
  <c r="C171" i="8" s="1"/>
  <c r="C172" i="8" s="1"/>
  <c r="C173" i="8" s="1"/>
  <c r="C174" i="8" s="1"/>
  <c r="C175" i="8" s="1"/>
  <c r="C176" i="8" s="1"/>
  <c r="C177" i="8" s="1"/>
  <c r="C178" i="8" s="1"/>
  <c r="C179" i="8" s="1"/>
  <c r="C180" i="8" s="1"/>
  <c r="C181" i="8" s="1"/>
  <c r="C182" i="8" s="1"/>
  <c r="C183" i="8" s="1"/>
  <c r="C184" i="8" s="1"/>
  <c r="C185" i="8" s="1"/>
  <c r="C186" i="8" s="1"/>
  <c r="C187" i="8" s="1"/>
  <c r="C188" i="8" s="1"/>
  <c r="C189" i="8" s="1"/>
  <c r="C190" i="8" s="1"/>
  <c r="C191" i="8" s="1"/>
  <c r="C192" i="8" s="1"/>
  <c r="C56" i="26"/>
  <c r="C52" i="19"/>
  <c r="C53" i="19" s="1"/>
  <c r="C57" i="26" l="1"/>
  <c r="C54" i="19"/>
  <c r="C55" i="19" s="1"/>
  <c r="C58" i="26" l="1"/>
  <c r="C56" i="19"/>
  <c r="C57" i="19" s="1"/>
  <c r="C59" i="26" l="1"/>
  <c r="C58" i="19"/>
  <c r="C59" i="19" s="1"/>
  <c r="C60" i="19" s="1"/>
  <c r="C61" i="19" s="1"/>
  <c r="C62" i="19" s="1"/>
  <c r="C63" i="19" s="1"/>
  <c r="C64" i="19" s="1"/>
  <c r="C65" i="19" s="1"/>
  <c r="C66" i="19" s="1"/>
  <c r="C67" i="19" s="1"/>
  <c r="C68" i="19" s="1"/>
  <c r="C69" i="19" s="1"/>
  <c r="C5" i="20"/>
  <c r="C6" i="20" s="1"/>
  <c r="C7" i="20" s="1"/>
  <c r="C8" i="20" s="1"/>
  <c r="C9" i="20" s="1"/>
  <c r="C10" i="20" s="1"/>
  <c r="C11" i="20" s="1"/>
  <c r="C12" i="20" s="1"/>
  <c r="C13" i="20" s="1"/>
  <c r="C14" i="20" s="1"/>
  <c r="C15" i="20" s="1"/>
  <c r="C16" i="20" s="1"/>
  <c r="C17" i="20" s="1"/>
  <c r="C18" i="20" s="1"/>
  <c r="C19" i="20" s="1"/>
  <c r="C20" i="20" s="1"/>
  <c r="C21" i="20" s="1"/>
  <c r="C22" i="20" s="1"/>
  <c r="C23" i="20" s="1"/>
  <c r="C24" i="20" s="1"/>
  <c r="C25" i="20" s="1"/>
  <c r="C26" i="20" s="1"/>
  <c r="C27" i="20" s="1"/>
  <c r="C28" i="20" s="1"/>
  <c r="C29" i="20" s="1"/>
  <c r="C30" i="20" s="1"/>
  <c r="C31" i="20" s="1"/>
  <c r="C32" i="20" s="1"/>
  <c r="C33" i="20" s="1"/>
  <c r="C34" i="20" s="1"/>
  <c r="C35" i="20" s="1"/>
  <c r="C36" i="20" s="1"/>
  <c r="C37" i="20" s="1"/>
  <c r="C38" i="20" s="1"/>
  <c r="C39" i="20" s="1"/>
  <c r="C40" i="20" s="1"/>
  <c r="C41" i="20" s="1"/>
  <c r="C42" i="20" s="1"/>
  <c r="C43" i="20" s="1"/>
  <c r="C44" i="20" s="1"/>
  <c r="C45" i="20" s="1"/>
  <c r="C46" i="20" s="1"/>
  <c r="C47" i="20" s="1"/>
  <c r="C5" i="7"/>
  <c r="C6" i="7" s="1"/>
  <c r="C7" i="7" s="1"/>
  <c r="C8" i="7" s="1"/>
  <c r="C9" i="7" s="1"/>
  <c r="C10" i="7" s="1"/>
  <c r="C11" i="7" s="1"/>
  <c r="C12" i="7" s="1"/>
  <c r="C13" i="7" s="1"/>
  <c r="C14" i="7" s="1"/>
  <c r="C15" i="7" s="1"/>
  <c r="C16" i="7" s="1"/>
  <c r="C17" i="7" s="1"/>
  <c r="C18" i="7" s="1"/>
  <c r="C19" i="7" s="1"/>
  <c r="C20" i="7" s="1"/>
  <c r="C21" i="7" s="1"/>
  <c r="C5" i="21"/>
  <c r="C5" i="3"/>
  <c r="C6" i="3" s="1"/>
  <c r="C7" i="3" s="1"/>
  <c r="C8" i="3" s="1"/>
  <c r="C9" i="3" s="1"/>
  <c r="C10" i="3" s="1"/>
  <c r="C11" i="3" s="1"/>
  <c r="C12" i="3" s="1"/>
  <c r="C13" i="3" s="1"/>
  <c r="C14" i="3" s="1"/>
  <c r="C15" i="3" s="1"/>
  <c r="C16" i="3" s="1"/>
  <c r="C17" i="3" s="1"/>
  <c r="C18" i="3" s="1"/>
  <c r="C19" i="3" s="1"/>
  <c r="C20" i="3" s="1"/>
  <c r="C21" i="3" s="1"/>
  <c r="C22" i="3" s="1"/>
  <c r="C23" i="3" s="1"/>
  <c r="C24" i="3" s="1"/>
  <c r="C25" i="3" s="1"/>
  <c r="C26" i="3" s="1"/>
  <c r="C27" i="3" s="1"/>
  <c r="C28" i="3" s="1"/>
  <c r="C29" i="3" s="1"/>
  <c r="C30" i="3" s="1"/>
  <c r="C31" i="3" s="1"/>
  <c r="C32" i="3" s="1"/>
  <c r="C33" i="3" s="1"/>
  <c r="C34" i="3" s="1"/>
  <c r="C35" i="3" s="1"/>
  <c r="C36" i="3" s="1"/>
  <c r="C37" i="3" s="1"/>
  <c r="C38" i="3" s="1"/>
  <c r="C39" i="3" s="1"/>
  <c r="C40" i="3" s="1"/>
  <c r="C41" i="3" s="1"/>
  <c r="C42" i="3" s="1"/>
  <c r="C43" i="3" s="1"/>
  <c r="C44" i="3" s="1"/>
  <c r="C45" i="3" s="1"/>
  <c r="C46" i="3" s="1"/>
  <c r="C47" i="3" s="1"/>
  <c r="C5" i="10"/>
  <c r="C6" i="10" s="1"/>
  <c r="C7" i="10" s="1"/>
  <c r="C8" i="10" s="1"/>
  <c r="C9" i="10" s="1"/>
  <c r="C10" i="10" s="1"/>
  <c r="C11" i="10" s="1"/>
  <c r="C12" i="10" s="1"/>
  <c r="C13" i="10" s="1"/>
  <c r="C14" i="10" s="1"/>
  <c r="C15" i="10" s="1"/>
  <c r="C16" i="10" s="1"/>
  <c r="C17" i="10" s="1"/>
  <c r="C18" i="10" s="1"/>
  <c r="C19" i="10" s="1"/>
  <c r="C20" i="10" s="1"/>
  <c r="C21" i="10" s="1"/>
  <c r="C22" i="10" s="1"/>
  <c r="C23" i="10" s="1"/>
  <c r="C24" i="10" s="1"/>
  <c r="C25" i="10" s="1"/>
  <c r="C26" i="10" s="1"/>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C49" i="10" s="1"/>
  <c r="C50" i="10" s="1"/>
  <c r="C51" i="10" s="1"/>
  <c r="C52" i="10" s="1"/>
  <c r="C53" i="10" s="1"/>
  <c r="C54" i="10" s="1"/>
  <c r="C55" i="10" s="1"/>
  <c r="C56" i="10" s="1"/>
  <c r="C57" i="10" s="1"/>
  <c r="C268" i="13"/>
  <c r="C269" i="13" s="1"/>
  <c r="C270" i="13" s="1"/>
  <c r="C271" i="13" s="1"/>
  <c r="C272" i="13" s="1"/>
  <c r="C273" i="13" s="1"/>
  <c r="C274" i="13" s="1"/>
  <c r="C275" i="13" s="1"/>
  <c r="C276" i="13" s="1"/>
  <c r="C277" i="13" s="1"/>
  <c r="C278" i="13" s="1"/>
  <c r="C279" i="13" s="1"/>
  <c r="C280" i="13" s="1"/>
  <c r="C281" i="13" s="1"/>
  <c r="C282" i="13" s="1"/>
  <c r="C283" i="13" s="1"/>
  <c r="C284" i="13" s="1"/>
  <c r="C285" i="13" s="1"/>
  <c r="C286" i="13" s="1"/>
  <c r="C29" i="9"/>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C53" i="9" s="1"/>
  <c r="C54" i="9" s="1"/>
  <c r="C55" i="9" s="1"/>
  <c r="C56" i="9" s="1"/>
  <c r="C57" i="9" s="1"/>
  <c r="C58" i="9" s="1"/>
  <c r="C59" i="9" s="1"/>
  <c r="C60" i="9" s="1"/>
  <c r="C61" i="9" s="1"/>
  <c r="C62" i="9" s="1"/>
  <c r="C63" i="9" s="1"/>
  <c r="C64" i="9" s="1"/>
  <c r="C65" i="9" s="1"/>
  <c r="C66" i="9" s="1"/>
  <c r="C67" i="9" s="1"/>
  <c r="C68" i="9" s="1"/>
  <c r="C69" i="9" s="1"/>
  <c r="C70" i="9" s="1"/>
  <c r="C71" i="9" s="1"/>
  <c r="C72" i="9" s="1"/>
  <c r="C73" i="9" s="1"/>
  <c r="C74" i="9" s="1"/>
  <c r="C75" i="9" s="1"/>
  <c r="C14" i="6"/>
  <c r="C15" i="6" s="1"/>
  <c r="C16" i="6" s="1"/>
  <c r="C17" i="6" s="1"/>
  <c r="C18" i="6" s="1"/>
  <c r="C19" i="6" s="1"/>
  <c r="C20" i="6" s="1"/>
  <c r="C21" i="6" s="1"/>
  <c r="C22" i="6" s="1"/>
  <c r="C23" i="6" s="1"/>
  <c r="C24" i="6" s="1"/>
  <c r="C25" i="6" s="1"/>
  <c r="C26" i="6" s="1"/>
  <c r="C27" i="6" s="1"/>
  <c r="C28" i="6" s="1"/>
  <c r="C29" i="6" s="1"/>
  <c r="C30" i="6" s="1"/>
  <c r="C31" i="6" s="1"/>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105" i="6" s="1"/>
  <c r="C106" i="6" s="1"/>
  <c r="C107" i="6" s="1"/>
  <c r="C108" i="6" s="1"/>
  <c r="C109" i="6" s="1"/>
  <c r="C110" i="6" s="1"/>
  <c r="C111" i="6" s="1"/>
  <c r="C112" i="6" s="1"/>
  <c r="C113" i="6" s="1"/>
  <c r="C114" i="6" s="1"/>
  <c r="C115" i="6" s="1"/>
  <c r="C116" i="6" s="1"/>
  <c r="C117" i="6" s="1"/>
  <c r="C118" i="6" s="1"/>
  <c r="C119" i="6" s="1"/>
  <c r="C120" i="6" s="1"/>
  <c r="C121" i="6" s="1"/>
  <c r="C122" i="6" s="1"/>
  <c r="C123" i="6" s="1"/>
  <c r="C124" i="6" s="1"/>
  <c r="C125" i="6" s="1"/>
  <c r="C126" i="6" s="1"/>
  <c r="C127" i="6" s="1"/>
  <c r="C128" i="6" s="1"/>
  <c r="C38" i="5"/>
  <c r="C39" i="5" s="1"/>
  <c r="C40" i="5" s="1"/>
  <c r="C41" i="5" s="1"/>
  <c r="C42" i="5" s="1"/>
  <c r="C43" i="5" s="1"/>
  <c r="C44" i="5" s="1"/>
  <c r="C45" i="5" s="1"/>
  <c r="C46" i="5" s="1"/>
  <c r="C47" i="5" s="1"/>
  <c r="C48" i="5" s="1"/>
  <c r="C49" i="5" s="1"/>
  <c r="C50" i="5" s="1"/>
  <c r="C51" i="5" s="1"/>
  <c r="C52" i="5" s="1"/>
  <c r="C53" i="5" s="1"/>
  <c r="C54" i="5" s="1"/>
  <c r="C55" i="5" s="1"/>
  <c r="C56" i="5" s="1"/>
  <c r="C57" i="5" s="1"/>
  <c r="C58" i="5" s="1"/>
  <c r="C59" i="5" s="1"/>
  <c r="C60" i="5" s="1"/>
  <c r="C61" i="5" s="1"/>
  <c r="C62" i="5" s="1"/>
  <c r="C63" i="5" s="1"/>
  <c r="C64" i="5" s="1"/>
  <c r="C65" i="5" s="1"/>
  <c r="C66" i="5" s="1"/>
  <c r="C67" i="5" s="1"/>
  <c r="C68" i="5" s="1"/>
  <c r="C69" i="5" s="1"/>
  <c r="C70" i="5" s="1"/>
  <c r="C71" i="5" s="1"/>
  <c r="C72" i="5" s="1"/>
  <c r="C73" i="5" s="1"/>
  <c r="C74" i="5" s="1"/>
  <c r="C75" i="5" s="1"/>
  <c r="C76" i="5" s="1"/>
  <c r="C77" i="5" s="1"/>
  <c r="C78" i="5" s="1"/>
  <c r="C79" i="5" s="1"/>
  <c r="C80" i="5" s="1"/>
  <c r="C81" i="5" s="1"/>
  <c r="C82" i="5" s="1"/>
  <c r="C83" i="5" s="1"/>
  <c r="C84" i="5" s="1"/>
  <c r="C85" i="5" s="1"/>
  <c r="C86" i="5" s="1"/>
  <c r="C87" i="5" s="1"/>
  <c r="C88" i="5" s="1"/>
  <c r="C89" i="5" s="1"/>
  <c r="C90" i="5" s="1"/>
  <c r="C91" i="5" s="1"/>
  <c r="C92" i="5" s="1"/>
  <c r="C93" i="5" s="1"/>
  <c r="C94" i="5" s="1"/>
  <c r="C95" i="5" s="1"/>
  <c r="C96" i="5" s="1"/>
  <c r="C97" i="5" s="1"/>
  <c r="C98" i="5" s="1"/>
  <c r="C99" i="5" s="1"/>
  <c r="C100" i="5" s="1"/>
  <c r="C101" i="5" s="1"/>
  <c r="C102" i="5" s="1"/>
  <c r="C103" i="5" s="1"/>
  <c r="C104" i="5" s="1"/>
  <c r="C105" i="5" s="1"/>
  <c r="C106" i="5" s="1"/>
  <c r="C107" i="5" s="1"/>
  <c r="C108" i="5" s="1"/>
  <c r="C109" i="5" s="1"/>
  <c r="C110" i="5" s="1"/>
  <c r="C111" i="5" s="1"/>
  <c r="C112" i="5" s="1"/>
  <c r="C113" i="5" s="1"/>
  <c r="C114" i="5" s="1"/>
  <c r="C115" i="5" s="1"/>
  <c r="C116" i="5" s="1"/>
  <c r="C117" i="5" s="1"/>
  <c r="C118" i="5" s="1"/>
  <c r="C119" i="5" s="1"/>
  <c r="C120" i="5" s="1"/>
  <c r="C121" i="5" s="1"/>
  <c r="C122" i="5" s="1"/>
  <c r="C123" i="5" s="1"/>
  <c r="C124" i="5" s="1"/>
  <c r="C125" i="5" s="1"/>
  <c r="C126" i="5" s="1"/>
  <c r="C127" i="5" s="1"/>
  <c r="C128" i="5" s="1"/>
  <c r="C129" i="5" s="1"/>
  <c r="C130" i="5" s="1"/>
  <c r="C13" i="22"/>
  <c r="C14" i="22" s="1"/>
  <c r="C15" i="22" s="1"/>
  <c r="C16" i="22" s="1"/>
  <c r="C17" i="22" s="1"/>
  <c r="C18" i="22" s="1"/>
  <c r="C19" i="22" s="1"/>
  <c r="C20" i="22" s="1"/>
  <c r="C21" i="22" s="1"/>
  <c r="C22" i="22" s="1"/>
  <c r="C23" i="22" s="1"/>
  <c r="C24" i="22" s="1"/>
  <c r="C25" i="22" s="1"/>
  <c r="C26" i="22" s="1"/>
  <c r="C27" i="22" s="1"/>
  <c r="C28" i="22" s="1"/>
  <c r="C29" i="22" s="1"/>
  <c r="C30" i="22" s="1"/>
  <c r="C31" i="22" s="1"/>
  <c r="C32" i="22" s="1"/>
  <c r="C33" i="22" s="1"/>
  <c r="C34" i="22" s="1"/>
  <c r="C35" i="22" s="1"/>
  <c r="C36" i="22" s="1"/>
  <c r="C37" i="22" s="1"/>
  <c r="C38" i="22" s="1"/>
  <c r="C39" i="22" s="1"/>
  <c r="C40" i="22" s="1"/>
  <c r="C41" i="22" s="1"/>
  <c r="C42" i="22" s="1"/>
  <c r="C30" i="15"/>
  <c r="C31" i="15" s="1"/>
  <c r="C32" i="15" s="1"/>
  <c r="C33" i="15" s="1"/>
  <c r="C34" i="15" s="1"/>
  <c r="C35" i="15" s="1"/>
  <c r="C36" i="15" s="1"/>
  <c r="C37" i="15" s="1"/>
  <c r="C38" i="15" s="1"/>
  <c r="C39" i="15" s="1"/>
  <c r="C40" i="15" s="1"/>
  <c r="C41" i="15" s="1"/>
  <c r="C42" i="15" s="1"/>
  <c r="C43" i="15" s="1"/>
  <c r="C44" i="15" s="1"/>
  <c r="C45" i="15" s="1"/>
  <c r="C46" i="15" s="1"/>
  <c r="C47" i="15" s="1"/>
  <c r="C48" i="15" s="1"/>
  <c r="C49" i="15" s="1"/>
  <c r="C50" i="15" s="1"/>
  <c r="C51" i="15" s="1"/>
  <c r="C52" i="15" s="1"/>
  <c r="C53" i="15" s="1"/>
  <c r="C54" i="15" s="1"/>
  <c r="C55" i="15" s="1"/>
  <c r="C56" i="15" s="1"/>
  <c r="C57" i="15" s="1"/>
  <c r="C58" i="15" s="1"/>
  <c r="C59" i="15" s="1"/>
  <c r="C60" i="15" s="1"/>
  <c r="C61" i="15" s="1"/>
  <c r="C62" i="15" s="1"/>
  <c r="C63" i="15" s="1"/>
  <c r="C64" i="15" s="1"/>
  <c r="C65" i="15" s="1"/>
  <c r="C66" i="15" s="1"/>
  <c r="C67" i="15" s="1"/>
  <c r="C68" i="15" s="1"/>
  <c r="C69" i="15" s="1"/>
  <c r="C70" i="15" s="1"/>
  <c r="C71" i="15" s="1"/>
  <c r="C72" i="15" s="1"/>
  <c r="C58" i="10" l="1"/>
  <c r="C59" i="10" s="1"/>
  <c r="C60" i="10" s="1"/>
  <c r="C61" i="10" s="1"/>
  <c r="C62" i="10" s="1"/>
  <c r="C63" i="10" s="1"/>
  <c r="C64" i="10" s="1"/>
  <c r="C65" i="10" s="1"/>
  <c r="C66" i="10" s="1"/>
  <c r="C67" i="10" s="1"/>
  <c r="C68" i="10" s="1"/>
  <c r="C69" i="10" s="1"/>
  <c r="C70" i="10" s="1"/>
  <c r="C71" i="10" s="1"/>
  <c r="C72" i="10" s="1"/>
  <c r="C73" i="10" s="1"/>
  <c r="C74" i="10" s="1"/>
  <c r="C75" i="10" s="1"/>
  <c r="C76" i="10" s="1"/>
  <c r="C73" i="15"/>
  <c r="C74" i="15" s="1"/>
  <c r="C75" i="15" s="1"/>
  <c r="C76" i="15" s="1"/>
  <c r="C77" i="15" s="1"/>
  <c r="C78" i="15" s="1"/>
  <c r="C79" i="15" s="1"/>
  <c r="C80" i="15" s="1"/>
  <c r="C81" i="15" s="1"/>
  <c r="C43" i="22"/>
  <c r="C44" i="22" s="1"/>
  <c r="C45" i="22" s="1"/>
  <c r="C46" i="22" s="1"/>
  <c r="C47" i="22" s="1"/>
  <c r="C48" i="22" s="1"/>
  <c r="C49" i="22" s="1"/>
  <c r="C50" i="22" s="1"/>
  <c r="C51" i="22" s="1"/>
  <c r="C52" i="22" s="1"/>
  <c r="C53" i="22" s="1"/>
  <c r="C54" i="22" s="1"/>
  <c r="C55" i="22" s="1"/>
  <c r="C56" i="22" s="1"/>
  <c r="C57" i="22" s="1"/>
  <c r="C58" i="22" s="1"/>
  <c r="C59" i="22" s="1"/>
  <c r="C60" i="22" s="1"/>
  <c r="C61" i="22" s="1"/>
  <c r="C62" i="22" s="1"/>
  <c r="C63" i="22" s="1"/>
  <c r="C64" i="22" s="1"/>
  <c r="C65" i="22" s="1"/>
  <c r="C66" i="22" s="1"/>
  <c r="C67" i="22" s="1"/>
  <c r="C68" i="22" s="1"/>
  <c r="C69" i="22" s="1"/>
  <c r="C70" i="22" s="1"/>
  <c r="C71" i="22" s="1"/>
  <c r="C72" i="22" s="1"/>
  <c r="C73" i="22" s="1"/>
  <c r="C74" i="22" s="1"/>
  <c r="C75" i="22" s="1"/>
  <c r="C76" i="22" s="1"/>
  <c r="C77" i="22" s="1"/>
  <c r="C78" i="22" s="1"/>
  <c r="C79" i="22" s="1"/>
  <c r="C129" i="6"/>
  <c r="C130" i="6" s="1"/>
  <c r="C131" i="6" s="1"/>
  <c r="C132" i="6" s="1"/>
  <c r="C133" i="6" s="1"/>
  <c r="C134" i="6" s="1"/>
  <c r="C135" i="6" s="1"/>
  <c r="C136" i="6" s="1"/>
  <c r="C137" i="6" s="1"/>
  <c r="C138" i="6" s="1"/>
  <c r="C139" i="6" s="1"/>
  <c r="C140" i="6" s="1"/>
  <c r="C141" i="6" s="1"/>
  <c r="C142" i="6" s="1"/>
  <c r="C143" i="6" s="1"/>
  <c r="C144" i="6" s="1"/>
  <c r="C145" i="6" s="1"/>
  <c r="C146" i="6" s="1"/>
  <c r="C147" i="6" s="1"/>
  <c r="C148" i="6" s="1"/>
  <c r="C149" i="6" s="1"/>
  <c r="C150" i="6" s="1"/>
  <c r="C151" i="6" s="1"/>
  <c r="C152" i="6" s="1"/>
  <c r="C153" i="6" s="1"/>
  <c r="C154" i="6" s="1"/>
  <c r="C155" i="6" s="1"/>
  <c r="C156" i="6" s="1"/>
  <c r="C157" i="6" s="1"/>
  <c r="C158" i="6" s="1"/>
  <c r="C159" i="6" s="1"/>
  <c r="C160" i="6" s="1"/>
  <c r="C161" i="6" s="1"/>
  <c r="C162" i="6" s="1"/>
  <c r="C163" i="6" s="1"/>
  <c r="C164" i="6" s="1"/>
  <c r="C165" i="6" s="1"/>
  <c r="C6" i="21"/>
  <c r="C7" i="21" s="1"/>
  <c r="C8" i="21" s="1"/>
  <c r="C9" i="21" s="1"/>
  <c r="C10" i="21" s="1"/>
  <c r="C11" i="21" s="1"/>
  <c r="C12" i="21" s="1"/>
  <c r="C13" i="21" s="1"/>
  <c r="C14" i="21" s="1"/>
  <c r="C15" i="21" s="1"/>
  <c r="C16" i="21" s="1"/>
  <c r="C17" i="21" s="1"/>
  <c r="C18" i="21" s="1"/>
  <c r="C48" i="20"/>
  <c r="C49" i="20" s="1"/>
  <c r="C50" i="20" s="1"/>
  <c r="C51" i="20" s="1"/>
  <c r="C52" i="20" s="1"/>
  <c r="C53" i="20" s="1"/>
  <c r="C54" i="20" s="1"/>
  <c r="C55" i="20" s="1"/>
  <c r="C56" i="20" s="1"/>
  <c r="C70" i="19"/>
  <c r="C71" i="19" s="1"/>
  <c r="C131" i="5"/>
  <c r="C132" i="5" s="1"/>
  <c r="C133" i="5" s="1"/>
  <c r="C134" i="5" s="1"/>
  <c r="C135" i="5" s="1"/>
  <c r="C76" i="9"/>
  <c r="C77" i="9" s="1"/>
  <c r="C78" i="9" s="1"/>
  <c r="C79" i="9" s="1"/>
  <c r="C80" i="9" s="1"/>
  <c r="C81" i="9" s="1"/>
  <c r="C82" i="9" s="1"/>
  <c r="C83" i="9" s="1"/>
  <c r="C84" i="9" s="1"/>
  <c r="C85" i="9" s="1"/>
  <c r="C86" i="9" s="1"/>
  <c r="C87" i="9" s="1"/>
  <c r="C88" i="9" s="1"/>
  <c r="C89" i="9" s="1"/>
  <c r="C287" i="13"/>
  <c r="C48" i="3"/>
  <c r="C22" i="7"/>
  <c r="C60" i="26"/>
  <c r="C82" i="15" l="1"/>
  <c r="C83" i="15" s="1"/>
  <c r="C84" i="15" s="1"/>
  <c r="C85" i="15" s="1"/>
  <c r="C86" i="15" s="1"/>
  <c r="C87" i="15" s="1"/>
  <c r="C88" i="15" s="1"/>
  <c r="C89" i="15" s="1"/>
  <c r="C77" i="10"/>
  <c r="C78" i="10" s="1"/>
  <c r="C79" i="10" s="1"/>
  <c r="C80" i="10" s="1"/>
  <c r="C81" i="10" s="1"/>
  <c r="C82" i="10" s="1"/>
  <c r="C83" i="10" s="1"/>
  <c r="C84" i="10" s="1"/>
  <c r="C85" i="10" s="1"/>
  <c r="C86" i="10" s="1"/>
  <c r="C87" i="10" s="1"/>
  <c r="C88" i="10" s="1"/>
  <c r="C89" i="10" s="1"/>
  <c r="C90" i="10" s="1"/>
  <c r="C91" i="10" s="1"/>
  <c r="C92" i="10" s="1"/>
  <c r="C93" i="10" s="1"/>
  <c r="C94" i="10" s="1"/>
  <c r="C95" i="10" s="1"/>
  <c r="C96" i="10" s="1"/>
  <c r="C97" i="10" s="1"/>
  <c r="C98" i="10" s="1"/>
  <c r="C80" i="22"/>
  <c r="C81" i="22" s="1"/>
  <c r="C82" i="22" s="1"/>
  <c r="C83" i="22" s="1"/>
  <c r="C84" i="22" s="1"/>
  <c r="C85" i="22" s="1"/>
  <c r="C86" i="22" s="1"/>
  <c r="C87" i="22" s="1"/>
  <c r="C136" i="5"/>
  <c r="C137" i="5" s="1"/>
  <c r="C138" i="5" s="1"/>
  <c r="C139" i="5" s="1"/>
  <c r="C140" i="5" s="1"/>
  <c r="C141" i="5" s="1"/>
  <c r="C142" i="5" s="1"/>
  <c r="C143" i="5" s="1"/>
  <c r="C144" i="5" s="1"/>
  <c r="C145" i="5" s="1"/>
  <c r="C146" i="5" s="1"/>
  <c r="C90" i="9"/>
  <c r="C91" i="9" s="1"/>
  <c r="C92" i="9" s="1"/>
  <c r="C93" i="9" s="1"/>
  <c r="C94" i="9" s="1"/>
  <c r="C95" i="9" s="1"/>
  <c r="C96" i="9" s="1"/>
  <c r="C72" i="19"/>
  <c r="C73" i="19" s="1"/>
  <c r="C74" i="19" s="1"/>
  <c r="C75" i="19" s="1"/>
  <c r="C76" i="19" s="1"/>
  <c r="C77" i="19" s="1"/>
  <c r="C78" i="19" s="1"/>
  <c r="C79" i="19" s="1"/>
  <c r="C80" i="19" s="1"/>
  <c r="C81" i="19" s="1"/>
  <c r="C82" i="19" s="1"/>
  <c r="C83" i="19" s="1"/>
  <c r="C84" i="19" s="1"/>
  <c r="C85" i="19" s="1"/>
  <c r="C86" i="19" s="1"/>
  <c r="C87" i="19" s="1"/>
  <c r="C88" i="19" s="1"/>
  <c r="C89" i="19" s="1"/>
  <c r="C90" i="19" s="1"/>
  <c r="C91" i="19" s="1"/>
  <c r="C92" i="19" s="1"/>
  <c r="C93" i="19" s="1"/>
  <c r="C94" i="19" s="1"/>
  <c r="C95" i="19" s="1"/>
  <c r="C96" i="19" s="1"/>
  <c r="C97" i="19" s="1"/>
  <c r="C98" i="19" s="1"/>
  <c r="C99" i="19" s="1"/>
  <c r="C100" i="19" s="1"/>
  <c r="C101" i="19" s="1"/>
  <c r="C102" i="19" s="1"/>
  <c r="C103" i="19" s="1"/>
  <c r="C104" i="19" s="1"/>
  <c r="C105" i="19" s="1"/>
  <c r="C106" i="19" s="1"/>
  <c r="C107" i="19" s="1"/>
  <c r="C108" i="19" s="1"/>
  <c r="C109" i="19" s="1"/>
  <c r="C110" i="19" s="1"/>
  <c r="C111" i="19" s="1"/>
  <c r="C112" i="19" s="1"/>
  <c r="C113" i="19" s="1"/>
  <c r="C114" i="19" s="1"/>
  <c r="C115" i="19" s="1"/>
  <c r="C116" i="19" s="1"/>
  <c r="C117" i="19" s="1"/>
  <c r="C118" i="19" s="1"/>
  <c r="C119" i="19" s="1"/>
  <c r="C120" i="19" s="1"/>
  <c r="C121" i="19" s="1"/>
  <c r="C122" i="19" s="1"/>
  <c r="C123" i="19" s="1"/>
  <c r="C124" i="19" s="1"/>
  <c r="C125" i="19" s="1"/>
  <c r="C126" i="19" s="1"/>
  <c r="C127" i="19" s="1"/>
  <c r="C128" i="19" s="1"/>
  <c r="C129" i="19" s="1"/>
  <c r="C130" i="19" s="1"/>
  <c r="C131" i="19" s="1"/>
  <c r="C132" i="19" s="1"/>
  <c r="C133" i="19" s="1"/>
  <c r="C134" i="19" s="1"/>
  <c r="C135" i="19" s="1"/>
  <c r="C136" i="19" s="1"/>
  <c r="C137" i="19" s="1"/>
  <c r="C138" i="19" s="1"/>
  <c r="C139" i="19" s="1"/>
  <c r="C140" i="19" s="1"/>
  <c r="C141" i="19" s="1"/>
  <c r="C142" i="19" s="1"/>
  <c r="C143" i="19" s="1"/>
  <c r="C144" i="19" s="1"/>
  <c r="C145" i="19" s="1"/>
  <c r="C61" i="26"/>
  <c r="C90" i="15" l="1"/>
  <c r="C91" i="15" s="1"/>
  <c r="C99" i="10"/>
  <c r="C100" i="10" s="1"/>
  <c r="C101" i="10" s="1"/>
  <c r="C102" i="10" s="1"/>
  <c r="C103" i="10" s="1"/>
  <c r="C104" i="10" s="1"/>
  <c r="C105" i="10" s="1"/>
  <c r="C106" i="10" s="1"/>
  <c r="C107" i="10" s="1"/>
  <c r="C108" i="10" s="1"/>
  <c r="C109" i="10" s="1"/>
  <c r="C110" i="10" s="1"/>
  <c r="C111" i="10" s="1"/>
  <c r="C112" i="10" s="1"/>
  <c r="C113" i="10" s="1"/>
  <c r="C114" i="10" s="1"/>
  <c r="C115" i="10" s="1"/>
  <c r="C116" i="10" s="1"/>
  <c r="C117" i="10" s="1"/>
  <c r="C118" i="10" s="1"/>
  <c r="C119" i="10" s="1"/>
  <c r="C120" i="10" s="1"/>
  <c r="C121" i="10" s="1"/>
  <c r="C122" i="10" s="1"/>
  <c r="C123" i="10" s="1"/>
  <c r="C124" i="10" s="1"/>
  <c r="C125" i="10" s="1"/>
  <c r="C88" i="22"/>
  <c r="C89" i="22" s="1"/>
  <c r="C90" i="22" s="1"/>
  <c r="C91" i="22" s="1"/>
  <c r="C97" i="9"/>
  <c r="C98" i="9" s="1"/>
  <c r="C99" i="9" s="1"/>
  <c r="C100" i="9" s="1"/>
  <c r="C101" i="9" s="1"/>
  <c r="C102" i="9" s="1"/>
  <c r="C103" i="9" s="1"/>
  <c r="C104" i="9" s="1"/>
  <c r="C105" i="9" s="1"/>
  <c r="C106" i="9" s="1"/>
  <c r="C107" i="9" s="1"/>
  <c r="C108" i="9" s="1"/>
  <c r="C109" i="9" s="1"/>
  <c r="C110" i="9" s="1"/>
  <c r="C111" i="9" s="1"/>
  <c r="C112" i="9" s="1"/>
  <c r="C113" i="9" s="1"/>
  <c r="C114" i="9" s="1"/>
  <c r="C115" i="9" s="1"/>
  <c r="C116" i="9" s="1"/>
  <c r="C117" i="9" s="1"/>
  <c r="C118" i="9" s="1"/>
  <c r="C119" i="9" s="1"/>
  <c r="C120" i="9" s="1"/>
  <c r="C121" i="9" s="1"/>
  <c r="C122" i="9" s="1"/>
  <c r="C123" i="9" s="1"/>
  <c r="C124" i="9" s="1"/>
  <c r="C125" i="9" s="1"/>
  <c r="C126" i="9" s="1"/>
  <c r="C127" i="9" s="1"/>
  <c r="C128" i="9" s="1"/>
  <c r="C129" i="9" s="1"/>
  <c r="C130" i="9" s="1"/>
  <c r="C131" i="9" s="1"/>
  <c r="C132" i="9" s="1"/>
  <c r="C133" i="9" s="1"/>
  <c r="C134" i="9" s="1"/>
  <c r="C135" i="9" s="1"/>
  <c r="C136" i="9" s="1"/>
  <c r="C137" i="9" s="1"/>
  <c r="C138" i="9" s="1"/>
  <c r="C139" i="9" s="1"/>
  <c r="C140" i="9" s="1"/>
  <c r="C141" i="9" s="1"/>
  <c r="C142" i="9" s="1"/>
  <c r="C143" i="9" s="1"/>
  <c r="C144" i="9" s="1"/>
  <c r="C145" i="9" s="1"/>
  <c r="C146" i="9" s="1"/>
  <c r="C147" i="9" s="1"/>
  <c r="C148" i="9" s="1"/>
  <c r="C149" i="9" s="1"/>
  <c r="C150" i="9" s="1"/>
  <c r="C151" i="9" s="1"/>
  <c r="C152" i="9" s="1"/>
  <c r="C153" i="9" s="1"/>
  <c r="C154" i="9" s="1"/>
  <c r="C155" i="9" s="1"/>
  <c r="C147" i="5"/>
  <c r="C148" i="5" s="1"/>
  <c r="C149" i="5" s="1"/>
  <c r="C150" i="5" s="1"/>
  <c r="C151" i="5" s="1"/>
  <c r="C152" i="5" s="1"/>
  <c r="C153" i="5" s="1"/>
  <c r="C154" i="5" s="1"/>
  <c r="C155" i="5" s="1"/>
  <c r="C156" i="5" s="1"/>
  <c r="C157" i="5" s="1"/>
  <c r="C158" i="5" s="1"/>
  <c r="C159" i="5" s="1"/>
  <c r="C160" i="5" s="1"/>
  <c r="C161" i="5" s="1"/>
  <c r="C162" i="5" s="1"/>
  <c r="C163" i="5" s="1"/>
  <c r="C164" i="5" s="1"/>
  <c r="C165" i="5" s="1"/>
  <c r="C166" i="5" s="1"/>
  <c r="C167" i="5" s="1"/>
  <c r="C168" i="5" s="1"/>
  <c r="C169" i="5" s="1"/>
  <c r="C170" i="5" s="1"/>
  <c r="C171" i="5" s="1"/>
  <c r="C172" i="5" s="1"/>
  <c r="C173" i="5" s="1"/>
  <c r="C174" i="5" s="1"/>
  <c r="C175" i="5" s="1"/>
  <c r="C176" i="5" s="1"/>
  <c r="C177" i="5" s="1"/>
  <c r="C178" i="5" s="1"/>
  <c r="C179" i="5" s="1"/>
  <c r="C180" i="5" s="1"/>
  <c r="C181" i="5" s="1"/>
  <c r="C182" i="5" s="1"/>
  <c r="C183" i="5" s="1"/>
  <c r="C184" i="5" s="1"/>
  <c r="C185" i="5" s="1"/>
  <c r="C186" i="5" s="1"/>
  <c r="C187" i="5" s="1"/>
  <c r="C188" i="5" s="1"/>
  <c r="C189" i="5" s="1"/>
  <c r="C190" i="5" s="1"/>
  <c r="C191" i="5" s="1"/>
  <c r="C192" i="5" s="1"/>
  <c r="C193" i="5" s="1"/>
  <c r="C194" i="5" s="1"/>
  <c r="C195" i="5" s="1"/>
  <c r="C196" i="5" s="1"/>
  <c r="C197" i="5" s="1"/>
  <c r="C198" i="5" s="1"/>
  <c r="C199" i="5" s="1"/>
  <c r="C200" i="5" s="1"/>
  <c r="C201" i="5" s="1"/>
  <c r="C202" i="5" s="1"/>
  <c r="C203" i="5" s="1"/>
  <c r="C204" i="5" s="1"/>
  <c r="C205" i="5" s="1"/>
  <c r="C206" i="5" s="1"/>
  <c r="C207" i="5" s="1"/>
  <c r="C208" i="5" s="1"/>
  <c r="C209" i="5" s="1"/>
  <c r="C210" i="5" s="1"/>
  <c r="C211" i="5" s="1"/>
  <c r="C212" i="5" s="1"/>
  <c r="C213" i="5" s="1"/>
  <c r="C214" i="5" s="1"/>
  <c r="C215" i="5" s="1"/>
  <c r="C216" i="5" s="1"/>
  <c r="C217" i="5" s="1"/>
  <c r="C218" i="5" s="1"/>
  <c r="C219" i="5" s="1"/>
  <c r="C220" i="5" s="1"/>
  <c r="C221" i="5" s="1"/>
  <c r="C222" i="5" s="1"/>
  <c r="C223" i="5" s="1"/>
  <c r="C224" i="5" s="1"/>
  <c r="C225" i="5" s="1"/>
  <c r="C226" i="5" s="1"/>
  <c r="C227" i="5" s="1"/>
  <c r="C228" i="5" s="1"/>
  <c r="C229" i="5" s="1"/>
  <c r="C230" i="5" s="1"/>
  <c r="C231" i="5" s="1"/>
  <c r="C146" i="19"/>
  <c r="C147" i="19" s="1"/>
  <c r="C148" i="19" s="1"/>
  <c r="C149" i="19" s="1"/>
  <c r="C150" i="19" s="1"/>
  <c r="C151" i="19" s="1"/>
  <c r="C152" i="19" s="1"/>
  <c r="C153" i="19" s="1"/>
  <c r="C154" i="19" s="1"/>
  <c r="C155" i="19" s="1"/>
  <c r="C156" i="19" s="1"/>
  <c r="C157" i="19" s="1"/>
  <c r="C158" i="19" s="1"/>
  <c r="C159" i="19" s="1"/>
  <c r="C160" i="19" s="1"/>
  <c r="C161" i="19" s="1"/>
  <c r="C162" i="19" s="1"/>
  <c r="C163" i="19" s="1"/>
  <c r="C164" i="19" s="1"/>
  <c r="C165" i="19" s="1"/>
  <c r="C166" i="19" s="1"/>
  <c r="C167" i="19" s="1"/>
  <c r="C168" i="19" s="1"/>
  <c r="C169" i="19" s="1"/>
  <c r="C170" i="19" s="1"/>
  <c r="C171" i="19" s="1"/>
  <c r="C172" i="19" s="1"/>
  <c r="C173" i="19" s="1"/>
  <c r="C174" i="19" s="1"/>
  <c r="C175" i="19" s="1"/>
  <c r="C176" i="19" s="1"/>
  <c r="C177" i="19" s="1"/>
  <c r="C178" i="19" s="1"/>
  <c r="C179" i="19" s="1"/>
  <c r="C180" i="19" s="1"/>
  <c r="C181" i="19" s="1"/>
  <c r="C182" i="19" s="1"/>
  <c r="C183" i="19" s="1"/>
  <c r="C184" i="19" s="1"/>
  <c r="C185" i="19" s="1"/>
  <c r="C186" i="19" s="1"/>
  <c r="C187" i="19" s="1"/>
  <c r="C188" i="19" s="1"/>
  <c r="C189" i="19" s="1"/>
  <c r="C190" i="19" s="1"/>
  <c r="C191" i="19" s="1"/>
  <c r="C192" i="19" s="1"/>
  <c r="C193" i="19" s="1"/>
  <c r="C194" i="19" s="1"/>
  <c r="C195" i="19" s="1"/>
  <c r="C196" i="19" s="1"/>
  <c r="C197" i="19" s="1"/>
  <c r="C198" i="19" s="1"/>
  <c r="C199" i="19" s="1"/>
  <c r="C200" i="19" s="1"/>
  <c r="C201" i="19" s="1"/>
  <c r="C202" i="19" s="1"/>
  <c r="C203" i="19" s="1"/>
  <c r="C204" i="19" s="1"/>
  <c r="C205" i="19" s="1"/>
  <c r="C206" i="19" s="1"/>
  <c r="C207" i="19" s="1"/>
  <c r="C208" i="19" s="1"/>
  <c r="C62" i="26"/>
  <c r="C232" i="5" l="1"/>
  <c r="C233" i="5" s="1"/>
  <c r="C234" i="5" s="1"/>
  <c r="C235" i="5" s="1"/>
  <c r="C236" i="5" s="1"/>
  <c r="C237" i="5" s="1"/>
  <c r="C238" i="5" s="1"/>
  <c r="C239" i="5" s="1"/>
  <c r="C240" i="5" s="1"/>
  <c r="C241" i="5" s="1"/>
  <c r="C242" i="5" s="1"/>
  <c r="C243" i="5" s="1"/>
  <c r="C92" i="15"/>
  <c r="C93" i="15" s="1"/>
  <c r="C94" i="15" s="1"/>
  <c r="C95" i="15" s="1"/>
  <c r="C96" i="15" s="1"/>
  <c r="C97" i="15" s="1"/>
  <c r="C98" i="15" s="1"/>
  <c r="C126" i="10"/>
  <c r="C127" i="10" s="1"/>
  <c r="C128" i="10" s="1"/>
  <c r="C129" i="10" s="1"/>
  <c r="C130" i="10" s="1"/>
  <c r="C131" i="10" s="1"/>
  <c r="C132" i="10" s="1"/>
  <c r="C133" i="10" s="1"/>
  <c r="C134" i="10" s="1"/>
  <c r="C135" i="10" s="1"/>
  <c r="C136" i="10" s="1"/>
  <c r="C137" i="10" s="1"/>
  <c r="C138" i="10" s="1"/>
  <c r="C139" i="10" s="1"/>
  <c r="C140" i="10" s="1"/>
  <c r="C141" i="10" s="1"/>
  <c r="C142" i="10" s="1"/>
  <c r="C143" i="10" s="1"/>
  <c r="C144" i="10" s="1"/>
  <c r="C145" i="10" s="1"/>
  <c r="C146" i="10" s="1"/>
  <c r="C147" i="10" s="1"/>
  <c r="C148" i="10" s="1"/>
  <c r="C149" i="10" s="1"/>
  <c r="C150" i="10" s="1"/>
  <c r="C151" i="10" s="1"/>
  <c r="C152" i="10" s="1"/>
  <c r="C153" i="10" s="1"/>
  <c r="C154" i="10" s="1"/>
  <c r="C92" i="22"/>
  <c r="C93" i="22" s="1"/>
  <c r="C94" i="22" s="1"/>
  <c r="C95" i="22" s="1"/>
  <c r="C96" i="22" s="1"/>
  <c r="C63" i="26"/>
  <c r="C244" i="5" l="1"/>
  <c r="C245" i="5" s="1"/>
  <c r="C246" i="5" s="1"/>
  <c r="C247" i="5" s="1"/>
  <c r="C248" i="5" s="1"/>
  <c r="C249" i="5" s="1"/>
  <c r="C250" i="5" s="1"/>
  <c r="C251" i="5" s="1"/>
  <c r="C252" i="5" s="1"/>
  <c r="C253" i="5" s="1"/>
  <c r="C254" i="5" s="1"/>
  <c r="C255" i="5" s="1"/>
  <c r="C256" i="5" s="1"/>
  <c r="C257" i="5" s="1"/>
  <c r="C99" i="15"/>
  <c r="C100" i="15" s="1"/>
  <c r="C101" i="15" s="1"/>
  <c r="C102" i="15" s="1"/>
  <c r="C103" i="15" s="1"/>
  <c r="C104" i="15" s="1"/>
  <c r="C105" i="15" s="1"/>
  <c r="C106" i="15" s="1"/>
  <c r="C107" i="15" s="1"/>
  <c r="C108" i="15" s="1"/>
  <c r="C109" i="15" s="1"/>
  <c r="C110" i="15" s="1"/>
  <c r="C111" i="15" s="1"/>
  <c r="C112" i="15" s="1"/>
  <c r="C113" i="15" s="1"/>
  <c r="C114" i="15" s="1"/>
  <c r="C115" i="15" s="1"/>
  <c r="C116" i="15" s="1"/>
  <c r="C117" i="15" s="1"/>
  <c r="C118" i="15" s="1"/>
  <c r="C119" i="15" s="1"/>
  <c r="C120" i="15" s="1"/>
  <c r="C121" i="15" s="1"/>
  <c r="C122" i="15" s="1"/>
  <c r="C123" i="15" s="1"/>
  <c r="C124" i="15" s="1"/>
  <c r="C125" i="15" s="1"/>
  <c r="C126" i="15" s="1"/>
  <c r="C127" i="15" s="1"/>
  <c r="C97" i="22"/>
  <c r="C98" i="22" s="1"/>
  <c r="C99" i="22" s="1"/>
  <c r="C100" i="22" s="1"/>
  <c r="C101" i="22" s="1"/>
  <c r="C102" i="22" s="1"/>
  <c r="C103" i="22" s="1"/>
  <c r="C104" i="22" s="1"/>
  <c r="C105" i="22" s="1"/>
  <c r="C106" i="22" s="1"/>
  <c r="C107" i="22" s="1"/>
  <c r="C108" i="22" s="1"/>
  <c r="C109" i="22" s="1"/>
  <c r="C110" i="22" s="1"/>
  <c r="C111" i="22" s="1"/>
  <c r="C112" i="22" s="1"/>
  <c r="C113" i="22" s="1"/>
  <c r="C114" i="22" s="1"/>
  <c r="C64" i="26"/>
  <c r="C258" i="5" l="1"/>
  <c r="C259" i="5" s="1"/>
  <c r="C260" i="5" s="1"/>
  <c r="C261" i="5" s="1"/>
  <c r="C262" i="5" s="1"/>
  <c r="C263" i="5" s="1"/>
  <c r="C264" i="5" s="1"/>
  <c r="C128" i="15"/>
  <c r="C129" i="15" s="1"/>
  <c r="C130" i="15" s="1"/>
  <c r="C115" i="22"/>
  <c r="C116" i="22" s="1"/>
  <c r="C117" i="22" s="1"/>
  <c r="C118" i="22" s="1"/>
  <c r="C119" i="22" s="1"/>
  <c r="C120" i="22" s="1"/>
  <c r="C121" i="22" s="1"/>
  <c r="C122" i="22" s="1"/>
  <c r="C123" i="22" s="1"/>
  <c r="C124" i="22" s="1"/>
  <c r="C125" i="22" s="1"/>
  <c r="C126" i="22" s="1"/>
  <c r="C127" i="22" s="1"/>
  <c r="C128" i="22" s="1"/>
  <c r="C129" i="22" s="1"/>
  <c r="C130" i="22" s="1"/>
  <c r="C65" i="26"/>
  <c r="C131" i="15" l="1"/>
  <c r="C132" i="15" s="1"/>
  <c r="C133" i="15" s="1"/>
  <c r="C134" i="15" s="1"/>
  <c r="C135" i="15" s="1"/>
  <c r="C136" i="15" s="1"/>
  <c r="C137" i="15" s="1"/>
  <c r="C138" i="15" s="1"/>
  <c r="C139" i="15" s="1"/>
  <c r="C140" i="15" s="1"/>
  <c r="C141" i="15" s="1"/>
  <c r="C142" i="15" s="1"/>
  <c r="C143" i="15" s="1"/>
  <c r="C144" i="15" s="1"/>
  <c r="C145" i="15" s="1"/>
  <c r="C146" i="15" s="1"/>
  <c r="C147" i="15" s="1"/>
  <c r="C148" i="15" s="1"/>
  <c r="C149" i="15" s="1"/>
  <c r="C150" i="15" s="1"/>
  <c r="C131" i="22"/>
  <c r="C132" i="22" s="1"/>
  <c r="C133" i="22" s="1"/>
  <c r="C134" i="22" s="1"/>
  <c r="C135" i="22" s="1"/>
  <c r="C66" i="26"/>
  <c r="C151" i="15" l="1"/>
  <c r="C152" i="15" s="1"/>
  <c r="C153" i="15" s="1"/>
  <c r="C154" i="15" s="1"/>
  <c r="C155" i="15" s="1"/>
  <c r="C156" i="15" s="1"/>
  <c r="C157" i="15" s="1"/>
  <c r="C158" i="15" s="1"/>
  <c r="C159" i="15" s="1"/>
  <c r="C160" i="15" s="1"/>
  <c r="C161" i="15" s="1"/>
  <c r="C162" i="15" s="1"/>
  <c r="C163" i="15" s="1"/>
  <c r="C164" i="15" s="1"/>
  <c r="C165" i="15" s="1"/>
  <c r="C166" i="15" s="1"/>
  <c r="C167" i="15" s="1"/>
  <c r="C168" i="15" s="1"/>
  <c r="C169" i="15" s="1"/>
  <c r="C170" i="15" s="1"/>
  <c r="C171" i="15" s="1"/>
  <c r="C172" i="15" s="1"/>
  <c r="C173" i="15" s="1"/>
  <c r="C174" i="15" s="1"/>
  <c r="C175" i="15" s="1"/>
  <c r="C176" i="15" s="1"/>
  <c r="C177" i="15" s="1"/>
  <c r="C178" i="15" s="1"/>
  <c r="C179" i="15" s="1"/>
  <c r="C180" i="15" s="1"/>
  <c r="C136" i="22"/>
  <c r="C137" i="22" s="1"/>
  <c r="C138" i="22" s="1"/>
  <c r="C139" i="22" s="1"/>
  <c r="C140" i="22" s="1"/>
  <c r="C141" i="22" s="1"/>
  <c r="C142" i="22" s="1"/>
  <c r="C143" i="22" s="1"/>
  <c r="C144" i="22" s="1"/>
  <c r="C145" i="22" s="1"/>
  <c r="C146" i="22" s="1"/>
  <c r="C147" i="22" s="1"/>
  <c r="C148" i="22" s="1"/>
  <c r="C67" i="26"/>
  <c r="C149" i="22" l="1"/>
  <c r="C150" i="22" s="1"/>
  <c r="C151" i="22" s="1"/>
  <c r="C152" i="22" s="1"/>
  <c r="C153" i="22" s="1"/>
  <c r="C154" i="22" s="1"/>
  <c r="C155" i="22" s="1"/>
  <c r="C156" i="22" s="1"/>
  <c r="C157" i="22" s="1"/>
  <c r="C158" i="22" s="1"/>
  <c r="C159" i="22" s="1"/>
  <c r="C160" i="22" s="1"/>
  <c r="C161" i="22" s="1"/>
  <c r="C162" i="22" s="1"/>
  <c r="C163" i="22" s="1"/>
  <c r="C164" i="22" s="1"/>
  <c r="C165" i="22" s="1"/>
  <c r="C68" i="26"/>
  <c r="C166" i="22" l="1"/>
  <c r="C167" i="22" s="1"/>
  <c r="C168" i="22" s="1"/>
  <c r="C169" i="22" s="1"/>
  <c r="C170" i="22" s="1"/>
  <c r="C171" i="22" s="1"/>
  <c r="C172" i="22" s="1"/>
  <c r="C173" i="22" s="1"/>
  <c r="C174" i="22" s="1"/>
  <c r="C175" i="22" s="1"/>
  <c r="C176" i="22" s="1"/>
  <c r="C177" i="22" s="1"/>
  <c r="C69" i="26"/>
  <c r="C70" i="26" l="1"/>
  <c r="C71" i="26" l="1"/>
  <c r="C72" i="26" l="1"/>
  <c r="C73" i="26" l="1"/>
  <c r="C74" i="26" l="1"/>
  <c r="C75" i="26" l="1"/>
  <c r="C76" i="26" l="1"/>
  <c r="C77" i="26" l="1"/>
  <c r="C78" i="26" l="1"/>
  <c r="C79" i="26" s="1"/>
  <c r="C80" i="26" s="1"/>
  <c r="C81" i="26" s="1"/>
  <c r="C82" i="26" s="1"/>
  <c r="C83" i="26" s="1"/>
  <c r="C84" i="26" s="1"/>
  <c r="C85" i="26" s="1"/>
  <c r="C86" i="26" s="1"/>
  <c r="C87" i="26" s="1"/>
  <c r="C88" i="26" s="1"/>
  <c r="C89" i="26" s="1"/>
  <c r="C90" i="26" s="1"/>
  <c r="C91" i="26" s="1"/>
  <c r="C92" i="26" s="1"/>
  <c r="C93" i="26" s="1"/>
  <c r="C94" i="26" s="1"/>
  <c r="C95" i="26" s="1"/>
  <c r="C96" i="26" s="1"/>
  <c r="C97" i="26" s="1"/>
  <c r="C98" i="26" s="1"/>
  <c r="C99" i="26" s="1"/>
  <c r="C100" i="26" s="1"/>
  <c r="C101" i="26" s="1"/>
  <c r="C102" i="26" s="1"/>
  <c r="C103" i="26" s="1"/>
  <c r="C104" i="26" s="1"/>
  <c r="C105" i="26" s="1"/>
  <c r="C106" i="26" s="1"/>
  <c r="C107" i="26" s="1"/>
  <c r="C108" i="26" s="1"/>
  <c r="C109" i="26" s="1"/>
  <c r="C110" i="26" s="1"/>
  <c r="C111" i="26" s="1"/>
  <c r="C112" i="26" s="1"/>
  <c r="C113" i="26" s="1"/>
  <c r="C114" i="26" s="1"/>
  <c r="C115" i="26" s="1"/>
  <c r="C116" i="26" s="1"/>
  <c r="C117" i="26" s="1"/>
  <c r="C118" i="26" s="1"/>
  <c r="C119" i="26" s="1"/>
  <c r="C120" i="26" s="1"/>
  <c r="C121" i="26" s="1"/>
  <c r="C122" i="26" s="1"/>
  <c r="C123" i="26" s="1"/>
  <c r="C124" i="26" s="1"/>
  <c r="C125" i="26" s="1"/>
  <c r="C126" i="26" s="1"/>
  <c r="C127" i="26" s="1"/>
  <c r="C128" i="26" s="1"/>
  <c r="C129" i="26" s="1"/>
  <c r="C130" i="26" s="1"/>
  <c r="C131" i="26" s="1"/>
  <c r="C132" i="26" s="1"/>
  <c r="C133" i="26" s="1"/>
  <c r="C134" i="26" s="1"/>
  <c r="C135" i="26" s="1"/>
  <c r="C57" i="20"/>
  <c r="C58" i="20" s="1"/>
  <c r="C59" i="20" s="1"/>
  <c r="C60" i="20" s="1"/>
  <c r="C61" i="20" s="1"/>
  <c r="C62" i="20" s="1"/>
  <c r="C63" i="20" s="1"/>
  <c r="C64" i="20" s="1"/>
  <c r="C65" i="20" s="1"/>
  <c r="C66" i="20" s="1"/>
  <c r="C67" i="20" s="1"/>
  <c r="C68" i="20" s="1"/>
  <c r="C69" i="20" s="1"/>
  <c r="C70" i="20" s="1"/>
  <c r="C71" i="20" s="1"/>
  <c r="C72" i="20" s="1"/>
  <c r="C73" i="20" s="1"/>
  <c r="C74" i="20" s="1"/>
  <c r="C75" i="20" s="1"/>
  <c r="C76" i="20" s="1"/>
  <c r="C77" i="20" s="1"/>
  <c r="C78" i="20" s="1"/>
  <c r="C79" i="20" s="1"/>
  <c r="C80" i="20" s="1"/>
  <c r="C23" i="7"/>
  <c r="C24" i="7" s="1"/>
  <c r="C25" i="7" s="1"/>
  <c r="C19" i="21"/>
  <c r="C20" i="21" s="1"/>
  <c r="C21" i="21" s="1"/>
  <c r="C22" i="21" s="1"/>
  <c r="C23" i="21" s="1"/>
  <c r="C24" i="21" s="1"/>
  <c r="C25" i="21" s="1"/>
  <c r="C26" i="21" s="1"/>
  <c r="C27" i="21" s="1"/>
  <c r="C28" i="21" s="1"/>
  <c r="C29" i="21" s="1"/>
  <c r="C30" i="21" s="1"/>
  <c r="C31" i="21" s="1"/>
  <c r="C32" i="21" s="1"/>
  <c r="C33" i="21" s="1"/>
  <c r="C34" i="21" s="1"/>
  <c r="C49" i="3"/>
  <c r="C50" i="3" s="1"/>
  <c r="C51" i="3" s="1"/>
  <c r="C52" i="3" s="1"/>
  <c r="C53" i="3" s="1"/>
  <c r="C54" i="3" s="1"/>
  <c r="C55" i="3" s="1"/>
  <c r="C56" i="3" s="1"/>
  <c r="C57" i="3" s="1"/>
  <c r="C58" i="3" s="1"/>
  <c r="C59" i="3" s="1"/>
  <c r="C60" i="3" s="1"/>
  <c r="C61" i="3" s="1"/>
  <c r="C62" i="3" s="1"/>
  <c r="C63" i="3" s="1"/>
  <c r="C64" i="3" s="1"/>
  <c r="C65" i="3" s="1"/>
  <c r="C66" i="3" s="1"/>
  <c r="C67" i="3" s="1"/>
  <c r="C68" i="3" s="1"/>
  <c r="C69" i="3" s="1"/>
  <c r="C70" i="3" s="1"/>
  <c r="C71" i="3" s="1"/>
  <c r="C72" i="3" s="1"/>
  <c r="C73" i="3" s="1"/>
  <c r="C74" i="3" s="1"/>
  <c r="C75" i="3" s="1"/>
  <c r="C76" i="3" s="1"/>
  <c r="C77" i="3" s="1"/>
  <c r="C78" i="3" s="1"/>
  <c r="C79" i="3" s="1"/>
  <c r="C80" i="3" s="1"/>
  <c r="C81" i="3" s="1"/>
  <c r="C82" i="3" s="1"/>
  <c r="C83" i="3" s="1"/>
  <c r="C84" i="3" s="1"/>
  <c r="C85" i="3" s="1"/>
  <c r="C86" i="3" s="1"/>
  <c r="C87" i="3" s="1"/>
  <c r="C88" i="3" s="1"/>
  <c r="C89" i="3" s="1"/>
  <c r="C90" i="3" s="1"/>
  <c r="C91" i="3" s="1"/>
  <c r="C92" i="3" s="1"/>
  <c r="C93" i="3" s="1"/>
  <c r="C94" i="3" s="1"/>
  <c r="C95" i="3" s="1"/>
  <c r="C96" i="3" s="1"/>
  <c r="C97" i="3" s="1"/>
  <c r="C271" i="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288" i="13"/>
  <c r="C289" i="13" s="1"/>
  <c r="C290" i="13" s="1"/>
  <c r="C291" i="13" s="1"/>
  <c r="C292" i="13" s="1"/>
  <c r="C293" i="13" s="1"/>
  <c r="C294" i="13" s="1"/>
  <c r="C295" i="13" s="1"/>
  <c r="C296" i="13" s="1"/>
  <c r="C297" i="13" s="1"/>
  <c r="C298" i="13" s="1"/>
  <c r="C299" i="13" s="1"/>
  <c r="C300" i="13" s="1"/>
  <c r="C301" i="13" s="1"/>
  <c r="C302" i="13" s="1"/>
  <c r="C303" i="13" s="1"/>
  <c r="C304" i="13" s="1"/>
  <c r="C305" i="13" s="1"/>
  <c r="C306" i="13" s="1"/>
  <c r="C307" i="13" s="1"/>
  <c r="C308" i="13" s="1"/>
  <c r="C309" i="13" s="1"/>
  <c r="C310" i="13" s="1"/>
  <c r="C311" i="13" s="1"/>
  <c r="C312" i="13" s="1"/>
  <c r="C313" i="13" s="1"/>
  <c r="C314" i="13" s="1"/>
  <c r="C315" i="13" s="1"/>
  <c r="C26" i="7" l="1"/>
  <c r="C27" i="7" s="1"/>
  <c r="C28" i="7" s="1"/>
  <c r="C29" i="7" s="1"/>
  <c r="C30" i="7" s="1"/>
  <c r="C31" i="7" s="1"/>
  <c r="C32" i="7" s="1"/>
  <c r="C33" i="7" s="1"/>
  <c r="C34" i="7" s="1"/>
  <c r="C35" i="7" s="1"/>
  <c r="C36" i="7" s="1"/>
  <c r="C37" i="7" s="1"/>
  <c r="C38" i="7" s="1"/>
  <c r="C39" i="7" s="1"/>
  <c r="C40" i="7" s="1"/>
  <c r="C41" i="7" s="1"/>
  <c r="C42" i="7" s="1"/>
  <c r="C43" i="7" s="1"/>
  <c r="C44" i="7" s="1"/>
  <c r="C45" i="7" s="1"/>
  <c r="C46" i="7" s="1"/>
  <c r="C47" i="7" s="1"/>
  <c r="C48" i="7" s="1"/>
  <c r="C49" i="7" s="1"/>
  <c r="C50" i="7" s="1"/>
  <c r="C51" i="7" s="1"/>
  <c r="C52" i="7" s="1"/>
  <c r="C53" i="7" s="1"/>
  <c r="C54" i="7" s="1"/>
  <c r="C55" i="7" s="1"/>
  <c r="C56" i="7" s="1"/>
  <c r="C57" i="7" s="1"/>
  <c r="C58" i="7" s="1"/>
  <c r="C59" i="7" s="1"/>
  <c r="C60" i="7" s="1"/>
  <c r="C61" i="7" s="1"/>
  <c r="C62" i="7" s="1"/>
  <c r="C63" i="7" s="1"/>
  <c r="C64" i="7" s="1"/>
  <c r="C65" i="7" s="1"/>
  <c r="C66" i="7" s="1"/>
  <c r="C67" i="7" s="1"/>
  <c r="C68" i="7" s="1"/>
  <c r="C69" i="7" s="1"/>
  <c r="C70" i="7" s="1"/>
  <c r="C71" i="7" s="1"/>
  <c r="C72" i="7" s="1"/>
  <c r="C73" i="7" s="1"/>
  <c r="C74" i="7" s="1"/>
  <c r="C75" i="7" s="1"/>
  <c r="C76" i="7" s="1"/>
  <c r="C77" i="7" s="1"/>
  <c r="C78" i="7" s="1"/>
  <c r="C79" i="7" s="1"/>
  <c r="C80" i="7" s="1"/>
  <c r="C81" i="7" s="1"/>
  <c r="C82" i="7" s="1"/>
  <c r="C83" i="7" s="1"/>
  <c r="C84" i="7" s="1"/>
  <c r="C85" i="7" s="1"/>
  <c r="C86" i="7" s="1"/>
  <c r="C87" i="7" s="1"/>
  <c r="C88" i="7" s="1"/>
  <c r="C35" i="21"/>
  <c r="C36" i="21" s="1"/>
  <c r="C37" i="21" s="1"/>
  <c r="C38" i="21" s="1"/>
  <c r="C39" i="21" s="1"/>
  <c r="C81" i="20"/>
  <c r="C82" i="20" s="1"/>
  <c r="C83" i="20" s="1"/>
  <c r="C84" i="20" s="1"/>
  <c r="C85" i="20" s="1"/>
  <c r="C86" i="20" s="1"/>
  <c r="C87" i="20" s="1"/>
  <c r="C88" i="20" s="1"/>
  <c r="C89" i="20" s="1"/>
  <c r="C90" i="20" s="1"/>
  <c r="C91" i="20" s="1"/>
  <c r="C92" i="20" s="1"/>
  <c r="C93" i="20" s="1"/>
  <c r="C94" i="20" s="1"/>
  <c r="C95" i="20" s="1"/>
  <c r="C96" i="20" s="1"/>
  <c r="C97" i="20" s="1"/>
  <c r="C98" i="20" s="1"/>
  <c r="C99" i="20" s="1"/>
  <c r="C100" i="20" s="1"/>
  <c r="C101" i="20" s="1"/>
  <c r="C102" i="20" s="1"/>
  <c r="C103" i="20" s="1"/>
  <c r="C104" i="20" s="1"/>
  <c r="C105" i="20" s="1"/>
  <c r="C106" i="20" s="1"/>
  <c r="C107" i="20" s="1"/>
  <c r="C108" i="20" s="1"/>
  <c r="C109" i="20" s="1"/>
  <c r="C110" i="20" s="1"/>
  <c r="C111" i="20" s="1"/>
  <c r="C112" i="20" s="1"/>
  <c r="C113" i="20" s="1"/>
  <c r="C114" i="20" s="1"/>
  <c r="C115" i="20" s="1"/>
  <c r="C116" i="20" s="1"/>
  <c r="C117" i="20" s="1"/>
  <c r="C118" i="20" s="1"/>
  <c r="C119" i="20" s="1"/>
  <c r="C316" i="13"/>
  <c r="C317" i="13" s="1"/>
  <c r="C318" i="13" s="1"/>
  <c r="C319" i="13" s="1"/>
  <c r="C320" i="13" s="1"/>
  <c r="C321" i="13" s="1"/>
  <c r="C322" i="13" s="1"/>
  <c r="C323" i="13" s="1"/>
  <c r="C324" i="13" s="1"/>
  <c r="C325" i="13" s="1"/>
  <c r="C326" i="13" s="1"/>
  <c r="C327" i="13" s="1"/>
  <c r="C328" i="13" s="1"/>
  <c r="C329" i="13" s="1"/>
  <c r="C330" i="13" s="1"/>
  <c r="C331" i="13" s="1"/>
  <c r="C332" i="13" s="1"/>
  <c r="C333" i="13" s="1"/>
  <c r="C334" i="13" s="1"/>
  <c r="C335" i="13" s="1"/>
  <c r="C336" i="13" s="1"/>
  <c r="C337" i="13" s="1"/>
  <c r="C338" i="13" s="1"/>
  <c r="C339" i="13" s="1"/>
  <c r="C340" i="13" s="1"/>
  <c r="C341" i="13" s="1"/>
  <c r="C342" i="13" s="1"/>
  <c r="C343" i="13" s="1"/>
  <c r="C344" i="13" s="1"/>
  <c r="C345" i="13" s="1"/>
  <c r="C346" i="13" s="1"/>
  <c r="C347" i="13" s="1"/>
  <c r="C348" i="13" s="1"/>
  <c r="C349" i="13" s="1"/>
  <c r="C350" i="13" s="1"/>
  <c r="C351" i="13" s="1"/>
  <c r="C352" i="13" s="1"/>
  <c r="C353" i="13" s="1"/>
  <c r="C354" i="13" s="1"/>
  <c r="C355" i="13" s="1"/>
  <c r="C356" i="13" s="1"/>
  <c r="C357" i="13" s="1"/>
  <c r="C358" i="13" s="1"/>
  <c r="C359" i="13" s="1"/>
  <c r="C360" i="13" s="1"/>
  <c r="C361" i="13" s="1"/>
  <c r="C362" i="13" s="1"/>
  <c r="C363" i="13" s="1"/>
  <c r="C364" i="13" s="1"/>
  <c r="C365" i="13" s="1"/>
  <c r="C366" i="13" s="1"/>
  <c r="C367" i="13" s="1"/>
  <c r="C368" i="13" s="1"/>
  <c r="C369" i="13" s="1"/>
  <c r="C370" i="13" s="1"/>
  <c r="C371" i="13" s="1"/>
  <c r="C372" i="13" s="1"/>
  <c r="C373" i="13" s="1"/>
  <c r="C374" i="13" s="1"/>
  <c r="C375" i="13" s="1"/>
  <c r="C376" i="13" s="1"/>
  <c r="C377" i="13" s="1"/>
  <c r="C378" i="13" s="1"/>
  <c r="C379" i="13" s="1"/>
  <c r="C380" i="13" s="1"/>
  <c r="C381" i="13" s="1"/>
  <c r="C382" i="13" s="1"/>
  <c r="C383" i="13" s="1"/>
  <c r="C384" i="13" s="1"/>
  <c r="C385" i="13" s="1"/>
  <c r="C386" i="13" s="1"/>
  <c r="C387" i="13" s="1"/>
  <c r="C388" i="13" s="1"/>
  <c r="C389" i="13" s="1"/>
  <c r="C390" i="13" s="1"/>
  <c r="C391" i="13" s="1"/>
  <c r="C392" i="13" s="1"/>
  <c r="C393" i="13" s="1"/>
  <c r="C394" i="13" s="1"/>
  <c r="C395" i="13" s="1"/>
  <c r="C396" i="13" s="1"/>
  <c r="C397" i="13" s="1"/>
  <c r="C398" i="13" s="1"/>
  <c r="C399" i="13" s="1"/>
  <c r="C400" i="13" s="1"/>
  <c r="C401" i="13" s="1"/>
  <c r="C402" i="13" s="1"/>
  <c r="C403" i="13" s="1"/>
  <c r="C404" i="13" s="1"/>
  <c r="C405" i="13" s="1"/>
  <c r="C406" i="13" s="1"/>
  <c r="C407" i="13" s="1"/>
  <c r="C408" i="13" s="1"/>
  <c r="C409" i="13" s="1"/>
  <c r="C410" i="13" s="1"/>
  <c r="C411" i="13" s="1"/>
  <c r="C412" i="13" s="1"/>
  <c r="C413" i="13" s="1"/>
  <c r="C414" i="13" s="1"/>
  <c r="C415" i="13" s="1"/>
  <c r="C416" i="13" s="1"/>
  <c r="C417" i="13" s="1"/>
  <c r="C418" i="13" s="1"/>
  <c r="C419" i="13" s="1"/>
  <c r="C420" i="13" s="1"/>
  <c r="C421" i="13" s="1"/>
  <c r="C422" i="13" s="1"/>
  <c r="C423" i="13" s="1"/>
  <c r="C424" i="13" s="1"/>
  <c r="C425" i="13" s="1"/>
  <c r="C426" i="13" s="1"/>
  <c r="C427" i="13" s="1"/>
  <c r="C428" i="13" s="1"/>
  <c r="C429" i="13" s="1"/>
  <c r="C430" i="13" s="1"/>
  <c r="C431" i="13" s="1"/>
  <c r="C432" i="13" s="1"/>
  <c r="C433" i="13" s="1"/>
  <c r="C434" i="13" s="1"/>
  <c r="C435" i="13" s="1"/>
  <c r="C436" i="13" s="1"/>
  <c r="C437" i="13" s="1"/>
  <c r="C438" i="13" s="1"/>
  <c r="C439" i="13" s="1"/>
  <c r="C440" i="13" s="1"/>
  <c r="C441" i="13" s="1"/>
  <c r="C442" i="13" s="1"/>
  <c r="C443" i="13" s="1"/>
  <c r="C444" i="13" s="1"/>
  <c r="C445" i="13" s="1"/>
  <c r="C446" i="13" s="1"/>
  <c r="C447" i="13" s="1"/>
  <c r="C448" i="13" s="1"/>
  <c r="C449" i="13" s="1"/>
  <c r="C450" i="13" s="1"/>
  <c r="C451" i="13" s="1"/>
  <c r="C452" i="13" s="1"/>
  <c r="C453" i="13" s="1"/>
  <c r="C454" i="13" s="1"/>
  <c r="C455" i="13" s="1"/>
  <c r="C456" i="13" s="1"/>
  <c r="C457" i="13" s="1"/>
  <c r="C458" i="13" s="1"/>
  <c r="C459" i="13" s="1"/>
  <c r="C460" i="13" s="1"/>
  <c r="C461" i="13" s="1"/>
  <c r="C462" i="13" s="1"/>
  <c r="C463" i="13" s="1"/>
  <c r="C464" i="13" s="1"/>
  <c r="C465" i="13" s="1"/>
  <c r="C466" i="13" s="1"/>
  <c r="C467" i="13" s="1"/>
  <c r="C468" i="13" s="1"/>
  <c r="C469" i="13" s="1"/>
  <c r="C470" i="13" s="1"/>
  <c r="C471" i="13" s="1"/>
  <c r="C472" i="13" s="1"/>
  <c r="C473" i="13" s="1"/>
  <c r="C474" i="13" s="1"/>
  <c r="C475" i="13" s="1"/>
  <c r="C476" i="13" s="1"/>
  <c r="C477" i="13" s="1"/>
  <c r="C478" i="13" s="1"/>
  <c r="C479" i="13" s="1"/>
  <c r="C480" i="13" s="1"/>
  <c r="C481" i="13" s="1"/>
  <c r="C482" i="13" s="1"/>
  <c r="C483" i="13" s="1"/>
  <c r="C484" i="13" s="1"/>
  <c r="C485" i="13" s="1"/>
  <c r="C486" i="13" s="1"/>
  <c r="C487" i="13" s="1"/>
  <c r="C488" i="13" s="1"/>
  <c r="C489" i="13" s="1"/>
  <c r="C490" i="13" s="1"/>
  <c r="C491" i="13" s="1"/>
  <c r="C492" i="13" s="1"/>
  <c r="C493" i="13" s="1"/>
  <c r="C494" i="13" s="1"/>
  <c r="C495" i="13" s="1"/>
  <c r="C496" i="13" s="1"/>
  <c r="C497" i="13" s="1"/>
  <c r="C498" i="13" s="1"/>
  <c r="C499" i="13" s="1"/>
  <c r="C500" i="13" s="1"/>
  <c r="C501" i="13" s="1"/>
  <c r="C502" i="13" s="1"/>
  <c r="C503" i="13" s="1"/>
  <c r="C504" i="13" s="1"/>
  <c r="C505" i="13" s="1"/>
  <c r="C506" i="13" s="1"/>
  <c r="C507" i="13" s="1"/>
  <c r="C508" i="13" s="1"/>
  <c r="C509" i="13" s="1"/>
  <c r="C510" i="13" s="1"/>
  <c r="C511" i="13" s="1"/>
  <c r="C512" i="13" s="1"/>
  <c r="C513" i="13" s="1"/>
  <c r="C514" i="13" s="1"/>
  <c r="C515" i="13" s="1"/>
  <c r="C516" i="13" s="1"/>
  <c r="C517" i="13" s="1"/>
  <c r="C518" i="13" s="1"/>
  <c r="C519" i="13" s="1"/>
  <c r="C520" i="13" s="1"/>
  <c r="C521" i="13" s="1"/>
  <c r="C522" i="13" s="1"/>
  <c r="C523" i="13" s="1"/>
  <c r="C524" i="13" s="1"/>
  <c r="C525" i="13" s="1"/>
  <c r="C526" i="13" s="1"/>
  <c r="C527" i="13" s="1"/>
  <c r="C528" i="13" s="1"/>
  <c r="C529" i="13" s="1"/>
  <c r="C530" i="13" s="1"/>
  <c r="C531" i="13" s="1"/>
  <c r="C532" i="13" s="1"/>
  <c r="C533" i="13" s="1"/>
  <c r="C534" i="13" s="1"/>
  <c r="C535" i="13" s="1"/>
  <c r="C536" i="13" s="1"/>
  <c r="C537" i="13" s="1"/>
  <c r="C538" i="13" s="1"/>
  <c r="C539" i="13" s="1"/>
  <c r="C540" i="13" s="1"/>
  <c r="C541" i="13" s="1"/>
  <c r="C542" i="13" s="1"/>
  <c r="C543" i="13" s="1"/>
  <c r="C544" i="13" s="1"/>
  <c r="C545" i="13" s="1"/>
  <c r="C546" i="13" s="1"/>
  <c r="C547" i="13" s="1"/>
  <c r="C548" i="13" s="1"/>
  <c r="C549" i="13" s="1"/>
  <c r="C550" i="13" s="1"/>
  <c r="C551" i="13" s="1"/>
  <c r="C552" i="13" s="1"/>
  <c r="C553" i="13" s="1"/>
  <c r="C554" i="13" s="1"/>
  <c r="C555" i="13" s="1"/>
  <c r="C556" i="13" s="1"/>
  <c r="C557" i="13" s="1"/>
  <c r="C558" i="13" s="1"/>
  <c r="C559" i="13" s="1"/>
  <c r="C560" i="13" s="1"/>
  <c r="C561" i="13" s="1"/>
  <c r="C562" i="13" s="1"/>
  <c r="C563" i="13" s="1"/>
  <c r="C564" i="13" s="1"/>
  <c r="C565" i="13" s="1"/>
  <c r="C566" i="13" s="1"/>
  <c r="C567" i="13" s="1"/>
  <c r="C568" i="13" s="1"/>
  <c r="C569" i="13" s="1"/>
  <c r="C570" i="13" s="1"/>
  <c r="C571" i="13" s="1"/>
  <c r="C572" i="13" s="1"/>
  <c r="C573" i="13" s="1"/>
  <c r="C574" i="13" s="1"/>
  <c r="C575" i="13" s="1"/>
  <c r="C576" i="13" s="1"/>
  <c r="C577" i="13" s="1"/>
  <c r="C578" i="13" s="1"/>
  <c r="C579" i="13" s="1"/>
  <c r="C580" i="13" s="1"/>
  <c r="C581" i="13" s="1"/>
  <c r="C582" i="13" s="1"/>
  <c r="C583" i="13" s="1"/>
  <c r="C584" i="13" s="1"/>
  <c r="C585" i="13" s="1"/>
  <c r="C586" i="13" s="1"/>
  <c r="C587" i="13" s="1"/>
  <c r="C588" i="13" s="1"/>
  <c r="C589" i="13" s="1"/>
  <c r="C590" i="13" s="1"/>
  <c r="C307" i="1"/>
  <c r="C40" i="21" l="1"/>
  <c r="C41" i="21" s="1"/>
  <c r="C42" i="21" s="1"/>
  <c r="C43" i="21" s="1"/>
  <c r="C44" i="21" s="1"/>
  <c r="C45" i="21" s="1"/>
  <c r="C46" i="21" s="1"/>
  <c r="C47" i="21" s="1"/>
  <c r="C48" i="21" s="1"/>
  <c r="C49" i="21" s="1"/>
  <c r="C50" i="21" s="1"/>
  <c r="C51" i="21" s="1"/>
  <c r="C52" i="21" s="1"/>
  <c r="C53" i="21" s="1"/>
  <c r="C54" i="21" s="1"/>
  <c r="C55" i="21" s="1"/>
  <c r="C56" i="21" s="1"/>
  <c r="C57" i="21" s="1"/>
  <c r="C58" i="21" s="1"/>
  <c r="C59" i="21" s="1"/>
  <c r="C60" i="21" s="1"/>
  <c r="C61" i="21" s="1"/>
  <c r="C62" i="21" s="1"/>
  <c r="C63" i="21" s="1"/>
  <c r="C64" i="21" s="1"/>
  <c r="C65" i="21" s="1"/>
  <c r="C66" i="21" s="1"/>
  <c r="C67" i="21" s="1"/>
  <c r="C68" i="21" s="1"/>
  <c r="C69" i="21" s="1"/>
  <c r="C70" i="21" s="1"/>
  <c r="C71" i="21" s="1"/>
  <c r="C72" i="21" s="1"/>
  <c r="C73" i="21" s="1"/>
  <c r="C74" i="21" s="1"/>
  <c r="C75" i="21" s="1"/>
  <c r="C76" i="21" s="1"/>
  <c r="C77" i="21" s="1"/>
  <c r="C78" i="21" s="1"/>
  <c r="C79" i="21" s="1"/>
  <c r="C80" i="21" s="1"/>
  <c r="C89" i="7"/>
  <c r="C90" i="7" s="1"/>
  <c r="C91" i="7" s="1"/>
  <c r="C92" i="7" s="1"/>
  <c r="C93" i="7" s="1"/>
  <c r="C94" i="7" s="1"/>
  <c r="C95" i="7" s="1"/>
  <c r="C96" i="7" s="1"/>
  <c r="C97" i="7" s="1"/>
  <c r="C98" i="7" s="1"/>
  <c r="C99" i="7" s="1"/>
  <c r="C100" i="7" s="1"/>
  <c r="C101" i="7" s="1"/>
  <c r="C102" i="7" s="1"/>
  <c r="C103" i="7" s="1"/>
  <c r="C104" i="7" s="1"/>
  <c r="C105" i="7" s="1"/>
  <c r="C106" i="7" s="1"/>
  <c r="C107" i="7" s="1"/>
  <c r="C108" i="7" s="1"/>
  <c r="C109" i="7" s="1"/>
  <c r="C110" i="7" s="1"/>
  <c r="C111" i="7" s="1"/>
  <c r="C112" i="7" s="1"/>
  <c r="C113" i="7" s="1"/>
  <c r="C114" i="7" s="1"/>
  <c r="C115" i="7" s="1"/>
  <c r="C116" i="7" s="1"/>
  <c r="C117" i="7" s="1"/>
  <c r="C118" i="7" s="1"/>
  <c r="C119" i="7" s="1"/>
  <c r="C120" i="7" s="1"/>
  <c r="C121" i="7" s="1"/>
  <c r="C122" i="7" s="1"/>
  <c r="C308" i="1"/>
  <c r="C309" i="1" l="1"/>
  <c r="C310" i="1" s="1"/>
  <c r="C311" i="1" l="1"/>
  <c r="C312" i="1" s="1"/>
  <c r="C313" i="1" l="1"/>
  <c r="C314" i="1" l="1"/>
  <c r="C315" i="1" s="1"/>
  <c r="C316" i="1" l="1"/>
  <c r="C317" i="1" s="1"/>
  <c r="C318" i="1" l="1"/>
  <c r="C319" i="1" l="1"/>
  <c r="C320" i="1" l="1"/>
  <c r="C321" i="1" l="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l="1"/>
  <c r="C345" i="1" s="1"/>
  <c r="C346" i="1" s="1"/>
  <c r="C347" i="1" s="1"/>
  <c r="C348" i="1" s="1"/>
  <c r="C349" i="1" l="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C405" i="1" s="1"/>
  <c r="C406" i="1" s="1"/>
  <c r="C407" i="1" s="1"/>
  <c r="C408" i="1" s="1"/>
  <c r="C409" i="1" s="1"/>
  <c r="C410" i="1" s="1"/>
  <c r="C411" i="1" s="1"/>
  <c r="C412" i="1" s="1"/>
  <c r="C413" i="1" s="1"/>
  <c r="C414" i="1" s="1"/>
  <c r="C415" i="1" s="1"/>
  <c r="C416" i="1" s="1"/>
  <c r="C417" i="1" s="1"/>
  <c r="C418" i="1" s="1"/>
  <c r="C419" i="1" s="1"/>
  <c r="C420" i="1" s="1"/>
  <c r="C421" i="1" s="1"/>
  <c r="C422" i="1" s="1"/>
  <c r="C423" i="1" s="1"/>
  <c r="C424" i="1" s="1"/>
  <c r="C425" i="1" s="1"/>
  <c r="C426" i="1" s="1"/>
  <c r="C427" i="1" s="1"/>
  <c r="C428" i="1" s="1"/>
  <c r="C429" i="1" s="1"/>
  <c r="C430" i="1" s="1"/>
  <c r="C431" i="1" s="1"/>
  <c r="C432" i="1" s="1"/>
  <c r="C433" i="1" s="1"/>
  <c r="C434" i="1" s="1"/>
  <c r="C435" i="1" s="1"/>
  <c r="C436" i="1" s="1"/>
  <c r="C437" i="1" s="1"/>
  <c r="C438" i="1" s="1"/>
  <c r="C439" i="1" s="1"/>
  <c r="C440" i="1" s="1"/>
  <c r="C441" i="1" s="1"/>
  <c r="C442" i="1" s="1"/>
  <c r="C443" i="1" s="1"/>
  <c r="C444" i="1" s="1"/>
  <c r="C445" i="1" s="1"/>
  <c r="C446" i="1" s="1"/>
  <c r="C447" i="1" s="1"/>
  <c r="C448" i="1" s="1"/>
  <c r="C449" i="1" s="1"/>
  <c r="C450" i="1" s="1"/>
  <c r="C451" i="1" s="1"/>
  <c r="C452" i="1" s="1"/>
  <c r="C453" i="1" s="1"/>
  <c r="C454" i="1" s="1"/>
  <c r="C455" i="1" s="1"/>
  <c r="C456" i="1" s="1"/>
  <c r="C457" i="1" s="1"/>
  <c r="C458" i="1" s="1"/>
  <c r="C459" i="1" s="1"/>
  <c r="C460" i="1" s="1"/>
  <c r="C461" i="1" s="1"/>
  <c r="C462" i="1" s="1"/>
  <c r="C463" i="1" s="1"/>
  <c r="C464" i="1" s="1"/>
  <c r="C465" i="1" s="1"/>
  <c r="C466" i="1" s="1"/>
  <c r="C467" i="1" s="1"/>
  <c r="C468" i="1" s="1"/>
  <c r="C469" i="1" s="1"/>
  <c r="C470" i="1" s="1"/>
  <c r="C471" i="1" s="1"/>
  <c r="C472" i="1" s="1"/>
  <c r="C473" i="1" s="1"/>
  <c r="C474" i="1" s="1"/>
  <c r="C475" i="1" s="1"/>
  <c r="C476" i="1" s="1"/>
  <c r="C477" i="1" s="1"/>
  <c r="C478" i="1" s="1"/>
  <c r="C479" i="1" s="1"/>
  <c r="C480" i="1" s="1"/>
  <c r="C481" i="1" s="1"/>
  <c r="C482" i="1" s="1"/>
  <c r="C483" i="1" s="1"/>
  <c r="C484" i="1" s="1"/>
  <c r="C485" i="1" s="1"/>
  <c r="C486" i="1" s="1"/>
  <c r="C487" i="1" s="1"/>
  <c r="C488" i="1" s="1"/>
  <c r="C489" i="1" s="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C516" i="1" s="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C542" i="1" s="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C568" i="1" s="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C591" i="1" s="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98" i="3"/>
  <c r="C99" i="3" s="1"/>
  <c r="C100" i="3" s="1"/>
  <c r="C101" i="3" s="1"/>
  <c r="C102" i="3" s="1"/>
  <c r="C103" i="3" s="1"/>
  <c r="C104" i="3" s="1"/>
  <c r="C105" i="3" s="1"/>
  <c r="C106" i="3" s="1"/>
  <c r="C107" i="3" s="1"/>
  <c r="C108" i="3" s="1"/>
  <c r="C109" i="3" s="1"/>
  <c r="C110" i="3" s="1"/>
  <c r="C111" i="3" s="1"/>
  <c r="C112" i="3" s="1"/>
  <c r="C113" i="3" s="1"/>
  <c r="C114" i="3" s="1"/>
  <c r="C115" i="3" s="1"/>
  <c r="C116" i="3" s="1"/>
  <c r="C117" i="3" s="1"/>
  <c r="C118" i="3" s="1"/>
  <c r="C119" i="3" s="1"/>
  <c r="C120" i="3" s="1"/>
  <c r="C121" i="3" s="1"/>
  <c r="C122" i="3" s="1"/>
  <c r="C123" i="3" s="1"/>
  <c r="C124" i="3" s="1"/>
  <c r="C125" i="3" s="1"/>
  <c r="C126" i="3" s="1"/>
  <c r="C127" i="3" s="1"/>
  <c r="C128" i="3" s="1"/>
  <c r="C129" i="3" s="1"/>
  <c r="C130" i="3" s="1"/>
  <c r="C131" i="3" s="1"/>
  <c r="C132" i="3" s="1"/>
  <c r="C133" i="3" s="1"/>
  <c r="C134" i="3" s="1"/>
  <c r="C135" i="3" s="1"/>
  <c r="C136" i="3" s="1"/>
  <c r="C137" i="3" s="1"/>
  <c r="C138" i="3" s="1"/>
  <c r="C139" i="3" s="1"/>
  <c r="C140" i="3" s="1"/>
  <c r="C141" i="3" s="1"/>
  <c r="C142" i="3" s="1"/>
  <c r="C143" i="3" s="1"/>
  <c r="C144" i="3" s="1"/>
  <c r="C145" i="3" s="1"/>
  <c r="C146" i="3" s="1"/>
  <c r="C147" i="3" s="1"/>
  <c r="C148" i="3" s="1"/>
  <c r="C149" i="3" s="1"/>
  <c r="C150" i="3" s="1"/>
  <c r="C151" i="3" s="1"/>
  <c r="C152" i="3" s="1"/>
  <c r="C153" i="3" s="1"/>
  <c r="C154" i="3" s="1"/>
  <c r="C155" i="3" s="1"/>
  <c r="C156" i="3" s="1"/>
  <c r="C157" i="3" s="1"/>
  <c r="C158" i="3" s="1"/>
  <c r="C159" i="3" s="1"/>
  <c r="C160" i="3" s="1"/>
  <c r="C161" i="3" s="1"/>
  <c r="C162" i="3" s="1"/>
  <c r="C163" i="3" s="1"/>
  <c r="C164" i="3" s="1"/>
  <c r="C165" i="3" s="1"/>
  <c r="C166" i="3" s="1"/>
  <c r="C167" i="3" s="1"/>
  <c r="C168" i="3" s="1"/>
  <c r="C169" i="3" s="1"/>
  <c r="C170" i="3" s="1"/>
  <c r="C171" i="3" s="1"/>
  <c r="C172" i="3" s="1"/>
  <c r="C173" i="3" s="1"/>
  <c r="C174" i="3" s="1"/>
  <c r="C175" i="3" s="1"/>
  <c r="C176" i="3" s="1"/>
  <c r="C177" i="3" s="1"/>
  <c r="C178" i="3" s="1"/>
  <c r="C179" i="3" s="1"/>
  <c r="C180" i="3" s="1"/>
  <c r="C181" i="3" s="1"/>
  <c r="C182" i="3" s="1"/>
  <c r="C183" i="3" s="1"/>
  <c r="C184" i="3" s="1"/>
  <c r="C185" i="3" s="1"/>
  <c r="C186" i="3" s="1"/>
  <c r="C187" i="3" s="1"/>
  <c r="C188" i="3" s="1"/>
  <c r="C189" i="3" s="1"/>
  <c r="C190" i="3" s="1"/>
  <c r="C191" i="3" s="1"/>
  <c r="C192" i="3" s="1"/>
  <c r="C193" i="3" s="1"/>
  <c r="C194" i="3" s="1"/>
  <c r="C195" i="3" s="1"/>
  <c r="C196" i="3" s="1"/>
  <c r="C197" i="3" s="1"/>
  <c r="C198" i="3" s="1"/>
  <c r="C199" i="3" s="1"/>
  <c r="C200" i="3" s="1"/>
  <c r="C201" i="3" s="1"/>
  <c r="C202" i="3" s="1"/>
  <c r="C203" i="3" s="1"/>
  <c r="C204" i="3" s="1"/>
  <c r="C205" i="3" s="1"/>
  <c r="C206" i="3" s="1"/>
  <c r="C207" i="3" s="1"/>
  <c r="C208" i="3" s="1"/>
  <c r="C209" i="3" s="1"/>
  <c r="C210" i="3" s="1"/>
  <c r="C211" i="3" s="1"/>
  <c r="C50" i="28"/>
  <c r="E50" i="28" s="1"/>
  <c r="C22" i="29"/>
  <c r="C23" i="29" s="1"/>
  <c r="C24" i="29" s="1"/>
  <c r="C25" i="29" s="1"/>
  <c r="C26" i="29" s="1"/>
  <c r="C27" i="29" s="1"/>
  <c r="C28" i="29" s="1"/>
  <c r="C29" i="29" s="1"/>
  <c r="C30" i="29" s="1"/>
  <c r="C31" i="29" s="1"/>
  <c r="C32" i="29" s="1"/>
  <c r="C33" i="29" s="1"/>
  <c r="C34" i="29" s="1"/>
  <c r="C35" i="29" s="1"/>
  <c r="C36" i="29" s="1"/>
  <c r="C37" i="29" s="1"/>
  <c r="C38" i="29" s="1"/>
  <c r="C39" i="29" s="1"/>
  <c r="C40" i="29" s="1"/>
  <c r="C41" i="29" s="1"/>
  <c r="C42" i="29" s="1"/>
  <c r="C43" i="29" s="1"/>
  <c r="C44" i="29" s="1"/>
  <c r="C45" i="29" s="1"/>
  <c r="C46" i="29" s="1"/>
  <c r="C47" i="29" s="1"/>
  <c r="C48" i="29" s="1"/>
  <c r="C49" i="29" s="1"/>
  <c r="C50" i="29" s="1"/>
  <c r="C51" i="29" s="1"/>
  <c r="C52" i="29" s="1"/>
  <c r="C53" i="29" s="1"/>
  <c r="C54" i="29" s="1"/>
  <c r="C55" i="29" s="1"/>
  <c r="C56" i="29" s="1"/>
  <c r="C57" i="29" s="1"/>
  <c r="C58" i="29" s="1"/>
  <c r="C59" i="29" s="1"/>
  <c r="C60" i="29" s="1"/>
  <c r="C61" i="29" s="1"/>
  <c r="C62" i="29" s="1"/>
  <c r="C63" i="29" s="1"/>
  <c r="C64" i="29" s="1"/>
  <c r="C65" i="29" s="1"/>
  <c r="C66" i="29" s="1"/>
  <c r="C67" i="29" s="1"/>
  <c r="C68" i="29" s="1"/>
  <c r="C69" i="29" s="1"/>
  <c r="C70" i="29" s="1"/>
  <c r="C71" i="29" s="1"/>
  <c r="C72" i="29" s="1"/>
  <c r="C73" i="29" s="1"/>
  <c r="C74" i="29" s="1"/>
  <c r="C75" i="29" s="1"/>
  <c r="C76" i="29" s="1"/>
  <c r="C77" i="29" s="1"/>
  <c r="C78" i="29" s="1"/>
  <c r="C79" i="29" s="1"/>
  <c r="C80" i="29" s="1"/>
  <c r="C81" i="29" s="1"/>
  <c r="C82" i="29" s="1"/>
  <c r="C83" i="29" s="1"/>
  <c r="C84" i="29" s="1"/>
  <c r="C85" i="29" s="1"/>
  <c r="C86" i="29" s="1"/>
  <c r="C87" i="29" s="1"/>
  <c r="C88" i="29" s="1"/>
  <c r="C89" i="29" s="1"/>
  <c r="C90" i="29" s="1"/>
  <c r="C91" i="29" s="1"/>
  <c r="C92" i="29" s="1"/>
  <c r="C93" i="29" s="1"/>
  <c r="C94" i="29" s="1"/>
  <c r="C95" i="29" s="1"/>
  <c r="C96" i="29" s="1"/>
  <c r="C97" i="29" s="1"/>
  <c r="C98" i="29" s="1"/>
  <c r="C66" i="31"/>
  <c r="C51" i="28" l="1"/>
  <c r="E51" i="28" s="1"/>
  <c r="C67" i="31"/>
  <c r="E66" i="31"/>
  <c r="C52" i="28" l="1"/>
  <c r="E52" i="28" s="1"/>
  <c r="C68" i="31"/>
  <c r="E67" i="31"/>
  <c r="C53" i="28" l="1"/>
  <c r="E53" i="28" s="1"/>
  <c r="C69" i="31"/>
  <c r="E68" i="31"/>
  <c r="C54" i="28" l="1"/>
  <c r="E54" i="28" s="1"/>
  <c r="C70" i="31"/>
  <c r="E69" i="31"/>
  <c r="C55" i="28" l="1"/>
  <c r="E55" i="28" s="1"/>
  <c r="C71" i="31"/>
  <c r="E70" i="31"/>
  <c r="C56" i="28" l="1"/>
  <c r="E56" i="28" s="1"/>
  <c r="C72" i="31"/>
  <c r="E71" i="31"/>
  <c r="C57" i="28" l="1"/>
  <c r="E57" i="28" s="1"/>
  <c r="C73" i="31"/>
  <c r="E72" i="31"/>
  <c r="C58" i="28" l="1"/>
  <c r="E58" i="28" s="1"/>
  <c r="C74" i="31"/>
  <c r="E73" i="31"/>
  <c r="C59" i="28" l="1"/>
  <c r="E59" i="28" s="1"/>
  <c r="C75" i="31"/>
  <c r="E74" i="31"/>
  <c r="C60" i="28" l="1"/>
  <c r="E60" i="28" s="1"/>
  <c r="C76" i="31"/>
  <c r="E75" i="31"/>
  <c r="C61" i="28" l="1"/>
  <c r="E61" i="28" s="1"/>
  <c r="C77" i="31"/>
  <c r="E76" i="31"/>
  <c r="C62" i="28" l="1"/>
  <c r="E62" i="28" s="1"/>
  <c r="C78" i="31"/>
  <c r="E77" i="31"/>
  <c r="C63" i="28" l="1"/>
  <c r="E63" i="28" s="1"/>
  <c r="C79" i="31"/>
  <c r="E78" i="31"/>
  <c r="C64" i="28" l="1"/>
  <c r="E64" i="28" s="1"/>
  <c r="C80" i="31"/>
  <c r="E79" i="31"/>
  <c r="C65" i="28" l="1"/>
  <c r="E65" i="28" s="1"/>
  <c r="C81" i="31"/>
  <c r="E80" i="31"/>
  <c r="C66" i="28" l="1"/>
  <c r="E66" i="28" s="1"/>
  <c r="C82" i="31"/>
  <c r="E81" i="31"/>
  <c r="C67" i="28" l="1"/>
  <c r="E67" i="28" s="1"/>
  <c r="C83" i="31"/>
  <c r="E82" i="31"/>
  <c r="C68" i="28" l="1"/>
  <c r="E68" i="28" s="1"/>
  <c r="C84" i="31"/>
  <c r="E83" i="31"/>
  <c r="C69" i="28" l="1"/>
  <c r="E69" i="28" s="1"/>
  <c r="C85" i="31"/>
  <c r="E84" i="31"/>
  <c r="C70" i="28" l="1"/>
  <c r="E70" i="28" s="1"/>
  <c r="C86" i="31"/>
  <c r="E85" i="31"/>
  <c r="C71" i="28" l="1"/>
  <c r="E71" i="28" s="1"/>
  <c r="C87" i="31"/>
  <c r="E86" i="31"/>
  <c r="C72" i="28" l="1"/>
  <c r="E72" i="28" s="1"/>
  <c r="C88" i="31"/>
  <c r="E87" i="31"/>
  <c r="C73" i="28" l="1"/>
  <c r="E73" i="28" s="1"/>
  <c r="C89" i="31"/>
  <c r="E88" i="31"/>
  <c r="C74" i="28" l="1"/>
  <c r="E74" i="28" s="1"/>
  <c r="C90" i="31"/>
  <c r="E89" i="31"/>
  <c r="C75" i="28" l="1"/>
  <c r="E75" i="28" s="1"/>
  <c r="C91" i="31"/>
  <c r="E90" i="31"/>
  <c r="C76" i="28" l="1"/>
  <c r="E76" i="28" s="1"/>
  <c r="C92" i="31"/>
  <c r="E91" i="31"/>
  <c r="C77" i="28" l="1"/>
  <c r="E77" i="28" s="1"/>
  <c r="C93" i="31"/>
  <c r="E92" i="31"/>
  <c r="C78" i="28" l="1"/>
  <c r="E78" i="28" s="1"/>
  <c r="C94" i="31"/>
  <c r="E93" i="31"/>
  <c r="C79" i="28" l="1"/>
  <c r="E79" i="28" s="1"/>
  <c r="C95" i="31"/>
  <c r="E94" i="31"/>
  <c r="C80" i="28" l="1"/>
  <c r="E80" i="28" s="1"/>
  <c r="C96" i="31"/>
  <c r="E95" i="31"/>
  <c r="C81" i="28" l="1"/>
  <c r="E81" i="28" s="1"/>
  <c r="C97" i="31"/>
  <c r="E96" i="31"/>
  <c r="C82" i="28" l="1"/>
  <c r="E82" i="28" s="1"/>
  <c r="C98" i="31"/>
  <c r="E97" i="31"/>
  <c r="C83" i="28" l="1"/>
  <c r="E83" i="28" s="1"/>
  <c r="C99" i="31"/>
  <c r="E98" i="31"/>
  <c r="C84" i="28" l="1"/>
  <c r="E84" i="28" s="1"/>
  <c r="C100" i="31"/>
  <c r="E99" i="31"/>
  <c r="C85" i="28" l="1"/>
  <c r="E85" i="28" s="1"/>
  <c r="C101" i="31"/>
  <c r="E100" i="31"/>
  <c r="C86" i="28" l="1"/>
  <c r="E86" i="28" s="1"/>
  <c r="C102" i="31"/>
  <c r="E101" i="31"/>
  <c r="C87" i="28" l="1"/>
  <c r="E87" i="28" s="1"/>
  <c r="C103" i="31"/>
  <c r="E102" i="31"/>
  <c r="C88" i="28" l="1"/>
  <c r="E88" i="28" s="1"/>
  <c r="C104" i="31"/>
  <c r="E103" i="31"/>
  <c r="C89" i="28" l="1"/>
  <c r="E89" i="28" s="1"/>
  <c r="C105" i="31"/>
  <c r="E104" i="31"/>
  <c r="C90" i="28" l="1"/>
  <c r="E90" i="28" s="1"/>
  <c r="C106" i="31"/>
  <c r="E105" i="31"/>
  <c r="C91" i="28" l="1"/>
  <c r="E91" i="28" s="1"/>
  <c r="C107" i="31"/>
  <c r="E106" i="31"/>
  <c r="C92" i="28" l="1"/>
  <c r="E92" i="28" s="1"/>
  <c r="C108" i="31"/>
  <c r="E107" i="31"/>
  <c r="C93" i="28" l="1"/>
  <c r="E93" i="28" s="1"/>
  <c r="E108" i="31"/>
  <c r="C109" i="31"/>
  <c r="C94" i="28" l="1"/>
  <c r="E94" i="28" s="1"/>
  <c r="E109" i="31"/>
  <c r="C110" i="31"/>
  <c r="C95" i="28" l="1"/>
  <c r="E95" i="28" s="1"/>
  <c r="C111" i="31"/>
  <c r="E110" i="31"/>
  <c r="C96" i="28" l="1"/>
  <c r="E96" i="28" s="1"/>
  <c r="C112" i="31"/>
  <c r="E111" i="31"/>
  <c r="C97" i="28" l="1"/>
  <c r="E97" i="28" s="1"/>
  <c r="C113" i="31"/>
  <c r="E112" i="31"/>
  <c r="C98" i="28" l="1"/>
  <c r="E98" i="28" s="1"/>
  <c r="C114" i="31"/>
  <c r="E113" i="31"/>
  <c r="C99" i="28" l="1"/>
  <c r="E99" i="28" s="1"/>
  <c r="C115" i="31"/>
  <c r="C116" i="31" s="1"/>
  <c r="E114" i="31"/>
  <c r="C100" i="28" l="1"/>
  <c r="E100" i="28" s="1"/>
  <c r="C117" i="31"/>
  <c r="E116" i="31"/>
  <c r="E115" i="31"/>
  <c r="C101" i="28" l="1"/>
  <c r="E101" i="28" s="1"/>
  <c r="C118" i="31"/>
  <c r="E117" i="31"/>
  <c r="C102" i="28" l="1"/>
  <c r="E102" i="28" s="1"/>
  <c r="C119" i="31"/>
  <c r="E118" i="31"/>
  <c r="C103" i="28" l="1"/>
  <c r="E103" i="28" s="1"/>
  <c r="E119" i="31"/>
  <c r="C120" i="31"/>
  <c r="C104" i="28" l="1"/>
  <c r="E104" i="28" s="1"/>
  <c r="C121" i="31"/>
  <c r="E120" i="31"/>
  <c r="C105" i="28" l="1"/>
  <c r="E105" i="28" s="1"/>
  <c r="C122" i="31"/>
  <c r="E121" i="31"/>
  <c r="C106" i="28" l="1"/>
  <c r="E106" i="28" s="1"/>
  <c r="C123" i="31"/>
  <c r="E122" i="31"/>
  <c r="C107" i="28" l="1"/>
  <c r="E107" i="28" s="1"/>
  <c r="C124" i="31"/>
  <c r="E123" i="31"/>
  <c r="C108" i="28" l="1"/>
  <c r="E108" i="28" s="1"/>
  <c r="C125" i="31"/>
  <c r="E124" i="31"/>
  <c r="C109" i="28" l="1"/>
  <c r="E109" i="28" s="1"/>
  <c r="C126" i="31"/>
  <c r="E125" i="31"/>
  <c r="C110" i="28" l="1"/>
  <c r="E110" i="28" s="1"/>
  <c r="C127" i="31"/>
  <c r="E126" i="31"/>
  <c r="C111" i="28" l="1"/>
  <c r="E111" i="28" s="1"/>
  <c r="C128" i="31"/>
  <c r="E127" i="31"/>
  <c r="C112" i="28" l="1"/>
  <c r="E112" i="28" s="1"/>
  <c r="C129" i="31"/>
  <c r="E128" i="31"/>
  <c r="C113" i="28" l="1"/>
  <c r="E113" i="28" s="1"/>
  <c r="C130" i="31"/>
  <c r="E129" i="31"/>
  <c r="C114" i="28" l="1"/>
  <c r="E114" i="28" s="1"/>
  <c r="C131" i="31"/>
  <c r="E130" i="31"/>
  <c r="C115" i="28" l="1"/>
  <c r="E115" i="28" s="1"/>
  <c r="C132" i="31"/>
  <c r="E131" i="31"/>
  <c r="C116" i="28" l="1"/>
  <c r="E116" i="28" s="1"/>
  <c r="C133" i="31"/>
  <c r="E132" i="31"/>
  <c r="C117" i="28" l="1"/>
  <c r="E117" i="28" s="1"/>
  <c r="C134" i="31"/>
  <c r="E133" i="31"/>
  <c r="C118" i="28" l="1"/>
  <c r="E118" i="28" s="1"/>
  <c r="C135" i="31"/>
  <c r="E134" i="31"/>
  <c r="C119" i="28" l="1"/>
  <c r="E119" i="28" s="1"/>
  <c r="C136" i="31"/>
  <c r="E135" i="31"/>
  <c r="C120" i="28" l="1"/>
  <c r="E120" i="28" s="1"/>
  <c r="C137" i="31"/>
  <c r="E136" i="31"/>
  <c r="C121" i="28" l="1"/>
  <c r="E121" i="28" s="1"/>
  <c r="C138" i="31"/>
  <c r="E137" i="31"/>
  <c r="C122" i="28" l="1"/>
  <c r="E122" i="28" s="1"/>
  <c r="C139" i="31"/>
  <c r="E138" i="31"/>
  <c r="C123" i="28" l="1"/>
  <c r="E123" i="28" s="1"/>
  <c r="C140" i="31"/>
  <c r="E139" i="31"/>
  <c r="C124" i="28" l="1"/>
  <c r="E124" i="28" s="1"/>
  <c r="C141" i="31"/>
  <c r="E140" i="31"/>
  <c r="C125" i="28" l="1"/>
  <c r="E125" i="28" s="1"/>
  <c r="C142" i="31"/>
  <c r="E141" i="31"/>
  <c r="C126" i="28" l="1"/>
  <c r="E126" i="28" s="1"/>
  <c r="C143" i="31"/>
  <c r="E142" i="31"/>
  <c r="C127" i="28" l="1"/>
  <c r="E127" i="28" s="1"/>
  <c r="C144" i="31"/>
  <c r="E143" i="31"/>
  <c r="C128" i="28" l="1"/>
  <c r="C145" i="31"/>
  <c r="E144" i="31"/>
  <c r="C129" i="28" l="1"/>
  <c r="E129" i="28" s="1"/>
  <c r="E128" i="28"/>
  <c r="C130" i="28"/>
  <c r="E130" i="28" s="1"/>
  <c r="E145" i="31"/>
  <c r="C146" i="31"/>
  <c r="C131" i="28" l="1"/>
  <c r="E131" i="28" s="1"/>
  <c r="C147" i="31"/>
  <c r="E146" i="31"/>
  <c r="C42" i="33"/>
  <c r="C132" i="28" l="1"/>
  <c r="E132" i="28" s="1"/>
  <c r="C43" i="33"/>
  <c r="E42" i="33"/>
  <c r="E147" i="31"/>
  <c r="C148" i="31"/>
  <c r="C133" i="28" l="1"/>
  <c r="E133" i="28" s="1"/>
  <c r="C149" i="31"/>
  <c r="E148" i="31"/>
  <c r="C44" i="33"/>
  <c r="E43" i="33"/>
  <c r="C134" i="28" l="1"/>
  <c r="E134" i="28" s="1"/>
  <c r="C45" i="33"/>
  <c r="E44" i="33"/>
  <c r="E149" i="31"/>
  <c r="C150" i="31"/>
  <c r="C135" i="28" l="1"/>
  <c r="E135" i="28" s="1"/>
  <c r="E150" i="31"/>
  <c r="C151" i="31"/>
  <c r="C46" i="33"/>
  <c r="E45" i="33"/>
  <c r="C136" i="28" l="1"/>
  <c r="E136" i="28" s="1"/>
  <c r="C47" i="33"/>
  <c r="E46" i="33"/>
  <c r="E151" i="31"/>
  <c r="C152" i="31"/>
  <c r="C137" i="28" l="1"/>
  <c r="E137" i="28" s="1"/>
  <c r="C153" i="31"/>
  <c r="E152" i="31"/>
  <c r="C48" i="33"/>
  <c r="E47" i="33"/>
  <c r="C138" i="28" l="1"/>
  <c r="E138" i="28" s="1"/>
  <c r="C49" i="33"/>
  <c r="E48" i="33"/>
  <c r="C154" i="31"/>
  <c r="E153" i="31"/>
  <c r="C139" i="28" l="1"/>
  <c r="C155" i="31"/>
  <c r="E154" i="31"/>
  <c r="C50" i="33"/>
  <c r="E49" i="33"/>
  <c r="C140" i="28" l="1"/>
  <c r="E140" i="28" s="1"/>
  <c r="E139" i="28"/>
  <c r="C141" i="28"/>
  <c r="E141" i="28" s="1"/>
  <c r="C51" i="33"/>
  <c r="E50" i="33"/>
  <c r="E155" i="31"/>
  <c r="C156" i="31"/>
  <c r="C142" i="28" l="1"/>
  <c r="C157" i="31"/>
  <c r="E156" i="31"/>
  <c r="C52" i="33"/>
  <c r="E51" i="33"/>
  <c r="C143" i="28" l="1"/>
  <c r="E142" i="28"/>
  <c r="E52" i="33"/>
  <c r="C53" i="33"/>
  <c r="C158" i="31"/>
  <c r="E157" i="31"/>
  <c r="C144" i="28" l="1"/>
  <c r="E143" i="28"/>
  <c r="C54" i="33"/>
  <c r="E53" i="33"/>
  <c r="C159" i="31"/>
  <c r="E158" i="31"/>
  <c r="C145" i="28" l="1"/>
  <c r="E144" i="28"/>
  <c r="E159" i="31"/>
  <c r="C160" i="31"/>
  <c r="C55" i="33"/>
  <c r="E54" i="33"/>
  <c r="C146" i="28" l="1"/>
  <c r="E145" i="28"/>
  <c r="C56" i="33"/>
  <c r="E55" i="33"/>
  <c r="C161" i="31"/>
  <c r="E160" i="31"/>
  <c r="C147" i="28" l="1"/>
  <c r="E146" i="28"/>
  <c r="E161" i="31"/>
  <c r="C162" i="31"/>
  <c r="C57" i="33"/>
  <c r="E56" i="33"/>
  <c r="E147" i="28" l="1"/>
  <c r="C148" i="28"/>
  <c r="C58" i="33"/>
  <c r="E57" i="33"/>
  <c r="C163" i="31"/>
  <c r="E162" i="31"/>
  <c r="E148" i="28" l="1"/>
  <c r="C149" i="28"/>
  <c r="E163" i="31"/>
  <c r="C164" i="31"/>
  <c r="C59" i="33"/>
  <c r="E58" i="33"/>
  <c r="E149" i="28" l="1"/>
  <c r="C150" i="28"/>
  <c r="C60" i="33"/>
  <c r="E59" i="33"/>
  <c r="C165" i="31"/>
  <c r="E164" i="31"/>
  <c r="E150" i="28" l="1"/>
  <c r="C151" i="28"/>
  <c r="C166" i="31"/>
  <c r="E165" i="31"/>
  <c r="C61" i="33"/>
  <c r="E60" i="33"/>
  <c r="E151" i="28" l="1"/>
  <c r="C152" i="28"/>
  <c r="C62" i="33"/>
  <c r="E61" i="33"/>
  <c r="C167" i="31"/>
  <c r="E166" i="31"/>
  <c r="E152" i="28" l="1"/>
  <c r="C153" i="28"/>
  <c r="C168" i="31"/>
  <c r="E167" i="31"/>
  <c r="C63" i="33"/>
  <c r="E62" i="33"/>
  <c r="E153" i="28" l="1"/>
  <c r="C154" i="28"/>
  <c r="C64" i="33"/>
  <c r="E63" i="33"/>
  <c r="C169" i="31"/>
  <c r="E168" i="31"/>
  <c r="E154" i="28" l="1"/>
  <c r="C155" i="28"/>
  <c r="C170" i="31"/>
  <c r="E169" i="31"/>
  <c r="C65" i="33"/>
  <c r="E64" i="33"/>
  <c r="E155" i="28" l="1"/>
  <c r="C156" i="28"/>
  <c r="C66" i="33"/>
  <c r="E65" i="33"/>
  <c r="E170" i="31"/>
  <c r="C171" i="31"/>
  <c r="E156" i="28" l="1"/>
  <c r="C157" i="28"/>
  <c r="E171" i="31"/>
  <c r="C172" i="31"/>
  <c r="C67" i="33"/>
  <c r="E66" i="33"/>
  <c r="E157" i="28" l="1"/>
  <c r="C158" i="28"/>
  <c r="C68" i="33"/>
  <c r="E67" i="33"/>
  <c r="E172" i="31"/>
  <c r="C173" i="31"/>
  <c r="E158" i="28" l="1"/>
  <c r="C159" i="28"/>
  <c r="C174" i="31"/>
  <c r="E173" i="31"/>
  <c r="C69" i="33"/>
  <c r="E68" i="33"/>
  <c r="E159" i="28" l="1"/>
  <c r="C160" i="28"/>
  <c r="C70" i="33"/>
  <c r="E69" i="33"/>
  <c r="C175" i="31"/>
  <c r="E174" i="31"/>
  <c r="E160" i="28" l="1"/>
  <c r="C161" i="28"/>
  <c r="E175" i="31"/>
  <c r="C176" i="31"/>
  <c r="C71" i="33"/>
  <c r="E70" i="33"/>
  <c r="E161" i="28" l="1"/>
  <c r="C162" i="28"/>
  <c r="C72" i="33"/>
  <c r="E71" i="33"/>
  <c r="E176" i="31"/>
  <c r="C177" i="31"/>
  <c r="E162" i="28" l="1"/>
  <c r="C163" i="28"/>
  <c r="E177" i="31"/>
  <c r="C178" i="31"/>
  <c r="C73" i="33"/>
  <c r="E72" i="33"/>
  <c r="E163" i="28" l="1"/>
  <c r="C164" i="28"/>
  <c r="C74" i="33"/>
  <c r="E73" i="33"/>
  <c r="C179" i="31"/>
  <c r="E178" i="31"/>
  <c r="E164" i="28" l="1"/>
  <c r="C165" i="28"/>
  <c r="E179" i="31"/>
  <c r="C180" i="31"/>
  <c r="C75" i="33"/>
  <c r="E74" i="33"/>
  <c r="E165" i="28" l="1"/>
  <c r="C166" i="28"/>
  <c r="C76" i="33"/>
  <c r="E75" i="33"/>
  <c r="C181" i="31"/>
  <c r="E180" i="31"/>
  <c r="E166" i="28" l="1"/>
  <c r="C167" i="28"/>
  <c r="C182" i="31"/>
  <c r="E181" i="31"/>
  <c r="C77" i="33"/>
  <c r="E76" i="33"/>
  <c r="E167" i="28" l="1"/>
  <c r="C168" i="28"/>
  <c r="C78" i="33"/>
  <c r="E77" i="33"/>
  <c r="C183" i="31"/>
  <c r="E182" i="31"/>
  <c r="E168" i="28" l="1"/>
  <c r="C169" i="28"/>
  <c r="E183" i="31"/>
  <c r="C184" i="31"/>
  <c r="C79" i="33"/>
  <c r="E78" i="33"/>
  <c r="E169" i="28" l="1"/>
  <c r="C170" i="28"/>
  <c r="C80" i="33"/>
  <c r="E79" i="33"/>
  <c r="E184" i="31"/>
  <c r="C185" i="31"/>
  <c r="E170" i="28" l="1"/>
  <c r="C171" i="28"/>
  <c r="C186" i="31"/>
  <c r="E185" i="31"/>
  <c r="C81" i="33"/>
  <c r="E80" i="33"/>
  <c r="E171" i="28" l="1"/>
  <c r="C172" i="28"/>
  <c r="C82" i="33"/>
  <c r="E81" i="33"/>
  <c r="C187" i="31"/>
  <c r="E186" i="31"/>
  <c r="E172" i="28" l="1"/>
  <c r="C173" i="28"/>
  <c r="E187" i="31"/>
  <c r="C188" i="31"/>
  <c r="C83" i="33"/>
  <c r="E82" i="33"/>
  <c r="E173" i="28" l="1"/>
  <c r="C174" i="28"/>
  <c r="C84" i="33"/>
  <c r="E83" i="33"/>
  <c r="C189" i="31"/>
  <c r="E188" i="31"/>
  <c r="E174" i="28" l="1"/>
  <c r="C175" i="28"/>
  <c r="C190" i="31"/>
  <c r="E189" i="31"/>
  <c r="C85" i="33"/>
  <c r="E84" i="33"/>
  <c r="E175" i="28" l="1"/>
  <c r="C176" i="28"/>
  <c r="C86" i="33"/>
  <c r="E85" i="33"/>
  <c r="C191" i="31"/>
  <c r="E190" i="31"/>
  <c r="E176" i="28" l="1"/>
  <c r="C177" i="28"/>
  <c r="C192" i="31"/>
  <c r="E191" i="31"/>
  <c r="C87" i="33"/>
  <c r="E86" i="33"/>
  <c r="E177" i="28" l="1"/>
  <c r="C178" i="28"/>
  <c r="C88" i="33"/>
  <c r="E87" i="33"/>
  <c r="E192" i="31"/>
  <c r="C193" i="31"/>
  <c r="E178" i="28" l="1"/>
  <c r="C179" i="28"/>
  <c r="E193" i="31"/>
  <c r="C194" i="31"/>
  <c r="C89" i="33"/>
  <c r="E88" i="33"/>
  <c r="E179" i="28" l="1"/>
  <c r="C180" i="28"/>
  <c r="C90" i="33"/>
  <c r="E89" i="33"/>
  <c r="E194" i="31"/>
  <c r="C195" i="31"/>
  <c r="E180" i="28" l="1"/>
  <c r="C181" i="28"/>
  <c r="C196" i="31"/>
  <c r="E195" i="31"/>
  <c r="C91" i="33"/>
  <c r="E90" i="33"/>
  <c r="E181" i="28" l="1"/>
  <c r="C182" i="28"/>
  <c r="C92" i="33"/>
  <c r="E91" i="33"/>
  <c r="C197" i="31"/>
  <c r="E196" i="31"/>
  <c r="E182" i="28" l="1"/>
  <c r="C183" i="28"/>
  <c r="C198" i="31"/>
  <c r="E197" i="31"/>
  <c r="C93" i="33"/>
  <c r="E92" i="33"/>
  <c r="E183" i="28" l="1"/>
  <c r="C184" i="28"/>
  <c r="C94" i="33"/>
  <c r="E93" i="33"/>
  <c r="C199" i="31"/>
  <c r="E198" i="31"/>
  <c r="E184" i="28" l="1"/>
  <c r="C185" i="28"/>
  <c r="C200" i="31"/>
  <c r="E199" i="31"/>
  <c r="C95" i="33"/>
  <c r="E94" i="33"/>
  <c r="E185" i="28" l="1"/>
  <c r="C186" i="28"/>
  <c r="E95" i="33"/>
  <c r="C96" i="33"/>
  <c r="E96" i="33" s="1"/>
  <c r="E200" i="31"/>
  <c r="C201" i="31"/>
  <c r="E186" i="28" l="1"/>
  <c r="C187" i="28"/>
  <c r="E201" i="31"/>
  <c r="C202" i="31"/>
  <c r="E187" i="28" l="1"/>
  <c r="C188" i="28"/>
  <c r="C203" i="31"/>
  <c r="E202" i="31"/>
  <c r="E188" i="28" l="1"/>
  <c r="C189" i="28"/>
  <c r="E203" i="31"/>
  <c r="C204" i="31"/>
  <c r="E189" i="28" l="1"/>
  <c r="C190" i="28"/>
  <c r="C205" i="31"/>
  <c r="E204" i="31"/>
  <c r="E190" i="28" l="1"/>
  <c r="C191" i="28"/>
  <c r="C206" i="31"/>
  <c r="E205" i="31"/>
  <c r="E191" i="28" l="1"/>
  <c r="C192" i="28"/>
  <c r="C207" i="31"/>
  <c r="E206" i="31"/>
  <c r="E192" i="28" l="1"/>
  <c r="C193" i="28"/>
  <c r="C208" i="31"/>
  <c r="E207" i="31"/>
  <c r="E193" i="28" l="1"/>
  <c r="C194" i="28"/>
  <c r="E208" i="31"/>
  <c r="C209" i="31"/>
  <c r="E209" i="31" s="1"/>
  <c r="E194" i="28" l="1"/>
  <c r="C195" i="28"/>
  <c r="E195" i="28" l="1"/>
  <c r="C196" i="28"/>
  <c r="E196" i="28" l="1"/>
  <c r="C197" i="28"/>
  <c r="E197" i="28" l="1"/>
  <c r="C198" i="28"/>
  <c r="E198" i="28" s="1"/>
</calcChain>
</file>

<file path=xl/sharedStrings.xml><?xml version="1.0" encoding="utf-8"?>
<sst xmlns="http://schemas.openxmlformats.org/spreadsheetml/2006/main" count="30329" uniqueCount="5138">
  <si>
    <t>MÃ CHỨNG TỪ</t>
  </si>
  <si>
    <t>NGÀY GHI SỔ</t>
  </si>
  <si>
    <t>SỐ CHỨNG TỪ</t>
  </si>
  <si>
    <t>BỘ PHẬN</t>
  </si>
  <si>
    <t>HỢP ĐỒNG</t>
  </si>
  <si>
    <t>MÃ SẢN PHẨM, CÔNG TRÌNH</t>
  </si>
  <si>
    <t>MÃ ĐỐI TƯỢNG</t>
  </si>
  <si>
    <t>DIỄN GIẢI</t>
  </si>
  <si>
    <t>TÀI KHOẢN</t>
  </si>
  <si>
    <t>MÃ TIỀN TỆ</t>
  </si>
  <si>
    <t>TỶ GIÁ</t>
  </si>
  <si>
    <t>NGUYÊN TỆ</t>
  </si>
  <si>
    <t>THÀNH TIỀN</t>
  </si>
  <si>
    <t>NỢ</t>
  </si>
  <si>
    <t>CÓ</t>
  </si>
  <si>
    <t>Mã</t>
  </si>
  <si>
    <t>Status</t>
  </si>
  <si>
    <t>STT</t>
  </si>
  <si>
    <t>PK</t>
  </si>
  <si>
    <t>0110269067-001</t>
  </si>
  <si>
    <t>VND</t>
  </si>
  <si>
    <t>Done</t>
  </si>
  <si>
    <t>0313168515-005</t>
  </si>
  <si>
    <t>0312065210</t>
  </si>
  <si>
    <t>0110269067</t>
  </si>
  <si>
    <t>0102721191-001</t>
  </si>
  <si>
    <t>0106639692</t>
  </si>
  <si>
    <t>0106056281</t>
  </si>
  <si>
    <t>0315827587</t>
  </si>
  <si>
    <t>0318678340</t>
  </si>
  <si>
    <t>0312886947</t>
  </si>
  <si>
    <t>0311241512</t>
  </si>
  <si>
    <t>0108046916</t>
  </si>
  <si>
    <t>0311187079</t>
  </si>
  <si>
    <t>0314299599-002</t>
  </si>
  <si>
    <t>0306049362</t>
  </si>
  <si>
    <t>0000000003</t>
  </si>
  <si>
    <t>0109998900</t>
  </si>
  <si>
    <t>0318648794</t>
  </si>
  <si>
    <t>0317557505</t>
  </si>
  <si>
    <t>0317581963</t>
  </si>
  <si>
    <t>0108392659-001</t>
  </si>
  <si>
    <t>0313658809</t>
  </si>
  <si>
    <t>0000000001</t>
  </si>
  <si>
    <t>0313581779</t>
  </si>
  <si>
    <t>0000000002</t>
  </si>
  <si>
    <t>0312885005</t>
  </si>
  <si>
    <t>0315803699</t>
  </si>
  <si>
    <t>0106773786</t>
  </si>
  <si>
    <t>0318782567</t>
  </si>
  <si>
    <t>0314777492</t>
  </si>
  <si>
    <t>0318206919</t>
  </si>
  <si>
    <t>0303202799</t>
  </si>
  <si>
    <t>0108951120-002</t>
  </si>
  <si>
    <t>0109612931</t>
  </si>
  <si>
    <t>0318821583</t>
  </si>
  <si>
    <t>8568979698-001</t>
  </si>
  <si>
    <t>0318475414</t>
  </si>
  <si>
    <t>0108109926</t>
  </si>
  <si>
    <t>0313948307</t>
  </si>
  <si>
    <t>0315872501</t>
  </si>
  <si>
    <t>0315847456</t>
  </si>
  <si>
    <t>0901158017</t>
  </si>
  <si>
    <t>0318643958</t>
  </si>
  <si>
    <t>0302712571</t>
  </si>
  <si>
    <t>0318062865</t>
  </si>
  <si>
    <t>0108750008</t>
  </si>
  <si>
    <t>0318253073</t>
  </si>
  <si>
    <t>0109990838</t>
  </si>
  <si>
    <t>0106915180</t>
  </si>
  <si>
    <t>0318876014</t>
  </si>
  <si>
    <t>0318646268</t>
  </si>
  <si>
    <t>0107532712</t>
  </si>
  <si>
    <t>8710040770-001</t>
  </si>
  <si>
    <t>0316873240</t>
  </si>
  <si>
    <t>0307787891</t>
  </si>
  <si>
    <t>0317676608</t>
  </si>
  <si>
    <t>0317892888</t>
  </si>
  <si>
    <t>0304130177</t>
  </si>
  <si>
    <t>0318164994</t>
  </si>
  <si>
    <t>0318407573</t>
  </si>
  <si>
    <t>5901202018</t>
  </si>
  <si>
    <t>0317200311</t>
  </si>
  <si>
    <t>0313342918</t>
  </si>
  <si>
    <t>8537932805-001</t>
  </si>
  <si>
    <t>0109361325</t>
  </si>
  <si>
    <t>0317476969</t>
  </si>
  <si>
    <t>0317535156</t>
  </si>
  <si>
    <t>0317435899</t>
  </si>
  <si>
    <t>0312089162</t>
  </si>
  <si>
    <t>0313492494</t>
  </si>
  <si>
    <t>0110418262</t>
  </si>
  <si>
    <t>8783523554-001</t>
  </si>
  <si>
    <t>0000000000</t>
  </si>
  <si>
    <t>0315343473</t>
  </si>
  <si>
    <t>2803062864</t>
  </si>
  <si>
    <t>0314905391</t>
  </si>
  <si>
    <t>0305887996</t>
  </si>
  <si>
    <t xml:space="preserve"> NGUYÊN TỆ </t>
  </si>
  <si>
    <t xml:space="preserve"> THÀNH TIỀN </t>
  </si>
  <si>
    <t> </t>
  </si>
  <si>
    <t>8077953218-001</t>
  </si>
  <si>
    <t>0108269207-003</t>
  </si>
  <si>
    <t>0315391861</t>
  </si>
  <si>
    <t>0111024165</t>
  </si>
  <si>
    <t>0108493600</t>
  </si>
  <si>
    <t>0317776715</t>
  </si>
  <si>
    <t>0109120150</t>
  </si>
  <si>
    <t>0312959095</t>
  </si>
  <si>
    <t>0311537679</t>
  </si>
  <si>
    <t>0101063172</t>
  </si>
  <si>
    <t>0313596856</t>
  </si>
  <si>
    <t>079200020738</t>
  </si>
  <si>
    <t>0314709816</t>
  </si>
  <si>
    <t>0318496894</t>
  </si>
  <si>
    <t>0108269207</t>
  </si>
  <si>
    <t>0100100294</t>
  </si>
  <si>
    <t>0108335146</t>
  </si>
  <si>
    <t>0108771840</t>
  </si>
  <si>
    <t>0300555450</t>
  </si>
  <si>
    <t>0309300048</t>
  </si>
  <si>
    <t>0311854540-018</t>
  </si>
  <si>
    <t>0312320573-003</t>
  </si>
  <si>
    <t>0313168515-004</t>
  </si>
  <si>
    <t>0315307027</t>
  </si>
  <si>
    <t>0315728603</t>
  </si>
  <si>
    <t>0315842546</t>
  </si>
  <si>
    <t>0315909712</t>
  </si>
  <si>
    <t>0316690279</t>
  </si>
  <si>
    <t>0317237424</t>
  </si>
  <si>
    <t>0317975534</t>
  </si>
  <si>
    <t>0318659404</t>
  </si>
  <si>
    <t>0318674515</t>
  </si>
  <si>
    <t>HỘ KINH DOANH HUỲNH THUYÊN</t>
  </si>
  <si>
    <t>8456794480-001</t>
  </si>
  <si>
    <t>HỘ KINH DOANH NGUYỄN HUỆ MAKEUP</t>
  </si>
  <si>
    <t>HỘ KINH DOANH HOÀNG THẠCH</t>
  </si>
  <si>
    <t>0107742477</t>
  </si>
  <si>
    <t>8785516231-001</t>
  </si>
  <si>
    <t>0317189971</t>
  </si>
  <si>
    <t>0314664629</t>
  </si>
  <si>
    <t>0318605511</t>
  </si>
  <si>
    <t>0101778163-001</t>
  </si>
  <si>
    <t>8336384757-001</t>
  </si>
  <si>
    <t>0318416465</t>
  </si>
  <si>
    <t>0318712471</t>
  </si>
  <si>
    <t>8443847047-001</t>
  </si>
  <si>
    <t>0101159195</t>
  </si>
  <si>
    <t>0107468697</t>
  </si>
  <si>
    <t>8423525669-001</t>
  </si>
  <si>
    <t>0316416910</t>
  </si>
  <si>
    <t>Chi phí đồ dùng văn phòng HĐ số 1090</t>
  </si>
  <si>
    <t>070095006110</t>
  </si>
  <si>
    <t>Tên HKD</t>
  </si>
  <si>
    <t>Trang hóa đơn đầu ra</t>
  </si>
  <si>
    <t>ID</t>
  </si>
  <si>
    <t>Mật khẩu</t>
  </si>
  <si>
    <t>Trang hóa đơn đầu vào</t>
  </si>
  <si>
    <t>Bảo hiểm</t>
  </si>
  <si>
    <t>Số Chủ HKD đóng BHXH</t>
  </si>
  <si>
    <t>Mức đóng BHXH chủ hộ</t>
  </si>
  <si>
    <t>Thời gian đóng BHXH</t>
  </si>
  <si>
    <t>Số Nhân viên đóng BHXH</t>
  </si>
  <si>
    <t>Mức lương (NET)</t>
  </si>
  <si>
    <t>Bảo hiểm (NET)</t>
  </si>
  <si>
    <t>Link sever</t>
  </si>
  <si>
    <t>Mật khẩu 3TSOFT</t>
  </si>
  <si>
    <t>Sao kê ngân hàng</t>
  </si>
  <si>
    <t>HỘ KINH DOANH REENCY NGÔ</t>
  </si>
  <si>
    <t>https://8443847047-001.matbao.in/</t>
  </si>
  <si>
    <t>admin</t>
  </si>
  <si>
    <t>123456789Aa@</t>
  </si>
  <si>
    <t>https://hoadondientu.gdt.gov.vn/</t>
  </si>
  <si>
    <t>https://dichvucong.baohiemxahoi.gov.vn/</t>
  </si>
  <si>
    <t>https://drive.google.com/drive/folders/10B2LBaI-Ivc00wuEtr8SyrLPY4UoRHmc</t>
  </si>
  <si>
    <t>reency_tc</t>
  </si>
  <si>
    <t>HỘ KINH DOANH HÀ BÁNH QUY</t>
  </si>
  <si>
    <t>https://8710040770-001.matbao.in/</t>
  </si>
  <si>
    <t>https://drive.google.com/drive/folders/1RcD2-m3cTlEMpQ-q_lN6XvbUKBFkrkzc</t>
  </si>
  <si>
    <t>habanhquy_tc</t>
  </si>
  <si>
    <t>HỘ KINH DOANH ĐỖ TRỊNH LƯƠNG OFFICIAL</t>
  </si>
  <si>
    <t>https://8836978269-001.matbao.in/</t>
  </si>
  <si>
    <t>8836978269-001</t>
  </si>
  <si>
    <t>https://drive.google.com/drive/folders/1zXZvu1qkE9DpVB41RUzb_tH_nfYrD8gt</t>
  </si>
  <si>
    <t>luongdo_tc</t>
  </si>
  <si>
    <t>HỘ KINH DOANH KIỀU NGỌC LAN</t>
  </si>
  <si>
    <t>https://8785516231-001.matbao.in/</t>
  </si>
  <si>
    <t>https://drive.google.com/drive/folders/1hevD7Sbgbo5Cjm70wkb5G4t1MZUkmEIo</t>
  </si>
  <si>
    <t>kieulan_tc</t>
  </si>
  <si>
    <t>HỘ KINH DOANH TÂM TÀI TRÍ</t>
  </si>
  <si>
    <t>https://8417307084-001.matbao.in/</t>
  </si>
  <si>
    <t>8417307084-001</t>
  </si>
  <si>
    <t>https://drive.google.com/drive/folders/13N1eKOPJeSBluI9swmarwHQLpi9TbXB-</t>
  </si>
  <si>
    <t>tamtritai_tc</t>
  </si>
  <si>
    <t>HỘ KINH DOANH LƯƠNG LEE OFFICIAL</t>
  </si>
  <si>
    <t>https://8339629042-001.matbao.in/</t>
  </si>
  <si>
    <t>8339629042-001</t>
  </si>
  <si>
    <t>https://drive.google.com/drive/folders/1YOs8AfovGBFxVy9JBLCbRSWaFrYU7hYd</t>
  </si>
  <si>
    <t>luonglee_tc</t>
  </si>
  <si>
    <t>https://8077953218-001.matbao.in/</t>
  </si>
  <si>
    <t>https://drive.google.com/drive/folders/17p38StQpkmZ5yXGc61-WizGJo4bDJ4Xu</t>
  </si>
  <si>
    <t>huynhthuyen_tc</t>
  </si>
  <si>
    <t>HỘ KINH DOANH PU MÉT BẢY</t>
  </si>
  <si>
    <t>https://8307704000-002.matbao.in/</t>
  </si>
  <si>
    <t>8307704000-002</t>
  </si>
  <si>
    <t>https://drive.google.com/drive/folders/1I13C-EhwboDA5JtQzqnjfWyy-mrUkFvj</t>
  </si>
  <si>
    <t>pumetbay_tc</t>
  </si>
  <si>
    <t>HỘ KINH DOANH ĐĂNG VI OFFICIAL</t>
  </si>
  <si>
    <t>https://8568979698-001.matbao.in/</t>
  </si>
  <si>
    <t>https://drive.google.com/drive/folders/1XvOfR3XrMWmjGh0wgG0DerBzR5THkwug</t>
  </si>
  <si>
    <t>dangvi_tc</t>
  </si>
  <si>
    <t>https://8456794480-001.matbao.in/</t>
  </si>
  <si>
    <t>https://drive.google.com/drive/folders/1BdRSgvmKog7l1Rmgm10T5BM96IVsynD0</t>
  </si>
  <si>
    <t>nguyenhue_tc</t>
  </si>
  <si>
    <t>HỘ KINH DOANH CỔ NGÂN OFFICIAL</t>
  </si>
  <si>
    <t>https://8427727031-001.matbao.in/</t>
  </si>
  <si>
    <t>8427727031-001</t>
  </si>
  <si>
    <t>https://drive.google.com/drive/folders/1AzSYLy8TAZxHTc7OTzvALwgvuxSFoIs8</t>
  </si>
  <si>
    <t>congan_tc</t>
  </si>
  <si>
    <t>HỘ KINH DOANH TRƯƠNG NHÃ DINH</t>
  </si>
  <si>
    <t>https://8423525669-001.matbao.in/</t>
  </si>
  <si>
    <t>https://drive.google.com/drive/folders/1AeVV-dwrvG2KWBYSz-3ro660eOh5M8VL</t>
  </si>
  <si>
    <t>nhadinh_tc</t>
  </si>
  <si>
    <t>HỘ KINH DOANH NGỌC TÚ ANH</t>
  </si>
  <si>
    <t>https://8336384757-001.matbao.in/</t>
  </si>
  <si>
    <t>https://drive.google.com/drive/folders/1-PSj1cyjNYOQHNhPZHghbVLGGvmZCqYR</t>
  </si>
  <si>
    <t>ngoctuanh_tc</t>
  </si>
  <si>
    <t>HỘ KINH DOANH HỌC NHÂN SKINCARE</t>
  </si>
  <si>
    <t>https://8783523554-001.matbao.in/</t>
  </si>
  <si>
    <t>https://drive.google.com/drive/folders/1AyNcejKrV-AST3HY8fe_rDB2gxDlxeq4</t>
  </si>
  <si>
    <t>hocnhan_tc</t>
  </si>
  <si>
    <t>https://8537932805-001.matbao.in/</t>
  </si>
  <si>
    <t>https://drive.google.com/drive/folders/1ImGai80G9Uf6MlzpMiq_-XlN4PioVYGc</t>
  </si>
  <si>
    <t>hoangthach_tc</t>
  </si>
  <si>
    <t>HỘ KINH DOANH TRANG TRẦN OFFICIAL</t>
  </si>
  <si>
    <t>https://8548655046-002.matbao.in/</t>
  </si>
  <si>
    <t>8548655046-002</t>
  </si>
  <si>
    <t>https://drive.google.com/drive/folders/1fXzRRKAuXR4Cn_lnpzbMomSGkGs6lGfr</t>
  </si>
  <si>
    <t>trangtran_tc</t>
  </si>
  <si>
    <t>HỘ KINH DOANH VŨ THÁI BÌNH OFFICIAL</t>
  </si>
  <si>
    <t>https://070095006110.matbao.in/</t>
  </si>
  <si>
    <t>https://drive.google.com/drive/folders/19_kkRHm5diIBTr6vrCUpGYXtbVo_nlEo</t>
  </si>
  <si>
    <t>vuthaibinh_tc</t>
  </si>
  <si>
    <t>HỘ KINH DOANH ÔNG THỈ BÀ LONG</t>
  </si>
  <si>
    <t>https://079200020738.matbao.in/</t>
  </si>
  <si>
    <t>https://drive.google.com/drive/folders/19UUoxYxh3ZAY0-x06uFv2MtP9RSe9ltp</t>
  </si>
  <si>
    <t>longthuy_tc</t>
  </si>
  <si>
    <t>HỘ KINH DOANH TRẦN HỒNG PHÚC</t>
  </si>
  <si>
    <t>https://072098001948.matbao.in/</t>
  </si>
  <si>
    <t>https://drive.google.com/drive/folders/1J33Lx8ezMkDnVxPYP34t7aorbu-dYePQ</t>
  </si>
  <si>
    <t>hongphuc_tc</t>
  </si>
  <si>
    <t>HỘ KINH DOANH NGỌC XUÂN NHI</t>
  </si>
  <si>
    <t>https://079302004855.matbao.in/</t>
  </si>
  <si>
    <t>https://drive.google.com/drive/folders/1-UNQ5ITavdiSdvii5zAqk7bvoDslZyLg</t>
  </si>
  <si>
    <t>ngocxuannhi_tc</t>
  </si>
  <si>
    <t>HỘ KINH DOANH HẢI ĐĂNG OFFICIAL</t>
  </si>
  <si>
    <t>https://079098009021.matbao.in/</t>
  </si>
  <si>
    <t>https://drive.google.com/drive/folders/1PrNJ9oHajezeu0Dk3r0QnoPDTHhgeYMC</t>
  </si>
  <si>
    <t>haidang_tc</t>
  </si>
  <si>
    <t>HỘ KINH DOANH ĐOÀN VÂN ANH</t>
  </si>
  <si>
    <t>https://014198000033.matbao.in/</t>
  </si>
  <si>
    <t>https://drive.google.com/drive/folders/1feeC1ekRMC4J0CCNJfqNqvNjwWN9ztHO</t>
  </si>
  <si>
    <t>vanjinka_tc</t>
  </si>
  <si>
    <t>HỘ KINH DOANH THÚY NGA OFFICIAL</t>
  </si>
  <si>
    <t>https://052300008705.matbao.in/</t>
  </si>
  <si>
    <t>https://drive.google.com/drive/folders/1f6Pc1Gx4rTqC1KNvmCWZuFWXQ1ytEwa4</t>
  </si>
  <si>
    <t>ID2</t>
  </si>
  <si>
    <t>Mật khẩu3</t>
  </si>
  <si>
    <t>ID4</t>
  </si>
  <si>
    <t>Mật khẩu5</t>
  </si>
  <si>
    <t>Thời gian đóng BHXH6</t>
  </si>
  <si>
    <t>Done hạch toán</t>
  </si>
  <si>
    <t>v</t>
  </si>
  <si>
    <t>Progress</t>
  </si>
  <si>
    <t>0313403198</t>
  </si>
  <si>
    <t>072098001948</t>
  </si>
  <si>
    <t>0110881960</t>
  </si>
  <si>
    <t>0100233583</t>
  </si>
  <si>
    <t>0301955155</t>
  </si>
  <si>
    <t>0318793255</t>
  </si>
  <si>
    <t>0315792976</t>
  </si>
  <si>
    <t>0313861247</t>
  </si>
  <si>
    <t>0305089147</t>
  </si>
  <si>
    <t>0101778163</t>
  </si>
  <si>
    <t>079302004855</t>
  </si>
  <si>
    <t>079098009021</t>
  </si>
  <si>
    <t>014198000033</t>
  </si>
  <si>
    <t>052300008705</t>
  </si>
  <si>
    <t>0317271785</t>
  </si>
  <si>
    <t>0313875232</t>
  </si>
  <si>
    <t>14/10/2025</t>
  </si>
  <si>
    <t>31/10/2025</t>
  </si>
  <si>
    <t>03/11/2025</t>
  </si>
  <si>
    <t>Doanh thu Dịch vụ quảng cáo và truyền thông theo Phụ lục đơn đặt hàng dự án metub-reencyngo-bookingvideo-202507 ký ngày 06/08/2025 và Biên bản nghiệm thu ký ngày 14/10/2025 HĐ số 3</t>
  </si>
  <si>
    <t>Doanh thu Dịch vụ quảng cáo và truyền thông theo Phụ lục đơn đặt hàng dự án reencyngo-megalive-202509 ký ngày 01/10/2025 và Biên bản nghiệm thu ký ngày 14/10/2025 HĐ số 4</t>
  </si>
  <si>
    <t>Doanh thu Dịch vụ quảng cáo và truyền thông theo Phụ lục đơn đặt hàng dự án reencyngo-megalive-202510 ký ngày 10/10/2025 và Biên bản nghiệm thu ký ngày 14/10/2025 HĐ số 5</t>
  </si>
  <si>
    <t>Doanh thu Dịch vụ quảng cáo và truyền thông theo Phụ lục đơn đặt hàng dự án logeski-202510-reencyngo-livedocquyen ký ngày 20/10/2025 và Biên bản nghiệm thu ký ngày 31/10/2025 HĐ số 6</t>
  </si>
  <si>
    <t>Doanh thu Dịch vụ quảng cáo và truyền thông theo Phụ lục đơn đặt hàng dự án unicorn-reencyngo-live1309-202509 ký ngày 10/09/2025 và Biên bản nghiệm thu ký ngày 03/11/2025 HĐ số 7</t>
  </si>
  <si>
    <t>Điều chỉnh giảm Doanh thu Dịch vụ quảng cáo và truyền thông theo Phụ lục đơn đặt hàng dự án metub-reencyngo-bookingvideo-202507 ký ngày 06/08/2025 và Biên bản nghiệm thu ký ngày 14/10/2025 HĐ số 3</t>
  </si>
  <si>
    <t>Điều chỉnh giảm Doanh thu Dịch vụ quảng cáo và truyền thông theo Phụ lục đơn đặt hàng dự án reencyngo-megalive-202509 ký ngày 01/10/2025 và Biên bản nghiệm thu ký ngày 14/10/2025 HĐ số 4</t>
  </si>
  <si>
    <t>Điều chỉnh giảm Doanh thu Dịch vụ quảng cáo và truyền thông theo Phụ lục đơn đặt hàng dự án reencyngo-megalive-202510 ký ngày 10/10/2025 và Biên bản nghiệm thu ký ngày 14/10/2025 HĐ số 5</t>
  </si>
  <si>
    <t>Điều chỉnh giảm Doanh thu Dịch vụ quảng cáo và truyền thông theo Phụ lục đơn đặt hàng dự án logeski-202510-reencyngo-livedocquyen ký ngày 20/10/2025 và Biên bản nghiệm thu ký ngày 31/10/2025 HĐ số 6</t>
  </si>
  <si>
    <t>Điều chỉnh giảm Doanh thu Dịch vụ quảng cáo và truyền thông theo Phụ lục đơn đặt hàng dự án unicorn-reencyngo-live1309-202509 ký ngày 10/09/2025 và Biên bản nghiệm thu ký ngày 03/11/2025 HĐ số 7</t>
  </si>
  <si>
    <t>Phí dịch vụ tư vấn tháng 09/2025 HĐ số 127</t>
  </si>
  <si>
    <t>Phí dịch vụ Affiliate 10/2025_17308880261 HĐ số 1637444</t>
  </si>
  <si>
    <t>Phí dịch vụ tư vấn tháng 10/2025 HĐ số 168</t>
  </si>
  <si>
    <t>Phí dịch vụ tư vấn tháng 11/2025 HĐ số 194</t>
  </si>
  <si>
    <t>Phí dịch vụ Affiliate 11/2025_17308880261 HĐ số 1098716</t>
  </si>
  <si>
    <t>02/10/2025</t>
  </si>
  <si>
    <t>03/10/2025</t>
  </si>
  <si>
    <t>06/10/2025</t>
  </si>
  <si>
    <t>10/10/2025</t>
  </si>
  <si>
    <t>27/10/2025</t>
  </si>
  <si>
    <t>04/11/2025</t>
  </si>
  <si>
    <t>05/11/2025</t>
  </si>
  <si>
    <t>06/11/2025</t>
  </si>
  <si>
    <t>11/11/2025</t>
  </si>
  <si>
    <t>13/11/2025</t>
  </si>
  <si>
    <t>18/11/2025</t>
  </si>
  <si>
    <t>21/11/2025</t>
  </si>
  <si>
    <t>24/12/2025</t>
  </si>
  <si>
    <t>Doanh thu Phí dịch vụ quảng cáo cho nhãn hàng DOVE theo Hợp đồng số HĐ/559/2025/MMUSIC ký ngày 16/09/2025 và Biên bản nghiệm thu ký ngày 02/10/2025 HĐ số 8</t>
  </si>
  <si>
    <t>Doanh thu Dịch vụ quảng cáo và truyền thông theo Hợp đồng số 22092025/HD/ HABANHQUY -SYB ký ngày 22/09/2025 HĐ số 9</t>
  </si>
  <si>
    <t>Doanh thu Dịch vụ quảng cáo và truyền thông theo Hợp đồng số 22092025/HDDV/HBQ-NT ký ngày 22/09/2025 và Biên bản nghiệm thu ký ngày 03/10/2025 HĐ số 10</t>
  </si>
  <si>
    <t>Doanh thu Dịch vụ quảng cáo và truyền thông theo Hợp đồng số FINTVN-KAO5-2025-58 ký ngày 20/09/2025 và Biên bản nghiệm thu ký ngày 06/10/2025 HĐ số 11</t>
  </si>
  <si>
    <t>Doanh thu Dịch vụ quảng cáo và truyền thông theo Hợp đồng số GUARDIAN/I-DAC/HACOOKIE/102025 ký ngày 04/10/2025 (Đợt 1) HĐ số 12</t>
  </si>
  <si>
    <t>Doanh thu Dịch vụ quảng cáo và truyền thông theo Hợp đồng số GUARDIAN/I-DAC/HACOOKIE/102025 ký ngày 04/10/2025 (Đợt 2) và Biên bản nghiệm thu ký ngày 14/10/2025 HĐ số 13</t>
  </si>
  <si>
    <t>Doanh thu Dịch vụ quảng cáo và truyền thông theo Hợp đồng số 0710/2025 ký ngày 07/10/2025 HĐ số 14</t>
  </si>
  <si>
    <t>Doanh thu Dịch vụ quảng cáo và truyền thông theo Hợp đồng số 860910202504/HDDV/RV/KOL ký ngày 09/10/2025 và Biên bản nghiệm thu ký ngày 27/10/2025 HĐ số 15</t>
  </si>
  <si>
    <t>Doanh thu Thanh toán theo Hợp đồng dịch vụ số HD29102025/D’ALBA_ASIACONSULTING_HACOOKIE ký ngày 29/10/2025 HĐ số 16</t>
  </si>
  <si>
    <t>Doanh thu Dịch vụ quảng cáo và truyền thông theo Hợp đồng số 23102025/HDDV/SUISKIN/COOKIEHOANG_ ký ngày 23/10/2025 HĐ số 17</t>
  </si>
  <si>
    <t>Doanh thu Dịch vụ quảng cáo và truyền thông theo Hợp đồng số 23102025/HDDV/TIAM/OOKIEHOANG_ ký ngày 23/10/2025 HĐ số 18</t>
  </si>
  <si>
    <t>Doanh thu Dịch vụ quảng cáo và truyền thông theo Hợp đồng số 22102025/HDDV/MQNY/COOKIEHOANG_ ký ngày 22/10/2025 HĐ số 19</t>
  </si>
  <si>
    <t>Doanh thu Dịch vụ quảng cáo và truyền thông theo Hợp đồng số 11/2025/HĐQC/MMM - HOÀNG MINH HUYỀN ký ngày 01/11/2025 và Biên bản nghiệm thu ký ngày 05/11/2025 HĐ số 20</t>
  </si>
  <si>
    <t>Doanh thu Dịch vụ quảng cáo và truyền thông theo Hợp đồng số HDDV/HABANHQUY/DOVE/23102025 ký ngày 23/10/2025 và Biên bản nghiệm thu ký ngày 06/11/2025 HĐ số 21</t>
  </si>
  <si>
    <t>Doanh thu Chi phí dịch vụ quảng cáo cho nhãn hàng DERMARIUM theo Hợp đồng 1003/2025/HDDV-DER 1/TAL-HBQ số ký ngày 17/03/2025 và Biên bản nghiệm thu ký ngày 11/11/2025 HĐ số 22</t>
  </si>
  <si>
    <t>Doanh thu Dịch vụ quảng cáo và truyền thông theo Hợp đồng số 10102025_HĐCTV - ACNES VITAMIN - HA COOKIE ký ngày 10/10/2025 HĐ số 23</t>
  </si>
  <si>
    <t>Doanh thu Dịch vụ quảng cáo và truyền thông cho nhãn hàng JE ROSSO theo Hợp đồng số 681211202502/HDDV/RV/KOL ký ngày 12/11/2025 và Biên bản nghiệm thu ký ngày 18/11/2025 HĐ số 24</t>
  </si>
  <si>
    <t>Doanh thu Phí cung cấp dịch vụ theo biên bản nghiệm thu của hợp đồng số 28102025/HDDV/PMAX-HKDHABANHQUY ký ngày 28/10/2025 HĐ số 25</t>
  </si>
  <si>
    <t>Doanh thu Dịch vụ quảng cáo và truyền thông theo Hợp đồng số HKD HBQ_ BEPLAIN_01122025 ký ngày 01/12/2025 và Biên bản nghiệm thu ký ngày 24/12/2025 HĐ số 34</t>
  </si>
  <si>
    <t>Doanh thu Dịch vụ quảng cáo và truyền thông theo Hợp đồng số ANUA_SKVSKVN_01122025__@hacookie__ ký ngày 01/12/2025 HĐ số 35</t>
  </si>
  <si>
    <t>Doanh thu Dịch vụ quảng cáo và truyền thông theo Hợp đồng số 18602025/HĐDV/Y&amp;B – ký ngày 01/11/2025 kèm Biên bản nghiệm thu và thanh toán số 18602025/BBNT-TT/Y&amp;B ký ngày 24/12/2025 HĐ số 36</t>
  </si>
  <si>
    <t>Doanh thu Dịch vụ quảng cáo và truyền thông theo Hợp đồng số 20172025/HĐDV/Y&amp;B ký ngày 01/12/2025 kèm Biên bản nghiệm thu và thanh toán số 20172025/BBNT-TT/Y&amp;B ký ngày 24/12/2025 HĐ số 37</t>
  </si>
  <si>
    <t>Doanh thu Chi phí cung cấp dịch vụ cho nhãn hàng Comfort theo hợp đồng số 1711/2025/HĐDV - PF 2/BNT - HBQ HĐ số 38</t>
  </si>
  <si>
    <t>Doanh thu Dịch vụ quảng cáo và truyền thông theo Hợp đồng số 10/12/2025/Hộ Kinh Doanh Hà Bánh Quy-VERITES/HDDV ký ngày 10/12/2025 và Biên bản nghiệm thu ký ngày 24/12/2025 HĐ số 39</t>
  </si>
  <si>
    <t>Doanh thu Dịch vụ quảng cáo và truyền thông theo Phụ lục 01 ký ngày 24/12/2025 của Hợp đồng số 06122025/HĐ-DVQC2025 ký ngày 19/12/2025 HĐ số 40</t>
  </si>
  <si>
    <t>Điều chỉnh giảm Doanh thu Phí dịch vụ quảng cáo cho nhãn hàng DOVE theo Hợp đồng số HĐ/559/2025/MMUSIC ký ngày 16/09/2025 và Biên bản nghiệm thu ký ngày 02/10/2025 HĐ số 8</t>
  </si>
  <si>
    <t>Điều chỉnh giảm Doanh thu Dịch vụ quảng cáo và truyền thông theo Hợp đồng số 22092025/HD/ HABANHQUY -SYB ký ngày 22/09/2025 HĐ số 9</t>
  </si>
  <si>
    <t>Điều chỉnh giảm Doanh thu Dịch vụ quảng cáo và truyền thông theo Hợp đồng số 22092025/HDDV/HBQ-NT ký ngày 22/09/2025 và Biên bản nghiệm thu ký ngày 03/10/2025 HĐ số 10</t>
  </si>
  <si>
    <t>Điều chỉnh giảm Doanh thu Dịch vụ quảng cáo và truyền thông theo Hợp đồng số FINTVN-KAO5-2025-58 ký ngày 20/09/2025 và Biên bản nghiệm thu ký ngày 06/10/2025 HĐ số 11</t>
  </si>
  <si>
    <t>Điều chỉnh giảm Doanh thu Dịch vụ quảng cáo và truyền thông theo Hợp đồng số GUARDIAN/I-DAC/HACOOKIE/102025 ký ngày 04/10/2025 (Đợt 1) HĐ số 12</t>
  </si>
  <si>
    <t>Điều chỉnh giảm Doanh thu Dịch vụ quảng cáo và truyền thông theo Hợp đồng số GUARDIAN/I-DAC/HACOOKIE/102025 ký ngày 04/10/2025 (Đợt 2) và Biên bản nghiệm thu ký ngày 14/10/2025 HĐ số 13</t>
  </si>
  <si>
    <t>Điều chỉnh giảm Doanh thu Dịch vụ quảng cáo và truyền thông theo Hợp đồng số 0710/2025 ký ngày 07/10/2025 HĐ số 14</t>
  </si>
  <si>
    <t>Điều chỉnh giảm Doanh thu Dịch vụ quảng cáo và truyền thông theo Hợp đồng số 860910202504/HDDV/RV/KOL ký ngày 09/10/2025 và Biên bản nghiệm thu ký ngày 27/10/2025 HĐ số 15</t>
  </si>
  <si>
    <t>Điều chỉnh giảm Doanh thu Thanh toán theo Hợp đồng dịch vụ số HD29102025/D’ALBA_ASIACONSULTING_HACOOKIE ký ngày 29/10/2025 HĐ số 16</t>
  </si>
  <si>
    <t>Điều chỉnh giảm Doanh thu Dịch vụ quảng cáo và truyền thông theo Hợp đồng số 23102025/HDDV/SUISKIN/COOKIEHOANG_ ký ngày 23/10/2025 HĐ số 17</t>
  </si>
  <si>
    <t>Điều chỉnh giảm Doanh thu Dịch vụ quảng cáo và truyền thông theo Hợp đồng số 23102025/HDDV/TIAM/OOKIEHOANG_ ký ngày 23/10/2025 HĐ số 18</t>
  </si>
  <si>
    <t>Điều chỉnh giảm Doanh thu Dịch vụ quảng cáo và truyền thông theo Hợp đồng số 22102025/HDDV/MQNY/COOKIEHOANG_ ký ngày 22/10/2025 HĐ số 19</t>
  </si>
  <si>
    <t>Điều chỉnh giảm Doanh thu Dịch vụ quảng cáo và truyền thông theo Hợp đồng số 11/2025/HĐQC/MMM - HOÀNG MINH HUYỀN ký ngày 01/11/2025 và Biên bản nghiệm thu ký ngày 05/11/2025 HĐ số 20</t>
  </si>
  <si>
    <t>Điều chỉnh giảm Doanh thu Dịch vụ quảng cáo và truyền thông theo Hợp đồng số HDDV/HABANHQUY/DOVE/23102025 ký ngày 23/10/2025 và Biên bản nghiệm thu ký ngày 06/11/2025 HĐ số 21</t>
  </si>
  <si>
    <t>Điều chỉnh giảm Doanh thu Chi phí dịch vụ quảng cáo cho nhãn hàng DERMARIUM theo Hợp đồng 1003/2025/HDDV-DER 1/TAL-HBQ số ký ngày 17/03/2025 và Biên bản nghiệm thu ký ngày 11/11/2025 HĐ số 22</t>
  </si>
  <si>
    <t>Điều chỉnh giảm Doanh thu Dịch vụ quảng cáo và truyền thông theo Hợp đồng số 10102025_HĐCTV - ACNES VITAMIN - HA COOKIE ký ngày 10/10/2025 HĐ số 23</t>
  </si>
  <si>
    <t>Điều chỉnh giảm Doanh thu Dịch vụ quảng cáo và truyền thông cho nhãn hàng JE ROSSO theo Hợp đồng số 681211202502/HDDV/RV/KOL ký ngày 12/11/2025 và Biên bản nghiệm thu ký ngày 18/11/2025 HĐ số 24</t>
  </si>
  <si>
    <t>Điều chỉnh giảm Doanh thu Phí cung cấp dịch vụ theo biên bản nghiệm thu của hợp đồng số 28102025/HDDV/PMAX-HKDHABANHQUY ký ngày 28/10/2025 HĐ số 25</t>
  </si>
  <si>
    <t>Điều chỉnh giảm Doanh thu Dịch vụ quảng cáo và truyền thông theo Hợp đồng số HKD HBQ_ BEPLAIN_01122025 ký ngày 01/12/2025 và Biên bản nghiệm thu ký ngày 24/12/2025 HĐ số 34</t>
  </si>
  <si>
    <t>Điều chỉnh giảm Doanh thu Dịch vụ quảng cáo và truyền thông theo Hợp đồng số ANUA_SKVSKVN_01122025__@hacookie__ ký ngày 01/12/2025 HĐ số 35</t>
  </si>
  <si>
    <t>Điều chỉnh giảm Doanh thu Dịch vụ quảng cáo và truyền thông theo Hợp đồng số 18602025/HĐDV/Y&amp;B – ký ngày 01/11/2025 kèm Biên bản nghiệm thu và thanh toán số 18602025/BBNT-TT/Y&amp;B ký ngày 24/12/2025 HĐ số 36</t>
  </si>
  <si>
    <t>Điều chỉnh giảm Doanh thu Dịch vụ quảng cáo và truyền thông theo Hợp đồng số 20172025/HĐDV/Y&amp;B ký ngày 01/12/2025 kèm Biên bản nghiệm thu và thanh toán số 20172025/BBNT-TT/Y&amp;B ký ngày 24/12/2025 HĐ số 37</t>
  </si>
  <si>
    <t>Điều chỉnh giảm Doanh thu Chi phí cung cấp dịch vụ cho nhãn hàng Comfort theo hợp đồng số 1711/2025/HĐDV - PF 2/BNT - HBQ HĐ số 38</t>
  </si>
  <si>
    <t>Điều chỉnh giảm Doanh thu Dịch vụ quảng cáo và truyền thông theo Hợp đồng số 10/12/2025/Hộ Kinh Doanh Hà Bánh Quy-VERITES/HDDV ký ngày 10/12/2025 và Biên bản nghiệm thu ký ngày 24/12/2025 HĐ số 39</t>
  </si>
  <si>
    <t>Điều chỉnh giảm Doanh thu Dịch vụ quảng cáo và truyền thông theo Phụ lục 01 ký ngày 24/12/2025 của Hợp đồng số 06122025/HĐ-DVQC2025 ký ngày 19/12/2025 HĐ số 40</t>
  </si>
  <si>
    <t>Chi phí bảo hiểm tháng 2025.10</t>
  </si>
  <si>
    <t>Chi phí bảo hiểm tháng 2025.11</t>
  </si>
  <si>
    <t>Chi phí bảo hiểm tháng 2025.12</t>
  </si>
  <si>
    <t>08/10/2025</t>
  </si>
  <si>
    <t>09/10/2025</t>
  </si>
  <si>
    <t>15/10/2025</t>
  </si>
  <si>
    <t>30/10/2025</t>
  </si>
  <si>
    <t>10/11/2025</t>
  </si>
  <si>
    <t>30/11/2025</t>
  </si>
  <si>
    <t>15/12/2025</t>
  </si>
  <si>
    <t>17/12/2025</t>
  </si>
  <si>
    <t>18/12/2025</t>
  </si>
  <si>
    <t>22/12/2025</t>
  </si>
  <si>
    <t>0303490096</t>
  </si>
  <si>
    <t>0318342492</t>
  </si>
  <si>
    <t>0110115620</t>
  </si>
  <si>
    <t>0102314372</t>
  </si>
  <si>
    <t>001062003619</t>
  </si>
  <si>
    <t>0110158399</t>
  </si>
  <si>
    <t>4001290644</t>
  </si>
  <si>
    <t>4001252938</t>
  </si>
  <si>
    <t>030091002315</t>
  </si>
  <si>
    <t>0309300048-011</t>
  </si>
  <si>
    <t>5300634655-004</t>
  </si>
  <si>
    <t>Phí dịch vụ tháng 10.2025 HĐ số 46897</t>
  </si>
  <si>
    <t>Phí dịch vụ tư vấn tháng 09/2025 HĐ số 133</t>
  </si>
  <si>
    <t>Chi phí đồ dùng văn phòng HĐ số 1372</t>
  </si>
  <si>
    <t>Phí dịch vụ tư vấn tháng 10/2025 HĐ số 158</t>
  </si>
  <si>
    <t>Dịch vụ lưu trú HĐ số 29</t>
  </si>
  <si>
    <t>Phí dịch vụ tư vấn tháng 11/2025 HĐ số 190</t>
  </si>
  <si>
    <t>Chi phí đồ dùng văn phòng HĐ số 409264</t>
  </si>
  <si>
    <t>0315973108</t>
  </si>
  <si>
    <t>0318631198</t>
  </si>
  <si>
    <t>0317371758</t>
  </si>
  <si>
    <t>0318823340</t>
  </si>
  <si>
    <t>0318716846</t>
  </si>
  <si>
    <t>0317476817</t>
  </si>
  <si>
    <t>0318970313</t>
  </si>
  <si>
    <t>0318634738</t>
  </si>
  <si>
    <t>0318983023</t>
  </si>
  <si>
    <t>0313968092</t>
  </si>
  <si>
    <t>0300721002</t>
  </si>
  <si>
    <t>16/10/2025</t>
  </si>
  <si>
    <t>21/10/2025</t>
  </si>
  <si>
    <t>24/10/2025</t>
  </si>
  <si>
    <t>12/11/2025</t>
  </si>
  <si>
    <t>17/11/2025</t>
  </si>
  <si>
    <t>19/11/2025</t>
  </si>
  <si>
    <t>0318907505</t>
  </si>
  <si>
    <t>Doanh thu Dịch vụ quảng cáo và truyền thông theo Hợp đồng số MDA/20250924/1740 ngày 10/09/2024 và Biên bản nghiệm thu và thanh lý ngày 02/10/2025 HĐ số 3</t>
  </si>
  <si>
    <t>Doanh thu Dịch vụ quảng cáo và truyền thông theo Hợp đồng số T03T25HDDV-0030-0283 LUONGDO ký ngày 25/09/2025 và Biên bản nghiệm thu ký ngày 09/10/2025 HĐ số 4</t>
  </si>
  <si>
    <t>Doanh thu Dịch vụ quảng cáo và truyền thông theo Hợp đồng số 14962025/HĐDV/Y&amp;B ký ngày 30/9/2025 và Biên bản nghiệm thu số 14962025/BBNT-TT/Y&amp;B ký ngày 10/10/2025 HĐ số 5</t>
  </si>
  <si>
    <t>Doanh thu Dịch vụ quảng cáo và truyền thông theo Hợp đồng số 1808KT/TTLAPO2025-HV ký ngày 18/08/2025 (Đợt 2) và Biên bản nghiệm thu ký ngày 16/10/2025 HĐ số 6</t>
  </si>
  <si>
    <t>Doanh thu Thanh toán 100% phí dịch vụ LRP - EFFACLAR ADVOCACY Q4&amp;apos;25 - Video - Scope 1 - 1010 SOW số 24213/2025/WPP-BTL-LO ID Tiktok: im.lukedo HĐ số 7</t>
  </si>
  <si>
    <t>Doanh thu Dịch vụ quảng cáo và truyền thông theo Hợp đồng số 79-0925/HDDV/VIGO-LUONGDO ký ngày 10/09/2025 và Biên bản nghiệm thu ký ngày 24/10/2025 HĐ số 9</t>
  </si>
  <si>
    <t>Doanh thu Dịch vụ quảng cáo và truyền thông theo Hợp đồng số MDA/20251013/1903 ngày 26/09/2025 và Biên bản nghiệm thu và thanh lý ngày 31/10/2025 HĐ số 10</t>
  </si>
  <si>
    <t>Doanh thu Thanh toán 100% phí dịch vụ OAP - UV AQUA 10.25 - Video - Scope 3 - 3010 - PO 4001511251 SOW số 25673/2025/WPP-BTL-LO ID Tiktok: im.lukedo HĐ số 11</t>
  </si>
  <si>
    <t>Doanh thu Dịch vụ quảng cáo và truyền thông theo Hợp đồng số HKD ĐTL_CLEAR_09102025 ký ngày 09/10/2025 và Biên bản nghiệm thu ký ngày 12/11/2025 HĐ số 12</t>
  </si>
  <si>
    <t>Doanh thu Dịch vụ quảng cáo và truyền thông theo Hợp đồng số 16102025/HĐDV-SE-LUONGDO ký ngày 16/10/2025 kèm Biên bản nghiệm thu và thanh lý ký ngày 17/11/2025 HĐ số 13</t>
  </si>
  <si>
    <t>Doanh thu Dịch vụ quảng cáo và truyền thông theo Hợp đồng số HDDV/OLAYSCARLETxVĐxLĐ/231025 ký ngày 23/10/2025 và Biên bản nghiệm thu ký ngày 22/12/2025 HĐ số 15</t>
  </si>
  <si>
    <t>Điều chỉnh giảm Doanh thu Dịch vụ quảng cáo và truyền thông theo Hợp đồng số MDA/20250924/1740 ngày 10/09/2024 và Biên bản nghiệm thu và thanh lý ngày 02/10/2025 HĐ số 3</t>
  </si>
  <si>
    <t>Điều chỉnh giảm Doanh thu Dịch vụ quảng cáo và truyền thông theo Hợp đồng số T03T25HDDV-0030-0283 LUONGDO ký ngày 25/09/2025 và Biên bản nghiệm thu ký ngày 09/10/2025 HĐ số 4</t>
  </si>
  <si>
    <t>Điều chỉnh giảm Doanh thu Dịch vụ quảng cáo và truyền thông theo Hợp đồng số 14962025/HĐDV/Y&amp;B ký ngày 30/9/2025 và Biên bản nghiệm thu số 14962025/BBNT-TT/Y&amp;B ký ngày 10/10/2025 HĐ số 5</t>
  </si>
  <si>
    <t>Điều chỉnh giảm Doanh thu Dịch vụ quảng cáo và truyền thông theo Hợp đồng số 1808KT/TTLAPO2025-HV ký ngày 18/08/2025 (Đợt 2) và Biên bản nghiệm thu ký ngày 16/10/2025 HĐ số 6</t>
  </si>
  <si>
    <t>Điều chỉnh giảm Doanh thu Thanh toán 100% phí dịch vụ LRP - EFFACLAR ADVOCACY Q4&amp;apos;25 - Video - Scope 1 - 1010 SOW số 24213/2025/WPP-BTL-LO ID Tiktok: im.lukedo HĐ số 7</t>
  </si>
  <si>
    <t>Điều chỉnh giảm Doanh thu Dịch vụ quảng cáo và truyền thông theo Hợp đồng số 79-0925/HDDV/VIGO-LUONGDO ký ngày 10/09/2025 và Biên bản nghiệm thu ký ngày 24/10/2025 HĐ số 9</t>
  </si>
  <si>
    <t>Điều chỉnh giảm Doanh thu Dịch vụ quảng cáo và truyền thông theo Hợp đồng số MDA/20251013/1903 ngày 26/09/2025 và Biên bản nghiệm thu và thanh lý ngày 31/10/2025 HĐ số 10</t>
  </si>
  <si>
    <t>Điều chỉnh giảm Doanh thu Thanh toán 100% phí dịch vụ OAP - UV AQUA 10.25 - Video - Scope 3 - 3010 - PO 4001511251 SOW số 25673/2025/WPP-BTL-LO ID Tiktok: im.lukedo HĐ số 11</t>
  </si>
  <si>
    <t>Điều chỉnh giảm Doanh thu Dịch vụ quảng cáo và truyền thông theo Hợp đồng số HKD ĐTL_CLEAR_09102025 ký ngày 09/10/2025 và Biên bản nghiệm thu ký ngày 12/11/2025 HĐ số 12</t>
  </si>
  <si>
    <t>Điều chỉnh giảm Doanh thu Dịch vụ quảng cáo và truyền thông theo Hợp đồng số 16102025/HĐDV-SE-LUONGDO ký ngày 16/10/2025 kèm Biên bản nghiệm thu và thanh lý ký ngày 17/11/2025 HĐ số 13</t>
  </si>
  <si>
    <t>Điều chỉnh giảm Doanh thu Dịch vụ quảng cáo và truyền thông theo Hợp đồng số HDDV/OLAYSCARLETxVĐxLĐ/231025 ký ngày 23/10/2025 và Biên bản nghiệm thu ký ngày 22/12/2025 HĐ số 15</t>
  </si>
  <si>
    <t>01/10/2025</t>
  </si>
  <si>
    <t>04/10/2025</t>
  </si>
  <si>
    <t>05/10/2025</t>
  </si>
  <si>
    <t>07/10/2025</t>
  </si>
  <si>
    <t>12/10/2025</t>
  </si>
  <si>
    <t>19/10/2025</t>
  </si>
  <si>
    <t>25/10/2025</t>
  </si>
  <si>
    <t>01/11/2025</t>
  </si>
  <si>
    <t>02/11/2025</t>
  </si>
  <si>
    <t>15/11/2025</t>
  </si>
  <si>
    <t>28/11/2025</t>
  </si>
  <si>
    <t>01/12/2025</t>
  </si>
  <si>
    <t>04/12/2025</t>
  </si>
  <si>
    <t>06/12/2025</t>
  </si>
  <si>
    <t>09/12/2025</t>
  </si>
  <si>
    <t>23/12/2025</t>
  </si>
  <si>
    <t>0303172752-008</t>
  </si>
  <si>
    <t>0318997428</t>
  </si>
  <si>
    <t>0308455031</t>
  </si>
  <si>
    <t>0318782447</t>
  </si>
  <si>
    <t>0312225168-002</t>
  </si>
  <si>
    <t>Phí dịch vụ tư vấn tháng 09/2025 HĐ số 145</t>
  </si>
  <si>
    <t>Phí chuyển tiền HĐ số 1950900</t>
  </si>
  <si>
    <t>Phí dịch vụ tư vấn tháng 10/2025 HĐ số 174</t>
  </si>
  <si>
    <t>Phí chuyển tiền HĐ số 2109940</t>
  </si>
  <si>
    <t>Phí dịch vụ tư vấn tháng 11/2025 HĐ số 205</t>
  </si>
  <si>
    <t>20/10/2025</t>
  </si>
  <si>
    <t>23/10/2025</t>
  </si>
  <si>
    <t>07/11/2025</t>
  </si>
  <si>
    <t>14/11/2025</t>
  </si>
  <si>
    <t>0106857676</t>
  </si>
  <si>
    <t>Doanh thu Dịch vụ quảng cáo và truyền thông theo Hợp đồng số 1108/2025/TTS/KIEULAN/DUOCHAUGIANG ký ngày 11/08/2025 và Biên bản nghiệm thu ký ngày 02/10/2025 HĐ số 4</t>
  </si>
  <si>
    <t>Doanh thu Dịch vụ quảng cáo và truyền thông theo Phụ lục 01 ký ngày 03/09/2025 của Hợp đồng nguyên tắc số 0309/HĐNT/ADPIA-2025 ký ngày 03/09/2025 và Biên bản nghiệm thu ký ngày 07/10/2025 HĐ số 5</t>
  </si>
  <si>
    <t>Doanh thu Dịch vụ quảng cáo và truyền thông theo Hợp đồng số HKD KNL_SIMPLE_01102025 ký ngày 01/10/2025 HĐ số 6</t>
  </si>
  <si>
    <t>Doanh thu Thanh toán 100% phí dịch vụ LRP - ANTHELIOS AWO - CONTENT CREATION - SCOPE 1 - 3007 SOW số 19347/2025/WPP-BTL-LO ID Tiktok: beautytips4.0 HĐ số 7</t>
  </si>
  <si>
    <t>Doanh thu Dịch vụ quảng cáo và truyền thông theo Hợp đồng số T03T25HDDV-0039-0057 KIEULANBEAUTY ký ngày 09/10/2025 và Biên bản nghiệm thu ký ngày 20/10/2025 HĐ số 8</t>
  </si>
  <si>
    <t>Doanh thu Dịch vụ quảng cáo và truyền thông theo Hợp đồng số 1510/2025/TTS/KIEULANBEAUTY/YAMAN ký ngày 15/10/2025 và Biên bản nghiệm thu ký ngày 23/10/2025 HĐ số 9</t>
  </si>
  <si>
    <t>Doanh thu Dịch vụ quảng cáo và truyền thông theo Hợp đồng số 12/09/2025/HĐDV-SE-ANESSA-KIEULANBEAUTY ký ngày 12/09/2025 và Biên bản nghiệm thu ký ngày 27/10/2025 HĐ số 10</t>
  </si>
  <si>
    <t>Doanh thu Chi phí cung cấp dịch vụ cho nhãn hàng Ôliv theo Hợp đồng số 0210/2025/HĐDV - OLIV 4/ TAL - KNL ký ngày 02/10/2025 HĐ số 11</t>
  </si>
  <si>
    <t>Doanh thu Chi phí cung cấp dịch vụ quảng cáo và truyền thông theo Hợp đồng số PR25048/03092025/82X-UNO-KIEULANBEAUTY ký ngày 03/09/2025 và Biên bản nghiệm thu ký ngày 31/10/2025 HĐ số 12</t>
  </si>
  <si>
    <t>Doanh thu Dịch vụ quảng cáo và truyền thông theo Hợp đồng số HKD KNL_ CLEAR_09102025 ký ngày 09/10/2025 HĐ số 13</t>
  </si>
  <si>
    <t>Doanh thu Dịch vụ quảng cáo và truyền thông theo Hợp đồng số I04375Q_HDDV/HIIP-2025-16015 ký ngày 20/08/2025 và Biên bản nghiệm thu ký ngày 07/11/2025 HĐ số 14</t>
  </si>
  <si>
    <t>Doanh thu Dịch vụ quảng cáo và truyền thông theo Hợp đồng số HKD KNL_ INTERSPACE_12092025 ký ngày 12/09/2025 và Biên bản nghiệm thu ký ngày 07/11/2025 HĐ số 15</t>
  </si>
  <si>
    <t>Doanh thu Dịch vụ quảng cáo và truyền thông theo Hợp đồng số HKD KNL_ JUDYDOLL_05102025 ký ngày 05/10/2025 HĐ số 16</t>
  </si>
  <si>
    <t>Doanh thu Dịch vụ quảng cáo và truyền thông theo Hợp đồng số 251001/HDDV/BRAINAD-KNL ký ngày 01/10/2025 và Biên bản nghiệm thu ký ngày 14/11/2025 HĐ số 17</t>
  </si>
  <si>
    <t>Doanh thu Dịch vụ quảng cáo và truyền thông theo Hợp đồng số số HKD KNL_ ACNES_01092025 ký ngày 01/09/2025 và Biên bản nghiệm thu ký ngày 18/11/2025 HĐ số 18</t>
  </si>
  <si>
    <t>Doanh thu Dịch vụ quảng cáo và truyền thông theo Hợp đồng số 03112025/HĐ-BEAUTYTIPS4.0/STYLEKOREANVN ký ngày 03/11/2025 và Biên bản nghiệm thu ký ngày 18/11/2025 HĐ số 19</t>
  </si>
  <si>
    <t>Doanh thu Dịch vụ quảng cáo và truyền thông theo Hợp đồng số 1611/2025/TTS/MIXKOLS/YAMAN ký ngày 16/11/2025 và Biên bản nghiệm thu ký ngày 18/11/2025 HĐ số 20</t>
  </si>
  <si>
    <t>Doanh thu Dịch vụ quảng cáo và truyền thông theo Hợp đồng số 17112025/HDDV/MDCARE - KieuNgocLan ký ngày 17/11/2025 kèm theo biên bản nghiệm thu ngày 19/11/2025 HĐ số 21</t>
  </si>
  <si>
    <t>Doanh thu Dịch vụ quảng cáo và truyền thông theo Hợp đồng số T03MPD25HDDV-0105-0057 KIEUNGOCLAN ký ngày 22/11/2025 và Biên bản nghiệm thu ký ngày 28/11/2025 HĐ số 22</t>
  </si>
  <si>
    <t>Điều chỉnh giảm Doanh thu Dịch vụ quảng cáo và truyền thông theo Hợp đồng số 1108/2025/TTS/KIEULAN/DUOCHAUGIANG ký ngày 11/08/2025 và Biên bản nghiệm thu ký ngày 02/10/2025 HĐ số 4</t>
  </si>
  <si>
    <t>Điều chỉnh giảm Doanh thu Dịch vụ quảng cáo và truyền thông theo Phụ lục 01 ký ngày 03/09/2025 của Hợp đồng nguyên tắc số 0309/HĐNT/ADPIA-2025 ký ngày 03/09/2025 và Biên bản nghiệm thu ký ngày 07/10/2025 HĐ số 5</t>
  </si>
  <si>
    <t>Điều chỉnh giảm Doanh thu Dịch vụ quảng cáo và truyền thông theo Hợp đồng số HKD KNL_SIMPLE_01102025 ký ngày 01/10/2025 HĐ số 6</t>
  </si>
  <si>
    <t>Điều chỉnh giảm Doanh thu Thanh toán 100% phí dịch vụ LRP - ANTHELIOS AWO - CONTENT CREATION - SCOPE 1 - 3007 SOW số 19347/2025/WPP-BTL-LO ID Tiktok: beautytips4.0 HĐ số 7</t>
  </si>
  <si>
    <t>Điều chỉnh giảm Doanh thu Dịch vụ quảng cáo và truyền thông theo Hợp đồng số T03T25HDDV-0039-0057 KIEULANBEAUTY ký ngày 09/10/2025 và Biên bản nghiệm thu ký ngày 20/10/2025 HĐ số 8</t>
  </si>
  <si>
    <t>Điều chỉnh giảm Doanh thu Dịch vụ quảng cáo và truyền thông theo Hợp đồng số 1510/2025/TTS/KIEULANBEAUTY/YAMAN ký ngày 15/10/2025 và Biên bản nghiệm thu ký ngày 23/10/2025 HĐ số 9</t>
  </si>
  <si>
    <t>Điều chỉnh giảm Doanh thu Dịch vụ quảng cáo và truyền thông theo Hợp đồng số 12/09/2025/HĐDV-SE-ANESSA-KIEULANBEAUTY ký ngày 12/09/2025 và Biên bản nghiệm thu ký ngày 27/10/2025 HĐ số 10</t>
  </si>
  <si>
    <t>Điều chỉnh giảm Doanh thu Chi phí cung cấp dịch vụ cho nhãn hàng Ôliv theo Hợp đồng số 0210/2025/HĐDV - OLIV 4/ TAL - KNL ký ngày 02/10/2025 HĐ số 11</t>
  </si>
  <si>
    <t>Điều chỉnh giảm Doanh thu Chi phí cung cấp dịch vụ quảng cáo và truyền thông theo Hợp đồng số PR25048/03092025/82X-UNO-KIEULANBEAUTY ký ngày 03/09/2025 và Biên bản nghiệm thu ký ngày 31/10/2025 HĐ số 12</t>
  </si>
  <si>
    <t>Điều chỉnh giảm Doanh thu Dịch vụ quảng cáo và truyền thông theo Hợp đồng số HKD KNL_ CLEAR_09102025 ký ngày 09/10/2025 HĐ số 13</t>
  </si>
  <si>
    <t>Điều chỉnh giảm Doanh thu Dịch vụ quảng cáo và truyền thông theo Hợp đồng số I04375Q_HDDV/HIIP-2025-16015 ký ngày 20/08/2025 và Biên bản nghiệm thu ký ngày 07/11/2025 HĐ số 14</t>
  </si>
  <si>
    <t>Điều chỉnh giảm Doanh thu Dịch vụ quảng cáo và truyền thông theo Hợp đồng số HKD KNL_ INTERSPACE_12092025 ký ngày 12/09/2025 và Biên bản nghiệm thu ký ngày 07/11/2025 HĐ số 15</t>
  </si>
  <si>
    <t>Điều chỉnh giảm Doanh thu Dịch vụ quảng cáo và truyền thông theo Hợp đồng số HKD KNL_ JUDYDOLL_05102025 ký ngày 05/10/2025 HĐ số 16</t>
  </si>
  <si>
    <t>Điều chỉnh giảm Doanh thu Dịch vụ quảng cáo và truyền thông theo Hợp đồng số 251001/HDDV/BRAINAD-KNL ký ngày 01/10/2025 và Biên bản nghiệm thu ký ngày 14/11/2025 HĐ số 17</t>
  </si>
  <si>
    <t>Điều chỉnh giảm Doanh thu Dịch vụ quảng cáo và truyền thông theo Hợp đồng số số HKD KNL_ ACNES_01092025 ký ngày 01/09/2025 và Biên bản nghiệm thu ký ngày 18/11/2025 HĐ số 18</t>
  </si>
  <si>
    <t>Điều chỉnh giảm Doanh thu Dịch vụ quảng cáo và truyền thông theo Hợp đồng số 03112025/HĐ-BEAUTYTIPS4.0/STYLEKOREANVN ký ngày 03/11/2025 và Biên bản nghiệm thu ký ngày 18/11/2025 HĐ số 19</t>
  </si>
  <si>
    <t>Điều chỉnh giảm Doanh thu Dịch vụ quảng cáo và truyền thông theo Hợp đồng số 1611/2025/TTS/MIXKOLS/YAMAN ký ngày 16/11/2025 và Biên bản nghiệm thu ký ngày 18/11/2025 HĐ số 20</t>
  </si>
  <si>
    <t>Điều chỉnh giảm Doanh thu Dịch vụ quảng cáo và truyền thông theo Hợp đồng số 17112025/HDDV/MDCARE - KieuNgocLan ký ngày 17/11/2025 kèm theo biên bản nghiệm thu ngày 19/11/2025 HĐ số 21</t>
  </si>
  <si>
    <t>Điều chỉnh giảm Doanh thu Dịch vụ quảng cáo và truyền thông theo Hợp đồng số T03MPD25HDDV-0105-0057 KIEUNGOCLAN ký ngày 22/11/2025 và Biên bản nghiệm thu ký ngày 28/11/2025 HĐ số 22</t>
  </si>
  <si>
    <t>18/10/2025</t>
  </si>
  <si>
    <t>26/10/2025</t>
  </si>
  <si>
    <t>22/11/2025</t>
  </si>
  <si>
    <t>26/11/2025</t>
  </si>
  <si>
    <t>08/12/2025</t>
  </si>
  <si>
    <t>20/12/2025</t>
  </si>
  <si>
    <t>Phí dịch vụ tư vấn tháng 09/2025 HĐ số 132</t>
  </si>
  <si>
    <t>Chi phí đồ dùng văn phòng HĐ số 303911</t>
  </si>
  <si>
    <t>Chi phí đồ dùng văn phòng HĐ số 14362</t>
  </si>
  <si>
    <t>Phí dịch vụ tư vấn tháng 10/2025 HĐ số 152</t>
  </si>
  <si>
    <t>Phí dịch vụ tư vấn tháng 11/2025 HĐ số 187</t>
  </si>
  <si>
    <t>24/11/2025</t>
  </si>
  <si>
    <t>02/12/2025</t>
  </si>
  <si>
    <t>03/12/2025</t>
  </si>
  <si>
    <t>10/12/2025</t>
  </si>
  <si>
    <t>12/12/2025</t>
  </si>
  <si>
    <t>16/12/2025</t>
  </si>
  <si>
    <t>0110364095</t>
  </si>
  <si>
    <t>0317702022</t>
  </si>
  <si>
    <t>0318106103</t>
  </si>
  <si>
    <t>1101977770</t>
  </si>
  <si>
    <t>0314790140</t>
  </si>
  <si>
    <t>0313771882</t>
  </si>
  <si>
    <t>0315395489</t>
  </si>
  <si>
    <t>0110090775</t>
  </si>
  <si>
    <t>0317162546</t>
  </si>
  <si>
    <t>0319053912</t>
  </si>
  <si>
    <t>0314591956</t>
  </si>
  <si>
    <t>1801417397</t>
  </si>
  <si>
    <t>Doanh thu Dịch vụ tư vấn phát triển thương hiệu theo Hợp đồng số 300925/HĐ/LUBYLAB-HKDTTT ký ngày 30/09/2025 (Đợt 1) HĐ số 24</t>
  </si>
  <si>
    <t>Doanh thu Dịch vụ tư vấn quản lý tháng 09/2025 theo Hợp đồng số 0506/2025/HĐ/KT-HKDTTT ký ngày 05/06/2025 và Biên bản nghiệm thu ký ngày 02/10/2025 HĐ số 25</t>
  </si>
  <si>
    <t>Doanh thu Dịch vụ quảng cáo và truyền thông theo Hợp đồng số 2160-2509-HDDV-SALE-1BRAND-TAMTAITRI ký ngày 10/09/2025 và Biên bản nghiệm thu ký ngày 03/10/2025 HĐ số 27</t>
  </si>
  <si>
    <t>Doanh thu Dịch vụ Đào tạo hướng dẫn về R&amp;D và bán hàng gia công sản xuất mỹ phẩm theo Hợp đồng số 031025/HĐ/KT-ASTRACOS ký ngày 03/10/2025 và Biên bản nghiệm thu ký ngày 04/10/2025 HĐ số 28</t>
  </si>
  <si>
    <t>Doanh thu Dịch vụ quản lý chiến dịch Mega Livestream theo Hợp đồng số 01120/HDDV – OM X HỘ KINH DOANH TÂM TÀI TRÍ ký ngày 09/10/2025 và Biên bản nghiệm thu ký ngày 27/10/2025 HĐ số 29</t>
  </si>
  <si>
    <t>Doanh thu Điều chỉnh nội dung từ &amp;quot;Dịch vụ quản lý chiến dịch Mega Livestream theo Hợp đồng số 01120/HDDV – OM X HỘ KINH DOANH TÂM TÀI TRÍ ký ngày 09/10/2025 và Biên bản nghiệm thu ký ngày 27/10/2025&amp;quot; thành &amp;quot;Phí dịch vụ quản lý theo theo Hợp đồng số 01120/HDDV – OM X HỘ KINH DOANH TÂM TÀI TRÍ ký ngày 09/10/2025 và Biên bản nghiệm thu ký ngày 27/10/2025&amp;quot; HĐ số 30</t>
  </si>
  <si>
    <t>Doanh thu Dịch vụ tư vấn quản lý tháng 10/2025 theo Hợp đồng số 0506/2025/HĐ/KT-HKDTTT ký ngày 05/06/2025 và Biên bản nghiệm thu ký ngày 04/11/2025 HĐ số 31</t>
  </si>
  <si>
    <t>Doanh thu Dịch vụ tư vấn quản lý tháng 10/2025 theo Hợp đồng số 03/2025/HĐ/KT-GEMARI ký ngày 04/06/2025 HĐ số 32</t>
  </si>
  <si>
    <t>Doanh thu Dịch vụ quảng cáo và truyền thông theo Hợp đồng số 301025/HARNN-MORANH ký ngày 30/10/2025 và Biên bản nghiệm thu ký ngày 11/11/2025 HĐ số 33</t>
  </si>
  <si>
    <t>Doanh thu Dịch vụ tư vấn phát triển thương hiệu theo hợp đồng số 01102025/HĐ/WEILAIYA-HKDTTT ký ngày 01/10/2025 HĐ số 34</t>
  </si>
  <si>
    <t>Doanh thu Dịch vụ tư vấn quản lý tháng 11/2025 theo Hợp đồng số 03/2025/HĐ/KT-GEMARI ký ngày 04/06/2025 HĐ số 35</t>
  </si>
  <si>
    <t>Doanh thu Dịch vụ quảng cáo và truyền thông theo Hợp đồng số 04112025/HDDV/D&amp;DxHKDTTT ký ngày 04/11/2025 HĐ số 36</t>
  </si>
  <si>
    <t>Doanh thu Dịch vụ quản lý chất lượng video cho hoạt động quảng bá sản phẩm “Beta &amp; Vitamin B5 Serum” theo Hợp đồng số QC1010/2025/HĐQC/LPCOS - HKD TÂM TÀI TRÍ ký ngày 10/10/2025 và Biên bản nghiệm thu ký ngày 26/11/2025 HĐ số 37</t>
  </si>
  <si>
    <t>Doanh thu Phí dịch vụ quản lý chiến dịch Unbox 10/2025 theo Hợp đồng số 0110/2025/HDDV – EZS X HKD TÂM TÀI TRÍ ký ngày 01/10/2025 và Biên bản nghiệm thu ký ngày 28/11/2025 HĐ số 38</t>
  </si>
  <si>
    <t>Doanh thu Dịch vụ tư vấn quản lý tháng 11/2025 theo Hợp đồng số 0506/2025/HĐ/KT-HKDTTT ký ngày 05/06/2025 và Biên bản nghiệm thu ký ngày 01/12/2025 HĐ số 39</t>
  </si>
  <si>
    <t>Doanh thu Điều chỉnh từ &amp;quot;Phí dịch vụ quản lý chiến dịch Unbox 10/2025 theo Hợp đồng số 0110/2025/HDDV–EZS X HKD TÂM TÀI TRÍ ký ngày 01/10/2025 và Biên bản nghiệm thu ký ngày 28/11/2025&amp;quot; thành &amp;quot;Phí dịch vụ quản lý chiến dịch Unbox 10/2025 theo Hợp đồng số 0110/2025/HDDV – EZS X HKD TÂM TÀI TRÍ ký ngày 01/10/2025 kèm Biên bản nghiệm thu và thanh lý hợp đồng số 0110/2025/BBNT–EZS X HKD TÂM TÀI TRÍ ký ngày 28/11/2025&amp;quot; HĐ số 40</t>
  </si>
  <si>
    <t>Doanh thu Dịch vụ quảng cáo và truyền thông theo Hợp đồng số 18342025/HĐDV/Y&amp;B ký ngày 01/11/2025 HĐ số 41</t>
  </si>
  <si>
    <t>Doanh thu Phí dịch vụ quản lý Megalive 11.11 theo Hợp đồng số 0811/2025/HDDV - EZS X HKS TÂM TÀI TRÍ ký ngày 08/11/2025 kèm BBNT và TLHĐ số 0811/2025/BBNT - EZS X HKD TÂM TÀI TRÍ ký ngày 02/12/2025 HĐ số 42</t>
  </si>
  <si>
    <t>Doanh thu Dịch vụ quảng cáo và truyền thông theo Hợp đồng số 3075-2511-HDDV-SALE-1BRAND-TAMTAITRI ký ngày 21/11/2025 và Biên bản nghiệm thu ký ngày 03/12/2025 HĐ số 43</t>
  </si>
  <si>
    <t>Doanh thu Phí dịch vụ quản lý chiến dịch Unbox 11/2025 theo Hợp đồng số 1011/2025/HDDV – EZS X HKD TÂM TÀI TRÍ ký ngày 10/11/2025 kèm Biên bản nghiệm thu và thanh lý hợp đồng số 1011/2025/BBNT – EZS X HKD TÂM TÀI TRÍ ký ngày 10/12/2025 HĐ số 45</t>
  </si>
  <si>
    <t>Doanh thu Dịch vụ tư vấn phát triển thương hiệu theo Hợp đồng số 04122525/T&amp;C-PAROS ký ngày 05/12/2025 HĐ số 46</t>
  </si>
  <si>
    <t>Doanh thu Dịch vụ tư vấn quản lý tháng 12/2025 theo Hợp đồng số 03/2025/HĐ/KT-GEMARI ký ngày 04/06/2025 HĐ số 49</t>
  </si>
  <si>
    <t>Doanh thu Phí dịch vụ quản lý theo Hợp đồng số 0812/2025/HDDV – EZS X HKD TÂM TÀI TRÍ ký ngày 08/12/2025 kèm Biên bản nghiệm thu và thanh lý số 0812/2025/BBNT – EZS X HKD TÂM TÀI TRÍ ký ngày 22/12/2025 HĐ số 50</t>
  </si>
  <si>
    <t>Doanh thu Dịch vụ quảng cáo và truyền thông theo Hợp đồng số 04122025/HDDV/DST-TAMTAITRI ký ngày 04/12/2025 kèm Biên bản nghiệm thu và thanh lý hợp đồng ký ngày 24/12/2025 HĐ số 51</t>
  </si>
  <si>
    <t>Điều chỉnh giảm Doanh thu Dịch vụ tư vấn phát triển thương hiệu theo Hợp đồng số 300925/HĐ/LUBYLAB-HKDTTT ký ngày 30/09/2025 (Đợt 1) HĐ số 24</t>
  </si>
  <si>
    <t>Điều chỉnh giảm Doanh thu Dịch vụ tư vấn quản lý tháng 09/2025 theo Hợp đồng số 0506/2025/HĐ/KT-HKDTTT ký ngày 05/06/2025 và Biên bản nghiệm thu ký ngày 02/10/2025 HĐ số 25</t>
  </si>
  <si>
    <t>Điều chỉnh giảm Doanh thu Dịch vụ quảng cáo và truyền thông theo Hợp đồng số 2160-2509-HDDV-SALE-1BRAND-TAMTAITRI ký ngày 10/09/2025 và Biên bản nghiệm thu ký ngày 03/10/2025 HĐ số 27</t>
  </si>
  <si>
    <t>Điều chỉnh giảm Doanh thu Dịch vụ Đào tạo hướng dẫn về R&amp;D và bán hàng gia công sản xuất mỹ phẩm theo Hợp đồng số 031025/HĐ/KT-ASTRACOS ký ngày 03/10/2025 và Biên bản nghiệm thu ký ngày 04/10/2025 HĐ số 28</t>
  </si>
  <si>
    <t>Điều chỉnh giảm Doanh thu Dịch vụ quản lý chiến dịch Mega Livestream theo Hợp đồng số 01120/HDDV – OM X HỘ KINH DOANH TÂM TÀI TRÍ ký ngày 09/10/2025 và Biên bản nghiệm thu ký ngày 27/10/2025 HĐ số 29</t>
  </si>
  <si>
    <t>Điều chỉnh giảm Doanh thu Điều chỉnh nội dung từ &amp;quot;Dịch vụ quản lý chiến dịch Mega Livestream theo Hợp đồng số 01120/HDDV – OM X HỘ KINH DOANH TÂM TÀI TRÍ ký ngày 09/10/2025 và Biên bản nghiệm thu ký ngày 27/10/2025&amp;quot; thành &amp;quot;Phí dịch vụ quản lý theo theo Hợp đồng số 01120/HDDV – OM X HỘ KINH DOANH TÂM TÀI TRÍ ký ngày 09/10/2025 và Biên bản nghiệm thu ký ngày 27/10/2025&amp;quot; HĐ số 30</t>
  </si>
  <si>
    <t>Điều chỉnh giảm Doanh thu Dịch vụ tư vấn quản lý tháng 10/2025 theo Hợp đồng số 0506/2025/HĐ/KT-HKDTTT ký ngày 05/06/2025 và Biên bản nghiệm thu ký ngày 04/11/2025 HĐ số 31</t>
  </si>
  <si>
    <t>Điều chỉnh giảm Doanh thu Dịch vụ tư vấn quản lý tháng 10/2025 theo Hợp đồng số 03/2025/HĐ/KT-GEMARI ký ngày 04/06/2025 HĐ số 32</t>
  </si>
  <si>
    <t>Điều chỉnh giảm Doanh thu Dịch vụ quảng cáo và truyền thông theo Hợp đồng số 301025/HARNN-MORANH ký ngày 30/10/2025 và Biên bản nghiệm thu ký ngày 11/11/2025 HĐ số 33</t>
  </si>
  <si>
    <t>Điều chỉnh giảm Doanh thu Dịch vụ tư vấn phát triển thương hiệu theo hợp đồng số 01102025/HĐ/WEILAIYA-HKDTTT ký ngày 01/10/2025 HĐ số 34</t>
  </si>
  <si>
    <t>Điều chỉnh giảm Doanh thu Dịch vụ tư vấn quản lý tháng 11/2025 theo Hợp đồng số 03/2025/HĐ/KT-GEMARI ký ngày 04/06/2025 HĐ số 35</t>
  </si>
  <si>
    <t>Điều chỉnh giảm Doanh thu Dịch vụ quảng cáo và truyền thông theo Hợp đồng số 04112025/HDDV/D&amp;DxHKDTTT ký ngày 04/11/2025 HĐ số 36</t>
  </si>
  <si>
    <t>Điều chỉnh giảm Doanh thu Dịch vụ quản lý chất lượng video cho hoạt động quảng bá sản phẩm “Beta &amp; Vitamin B5 Serum” theo Hợp đồng số QC1010/2025/HĐQC/LPCOS - HKD TÂM TÀI TRÍ ký ngày 10/10/2025 và Biên bản nghiệm thu ký ngày 26/11/2025 HĐ số 37</t>
  </si>
  <si>
    <t>Điều chỉnh giảm Doanh thu Phí dịch vụ quản lý chiến dịch Unbox 10/2025 theo Hợp đồng số 0110/2025/HDDV – EZS X HKD TÂM TÀI TRÍ ký ngày 01/10/2025 và Biên bản nghiệm thu ký ngày 28/11/2025 HĐ số 38</t>
  </si>
  <si>
    <t>Điều chỉnh giảm Doanh thu Dịch vụ tư vấn quản lý tháng 11/2025 theo Hợp đồng số 0506/2025/HĐ/KT-HKDTTT ký ngày 05/06/2025 và Biên bản nghiệm thu ký ngày 01/12/2025 HĐ số 39</t>
  </si>
  <si>
    <t>Điều chỉnh giảm Doanh thu Điều chỉnh từ &amp;quot;Phí dịch vụ quản lý chiến dịch Unbox 10/2025 theo Hợp đồng số 0110/2025/HDDV–EZS X HKD TÂM TÀI TRÍ ký ngày 01/10/2025 và Biên bản nghiệm thu ký ngày 28/11/2025&amp;quot; thành &amp;quot;Phí dịch vụ quản lý chiến dịch Unbox 10/2025 theo Hợp đồng số 0110/2025/HDDV – EZS X HKD TÂM TÀI TRÍ ký ngày 01/10/2025 kèm Biên bản nghiệm thu và thanh lý hợp đồng số 0110/2025/BBNT–EZS X HKD TÂM TÀI TRÍ ký ngày 28/11/2025&amp;quot; HĐ số 40</t>
  </si>
  <si>
    <t>Điều chỉnh giảm Doanh thu Dịch vụ quảng cáo và truyền thông theo Hợp đồng số 18342025/HĐDV/Y&amp;B ký ngày 01/11/2025 HĐ số 41</t>
  </si>
  <si>
    <t>Điều chỉnh giảm Doanh thu Phí dịch vụ quản lý Megalive 11.11 theo Hợp đồng số 0811/2025/HDDV - EZS X HKS TÂM TÀI TRÍ ký ngày 08/11/2025 kèm BBNT và TLHĐ số 0811/2025/BBNT - EZS X HKD TÂM TÀI TRÍ ký ngày 02/12/2025 HĐ số 42</t>
  </si>
  <si>
    <t>Điều chỉnh giảm Doanh thu Dịch vụ quảng cáo và truyền thông theo Hợp đồng số 3075-2511-HDDV-SALE-1BRAND-TAMTAITRI ký ngày 21/11/2025 và Biên bản nghiệm thu ký ngày 03/12/2025 HĐ số 43</t>
  </si>
  <si>
    <t>Điều chỉnh giảm Doanh thu Phí dịch vụ quản lý chiến dịch Unbox 11/2025 theo Hợp đồng số 1011/2025/HDDV – EZS X HKD TÂM TÀI TRÍ ký ngày 10/11/2025 kèm Biên bản nghiệm thu và thanh lý hợp đồng số 1011/2025/BBNT – EZS X HKD TÂM TÀI TRÍ ký ngày 10/12/2025 HĐ số 45</t>
  </si>
  <si>
    <t>Điều chỉnh giảm Doanh thu Dịch vụ tư vấn phát triển thương hiệu theo Hợp đồng số 04122525/T&amp;C-PAROS ký ngày 05/12/2025 HĐ số 46</t>
  </si>
  <si>
    <t>Điều chỉnh giảm Doanh thu Dịch vụ tư vấn quản lý tháng 12/2025 theo Hợp đồng số 03/2025/HĐ/KT-GEMARI ký ngày 04/06/2025 HĐ số 49</t>
  </si>
  <si>
    <t>Điều chỉnh giảm Doanh thu Phí dịch vụ quản lý theo Hợp đồng số 0812/2025/HDDV – EZS X HKD TÂM TÀI TRÍ ký ngày 08/12/2025 kèm Biên bản nghiệm thu và thanh lý số 0812/2025/BBNT – EZS X HKD TÂM TÀI TRÍ ký ngày 22/12/2025 HĐ số 50</t>
  </si>
  <si>
    <t>Điều chỉnh giảm Doanh thu Dịch vụ quảng cáo và truyền thông theo Hợp đồng số 04122025/HDDV/DST-TAMTAITRI ký ngày 04/12/2025 kèm Biên bản nghiệm thu và thanh lý hợp đồng ký ngày 24/12/2025 HĐ số 51</t>
  </si>
  <si>
    <t>29/11/2025</t>
  </si>
  <si>
    <t>11/12/2025</t>
  </si>
  <si>
    <t>Phí dịch vụ Affiliate 09/2025_17364280326 HĐ số 932561</t>
  </si>
  <si>
    <t>Phí duy trì Google Workspace Business Starter integ.vn (1 năm) - 5 License HĐ số 90525</t>
  </si>
  <si>
    <t>Phí dịch vụ Affiliate 10/2025_17364280326 HĐ số 1644028</t>
  </si>
  <si>
    <t>Phí dịch vụ tư vấn tháng 10/2025 HĐ số 179</t>
  </si>
  <si>
    <t>Phí dịch vụ Affiliate 11/2025_17364280326 HĐ số 1132648</t>
  </si>
  <si>
    <t>Phí dịch vụ tư vấn tháng 10/2025 HĐ số 208</t>
  </si>
  <si>
    <t>0108890622</t>
  </si>
  <si>
    <t>Phí dịch vụ tư vấn tháng 09/2025 HĐ số 150</t>
  </si>
  <si>
    <t>Dịch vụ duy trì tài khoản quản trị .vn integ.vn (2 năm) HĐ số 90527</t>
  </si>
  <si>
    <t>22/10/2025</t>
  </si>
  <si>
    <t>08/11/2025</t>
  </si>
  <si>
    <t>20/11/2025</t>
  </si>
  <si>
    <t>27/11/2025</t>
  </si>
  <si>
    <t>19/12/2025</t>
  </si>
  <si>
    <t>25/12/2025</t>
  </si>
  <si>
    <t>0110173291</t>
  </si>
  <si>
    <t>0109685231</t>
  </si>
  <si>
    <t>0317902102</t>
  </si>
  <si>
    <t>Doanh thu Dịch vụ quảng cáo và truyền thông theo Hợp đồng dịch vụ ký ngày 03/10/2025 và Biên bản nghiệm thu ký ngày 06/10/2025 HĐ số 10</t>
  </si>
  <si>
    <t>Doanh thu Dịch vụ quảng cáo và truyền thông theo Hợp đồng số 250916/HDDV/BRAINAD-LUONGLEE/TTH ký ngày 16/09/2025 và Biên bản nghiệm thu ký ngày 07/10/2025 HĐ số 11</t>
  </si>
  <si>
    <t>Doanh thu Dịch vụ quảng cáo và truyền thông theo Hợp đồng số HKD LUONGLEE_ GARNIER_ON_TOP_01102025 ký ngày 01/10/2025 và Biên bản nghiệm thu ký ngày 16/10/2025 HĐ số 12</t>
  </si>
  <si>
    <t>Doanh thu Dịch vụ quảng cáo và truyền thông theo Hợp đồng số 251001/HDDV/BRAINAD-LUONGLEE ký ngày 01/10/2025 và Biên bản nghiệm thu ký ngày 21/10/2025 HĐ số 13</t>
  </si>
  <si>
    <t>Doanh thu Dịch vụ quảng cáo và truyền thông theo Hợp đồng số 0725/VULACIxluonglee1404/UNILEVER ký ngày 27/07/2025 và Biên bản nghiệm thu ký ngày 22/10/2025 HĐ số 14</t>
  </si>
  <si>
    <t>Doanh thu Dịch vụ quảng cáo và truyền thông theo Hợp đồng số 2309/HDDV/TCELL-LUONGLEE ký ngày 23/09/2025 và Biên bản nghiệm thu ký ngày 22/10/2025 HĐ số 15</t>
  </si>
  <si>
    <t>Doanh thu Dịch vụ quảng cáo và truyền thông theo Hợp đồng số 20250908/AHOHWA x LUONGLEE ký ngày 08/09/2025 và Biên bản nghiệm thu ký ngày 08/11/2025 HĐ số 16</t>
  </si>
  <si>
    <t>Doanh thu Dịch vụ quảng cáo và truyền thông theo Hợp đồng số HDDV/PANTENExVĐxHKDLL/171025 ký ngày 17/10/2025 và Biên bản nghiệm thu ký ngày 10/11/2025 HĐ số 17</t>
  </si>
  <si>
    <t>Doanh thu Dịch vụ quảng cáo và truyền thông theo Hợp đồng số 03-251110/HĐTT/EAC-LUONGLEE ký ngày 10/11/2025 HĐ số 18</t>
  </si>
  <si>
    <t>Doanh thu Dịch vụ quảng cáo và truyền thông theo Hợp đồng số 17112025/HDDV/MDCARE - LeThiLuong ký ngày 17/11/2025 và Biên bản nghiệm thu ký ngày 19/11/2025 HĐ số 19</t>
  </si>
  <si>
    <t>Doanh thu Dịch vụ quảng cáo và truyền thông theo Hợp đồng số 01112025HDDVLUONGLEECELIMAX ký ngày 01/11/2025 và Biên bản nghiệm thu ký ngày 20/11/2025 HĐ số 20</t>
  </si>
  <si>
    <t>Doanh thu Dịch vụ quảng cáo và truyền thông theo Hợp đồng số 2710/HDDV/TCELL-LUONGLEE ký ngày 27/10/2025 và Biên bản nghiệm thu ký ngày 27/11/2025 HĐ số 21</t>
  </si>
  <si>
    <t>Doanh thu Dịch vụ quảng cáo và truyền thông theo Hợp đồng số T06MPD25HDDV-0071-1919 LUONGLEE ký ngày 07/11/2025 và Biên bản nghiệm thu ký ngày 27/11/2025 HĐ số 22</t>
  </si>
  <si>
    <t>Doanh thu Dịch vụ quảng cáo và truyền thông theo Hợp đồng số 20251201/AHOHWA x LUONGLEE ký ngày 01/12/2025 và Biên bản nghiệm thu ký ngày 19/12/2025 HĐ số 23</t>
  </si>
  <si>
    <t>Doanh thu Dịch vụ quảng cáo và truyền thông theo Hợp đồng số 1025/VULACIxluonglee1404/BlancNature ký ngày 29/10/2025 và Biên bản nghiệm thu ký ngày 19/12/2025 HĐ số 24</t>
  </si>
  <si>
    <t>Doanh thu Dịch vụ quảng cáo và truyền thông cho nhãn hàng MURAD theo Hợp đồng số 682709202503/HDDV/RV/KOL ký ngày 27/09/2025 và Biên bản nghiệm thu ký ngày 22/12/2025 HĐ số 25</t>
  </si>
  <si>
    <t>Doanh thu Dịch vụ quảng cáo và truyền thông cho nhãn hàng GEMO theo Hợp đồng số 681111202508/HDDV/RV/KOL ký ngày 11/11/2025 và Biên bản nghiệm thu ký ngày 23/12/2025 HĐ số 26</t>
  </si>
  <si>
    <t>Doanh thu Dịch vụ quảng cáo và truyền thông theo Hợp đồng số 01- 1211/2025/HĐDV/MKG-LUONGLEE ký ngày 12/11/2025 và Biên bản nghiệm thu ký ngày 25/12/2025 HĐ số 27</t>
  </si>
  <si>
    <t>Điều chỉnh giảm Doanh thu Dịch vụ quảng cáo và truyền thông theo Hợp đồng dịch vụ ký ngày 03/10/2025 và Biên bản nghiệm thu ký ngày 06/10/2025 HĐ số 10</t>
  </si>
  <si>
    <t>Điều chỉnh giảm Doanh thu Dịch vụ quảng cáo và truyền thông theo Hợp đồng số 250916/HDDV/BRAINAD-LUONGLEE/TTH ký ngày 16/09/2025 và Biên bản nghiệm thu ký ngày 07/10/2025 HĐ số 11</t>
  </si>
  <si>
    <t>Điều chỉnh giảm Doanh thu Dịch vụ quảng cáo và truyền thông theo Hợp đồng số HKD LUONGLEE_ GARNIER_ON_TOP_01102025 ký ngày 01/10/2025 và Biên bản nghiệm thu ký ngày 16/10/2025 HĐ số 12</t>
  </si>
  <si>
    <t>Điều chỉnh giảm Doanh thu Dịch vụ quảng cáo và truyền thông theo Hợp đồng số 251001/HDDV/BRAINAD-LUONGLEE ký ngày 01/10/2025 và Biên bản nghiệm thu ký ngày 21/10/2025 HĐ số 13</t>
  </si>
  <si>
    <t>Điều chỉnh giảm Doanh thu Dịch vụ quảng cáo và truyền thông theo Hợp đồng số 0725/VULACIxluonglee1404/UNILEVER ký ngày 27/07/2025 và Biên bản nghiệm thu ký ngày 22/10/2025 HĐ số 14</t>
  </si>
  <si>
    <t>Điều chỉnh giảm Doanh thu Dịch vụ quảng cáo và truyền thông theo Hợp đồng số 2309/HDDV/TCELL-LUONGLEE ký ngày 23/09/2025 và Biên bản nghiệm thu ký ngày 22/10/2025 HĐ số 15</t>
  </si>
  <si>
    <t>Điều chỉnh giảm Doanh thu Dịch vụ quảng cáo và truyền thông theo Hợp đồng số 20250908/AHOHWA x LUONGLEE ký ngày 08/09/2025 và Biên bản nghiệm thu ký ngày 08/11/2025 HĐ số 16</t>
  </si>
  <si>
    <t>Điều chỉnh giảm Doanh thu Dịch vụ quảng cáo và truyền thông theo Hợp đồng số HDDV/PANTENExVĐxHKDLL/171025 ký ngày 17/10/2025 và Biên bản nghiệm thu ký ngày 10/11/2025 HĐ số 17</t>
  </si>
  <si>
    <t>Điều chỉnh giảm Doanh thu Dịch vụ quảng cáo và truyền thông theo Hợp đồng số 03-251110/HĐTT/EAC-LUONGLEE ký ngày 10/11/2025 HĐ số 18</t>
  </si>
  <si>
    <t>Điều chỉnh giảm Doanh thu Dịch vụ quảng cáo và truyền thông theo Hợp đồng số 17112025/HDDV/MDCARE - LeThiLuong ký ngày 17/11/2025 và Biên bản nghiệm thu ký ngày 19/11/2025 HĐ số 19</t>
  </si>
  <si>
    <t>Điều chỉnh giảm Doanh thu Dịch vụ quảng cáo và truyền thông theo Hợp đồng số 01112025HDDVLUONGLEECELIMAX ký ngày 01/11/2025 và Biên bản nghiệm thu ký ngày 20/11/2025 HĐ số 20</t>
  </si>
  <si>
    <t>Điều chỉnh giảm Doanh thu Dịch vụ quảng cáo và truyền thông theo Hợp đồng số 2710/HDDV/TCELL-LUONGLEE ký ngày 27/10/2025 và Biên bản nghiệm thu ký ngày 27/11/2025 HĐ số 21</t>
  </si>
  <si>
    <t>Điều chỉnh giảm Doanh thu Dịch vụ quảng cáo và truyền thông theo Hợp đồng số T06MPD25HDDV-0071-1919 LUONGLEE ký ngày 07/11/2025 và Biên bản nghiệm thu ký ngày 27/11/2025 HĐ số 22</t>
  </si>
  <si>
    <t>Điều chỉnh giảm Doanh thu Dịch vụ quảng cáo và truyền thông theo Hợp đồng số 20251201/AHOHWA x LUONGLEE ký ngày 01/12/2025 và Biên bản nghiệm thu ký ngày 19/12/2025 HĐ số 23</t>
  </si>
  <si>
    <t>Điều chỉnh giảm Doanh thu Dịch vụ quảng cáo và truyền thông theo Hợp đồng số 1025/VULACIxluonglee1404/BlancNature ký ngày 29/10/2025 và Biên bản nghiệm thu ký ngày 19/12/2025 HĐ số 24</t>
  </si>
  <si>
    <t>Điều chỉnh giảm Doanh thu Dịch vụ quảng cáo và truyền thông cho nhãn hàng MURAD theo Hợp đồng số 682709202503/HDDV/RV/KOL ký ngày 27/09/2025 và Biên bản nghiệm thu ký ngày 22/12/2025 HĐ số 25</t>
  </si>
  <si>
    <t>Điều chỉnh giảm Doanh thu Dịch vụ quảng cáo và truyền thông cho nhãn hàng GEMO theo Hợp đồng số 681111202508/HDDV/RV/KOL ký ngày 11/11/2025 và Biên bản nghiệm thu ký ngày 23/12/2025 HĐ số 26</t>
  </si>
  <si>
    <t>Điều chỉnh giảm Doanh thu Dịch vụ quảng cáo và truyền thông theo Hợp đồng số 01- 1211/2025/HĐDV/MKG-LUONGLEE ký ngày 12/11/2025 và Biên bản nghiệm thu ký ngày 25/12/2025 HĐ số 27</t>
  </si>
  <si>
    <t>Phí dịch vụ tư vấn tháng 09/2025 HĐ số 170</t>
  </si>
  <si>
    <t>Phí dịch vụ tư vấn tháng 10/2025 HĐ số 171</t>
  </si>
  <si>
    <t>Phí dịch vụ tư vấn tháng 11/2025 HĐ số 206</t>
  </si>
  <si>
    <t>Phí ngân hàng HĐ số 888041</t>
  </si>
  <si>
    <t>Phí ngân hàng HĐ số 721350</t>
  </si>
  <si>
    <t>Phí ngân hàng HĐ số 888047</t>
  </si>
  <si>
    <t>Phí ngân hàng HĐ số 316148</t>
  </si>
  <si>
    <t>Phí ngân hàng HĐ số 316149</t>
  </si>
  <si>
    <t>28/10/2025</t>
  </si>
  <si>
    <t>2902185433</t>
  </si>
  <si>
    <t>0106090469</t>
  </si>
  <si>
    <t>Doanh thu Dịch vụ quảng cáo và truyền thông theo Hợp đồng số 02102025.HDDV.SPARKLE.HUYNHTHUYEN ký ngày 02/10/2025 và Biên bản nghiệm thu ký ngày 14/10/2025 HĐ số 3</t>
  </si>
  <si>
    <t>Doanh thu Dịch vụ quảng cáo và truyền thông theo Hợp đồng số 01102025_HĐDV-HUNGTHINH-HUYNHTHUYEN ký ngày 01/10/2025 kèm Biên bản nghiệm thu và thanh lý ký ngày 28/10/2025 HĐ số 4</t>
  </si>
  <si>
    <t>Doanh thu Dịch vụ quảng cáo và truyền thông theo Hợp đồng số 84-1025/HDDV/VIGO-HUYNHTHUYEN ký ngày 01/10/2025 và Biên bản nghiệm thu ký ngày 31/10/2025 HĐ số 5</t>
  </si>
  <si>
    <t>Doanh thu Dịch vụ quảng cáo và truyền thông theo Hợp đồng số 11/2025/HĐ-MKT ký ngày 05/11/2025 HĐ số 6</t>
  </si>
  <si>
    <t>Doanh thu Dịch vụ quảng cáo và truyền thông theo Hợp đồng số 20251021/HEIDILAND x HKD HUYNH THUYEN ký ngày 21/10/2025 và Biên bản nghiệm thu ký ngày 17/11/2025 HĐ số 7</t>
  </si>
  <si>
    <t>Doanh thu Dịch vụ quảng cáo và truyền thông theo Hợp đồng số 86-1125/HDDV/VIGO-HUYNHTHUYEN ký ngày 01/11/2025 và Biên bản nghiệm thu ký ngày 10/12/2025 HĐ số 9</t>
  </si>
  <si>
    <t>Doanh thu Thanh toán 100% phí dịch vụ LRP - KOL Booking fee_Eff Advocacy Q4 - Video - Scope 1 - 3012- AWO SOW số 31030/2025/WPP-BTL-LO ID Tiktok: thuyen_huynh HĐ số 10</t>
  </si>
  <si>
    <t>Doanh thu Dịch vụ quảng cáo và truyền thông theo Hợp đồng số 11/2025/HĐ-MKT ký ngày 05/11/2025 HĐ số 11</t>
  </si>
  <si>
    <t>Điều chỉnh giảm Doanh thu Dịch vụ quảng cáo và truyền thông theo Hợp đồng số 02102025.HDDV.SPARKLE.HUYNHTHUYEN ký ngày 02/10/2025 và Biên bản nghiệm thu ký ngày 14/10/2025 HĐ số 3</t>
  </si>
  <si>
    <t>Điều chỉnh giảm Doanh thu Dịch vụ quảng cáo và truyền thông theo Hợp đồng số 01102025_HĐDV-HUNGTHINH-HUYNHTHUYEN ký ngày 01/10/2025 kèm Biên bản nghiệm thu và thanh lý ký ngày 28/10/2025 HĐ số 4</t>
  </si>
  <si>
    <t>Điều chỉnh giảm Doanh thu Dịch vụ quảng cáo và truyền thông theo Hợp đồng số 84-1025/HDDV/VIGO-HUYNHTHUYEN ký ngày 01/10/2025 và Biên bản nghiệm thu ký ngày 31/10/2025 HĐ số 5</t>
  </si>
  <si>
    <t>Điều chỉnh giảm Doanh thu Dịch vụ quảng cáo và truyền thông theo Hợp đồng số 11/2025/HĐ-MKT ký ngày 05/11/2025 HĐ số 6</t>
  </si>
  <si>
    <t>Điều chỉnh giảm Doanh thu Dịch vụ quảng cáo và truyền thông theo Hợp đồng số 20251021/HEIDILAND x HKD HUYNH THUYEN ký ngày 21/10/2025 và Biên bản nghiệm thu ký ngày 17/11/2025 HĐ số 7</t>
  </si>
  <si>
    <t>Điều chỉnh giảm Doanh thu Dịch vụ quảng cáo và truyền thông theo Hợp đồng số 86-1125/HDDV/VIGO-HUYNHTHUYEN ký ngày 01/11/2025 và Biên bản nghiệm thu ký ngày 10/12/2025 HĐ số 9</t>
  </si>
  <si>
    <t>Điều chỉnh giảm Doanh thu Thanh toán 100% phí dịch vụ LRP - KOL Booking fee_Eff Advocacy Q4 - Video - Scope 1 - 3012- AWO SOW số 31030/2025/WPP-BTL-LO ID Tiktok: thuyen_huynh HĐ số 10</t>
  </si>
  <si>
    <t>Điều chỉnh giảm Doanh thu Dịch vụ quảng cáo và truyền thông theo Hợp đồng số 11/2025/HĐ-MKT ký ngày 05/11/2025 HĐ số 11</t>
  </si>
  <si>
    <t>09/11/2025</t>
  </si>
  <si>
    <t>07/12/2025</t>
  </si>
  <si>
    <t>0314922220</t>
  </si>
  <si>
    <t>0315304731</t>
  </si>
  <si>
    <t>0303710489</t>
  </si>
  <si>
    <t>8514468947</t>
  </si>
  <si>
    <t>Phí dịch vụ tư vấn tháng 09/2025 HĐ số 141</t>
  </si>
  <si>
    <t>Phí dịch vụ tư vấn tháng 10/2025 HĐ số 177</t>
  </si>
  <si>
    <t>Phí dịch vụ tư vấn tháng 11/2025 HĐ số 202</t>
  </si>
  <si>
    <t>Phí ngân hàng HĐ số 578541</t>
  </si>
  <si>
    <t>Phí ngân hàng HĐ số 579270</t>
  </si>
  <si>
    <t>Phí ngân hàng HĐ số 724082</t>
  </si>
  <si>
    <t>Phí ngân hàng HĐ số 724363</t>
  </si>
  <si>
    <t>Chi phí đồ dùng văn phòng HĐ số 287396</t>
  </si>
  <si>
    <t>Chi phí đồ dùng văn phòng HĐ số 287397</t>
  </si>
  <si>
    <t>Chi phí đồ dùng văn phòng HĐ số 860006</t>
  </si>
  <si>
    <t>Chi phí đồ dùng văn phòng HĐ số 75555</t>
  </si>
  <si>
    <t>Chi phí đồ dùng văn phòng HĐ số 302640</t>
  </si>
  <si>
    <t>Chi phí đồ dùng văn phòng HĐ số 901364</t>
  </si>
  <si>
    <t>Chi phí đồ dùng văn phòng HĐ số 310524</t>
  </si>
  <si>
    <t>Chi phí đồ dùng văn phòng HĐ số 931072</t>
  </si>
  <si>
    <t>Chi phí đồ dùng văn phòng HĐ số 2697</t>
  </si>
  <si>
    <t>Doanh thu Dịch vụ quảng cáo và truyền thông theo Hợp đồng số HD0509/2025/HDDV/PMB-BK ký ngày 05/09/2025 và Biên bản nghiệm thu ký ngày 07/10/2025 HĐ số 3</t>
  </si>
  <si>
    <t>Doanh thu Dịch vụ quảng cáo và truyền thông theo Hợp đồng số AT_001/HĐ/1011_2025_PUMET7 ký ngày 10/11/2025 và Biên bản nghiệm thu ký ngày 08/12/2025 HĐ số 6</t>
  </si>
  <si>
    <t>Doanh thu Dịch vụ quảng cáo và truyền thông theo Hợp đồng số 20251204/NEWFACExPUMETBAY ký ngày 04/12/2025 và Biên bản nghiệm thu ký ngày 09/12/2025 HĐ số 7</t>
  </si>
  <si>
    <t>Doanh thu Dịch vụ quảng cáo và truyền thông theo Hợp đồng số HD0511/2025/HDDV/PMB-BK ký ngày 05/11/2025 và Biên bản nghiệm thu ký ngày 09/12/2025 HĐ số 8</t>
  </si>
  <si>
    <t>Doanh thu Dịch vụ quảng cáo và truyền thông theo Hợp đồng số HD1012/2025/HDDV/PMB-BK ký ngày 10/12/2025 (Đợt 1) HĐ số 9</t>
  </si>
  <si>
    <t>Điều chỉnh giảm Doanh thu Dịch vụ quảng cáo và truyền thông theo Hợp đồng số HD0509/2025/HDDV/PMB-BK ký ngày 05/09/2025 và Biên bản nghiệm thu ký ngày 07/10/2025 HĐ số 3</t>
  </si>
  <si>
    <t>Điều chỉnh giảm Doanh thu Dịch vụ quảng cáo và truyền thông theo Hợp đồng số AT_001/HĐ/1011_2025_PUMET7 ký ngày 10/11/2025 và Biên bản nghiệm thu ký ngày 08/12/2025 HĐ số 6</t>
  </si>
  <si>
    <t>Điều chỉnh giảm Doanh thu Dịch vụ quảng cáo và truyền thông theo Hợp đồng số 20251204/NEWFACExPUMETBAY ký ngày 04/12/2025 và Biên bản nghiệm thu ký ngày 09/12/2025 HĐ số 7</t>
  </si>
  <si>
    <t>Điều chỉnh giảm Doanh thu Dịch vụ quảng cáo và truyền thông theo Hợp đồng số HD0511/2025/HDDV/PMB-BK ký ngày 05/11/2025 và Biên bản nghiệm thu ký ngày 09/12/2025 HĐ số 8</t>
  </si>
  <si>
    <t>Điều chỉnh giảm Doanh thu Dịch vụ quảng cáo và truyền thông theo Hợp đồng số HD1012/2025/HDDV/PMB-BK ký ngày 10/12/2025 (Đợt 1) HĐ số 9</t>
  </si>
  <si>
    <t>0317877343</t>
  </si>
  <si>
    <t>0317793728</t>
  </si>
  <si>
    <t>0303920493</t>
  </si>
  <si>
    <t>Phí dịch vụ tư vấn tháng 08/2025 HĐ số 151</t>
  </si>
  <si>
    <t>Phí dịch vụ tư vấn tháng 09-10/2025 HĐ số 178</t>
  </si>
  <si>
    <t>Phần mềm hóa đơn điện tử M-100 8307704000-002.matbao.in (1 năm) HĐ số 8806</t>
  </si>
  <si>
    <t>Phí dịch vụ tư vấn tháng 11/2025 HĐ số 207</t>
  </si>
  <si>
    <t>Chi phí vé máy bay HĐ số 58969</t>
  </si>
  <si>
    <t>Chi phí dịch vụ mua ngoài HĐ số 896377</t>
  </si>
  <si>
    <t>Chi phí dịch vụ mua ngoài HĐ số 896378</t>
  </si>
  <si>
    <t>25/11/2025</t>
  </si>
  <si>
    <t>0318188000</t>
  </si>
  <si>
    <t>0317764621</t>
  </si>
  <si>
    <t>Doanh thu Dịch vụ quảng cáo và truyền thông theo Hợp đồng số 010409.2025/HDDV/NNĐV-INNO ký ngày 04/09/2025 và Biên bản nghiệm thu ký ngày 02/10/2025 HĐ số 22</t>
  </si>
  <si>
    <t>Doanh thu Dịch vụ quảng cáo và truyền thông theo Hợp đồng số 3009/2025/TTS/DANGVI/YAMAN ký ngày 30/09/2025 và Biên bản nghiệm thu ký ngày 02/10/2025 HĐ số 23</t>
  </si>
  <si>
    <t>Doanh thu Thanh toán theo Hợp đồng dịch vụ số HD01092025/D’ALBA_ASIACONSULTING_DANGVIBEAUTY ký ngày 01/09/2025 và Biên bản nghiệm thu ký ngày 03/10/2025 HĐ số 24</t>
  </si>
  <si>
    <t>Doanh thu Thanh toán 100% phí dịch vụ 3CE - KOC Hub Oct - Video - Scope 3 - 1010 SOW số 24276/2025/WPP-BTL-LO ID Tiktok: dangvbeauty179 HĐ số 25</t>
  </si>
  <si>
    <t>Doanh thu Dịch vụ quảng cáo và truyền thông theo Hợp đồng số HDDV 3009/LVN/NDV ký ngày 25/09/2025 và Biên bản nghiệm thu ký ngày 14/10/2025 HĐ số 26</t>
  </si>
  <si>
    <t>Doanh thu Dịch vụ quảng cáo và truyền thông theo Hợp đồng số 0179/09/025C_ TIK_2508_OUB CREATOR VIDEO 9.9_AUG - dangvbeauty179 ký ngày 29/08/2025 và Biên bản nghiệm thu ký ngày 16/10/2025 HĐ số 27</t>
  </si>
  <si>
    <t>Doanh thu Dịch vụ quảng cáo và truyền thông theo Hợp đồng số HKD DANGVI_HEIMISH _01092025 ký ngày 01/09/2025 HĐ số 28</t>
  </si>
  <si>
    <t>Doanh thu Dịch vụ quảng cáo và truyền thông theo Hợp đồng số 0910/LVN/NDV ký ngày 05/10/2025 và Biên bản nghiệm thu ký ngày 20/10/2025 HĐ số 29</t>
  </si>
  <si>
    <t>Doanh thu Thanh toán 100% phí dịch vụ MNY - FLEXPOWDER - Video- Scope 3 - 1010 SOW số 24882/2025/WPP-BTL-LO ID Tiktok: dangvbeauty179 HĐ số 30</t>
  </si>
  <si>
    <t>Doanh thu Dịch vụ quảng cáo và truyền thông theo Hợp đồng số HDDV/PANTENExVĐxDVO/011025 ký ngày 01/10/2025 và Biên bản nghiệm thu ký ngày 30/10/2025 HĐ số 31</t>
  </si>
  <si>
    <t>Doanh thu Dịch vụ quảng cáo và truyền thông theo Hợp đồng số MDA/20251024/2047 ngày 14/10/2025 và Biên bản nghiệm thu và thanh lý ngày 31/10/2025 HĐ số 32</t>
  </si>
  <si>
    <t>Doanh thu Thanh toán 100% phí dịch vụ MNY - TEDDY TINT - Video - Scope 3 - 10.11 - PO 4001467856 SOW số 28092/2025/WPP-BTL-LO ID Tiktok: dangvbeauty179 HĐ số 33</t>
  </si>
  <si>
    <t>Doanh thu Thanh toán 100% phí dịch vụ MNY - SCOPE LIVESTREAM - Video - Scope 3 - 10.11 - PO 4001434845 SOW số 27612/2025/WPP-BTL-LO ID Tiktok: dangvbeauty179 HĐ số 34</t>
  </si>
  <si>
    <t>Doanh thu Thanh toán 100% phí dịch vụ 3CE - KOC Hub Nov - Video - Scope 3 - 1011 SOW số 26823/2025/WPP-BTL-LO ID Tiktok: dangvbeauty179 HĐ số 35</t>
  </si>
  <si>
    <t>Doanh thu Thanh toán 100% phí dịch vụ MNY - FLEX POWDER - Video - Scope 3 - 3010 - 4001492980 SOW số 25526/2025/WPP-BTL-LO ID Tiktok: dangvbeauty179 HĐ số 36</t>
  </si>
  <si>
    <t>Doanh thu Thanh toán 100% phí dịch vụ MNY - FLEX POWDER - Video - Scope 3 -10.11 - PO 4001492980 SOW số 27858/2025/WPP-BTL-LO ID Tiktok: dangvbeauty179 HĐ số 37</t>
  </si>
  <si>
    <t>Doanh thu Dịch vụ quảng cáo và truyền thông theo Hợp đồng số 2710/HDDV/TCELL-DANGVI ký ngày 27/10/2025 và Biên bản nghiệm thu ký ngày 25/11/2025 HĐ số 38</t>
  </si>
  <si>
    <t>Doanh thu /Dịch vụ quảng cáo và truyền thông theo Hợp đồng số 28092025/HĐDV/SIA-DANGVIOFFICIAL ký ngày 28/09/2025 và Biên bản nghiệm thu ký ngày 25/11/2025 HĐ số 39</t>
  </si>
  <si>
    <t>Doanh thu Phí sử dụng hình ảnh theo Hợp đồng số HDDV/PANTENESDHAxVĐxDVO/011125 ký ngày 01/11/2025 và Biên bản nghiệm thu ký ngày 04/12/2025 HĐ số 40</t>
  </si>
  <si>
    <t>Doanh thu Dịch vụ quảng cáo và truyền thông theo Hợp đồng số MDA/20251202/2395 ngày 21/11/2025 và Biên bản nghiệm thu và thanh lý ngày 08/12/2025 HĐ số 41</t>
  </si>
  <si>
    <t>Doanh thu Dịch vụ quảng cáo và truyền thông theo Hợp đồng số 251010/HDDV/BRAINAD-DANGVI ký ngày 10/10/2025 và Biên bản nghiệm thu ký ngày 11/12/2025 HĐ số 42</t>
  </si>
  <si>
    <t>Doanh thu Dịch vụ quảng cáo và truyền thông theo Hợp đồng số 3011/2025/TTS/DANGVI/MENARD ký ngày 30/11/2025 và Biên bản nghiệm thu ký ngày 18/12/2025 HĐ số 43</t>
  </si>
  <si>
    <t>Điều chỉnh giảm Doanh thu Dịch vụ quảng cáo và truyền thông theo Hợp đồng số 010409.2025/HDDV/NNĐV-INNO ký ngày 04/09/2025 và Biên bản nghiệm thu ký ngày 02/10/2025 HĐ số 22</t>
  </si>
  <si>
    <t>Điều chỉnh giảm Doanh thu Dịch vụ quảng cáo và truyền thông theo Hợp đồng số 3009/2025/TTS/DANGVI/YAMAN ký ngày 30/09/2025 và Biên bản nghiệm thu ký ngày 02/10/2025 HĐ số 23</t>
  </si>
  <si>
    <t>Điều chỉnh giảm Doanh thu Thanh toán theo Hợp đồng dịch vụ số HD01092025/D’ALBA_ASIACONSULTING_DANGVIBEAUTY ký ngày 01/09/2025 và Biên bản nghiệm thu ký ngày 03/10/2025 HĐ số 24</t>
  </si>
  <si>
    <t>Điều chỉnh giảm Doanh thu Thanh toán 100% phí dịch vụ 3CE - KOC Hub Oct - Video - Scope 3 - 1010 SOW số 24276/2025/WPP-BTL-LO ID Tiktok: dangvbeauty179 HĐ số 25</t>
  </si>
  <si>
    <t>Điều chỉnh giảm Doanh thu Dịch vụ quảng cáo và truyền thông theo Hợp đồng số HDDV 3009/LVN/NDV ký ngày 25/09/2025 và Biên bản nghiệm thu ký ngày 14/10/2025 HĐ số 26</t>
  </si>
  <si>
    <t>Điều chỉnh giảm Doanh thu Dịch vụ quảng cáo và truyền thông theo Hợp đồng số 0179/09/025C_ TIK_2508_OUB CREATOR VIDEO 9.9_AUG - dangvbeauty179 ký ngày 29/08/2025 và Biên bản nghiệm thu ký ngày 16/10/2025 HĐ số 27</t>
  </si>
  <si>
    <t>Điều chỉnh giảm Doanh thu Dịch vụ quảng cáo và truyền thông theo Hợp đồng số HKD DANGVI_HEIMISH _01092025 ký ngày 01/09/2025 HĐ số 28</t>
  </si>
  <si>
    <t>Điều chỉnh giảm Doanh thu Dịch vụ quảng cáo và truyền thông theo Hợp đồng số 0910/LVN/NDV ký ngày 05/10/2025 và Biên bản nghiệm thu ký ngày 20/10/2025 HĐ số 29</t>
  </si>
  <si>
    <t>Điều chỉnh giảm Doanh thu Thanh toán 100% phí dịch vụ MNY - FLEXPOWDER - Video- Scope 3 - 1010 SOW số 24882/2025/WPP-BTL-LO ID Tiktok: dangvbeauty179 HĐ số 30</t>
  </si>
  <si>
    <t>Điều chỉnh giảm Doanh thu Dịch vụ quảng cáo và truyền thông theo Hợp đồng số HDDV/PANTENExVĐxDVO/011025 ký ngày 01/10/2025 và Biên bản nghiệm thu ký ngày 30/10/2025 HĐ số 31</t>
  </si>
  <si>
    <t>Điều chỉnh giảm Doanh thu Dịch vụ quảng cáo và truyền thông theo Hợp đồng số MDA/20251024/2047 ngày 14/10/2025 và Biên bản nghiệm thu và thanh lý ngày 31/10/2025 HĐ số 32</t>
  </si>
  <si>
    <t>Điều chỉnh giảm Doanh thu Thanh toán 100% phí dịch vụ MNY - TEDDY TINT - Video - Scope 3 - 10.11 - PO 4001467856 SOW số 28092/2025/WPP-BTL-LO ID Tiktok: dangvbeauty179 HĐ số 33</t>
  </si>
  <si>
    <t>Điều chỉnh giảm Doanh thu Thanh toán 100% phí dịch vụ MNY - SCOPE LIVESTREAM - Video - Scope 3 - 10.11 - PO 4001434845 SOW số 27612/2025/WPP-BTL-LO ID Tiktok: dangvbeauty179 HĐ số 34</t>
  </si>
  <si>
    <t>Điều chỉnh giảm Doanh thu Thanh toán 100% phí dịch vụ 3CE - KOC Hub Nov - Video - Scope 3 - 1011 SOW số 26823/2025/WPP-BTL-LO ID Tiktok: dangvbeauty179 HĐ số 35</t>
  </si>
  <si>
    <t>Điều chỉnh giảm Doanh thu Thanh toán 100% phí dịch vụ MNY - FLEX POWDER - Video - Scope 3 - 3010 - 4001492980 SOW số 25526/2025/WPP-BTL-LO ID Tiktok: dangvbeauty179 HĐ số 36</t>
  </si>
  <si>
    <t>Điều chỉnh giảm Doanh thu Thanh toán 100% phí dịch vụ MNY - FLEX POWDER - Video - Scope 3 -10.11 - PO 4001492980 SOW số 27858/2025/WPP-BTL-LO ID Tiktok: dangvbeauty179 HĐ số 37</t>
  </si>
  <si>
    <t>Điều chỉnh giảm Doanh thu Dịch vụ quảng cáo và truyền thông theo Hợp đồng số 2710/HDDV/TCELL-DANGVI ký ngày 27/10/2025 và Biên bản nghiệm thu ký ngày 25/11/2025 HĐ số 38</t>
  </si>
  <si>
    <t>Điều chỉnh giảm Doanh thu /Dịch vụ quảng cáo và truyền thông theo Hợp đồng số 28092025/HĐDV/SIA-DANGVIOFFICIAL ký ngày 28/09/2025 và Biên bản nghiệm thu ký ngày 25/11/2025 HĐ số 39</t>
  </si>
  <si>
    <t>Điều chỉnh giảm Doanh thu Phí sử dụng hình ảnh theo Hợp đồng số HDDV/PANTENESDHAxVĐxDVO/011125 ký ngày 01/11/2025 và Biên bản nghiệm thu ký ngày 04/12/2025 HĐ số 40</t>
  </si>
  <si>
    <t>Điều chỉnh giảm Doanh thu Dịch vụ quảng cáo và truyền thông theo Hợp đồng số MDA/20251202/2395 ngày 21/11/2025 và Biên bản nghiệm thu và thanh lý ngày 08/12/2025 HĐ số 41</t>
  </si>
  <si>
    <t>Điều chỉnh giảm Doanh thu Dịch vụ quảng cáo và truyền thông theo Hợp đồng số 251010/HDDV/BRAINAD-DANGVI ký ngày 10/10/2025 và Biên bản nghiệm thu ký ngày 11/12/2025 HĐ số 42</t>
  </si>
  <si>
    <t>Điều chỉnh giảm Doanh thu Dịch vụ quảng cáo và truyền thông theo Hợp đồng số 3011/2025/TTS/DANGVI/MENARD ký ngày 30/11/2025 và Biên bản nghiệm thu ký ngày 18/12/2025 HĐ số 43</t>
  </si>
  <si>
    <t>MÃ SẢN PHẨM CÔNG TRÌNH</t>
  </si>
  <si>
    <t>Chi phí di chuyển đị lại HĐ số 741577</t>
  </si>
  <si>
    <t>Chi phí di chuyển đị lại HĐ số 819984</t>
  </si>
  <si>
    <t>Chi phí di chuyển đị lại HĐ số 50219247</t>
  </si>
  <si>
    <t>Chi phí di chuyển đị lại HĐ số 855422</t>
  </si>
  <si>
    <t>Chi phí di chuyển đị lại HĐ số 888424</t>
  </si>
  <si>
    <t>Chi phí tiếp khách ngoại giao HĐ số 3799726</t>
  </si>
  <si>
    <t>Chi phí di chuyển đị lại HĐ số 1396012</t>
  </si>
  <si>
    <t>Chi phí di chuyển đị lại HĐ số 918629</t>
  </si>
  <si>
    <t>Chi phí di chuyển đị lại HĐ số 951036</t>
  </si>
  <si>
    <t>Chi phí tiếp khách ngoại giao HĐ số 1855</t>
  </si>
  <si>
    <t>Chi phí tiếp khách ngoại giao HĐ số 2206</t>
  </si>
  <si>
    <t>Chi phí tiếp khách ngoại giao HĐ số 14631</t>
  </si>
  <si>
    <t>Chi phí tiếp khách ngoại giao HĐ số 2021</t>
  </si>
  <si>
    <t>Chi phí tiếp khách ngoại giao HĐ số 17165</t>
  </si>
  <si>
    <t>Chi phí tiếp khách ngoại giao HĐ số 741</t>
  </si>
  <si>
    <t>Chi phí tiếp khách ngoại giao HĐ số 5</t>
  </si>
  <si>
    <t>Chi phí tiếp khách ngoại giao HĐ số 8669</t>
  </si>
  <si>
    <t>Chi phí tiếp khách ngoại giao HĐ số 8803</t>
  </si>
  <si>
    <t>Chi phí tiếp khách ngoại giao HĐ số 9265</t>
  </si>
  <si>
    <t>Doanh thu Dịch vụ quảng cáo và truyền thông theo Hợp đồng dịch vụ ký ngày 13/11/2025 Advertising and communication services under the Service Contract signed on November 13 2025 HĐ số 14</t>
  </si>
  <si>
    <t>Điều chỉnh giảm Doanh thu Dịch vụ quảng cáo và truyền thông theo Hợp đồng dịch vụ ký ngày 13/11/2025 Advertising and communication services under the Service Contract signed on November 13 2025 HĐ số 14</t>
  </si>
  <si>
    <t>Chi phí di chuyển đi lại HĐ số 14073517</t>
  </si>
  <si>
    <t>Chi phí di chuyển đi lại HĐ số 30597668</t>
  </si>
  <si>
    <t>Chi phí di chuyển đi lại HĐ số 31430688</t>
  </si>
  <si>
    <t>Chi phí di chuyển đi lại HĐ số 31607007</t>
  </si>
  <si>
    <t>Chi phí di chuyển đi lại HĐ số 15145605</t>
  </si>
  <si>
    <t>Chi phí di chuyển đi lại HĐ số 31840513</t>
  </si>
  <si>
    <t>Chi phí di chuyển đi lại HĐ số 31852220</t>
  </si>
  <si>
    <t>Chi phí di chuyển đi lại HĐ số 31929065</t>
  </si>
  <si>
    <t>Chi phí di chuyển đi lại HĐ số 31947926</t>
  </si>
  <si>
    <t>Chi phí di chuyển đi lại HĐ số 32069429</t>
  </si>
  <si>
    <t>Chi phí di chuyển đi lại HĐ số 15382025</t>
  </si>
  <si>
    <t>Chi phí di chuyển đi lại HĐ số 15755037</t>
  </si>
  <si>
    <t>Chi phí di chuyển đi lại HĐ số 33382211</t>
  </si>
  <si>
    <t>Chi phí di chuyển đi lại HĐ số 16000779</t>
  </si>
  <si>
    <t>Chi phí di chuyển đi lại HĐ số 16043225</t>
  </si>
  <si>
    <t>Chi phí di chuyển đi lại HĐ số 16200761</t>
  </si>
  <si>
    <t>Chi phí di chuyển đi lại HĐ số 16351001</t>
  </si>
  <si>
    <t>Chi phí di chuyển đi lại HĐ số 16567398</t>
  </si>
  <si>
    <t>Chi phí di chuyển đi lại HĐ số 16896634</t>
  </si>
  <si>
    <t>Chi phí di chuyển đi lại HĐ số 35592236</t>
  </si>
  <si>
    <t>Chi phí di chuyển đi lại HĐ số 35872651</t>
  </si>
  <si>
    <t>Chi phí di chuyển đi lại HĐ số 35883582</t>
  </si>
  <si>
    <t>Chi phí di chuyển đi lại HĐ số 38060420</t>
  </si>
  <si>
    <t>Chi phí tiếp khách ngoại giao HĐ số 7120</t>
  </si>
  <si>
    <t>Chi phí di chuyển đi lại HĐ số 18478881</t>
  </si>
  <si>
    <t>Chi phí di chuyển đi lại HĐ số 816607</t>
  </si>
  <si>
    <t>Chi phí tiếp khách ngoại giao HĐ số 1895</t>
  </si>
  <si>
    <t>Chi phí di chuyển đi lại HĐ số 19395281</t>
  </si>
  <si>
    <t>Chi phí di chuyển đi lại HĐ số 41904031</t>
  </si>
  <si>
    <t>Chi phí di chuyển đi lại HĐ số 41966280</t>
  </si>
  <si>
    <t>Chi phí tiếp khách ngoại giao HĐ số 4459</t>
  </si>
  <si>
    <t>Chi phí di chuyển đi lại HĐ số 33961</t>
  </si>
  <si>
    <t>Chi phí di chuyển đi lại HĐ số 113062</t>
  </si>
  <si>
    <t>Chi phí di chuyển đi lại HĐ số 990015</t>
  </si>
  <si>
    <t>Chi phí tiếp khách ngoại giao HĐ số 1748</t>
  </si>
  <si>
    <t>Chi phí di chuyển đi lại HĐ số 2984514</t>
  </si>
  <si>
    <t>Chi phí tiếp khách ngoại giao HĐ số 3732</t>
  </si>
  <si>
    <t>Chi phí di chuyển đi lại HĐ số 22810136</t>
  </si>
  <si>
    <t>Chi phí di chuyển đi lại HĐ số 45962918</t>
  </si>
  <si>
    <t>Chi phí di chuyển đi lại HĐ số 46205545</t>
  </si>
  <si>
    <t>Chi phí di chuyển đi lại HĐ số 46205546</t>
  </si>
  <si>
    <t>Chi phí di chuyển đi lại HĐ số 46205547</t>
  </si>
  <si>
    <t>Chi phí di chuyển đi lại HĐ số 46205548</t>
  </si>
  <si>
    <t>Chi phí di chuyển đi lại HĐ số 46205549</t>
  </si>
  <si>
    <t>Chi phí di chuyển đi lại HĐ số 46205550</t>
  </si>
  <si>
    <t>Chi phí tiếp khách ngoại giao HĐ số 7451</t>
  </si>
  <si>
    <t>Chi phí di chuyển đi lại HĐ số 7671006</t>
  </si>
  <si>
    <t>Chi phí di chuyển đi lại HĐ số 22917627</t>
  </si>
  <si>
    <t>Chi phí di chuyển đi lại HĐ số 22917628</t>
  </si>
  <si>
    <t>Chi phí di chuyển đi lại HĐ số 22917629</t>
  </si>
  <si>
    <t>Chi phí tiếp khách ngoại giao HĐ số 6429</t>
  </si>
  <si>
    <t>Chi phí di chuyển đi lại HĐ số 36977120</t>
  </si>
  <si>
    <t>Chi phí di chuyển đi lại HĐ số 37040626</t>
  </si>
  <si>
    <t>Chi phí di chuyển đi lại HĐ số 41827082</t>
  </si>
  <si>
    <t>Chi phí di chuyển đi lại HĐ số 44030739</t>
  </si>
  <si>
    <t>Chi phí di chuyển đi lại HĐ số 47384608</t>
  </si>
  <si>
    <t>Chi phí di chuyển đi lại HĐ số 45989120</t>
  </si>
  <si>
    <t>Chi phí di chuyển đi lại HĐ số 46019205</t>
  </si>
  <si>
    <t>Chi phí di chuyển đi lại HĐ số 49055428</t>
  </si>
  <si>
    <t>Chi phí di chuyển đi lại HĐ số 49117346</t>
  </si>
  <si>
    <t>Chi phí tiếp khách ngoại giao HĐ số 3367</t>
  </si>
  <si>
    <t>Chi phí di chuyển đi lại HĐ số 53370289</t>
  </si>
  <si>
    <t>Chi phí di chuyển đi lại HĐ số 54913566</t>
  </si>
  <si>
    <t>Chi phí di chuyển đi lại HĐ số 59101638</t>
  </si>
  <si>
    <t>Chi phí di chuyển đi lại HĐ số 59146100</t>
  </si>
  <si>
    <t>Chi phí di chuyển đi lại HĐ số 62835360</t>
  </si>
  <si>
    <t>Chi phí di chuyển đi lại HĐ số 63750873</t>
  </si>
  <si>
    <t>Doanh thu Dịch vụ sáng tạo nội dung bài viết quảng cáo thương hiệu tháng 10/2025 theo Hợp đồng số 200925/HĐTVWELOVE ký ngày 20/09/2025 HĐ số 26</t>
  </si>
  <si>
    <t>Điều chỉnh giảm Doanh thu Dịch vụ sáng tạo nội dung bài viết quảng cáo thương hiệu tháng 10/2025 theo Hợp đồng số 200925/HĐTVWELOVE ký ngày 20/09/2025 HĐ số 26</t>
  </si>
  <si>
    <t>Doanh thu Dịch vụ sáng tạo nội dung bài viết quảng cáo thương hiệu tháng 11/2025 theo Hợp đồng số 200925/HĐTVWELOVE ký ngày 20/09/2025 và Biên bản nghiệm thu ký ngày 04/12/2025 HĐ số 44</t>
  </si>
  <si>
    <t>Điều chỉnh giảm Doanh thu Dịch vụ sáng tạo nội dung bài viết quảng cáo thương hiệu tháng 11/2025 theo Hợp đồng số 200925/HĐTVWELOVE ký ngày 20/09/2025 và Biên bản nghiệm thu ký ngày 04/12/2025 HĐ số 44</t>
  </si>
  <si>
    <t>Doanh thu Dịch vụ tư vấn xây dựng ý tưởng sản phẩn “Retinol Lifting Remix Ampoule” theo Hợp đồng số DV0211/2025/HĐHTDV/LPCOS-HKD TÂM TÀI TRÍ ký ngày 02/11/2025 và Biên bản nghiệm thu ký ngày 15/12/2025 HĐ số 47</t>
  </si>
  <si>
    <t>Điều chỉnh giảm Doanh thu Dịch vụ tư vấn xây dựng ý tưởng sản phẩn “Retinol Lifting Remix Ampoule” theo Hợp đồng số DV0211/2025/HĐHTDV/LPCOS-HKD TÂM TÀI TRÍ ký ngày 02/11/2025 và Biên bản nghiệm thu ký ngày 15/12/2025 HĐ số 47</t>
  </si>
  <si>
    <t>Doanh thu Dịch vụ tư vấn quản lý chiến dịch truyền thông quảng bá sản phẩm theo Hợp đồng số 311125/HĐTVGGG ký ngày 01/12/2025 (Đợt 1) HĐ số 48</t>
  </si>
  <si>
    <t>Điều chỉnh giảm Doanh thu Dịch vụ tư vấn quản lý chiến dịch truyền thông quảng bá sản phẩm theo Hợp đồng số 311125/HĐTVGGG ký ngày 01/12/2025 (Đợt 1) HĐ số 48</t>
  </si>
  <si>
    <t>Dịch vụ tư vấn hỗ trợ xin cấp visa Trung Quốc loại nhanh cho hộ chiếu số P00566499 HĐ số 863</t>
  </si>
  <si>
    <t>Doanh thu Phí dịch vụ tham gia diễn giả và truyền thông sự kiện theo Hợp đồng số 251110/HĐHT ký ngày 15/10/2025 HĐ số 8</t>
  </si>
  <si>
    <t>Điều chỉnh giảm Doanh thu Phí dịch vụ tham gia diễn giả và truyền thông sự kiện theo Hợp đồng số 251110/HĐHT ký ngày 15/10/2025 HĐ số 8</t>
  </si>
  <si>
    <t>Chi phí di chuyển đi lại HĐ số 15891273</t>
  </si>
  <si>
    <t>Chi phí di chuyển đi lại HĐ số 19486593</t>
  </si>
  <si>
    <t>Chi phí di chuyển đi lại HĐ số 19612176</t>
  </si>
  <si>
    <t>Chi phí di chuyển đi lại HĐ số 69811</t>
  </si>
  <si>
    <t>Chi phí tiếp khách ngoại giao HĐ số 3639</t>
  </si>
  <si>
    <t>Chi phí tiếp khách ngoại giao HĐ số 7375</t>
  </si>
  <si>
    <t>11/10/2025</t>
  </si>
  <si>
    <t>13/10/2025</t>
  </si>
  <si>
    <t>17/10/2025</t>
  </si>
  <si>
    <t>29/10/2025</t>
  </si>
  <si>
    <t>13/12/2025</t>
  </si>
  <si>
    <t>0313168515</t>
  </si>
  <si>
    <t>0317395477</t>
  </si>
  <si>
    <t>0318968459</t>
  </si>
  <si>
    <t>0317756268</t>
  </si>
  <si>
    <t>0315317201</t>
  </si>
  <si>
    <t>0314551826</t>
  </si>
  <si>
    <t>0318297507</t>
  </si>
  <si>
    <t>Phí dịch vụ tư vấn tháng 09/2025 HĐ số 138</t>
  </si>
  <si>
    <t>Phí dịch vụ tư vấn tháng 10/2025 HĐ số 157</t>
  </si>
  <si>
    <t>Phí dịch vụ tư vấn tháng 11/2025 HĐ số 195</t>
  </si>
  <si>
    <t>Chi phí vận chuyển HĐ số 44414741</t>
  </si>
  <si>
    <t>Chi phí vận chuyển HĐ số 44473446</t>
  </si>
  <si>
    <t>Chi phí vận chuyển HĐ số 44700430</t>
  </si>
  <si>
    <t>Chi phí vận chuyển HĐ số 44805477</t>
  </si>
  <si>
    <t>Chi phí vận chuyển HĐ số 45135569</t>
  </si>
  <si>
    <t>Chi phí vận chuyển HĐ số 46342629</t>
  </si>
  <si>
    <t>Chi phí vận chuyển HĐ số 46402668</t>
  </si>
  <si>
    <t>Chi phí vận chuyển HĐ số 46487902</t>
  </si>
  <si>
    <t>Chi phí vận chuyển HĐ số 47149465</t>
  </si>
  <si>
    <t>Chi phí vận chuyển HĐ số 47805223</t>
  </si>
  <si>
    <t>Chi phí vận chuyển HĐ số 48100174</t>
  </si>
  <si>
    <t>Chi phí vận chuyển HĐ số 51033617</t>
  </si>
  <si>
    <t>Chi phí vận chuyển HĐ số 52677347</t>
  </si>
  <si>
    <t>Chi phí vận chuyển HĐ số 52785578</t>
  </si>
  <si>
    <t>Chi phí vận chuyển HĐ số 54944847</t>
  </si>
  <si>
    <t>Chi phí vận chuyển HĐ số 55062859</t>
  </si>
  <si>
    <t>Chi phí vận chuyển HĐ số 55598291</t>
  </si>
  <si>
    <t>Chi phí vận chuyển HĐ số 55629458</t>
  </si>
  <si>
    <t>Chi phí vận chuyển HĐ số 57238436</t>
  </si>
  <si>
    <t>Chi phí vận chuyển HĐ số 58998945</t>
  </si>
  <si>
    <t>Chi phí vận chuyển HĐ số 61133144</t>
  </si>
  <si>
    <t>Chi phí vận chuyển HĐ số 61967120</t>
  </si>
  <si>
    <t>Chi phí vận chuyển HĐ số 45683561</t>
  </si>
  <si>
    <t>Chi phí vận chuyển HĐ số 48377819</t>
  </si>
  <si>
    <t>Chi phí vận chuyển HĐ số 54581258</t>
  </si>
  <si>
    <t>Chi phí vận chuyển HĐ số 62375368</t>
  </si>
  <si>
    <t>Chi phí vận chuyển HĐ số 62734009</t>
  </si>
  <si>
    <t>Chi phí đồ dùng văn phòng HĐ số 12121</t>
  </si>
  <si>
    <t>079193036128</t>
  </si>
  <si>
    <t>0317591792</t>
  </si>
  <si>
    <t>0110402840</t>
  </si>
  <si>
    <t>0318485130</t>
  </si>
  <si>
    <t>Doanh thu Dịch vụ quảng cáo và truyền thông theo Hợp đồng số 092025.HDDV.SPARKLE.NGUYENHUEMAKEUP ký ngày 09/09/2025 và Biên bản nghiệm thu ký ngày 03/10/2025 HĐ số 5</t>
  </si>
  <si>
    <t>Doanh thu Dịch vụ quảng cáo và truyền thông theo Hợp đồng số 490/2025/HDDV/OQR ký ngày 29/08/2025 và Biên bản nghiệm thu ký ngày 07/10/2025 HĐ số 6</t>
  </si>
  <si>
    <t>Doanh thu Dịch vụ quảng cáo và truyền thông theo Hợp đồng số HĐ/1672/2025/VNNL ký ngày 08/10/2025 HĐ số 7</t>
  </si>
  <si>
    <t>Doanh thu Dịch vụ quảng cao và truyền thông theo Hợp đồng số 226KOC/09.25/HĐDV ký ngày 01/09/2025 và Biên bản nghiệm thu ký ngày 11/10/2025 HĐ số 8</t>
  </si>
  <si>
    <t>Doanh thu Thanh toán theo Hợp đồng dịch vụ số HD29092025/TIRTIR_ASIACONSULTING_NGUYENHUE ký ngày 29/09/2025 và Biên bản nghiệm thu ký ngày 14/10/2025 HĐ số 9</t>
  </si>
  <si>
    <t>Doanh thu Dịch vụ quảng cáo và truyền thông theo Hợp đồng số 061025/HĐDV/ENTROPY-NGUYENHUE ký ngày 06/10/2025 và Biên bản nghiệm thu ký ngày 16/10/2025 HĐ số 10</t>
  </si>
  <si>
    <t>Doanh thu Dịch vụ quảng cáo và truyền thông theo Hợp đồng số 20251001/CHICVIE x NGUYENHUE ký ngày 01/10/2025 và Biên bản nghiệm thu ký ngày 21/10/2025 HĐ số 11</t>
  </si>
  <si>
    <t>Doanh thu Dịch vụ quảng cáo và truyền thông theo Hợp đồng số 323KOC/11.25/HĐDV ký ngày 20/10/2025 và Biên bản nghiệm thu ký ngày 28/10/2025 HĐ số 12</t>
  </si>
  <si>
    <t>Doanh thu Dịch vụ quảng cáo và truyền thông theo Hợp đồng số HKD NGUYENHUE_ LOREAL UV AQUA_15102025 ký ngày 15/10/2025 và Biên bản nghiệm thu ký ngày 30/10/2025 HĐ số 13</t>
  </si>
  <si>
    <t>Doanh thu Dịch vụ quảng cáo và truyền thông theo Phụ lục 02 ký ngày 21/10/2025 của Hợp đồng nguyên tắc số 02-200825-HUEUII/WV ký ngày 20/08/2025 và Biên bản nghiệm thu ký ngày 07/11/2025 HĐ số 14</t>
  </si>
  <si>
    <t>Doanh thu Dịch vụ quảng cáo và truyền thông theo Hợp đồng số 01-11/2025/HDDV/SNVN-HUE.UII ký ngày 01/11/2025 và Biên bản nghiệm thu ký ngày 10/11/2025 HĐ số 16</t>
  </si>
  <si>
    <t>Doanh thu Dịch vụ quảng cáo và truyền thông theo Hợp đồng số VN2025/10/HKD/MAG/195 ký ngày 27/10/2025 và Biên bản nghiệm thu ký ngày 10/11/2025 HĐ số 17</t>
  </si>
  <si>
    <t>Doanh thu Thanh toán theo Hợp đồng dịch vụ số HD01112025/TIRTIR_ASIACONSULTING_NGUYENHUE ký ngày 01/11/2025 và Biên bản nghiệm thu ký ngày 12/11/2025 HĐ số 18</t>
  </si>
  <si>
    <t>Doanh thu Dịch vụ quảng cáo và truyền thông theo Hợp đồng số 13112025.HDDV.SPARKLE.HUEMAKEUP.3CE ký ngày 13/11/2025 và Biên bản nghiệm thu ký ngày 18/11/2025 HĐ số 19</t>
  </si>
  <si>
    <t>Doanh thu Dịch vụ quảng cáo và truyền thông theo Hợp đồng số 2310.25/NHM-VL ký ngày 23/10/2025 và Biên bản nghiệm thu ký ngày 21/11/2025 HĐ số 20</t>
  </si>
  <si>
    <t>Doanh thu Dịch vụ quảng cáo và truyền thông theo Hợp đồng số 455KOC/11.25/HĐDV ký ngày 01/11/2025 và Biên bản nghiệm thu ký ngày 21/11/2025 HĐ số 21</t>
  </si>
  <si>
    <t>Doanh thu Dịch vụ quảng cáo và truyền thông theo Hợp đồng số HKD NGUYENHUE_ LOREAL KEM DƯỠNG_15112025 ký ngày 15/11/2025 và Biên bản nghiệm thu ký ngày 26/11/2025 HĐ số 22</t>
  </si>
  <si>
    <t>Doanh thu Dịch vụ quảng cáo theo Hợp đồng số 08/23102025/HDDV/MS-NTH ký ngày 23/10/2025 kèm Biên bản nghiệm thu và thanh lý Hợp đồng HĐ số 23</t>
  </si>
  <si>
    <t>Doanh thu Dịch vụ quảng cáo và truyền thông theo Hợp đồng số 28102025/HDDV/ nguyenhuemakeup1996 ký ngày 28/10/2025 và Biên bản nghiệm thu ký ngày 04/12/2025 HĐ số 24</t>
  </si>
  <si>
    <t>Doanh thu Dịch vụ quảng cáo và truyền thông theo Hợp đồng số HKD NGUYENHUE_ LOREAL UV AQUA_15112025 ký ngày 15/11/2025 và Biên bản nghiệm thu ký ngày 11/12/2025 HĐ số 25</t>
  </si>
  <si>
    <t>Điều chỉnh giảm Doanh thu Dịch vụ quảng cáo và truyền thông theo Hợp đồng số 092025.HDDV.SPARKLE.NGUYENHUEMAKEUP ký ngày 09/09/2025 và Biên bản nghiệm thu ký ngày 03/10/2025 HĐ số 5</t>
  </si>
  <si>
    <t>Điều chỉnh giảm Doanh thu Dịch vụ quảng cáo và truyền thông theo Hợp đồng số 490/2025/HDDV/OQR ký ngày 29/08/2025 và Biên bản nghiệm thu ký ngày 07/10/2025 HĐ số 6</t>
  </si>
  <si>
    <t>Điều chỉnh giảm Doanh thu Dịch vụ quảng cáo và truyền thông theo Hợp đồng số HĐ/1672/2025/VNNL ký ngày 08/10/2025 HĐ số 7</t>
  </si>
  <si>
    <t>Điều chỉnh giảm Doanh thu Dịch vụ quảng cao và truyền thông theo Hợp đồng số 226KOC/09.25/HĐDV ký ngày 01/09/2025 và Biên bản nghiệm thu ký ngày 11/10/2025 HĐ số 8</t>
  </si>
  <si>
    <t>Điều chỉnh giảm Doanh thu Thanh toán theo Hợp đồng dịch vụ số HD29092025/TIRTIR_ASIACONSULTING_NGUYENHUE ký ngày 29/09/2025 và Biên bản nghiệm thu ký ngày 14/10/2025 HĐ số 9</t>
  </si>
  <si>
    <t>Điều chỉnh giảm Doanh thu Dịch vụ quảng cáo và truyền thông theo Hợp đồng số 061025/HĐDV/ENTROPY-NGUYENHUE ký ngày 06/10/2025 và Biên bản nghiệm thu ký ngày 16/10/2025 HĐ số 10</t>
  </si>
  <si>
    <t>Điều chỉnh giảm Doanh thu Dịch vụ quảng cáo và truyền thông theo Hợp đồng số 20251001/CHICVIE x NGUYENHUE ký ngày 01/10/2025 và Biên bản nghiệm thu ký ngày 21/10/2025 HĐ số 11</t>
  </si>
  <si>
    <t>Điều chỉnh giảm Doanh thu Dịch vụ quảng cáo và truyền thông theo Hợp đồng số 323KOC/11.25/HĐDV ký ngày 20/10/2025 và Biên bản nghiệm thu ký ngày 28/10/2025 HĐ số 12</t>
  </si>
  <si>
    <t>Điều chỉnh giảm Doanh thu Dịch vụ quảng cáo và truyền thông theo Hợp đồng số HKD NGUYENHUE_ LOREAL UV AQUA_15102025 ký ngày 15/10/2025 và Biên bản nghiệm thu ký ngày 30/10/2025 HĐ số 13</t>
  </si>
  <si>
    <t>Điều chỉnh giảm Doanh thu Dịch vụ quảng cáo và truyền thông theo Hợp đồng số 01-11/2025/HDDV/SNVN-HUE.UII ký ngày 01/11/2025 và Biên bản nghiệm thu ký ngày 10/11/2025 HĐ số 16</t>
  </si>
  <si>
    <t>Điều chỉnh giảm Doanh thu Dịch vụ quảng cáo và truyền thông theo Hợp đồng số VN2025/10/HKD/MAG/195 ký ngày 27/10/2025 và Biên bản nghiệm thu ký ngày 10/11/2025 HĐ số 17</t>
  </si>
  <si>
    <t>Điều chỉnh giảm Doanh thu Thanh toán theo Hợp đồng dịch vụ số HD01112025/TIRTIR_ASIACONSULTING_NGUYENHUE ký ngày 01/11/2025 và Biên bản nghiệm thu ký ngày 12/11/2025 HĐ số 18</t>
  </si>
  <si>
    <t>Điều chỉnh giảm Doanh thu Dịch vụ quảng cáo và truyền thông theo Hợp đồng số 13112025.HDDV.SPARKLE.HUEMAKEUP.3CE ký ngày 13/11/2025 và Biên bản nghiệm thu ký ngày 18/11/2025 HĐ số 19</t>
  </si>
  <si>
    <t>Điều chỉnh giảm Doanh thu Dịch vụ quảng cáo và truyền thông theo Hợp đồng số 2310.25/NHM-VL ký ngày 23/10/2025 và Biên bản nghiệm thu ký ngày 21/11/2025 HĐ số 20</t>
  </si>
  <si>
    <t>Điều chỉnh giảm Doanh thu Dịch vụ quảng cáo và truyền thông theo Hợp đồng số 455KOC/11.25/HĐDV ký ngày 01/11/2025 và Biên bản nghiệm thu ký ngày 21/11/2025 HĐ số 21</t>
  </si>
  <si>
    <t>Điều chỉnh giảm Doanh thu Dịch vụ quảng cáo và truyền thông theo Hợp đồng số HKD NGUYENHUE_ LOREAL KEM DƯỠNG_15112025 ký ngày 15/11/2025 và Biên bản nghiệm thu ký ngày 26/11/2025 HĐ số 22</t>
  </si>
  <si>
    <t>Điều chỉnh giảm Doanh thu Dịch vụ quảng cáo theo Hợp đồng số 08/23102025/HDDV/MS-NTH ký ngày 23/10/2025 kèm Biên bản nghiệm thu và thanh lý Hợp đồng HĐ số 23</t>
  </si>
  <si>
    <t>Điều chỉnh giảm Doanh thu Dịch vụ quảng cáo và truyền thông theo Hợp đồng số 28102025/HDDV/ nguyenhuemakeup1996 ký ngày 28/10/2025 và Biên bản nghiệm thu ký ngày 04/12/2025 HĐ số 24</t>
  </si>
  <si>
    <t>Điều chỉnh giảm Doanh thu Dịch vụ quảng cáo và truyền thông theo Hợp đồng số HKD NGUYENHUE_ LOREAL UV AQUA_15112025 ký ngày 15/11/2025 và Biên bản nghiệm thu ký ngày 11/12/2025 HĐ số 25</t>
  </si>
  <si>
    <t>Chi phí tiếp khách ngoại giao HĐ số 21557</t>
  </si>
  <si>
    <t>Chi phí tiếp khách ngoại giao HĐ số 22976</t>
  </si>
  <si>
    <t>Chi phí tiếp khách ngoại giao HĐ số 2452</t>
  </si>
  <si>
    <t>Chi phí tiếp khách ngoại giao HĐ số 264151</t>
  </si>
  <si>
    <t>Chi phí tiếp khách ngoại giao HĐ số 258</t>
  </si>
  <si>
    <t>Chi phí tiếp khách ngoại giao HĐ số 3400841</t>
  </si>
  <si>
    <t>Chi phí tiếp khách ngoại giao HĐ số 3416123</t>
  </si>
  <si>
    <t>Chi phí tiếp khách ngoại giao HĐ số 15134</t>
  </si>
  <si>
    <t>Chi phí tiếp khách ngoại giao HĐ số 4778</t>
  </si>
  <si>
    <t>Chi phí tiếp khách ngoại giao HĐ số 38399</t>
  </si>
  <si>
    <t>Chi phí tiếp khách ngoại giao HĐ số 27146</t>
  </si>
  <si>
    <t>Chi phí tiếp khách ngoại giao HĐ số 10708</t>
  </si>
  <si>
    <t>Chi phí tiếp khách ngoại giao HĐ số 11698</t>
  </si>
  <si>
    <t>Phí dịch vụ tư vấn tháng 09/2025 HĐ số 128</t>
  </si>
  <si>
    <t>Phí dịch vụ tư vấn tháng 10/2025 HĐ số 172</t>
  </si>
  <si>
    <t>Phí dịch vụ tư vấn tháng 11/2025 HĐ số 204</t>
  </si>
  <si>
    <t>Phí ngân hàng HĐ số 2231896</t>
  </si>
  <si>
    <t>Phí ngân hàng HĐ số 1607515</t>
  </si>
  <si>
    <t>Phí ngân hàng HĐ số 3504169</t>
  </si>
  <si>
    <t>Phí ngân hàng HĐ số 6776413</t>
  </si>
  <si>
    <t>Chi phí tiếp khách, ngoại giao HĐ số 1149798</t>
  </si>
  <si>
    <t>Chi phí tiếp khách, ngoại giao HĐ số 1203437</t>
  </si>
  <si>
    <t>Chi phí đồ dùng văn phòng HĐ số 1059423</t>
  </si>
  <si>
    <t>Phí dịch vụ Affiliate 09/2025_17360520009 HĐ số 941806</t>
  </si>
  <si>
    <t>Phí dịch vụ tư vấn tháng 09/2025 HĐ số 139</t>
  </si>
  <si>
    <t>Phí dịch vụ Affiliate 10/2025_17360520009 HĐ số 1079853</t>
  </si>
  <si>
    <t>Phí dịch vụ tư vấn tháng 10/2025 HĐ số 166</t>
  </si>
  <si>
    <t>Phí dịch vụ Affiliate 11/2025_17360520009 HĐ số 1743365</t>
  </si>
  <si>
    <t>Phí dịch vụ tư vấn tháng 11/2025 HĐ số 201</t>
  </si>
  <si>
    <t>0108475633</t>
  </si>
  <si>
    <t>0314313765</t>
  </si>
  <si>
    <t>0313344143</t>
  </si>
  <si>
    <t>0303675393-007</t>
  </si>
  <si>
    <t>0312505165</t>
  </si>
  <si>
    <t>0107742477-001</t>
  </si>
  <si>
    <t>0402196296</t>
  </si>
  <si>
    <t>0316718291</t>
  </si>
  <si>
    <t>0318840716</t>
  </si>
  <si>
    <t>0313505746-006</t>
  </si>
  <si>
    <t>0402196296-001</t>
  </si>
  <si>
    <t>0318623817-001</t>
  </si>
  <si>
    <t>0311854540-012</t>
  </si>
  <si>
    <t>0315855270</t>
  </si>
  <si>
    <t>0317575550</t>
  </si>
  <si>
    <t>0311389477</t>
  </si>
  <si>
    <t>0314325087</t>
  </si>
  <si>
    <t>0316729247</t>
  </si>
  <si>
    <t>0107968516</t>
  </si>
  <si>
    <t>0316612746</t>
  </si>
  <si>
    <t>0300648218</t>
  </si>
  <si>
    <t>0318302073</t>
  </si>
  <si>
    <t>0318948004</t>
  </si>
  <si>
    <t>0317248708</t>
  </si>
  <si>
    <t>0309965814</t>
  </si>
  <si>
    <t>0318663778</t>
  </si>
  <si>
    <t>0319109185</t>
  </si>
  <si>
    <t>0317551768</t>
  </si>
  <si>
    <t>0110580459</t>
  </si>
  <si>
    <t>0314370266</t>
  </si>
  <si>
    <t>0315966894</t>
  </si>
  <si>
    <t>0312848067</t>
  </si>
  <si>
    <t>0312023443</t>
  </si>
  <si>
    <t>0100520429-001</t>
  </si>
  <si>
    <t>0318972335</t>
  </si>
  <si>
    <t>025075000300</t>
  </si>
  <si>
    <t>0110269067-013</t>
  </si>
  <si>
    <t>0318959133</t>
  </si>
  <si>
    <t>0317415726</t>
  </si>
  <si>
    <t>0319062762</t>
  </si>
  <si>
    <t>0317601095</t>
  </si>
  <si>
    <t>0316871719</t>
  </si>
  <si>
    <t>0310692223</t>
  </si>
  <si>
    <t>0303217354</t>
  </si>
  <si>
    <t>0316993072-001</t>
  </si>
  <si>
    <t>0306231981</t>
  </si>
  <si>
    <t>0303675393-019</t>
  </si>
  <si>
    <t>0312534261</t>
  </si>
  <si>
    <t>3603999588</t>
  </si>
  <si>
    <t>0313356389</t>
  </si>
  <si>
    <t>0314405952</t>
  </si>
  <si>
    <t>0316068967</t>
  </si>
  <si>
    <t>0318359697</t>
  </si>
  <si>
    <t>0311936673</t>
  </si>
  <si>
    <t>0319067601</t>
  </si>
  <si>
    <t>0318330264</t>
  </si>
  <si>
    <t>Doanh thu Dịch vụ quảng cáo và truyền thông theo Hợp đồng số HDDV/PANTENExVĐxCNO/280825 ký ngày 28/08/2025 (Đợt 1) HĐ số 2</t>
  </si>
  <si>
    <t>Doanh thu Dịch vụ quảng cáo và truyền thông theo Hợp đồng số 080925/HDDV/EUCERINEPICILINEP2/IC-HKDCONGAN ký ngày 08/09/2025 và Biên bản nghiệm thu ký ngày 03/10/2025 HĐ số 3</t>
  </si>
  <si>
    <t>Doanh thu Dịch vụ quảng cáo và truyền thông theo Hợp đồng số CREATIVE/01/150925 ký ngày 15/09/2025 và Biên bản nghiệm thu ký ngày 06/10/2025 HĐ số 4</t>
  </si>
  <si>
    <t>Doanh thu Cung cấp dịch vụ đợt 2 (50%) Hợp đồng số HĐ/1758/2025/METUB ký ngày 01/07/2025 và Biên bản nghiệm thu ký ngày 07/10/2025 HĐ số 5</t>
  </si>
  <si>
    <t>Doanh thu Dịch vụ quảng cáo và truyền thông theo Hợp đồng số 25092025/HĐDV/SE-CONGAN ký ngày 25/09/2025 (Đợt 1) HĐ số 6</t>
  </si>
  <si>
    <t>Doanh thu Phí cung cấp dịch vụ quảng cáo đợt 1 theo hợp đồng số HĐ/1658/2025/VNNL ký ngày 22/09/2025 HĐ số 7</t>
  </si>
  <si>
    <t>Doanh thu Chi phí cung cấp dịch vụ đợt 2 theo Hợp đồng số PR25051/17092025/DYSON-UNO-CONGAN ngày 17/09/2025 và Biên bản nghiệm thu ký ngày 15/10/2025 HĐ số 8</t>
  </si>
  <si>
    <t>Doanh thu Dịch vụ quảng cáo và truyền thông theo Hợp đồng số CREATIVE/01/230925 ký ngày 23/09/2025 và Biên bản nghiệm thu ký ngày 21/10/2025 HĐ số 9</t>
  </si>
  <si>
    <t>Doanh thu Thanh toán 100% phí dịch vụ LP - SERIOXYL ADVOCACY - Video/Livestream - Scope 2 - 3010 SOW số 25375/2025/WPP-BTL-LO ID TIktok: cokimngann HĐ số 10</t>
  </si>
  <si>
    <t>Doanh thu Phí sử dụng hình ảnh theo Hợp đồng số CREATIVE/03/211125 ký ngày 21/11/2025 HĐ số 19</t>
  </si>
  <si>
    <t>Doanh thu Dịch vụ quảng cáo và truyền thông theo Hợp đồng số 13102025/HĐDV-ZEE-TSUBAKI-CONGAN ký ngày 13/10/2025 (Đợt 2) và Biên bản nghiệm thu ký ngày 10/12/2025 HĐ số 20</t>
  </si>
  <si>
    <t>Doanh thu Dịch vụ quảng cáo và truyền thông theo Hợp đồng số 251025/HDDV/NTFLACTOFERRIN/ICON-CONGAN-HKDCONGANOFFICIAL ký ngày 25/10/2025 (Đợt 2) và Biên bản nghiệm thu ký ngày 12/12/2025 HĐ số 21</t>
  </si>
  <si>
    <t>Doanh thu Dịch vụ quảng cáo và truyền thông theo Hợp đồng số 1012/2025/TTS/CONGAN/SHISEIDO ký ngày 10/12/2025 và Biên bản nghiệm thu ký ngày 17/12/2025 HĐ số 22</t>
  </si>
  <si>
    <t>Doanh thu Dịch vụ quảng cáo và truyền thông theo 25112025/HDDV/TCC-CONGAN ký ngày 25/11/2025 và Biên bản nghiệm thu ký ngày 23/12/2025 HĐ số 23</t>
  </si>
  <si>
    <t>Chi phí đi lại, di chuyển HĐ số 39052269</t>
  </si>
  <si>
    <t>Chi phí đi lại, di chuyển HĐ số 41869270</t>
  </si>
  <si>
    <t>Chi phí đi lại, di chuyển HĐ số 42452730</t>
  </si>
  <si>
    <t>Chi phí đi lại, di chuyển HĐ số 40596543</t>
  </si>
  <si>
    <t>Chi phí đi lại, di chuyển HĐ số 43434321</t>
  </si>
  <si>
    <t>Chi phí đi lại, di chuyển HĐ số 43742048</t>
  </si>
  <si>
    <t>Chi phí đi lại, di chuyển HĐ số 44041060</t>
  </si>
  <si>
    <t>Chi phí đi lại, di chuyển HĐ số 44147213</t>
  </si>
  <si>
    <t>Chi phí đi lại, di chuyển HĐ số 41536886</t>
  </si>
  <si>
    <t>Chi phí đi lại, di chuyển HĐ số 44337680</t>
  </si>
  <si>
    <t>Chi phí đi lại, di chuyển HĐ số 44572554</t>
  </si>
  <si>
    <t>Chi phí đi lại, di chuyển HĐ số 44627334</t>
  </si>
  <si>
    <t>Chi phí đi lại, di chuyển HĐ số 44672609</t>
  </si>
  <si>
    <t>Chi phí đi lại, di chuyển HĐ số 44676306</t>
  </si>
  <si>
    <t>Chi phí đi lại, di chuyển HĐ số 42043977</t>
  </si>
  <si>
    <t>Chi phí đi lại, di chuyển HĐ số 45052898</t>
  </si>
  <si>
    <t>Chi phí đi lại, di chuyển HĐ số 45985283</t>
  </si>
  <si>
    <t>Chi phí đi lại, di chuyển HĐ số 46026415</t>
  </si>
  <si>
    <t>Chi phí đi lại, di chuyển HĐ số 46090723</t>
  </si>
  <si>
    <t>Chi phí đi lại, di chuyển HĐ số 46317391</t>
  </si>
  <si>
    <t>Chi phí đi lại, di chuyển HĐ số 47222299</t>
  </si>
  <si>
    <t>Chi phí đi lại, di chuyển HĐ số 47276067</t>
  </si>
  <si>
    <t>Chi phí đi lại, di chuyển HĐ số 48176461</t>
  </si>
  <si>
    <t>Chi phí đi lại, di chuyển HĐ số 48195569</t>
  </si>
  <si>
    <t>Chi phí đi lại, di chuyển HĐ số 48278272</t>
  </si>
  <si>
    <t>Chi phí đi lại, di chuyển HĐ số 48462439</t>
  </si>
  <si>
    <t>Chi phí đi lại, di chuyển HĐ số 48582146</t>
  </si>
  <si>
    <t>Chi phí đi lại, di chuyển HĐ số 46026506</t>
  </si>
  <si>
    <t>Chi phí đi lại, di chuyển HĐ số 48905526</t>
  </si>
  <si>
    <t>Chi phí đi lại, di chuyển HĐ số 49406008</t>
  </si>
  <si>
    <t>Chi phí đi lại, di chuyển HĐ số 49430446</t>
  </si>
  <si>
    <t>Chi phí đi lại, di chuyển HĐ số 49468062</t>
  </si>
  <si>
    <t>Chi phí đi lại, di chuyển HĐ số 49686117</t>
  </si>
  <si>
    <t>Chi phí đi lại, di chuyển HĐ số 49829881</t>
  </si>
  <si>
    <t>Chi phí đi lại, di chuyển HĐ số 50080473</t>
  </si>
  <si>
    <t>Chi phí đi lại, di chuyển HĐ số 50342378</t>
  </si>
  <si>
    <t>Chi phí đi lại, di chuyển HĐ số 50541710</t>
  </si>
  <si>
    <t>Chi phí đi lại, di chuyển HĐ số 50577089</t>
  </si>
  <si>
    <t>Chi phí đi lại, di chuyển HĐ số 50725491</t>
  </si>
  <si>
    <t>Chi phí đi lại, di chuyển HĐ số 50891432</t>
  </si>
  <si>
    <t>Chi phí đi lại, di chuyển HĐ số 50993351</t>
  </si>
  <si>
    <t>Chi phí đi lại, di chuyển HĐ số 51032695</t>
  </si>
  <si>
    <t>Chi phí đi lại, di chuyển HĐ số 48762871</t>
  </si>
  <si>
    <t>Chi phí đi lại, di chuyển HĐ số 51234049</t>
  </si>
  <si>
    <t>Chi phí đi lại, di chuyển HĐ số 51928211</t>
  </si>
  <si>
    <t>Chi phí đi lại, di chuyển HĐ số 53173330</t>
  </si>
  <si>
    <t>Chi phí đi lại, di chuyển HĐ số 50985988</t>
  </si>
  <si>
    <t>Chi phí đi lại, di chuyển HĐ số 53487797</t>
  </si>
  <si>
    <t>Chi phí đi lại, di chuyển HĐ số 53560223</t>
  </si>
  <si>
    <t>Chi phí đi lại, di chuyển HĐ số 54414761</t>
  </si>
  <si>
    <t>Chi phí đi lại, di chuyển HĐ số 52174811</t>
  </si>
  <si>
    <t>Chi phí đi lại, di chuyển HĐ số 54976942</t>
  </si>
  <si>
    <t>Chi phí đi lại, di chuyển HĐ số 1221884</t>
  </si>
  <si>
    <t>Chi phí đi lại, di chuyển HĐ số 53415455</t>
  </si>
  <si>
    <t>Chi phí đi lại, di chuyển HĐ số 55586823</t>
  </si>
  <si>
    <t>Chi phí đi lại, di chuyển HĐ số 55627617</t>
  </si>
  <si>
    <t>Chi phí đi lại, di chuyển HĐ số 55770997</t>
  </si>
  <si>
    <t>Chi phí đi lại, di chuyển HĐ số 55943679</t>
  </si>
  <si>
    <t>Chi phí đi lại, di chuyển HĐ số 54211482</t>
  </si>
  <si>
    <t>Chi phí đi lại, di chuyển HĐ số 57104114</t>
  </si>
  <si>
    <t>Chi phí đi lại, di chuyển HĐ số 57138441</t>
  </si>
  <si>
    <t>Chi phí đi lại, di chuyển HĐ số 57259641</t>
  </si>
  <si>
    <t>Chi phí đi lại, di chuyển HĐ số 57402540</t>
  </si>
  <si>
    <t>Chi phí đi lại, di chuyển HĐ số 57499448</t>
  </si>
  <si>
    <t>Chi phí đi lại, di chuyển HĐ số 55658058</t>
  </si>
  <si>
    <t>Chi phí đi lại, di chuyển HĐ số 58576058</t>
  </si>
  <si>
    <t>Chi phí đi lại, di chuyển HĐ số 58969465</t>
  </si>
  <si>
    <t>Chi phí đi lại, di chuyển HĐ số 59011419</t>
  </si>
  <si>
    <t>Chi phí đi lại, di chuyển HĐ số 59036592</t>
  </si>
  <si>
    <t>Chi phí đi lại, di chuyển HĐ số 57802045</t>
  </si>
  <si>
    <t>Chi phí đi lại, di chuyển HĐ số 59245892</t>
  </si>
  <si>
    <t>Chi phí đi lại, di chuyển HĐ số 59733875</t>
  </si>
  <si>
    <t>Chi phí đi lại, di chuyển HĐ số 58374165</t>
  </si>
  <si>
    <t>Chi phí đi lại, di chuyển HĐ số 58428867</t>
  </si>
  <si>
    <t>Chi phí đi lại, di chuyển HĐ số 59230197</t>
  </si>
  <si>
    <t>Chi phí đi lại, di chuyển HĐ số 60574686</t>
  </si>
  <si>
    <t>Chi phí đi lại, di chuyển HĐ số 60702882</t>
  </si>
  <si>
    <t>Chi phí đi lại, di chuyển HĐ số 60721713</t>
  </si>
  <si>
    <t>Chi phí đi lại, di chuyển HĐ số 60749040</t>
  </si>
  <si>
    <t>Chi phí đi lại, di chuyển HĐ số 60873441</t>
  </si>
  <si>
    <t>Chi phí đi lại, di chuyển HĐ số 60941656</t>
  </si>
  <si>
    <t>Chi phí đi lại, di chuyển HĐ số 61040054</t>
  </si>
  <si>
    <t>Chi phí đi lại, di chuyển HĐ số 59854232</t>
  </si>
  <si>
    <t>Chi phí đi lại, di chuyển HĐ số 59866525</t>
  </si>
  <si>
    <t>Chi phí đi lại, di chuyển HĐ số 60031754</t>
  </si>
  <si>
    <t>Chi phí đi lại, di chuyển HĐ số 61202002</t>
  </si>
  <si>
    <t>Chi phí đi lại, di chuyển HĐ số 61574764</t>
  </si>
  <si>
    <t>Chi phí đi lại, di chuyển HĐ số 61632347</t>
  </si>
  <si>
    <t>Chi phí đi lại, di chuyển HĐ số 61885758</t>
  </si>
  <si>
    <t>Chi phí đi lại, di chuyển HĐ số 61956606</t>
  </si>
  <si>
    <t>Chi phí đi lại, di chuyển HĐ số 61370740</t>
  </si>
  <si>
    <t>Chi phí đi lại, di chuyển HĐ số 62471625</t>
  </si>
  <si>
    <t>Chi phí đi lại, di chuyển HĐ số 62802841</t>
  </si>
  <si>
    <t>Chi phí đi lại, di chuyển HĐ số 62891777</t>
  </si>
  <si>
    <t>Chi phí đi lại, di chuyển HĐ số 62931734</t>
  </si>
  <si>
    <t>Chi phí đi lại, di chuyển HĐ số 62209619</t>
  </si>
  <si>
    <t>Chi phí đi lại, di chuyển HĐ số 63174308</t>
  </si>
  <si>
    <t>Chi phí đi lại, di chuyển HĐ số 63470585</t>
  </si>
  <si>
    <t>Chi phí đi lại, di chuyển HĐ số 63478324</t>
  </si>
  <si>
    <t>Chi phí đi lại, di chuyển HĐ số 63521199</t>
  </si>
  <si>
    <t>Chi phí đi lại, di chuyển HĐ số 62953962</t>
  </si>
  <si>
    <t>Chi phí đi lại, di chuyển HĐ số 63852956</t>
  </si>
  <si>
    <t>Chi phí đi lại, di chuyển HĐ số 64539854</t>
  </si>
  <si>
    <t>Chi phí đi lại, di chuyển HĐ số 64232010</t>
  </si>
  <si>
    <t>Chi phí đi lại, di chuyển HĐ số 64775822</t>
  </si>
  <si>
    <t>Chi phí đi lại, di chuyển HĐ số 64778525</t>
  </si>
  <si>
    <t>Chi phí đi lại, di chuyển HĐ số 64836983</t>
  </si>
  <si>
    <t>Chi phí đi lại, di chuyển HĐ số 64621807</t>
  </si>
  <si>
    <t>Chi phí đi lại, di chuyển HĐ số 65384377</t>
  </si>
  <si>
    <t>Chi phí đi lại, di chuyển HĐ số 65404761</t>
  </si>
  <si>
    <t>Chi phí đi lại, di chuyển HĐ số 65932619</t>
  </si>
  <si>
    <t>Chi phí đi lại, di chuyển HĐ số 65966952</t>
  </si>
  <si>
    <t>Điều chỉnh giảm Doanh thu Dịch vụ quảng cáo và truyền thông theo Hợp đồng số HDDV/PANTENExVĐxCNO/280825 ký ngày 28/08/2025 (Đợt 1) HĐ số 2</t>
  </si>
  <si>
    <t>Điều chỉnh giảm Doanh thu Dịch vụ quảng cáo và truyền thông theo Hợp đồng số 080925/HDDV/EUCERINEPICILINEP2/IC-HKDCONGAN ký ngày 08/09/2025 và Biên bản nghiệm thu ký ngày 03/10/2025 HĐ số 3</t>
  </si>
  <si>
    <t>Điều chỉnh giảm Doanh thu Dịch vụ quảng cáo và truyền thông theo Hợp đồng số CREATIVE/01/150925 ký ngày 15/09/2025 và Biên bản nghiệm thu ký ngày 06/10/2025 HĐ số 4</t>
  </si>
  <si>
    <t>Điều chỉnh giảm Doanh thu Cung cấp dịch vụ đợt 2 (50%) Hợp đồng số HĐ/1758/2025/METUB ký ngày 01/07/2025 và Biên bản nghiệm thu ký ngày 07/10/2025 HĐ số 5</t>
  </si>
  <si>
    <t>Điều chỉnh giảm Doanh thu Dịch vụ quảng cáo và truyền thông theo Hợp đồng số 25092025/HĐDV/SE-CONGAN ký ngày 25/09/2025 (Đợt 1) HĐ số 6</t>
  </si>
  <si>
    <t>Điều chỉnh giảm Doanh thu Phí cung cấp dịch vụ quảng cáo đợt 1 theo hợp đồng số HĐ/1658/2025/VNNL ký ngày 22/09/2025 HĐ số 7</t>
  </si>
  <si>
    <t>Điều chỉnh giảm Doanh thu Chi phí cung cấp dịch vụ đợt 2 theo Hợp đồng số PR25051/17092025/DYSON-UNO-CONGAN ngày 17/09/2025 và Biên bản nghiệm thu ký ngày 15/10/2025 HĐ số 8</t>
  </si>
  <si>
    <t>Điều chỉnh giảm Doanh thu Dịch vụ quảng cáo và truyền thông theo Hợp đồng số CREATIVE/01/230925 ký ngày 23/09/2025 và Biên bản nghiệm thu ký ngày 21/10/2025 HĐ số 9</t>
  </si>
  <si>
    <t>Điều chỉnh giảm Doanh thu Thanh toán 100% phí dịch vụ LP - SERIOXYL ADVOCACY - Video/Livestream - Scope 2 - 3010 SOW số 25375/2025/WPP-BTL-LO ID TIktok: cokimngann HĐ số 10</t>
  </si>
  <si>
    <t>Điều chỉnh giảm Doanh thu Phí sử dụng hình ảnh theo Hợp đồng số CREATIVE/03/211125 ký ngày 21/11/2025 HĐ số 19</t>
  </si>
  <si>
    <t>Điều chỉnh giảm Doanh thu Dịch vụ quảng cáo và truyền thông theo Hợp đồng số 13102025/HĐDV-ZEE-TSUBAKI-CONGAN ký ngày 13/10/2025 (Đợt 2) và Biên bản nghiệm thu ký ngày 10/12/2025 HĐ số 20</t>
  </si>
  <si>
    <t>Điều chỉnh giảm Doanh thu Dịch vụ quảng cáo và truyền thông theo Hợp đồng số 251025/HDDV/NTFLACTOFERRIN/ICON-CONGAN-HKDCONGANOFFICIAL ký ngày 25/10/2025 (Đợt 2) và Biên bản nghiệm thu ký ngày 12/12/2025 HĐ số 21</t>
  </si>
  <si>
    <t>Điều chỉnh giảm Doanh thu Dịch vụ quảng cáo và truyền thông theo Hợp đồng số 1012/2025/TTS/CONGAN/SHISEIDO ký ngày 10/12/2025 và Biên bản nghiệm thu ký ngày 17/12/2025 HĐ số 22</t>
  </si>
  <si>
    <t>Điều chỉnh giảm Doanh thu Dịch vụ quảng cáo và truyền thông theo 25112025/HDDV/TCC-CONGAN ký ngày 25/11/2025 và Biên bản nghiệm thu ký ngày 23/12/2025 HĐ số 23</t>
  </si>
  <si>
    <t>Phí dịch vụ vệ sinh HĐ số 40080</t>
  </si>
  <si>
    <t>Phí dịch vụ vệ sinh HĐ số 43987</t>
  </si>
  <si>
    <t>Phí dịch vụ vệ sinh HĐ số 49878</t>
  </si>
  <si>
    <t>Phí dịch vụ vệ sinh HĐ số 58584</t>
  </si>
  <si>
    <t>Phí dịch vụ vệ sinh HĐ số 65097</t>
  </si>
  <si>
    <t>Chi phí tiếp khách, ngoại giao HĐ số 10517</t>
  </si>
  <si>
    <t>Chi phí tiếp khách, ngoại giao HĐ số 9674</t>
  </si>
  <si>
    <t>Chi phí tiếp khách, ngoại giao HĐ số 8790</t>
  </si>
  <si>
    <t>Chi phí tiếp khách, ngoại giao HĐ số 3189273</t>
  </si>
  <si>
    <t>Chi phí tiếp khách, ngoại giao HĐ số 82377</t>
  </si>
  <si>
    <t>Chi phí tiếp khách, ngoại giao HĐ số 88766</t>
  </si>
  <si>
    <t>Chi phí tiếp khách, ngoại giao HĐ số 606709</t>
  </si>
  <si>
    <t>Chi phí tiếp khách, ngoại giao HĐ số 122933</t>
  </si>
  <si>
    <t>Chi phí tiếp khách, ngoại giao HĐ số 28677</t>
  </si>
  <si>
    <t>Chi phí tiếp khách, ngoại giao HĐ số 223772</t>
  </si>
  <si>
    <t>Chi phí tiếp khách, ngoại giao HĐ số 3775</t>
  </si>
  <si>
    <t>Chi phí dịch vụ mua ngoài HĐ số 78377</t>
  </si>
  <si>
    <t>Chi phí đồ dùng văn phòng HĐ số 341331</t>
  </si>
  <si>
    <t>Chi phí tiếp khách, ngoại giao HĐ số 10885</t>
  </si>
  <si>
    <t>Chi phí tiếp khách, ngoại giao HĐ số 4622</t>
  </si>
  <si>
    <t>Chi phí tiếp khách, ngoại giao HĐ số 7139</t>
  </si>
  <si>
    <t>Chi phí tiếp khách, ngoại giao HĐ số 92256</t>
  </si>
  <si>
    <t>Chi phí tiếp khách, ngoại giao HĐ số 8869</t>
  </si>
  <si>
    <t>Chi phí tiếp khách, ngoại giao HĐ số 15198</t>
  </si>
  <si>
    <t>Chi phí tiếp khách, ngoại giao HĐ số 122262</t>
  </si>
  <si>
    <t>Chi phí tiếp khách, ngoại giao HĐ số 103024</t>
  </si>
  <si>
    <t>Chi phí tiếp khách, ngoại giao HĐ số 23181</t>
  </si>
  <si>
    <t>Chi phí tiếp khách, ngoại giao HĐ số 24379</t>
  </si>
  <si>
    <t>Chi phí tiếp khách, ngoại giao HĐ số 52540</t>
  </si>
  <si>
    <t>Chi phí tiếp khách, ngoại giao HĐ số 22111</t>
  </si>
  <si>
    <t>Chi phí tiếp khách, ngoại giao HĐ số 2315</t>
  </si>
  <si>
    <t>Chi phí tiếp khách, ngoại giao HĐ số 2790</t>
  </si>
  <si>
    <t>Chi phí tiếp khách, ngoại giao HĐ số 2791</t>
  </si>
  <si>
    <t>Chi phí tiếp khách, ngoại giao HĐ số 26786</t>
  </si>
  <si>
    <t>Chi phí tiếp khách, ngoại giao HĐ số 101773</t>
  </si>
  <si>
    <t>Chi phí đồ dùng văn phòng HĐ số 217254</t>
  </si>
  <si>
    <t>Chi phí tiếp khách, ngoại giao HĐ số 9555</t>
  </si>
  <si>
    <t>Chi phí tiếp khách, ngoại giao HĐ số 14809</t>
  </si>
  <si>
    <t>Chi phí tiếp khách, ngoại giao HĐ số 125702</t>
  </si>
  <si>
    <t>Chi phí tiếp khách, ngoại giao HĐ số 57563</t>
  </si>
  <si>
    <t>Chi phí tiếp khách, ngoại giao HĐ số 56457</t>
  </si>
  <si>
    <t>Chi phí tiếp khách, ngoại giao HĐ số 17499</t>
  </si>
  <si>
    <t>Chi phí dịch vụ mua ngoài HĐ số 55573</t>
  </si>
  <si>
    <t>Chi phí tiếp khách, ngoại giao HĐ số 10948</t>
  </si>
  <si>
    <t>Chi phí đồ dùng văn phòng HĐ số 41993</t>
  </si>
  <si>
    <t>Chi phí tiếp khách, ngoại giao HĐ số 6263</t>
  </si>
  <si>
    <t>Chi phí tiếp khách, ngoại giao HĐ số 5301</t>
  </si>
  <si>
    <t>Chi phí tiếp khách, ngoại giao HĐ số 22787</t>
  </si>
  <si>
    <t>Chi phí tiếp khách, ngoại giao HĐ số 1484</t>
  </si>
  <si>
    <t>Chi phí tiếp khách, ngoại giao HĐ số 11127</t>
  </si>
  <si>
    <t>Chi phí tiếp khách, ngoại giao HĐ số 12680</t>
  </si>
  <si>
    <t>Chi phí tiếp khách, ngoại giao HĐ số 11327905</t>
  </si>
  <si>
    <t>Chi phí tiếp khách, ngoại giao HĐ số 475</t>
  </si>
  <si>
    <t>Chi phí tiếp khách, ngoại giao HĐ số 11448557</t>
  </si>
  <si>
    <t>Chi phí tiếp khách, ngoại giao HĐ số 1479</t>
  </si>
  <si>
    <t>Chi phí tiếp khách, ngoại giao HĐ số 10690</t>
  </si>
  <si>
    <t>Chi phí tiếp khách, ngoại giao HĐ số 24867</t>
  </si>
  <si>
    <t>Chi phí tiếp khách, ngoại giao HĐ số 16270</t>
  </si>
  <si>
    <t>Chi phí tiếp khách, ngoại giao HĐ số 24958</t>
  </si>
  <si>
    <t>Chi phí tiếp khách, ngoại giao HĐ số 11351</t>
  </si>
  <si>
    <t>Chi phí tiếp khách, ngoại giao HĐ số 557</t>
  </si>
  <si>
    <t>Chi phí tiếp khách, ngoại giao HĐ số 102090</t>
  </si>
  <si>
    <t>Chi phí tiếp khách, ngoại giao HĐ số 28501</t>
  </si>
  <si>
    <t>Chi phí tiếp khách, ngoại giao HĐ số 3566819</t>
  </si>
  <si>
    <t>Chi phí tiếp khách, ngoại giao HĐ số 8826</t>
  </si>
  <si>
    <t>Chi phí tiếp khách, ngoại giao HĐ số 92707</t>
  </si>
  <si>
    <t>Chi phí đồ dùng văn phòng HĐ số 674</t>
  </si>
  <si>
    <t>Chi phí tiếp khách, ngoại giao HĐ số 10136</t>
  </si>
  <si>
    <t>Chi phí tiếp khách, ngoại giao HĐ số 29130</t>
  </si>
  <si>
    <t>Chi phí tiếp khách, ngoại giao HĐ số 6441</t>
  </si>
  <si>
    <t>Chi phí tiếp khách, ngoại giao HĐ số 308855</t>
  </si>
  <si>
    <t>Chi phí tiếp khách, ngoại giao HĐ số 143</t>
  </si>
  <si>
    <t>Chi phí tiếp khách, ngoại giao HĐ số 55280</t>
  </si>
  <si>
    <t>Chi phí tiếp khách, ngoại giao HĐ số 384</t>
  </si>
  <si>
    <t>Chi phí đồ dùng văn phòng HĐ số 3051</t>
  </si>
  <si>
    <t>Chi phí tiếp khách, ngoại giao HĐ số 10447</t>
  </si>
  <si>
    <t>Chi phí tiếp khách, ngoại giao HĐ số 59876</t>
  </si>
  <si>
    <t>Chi phí tiếp khách, ngoại giao HĐ số 94090</t>
  </si>
  <si>
    <t>Chi phí tiếp khách, ngoại giao HĐ số 1518</t>
  </si>
  <si>
    <t>Chi phí tiếp khách, ngoại giao HĐ số 10299</t>
  </si>
  <si>
    <t>Chi phí tiếp khách, ngoại giao HĐ số 73752</t>
  </si>
  <si>
    <t>Chi phí tiếp khách, ngoại giao HĐ số 3670896</t>
  </si>
  <si>
    <t>Chi phí tiếp khách, ngoại giao HĐ số 11903</t>
  </si>
  <si>
    <t>Chi phí tiếp khách, ngoại giao HĐ số 1686</t>
  </si>
  <si>
    <t>Chi phí tiếp khách, ngoại giao HĐ số 66511</t>
  </si>
  <si>
    <t>Chi phí tiếp khách, ngoại giao HĐ số 462</t>
  </si>
  <si>
    <t>Chi phí tiếp khách, ngoại giao HĐ số 993</t>
  </si>
  <si>
    <t>Chi phí tiếp khách, ngoại giao HĐ số 4008</t>
  </si>
  <si>
    <t>Chi phí tiếp khách, ngoại giao HĐ số 109419</t>
  </si>
  <si>
    <t>Chi phí tiếp khách, ngoại giao HĐ số 142923</t>
  </si>
  <si>
    <t>Chi phí tiếp khách, ngoại giao HĐ số 2006</t>
  </si>
  <si>
    <t>Chi phí tiếp khách, ngoại giao HĐ số 97270</t>
  </si>
  <si>
    <t>Chi phí tiếp khách, ngoại giao HĐ số 568</t>
  </si>
  <si>
    <t>Chi phí tiếp khách, ngoại giao HĐ số 1136</t>
  </si>
  <si>
    <t>Chi phí tiếp khách, ngoại giao HĐ số 395091</t>
  </si>
  <si>
    <t>Chi phí tiếp khách, ngoại giao HĐ số 10292774</t>
  </si>
  <si>
    <t>Chi phí đồ dùng văn phòng HĐ số 5519</t>
  </si>
  <si>
    <t>Chi phí đồ dùng văn phòng HĐ số 5520</t>
  </si>
  <si>
    <t>Chi phí tiếp khách, ngoại giao HĐ số 62506</t>
  </si>
  <si>
    <t>Chi phí tiếp khách, ngoại giao HĐ số 850992</t>
  </si>
  <si>
    <t>Chi phí tiếp khách, ngoại giao HĐ số 5611</t>
  </si>
  <si>
    <t>Chi phí tiếp khách, ngoại giao HĐ số 145276</t>
  </si>
  <si>
    <t>Chi phí tiếp khách, ngoại giao HĐ số 332405</t>
  </si>
  <si>
    <t>Chi phí tiếp khách, ngoại giao HĐ số 3786185</t>
  </si>
  <si>
    <t>Chi phí tiếp khách, ngoại giao HĐ số 7607</t>
  </si>
  <si>
    <t>Chi phí đồ dùng văn phòng HĐ số 12111280</t>
  </si>
  <si>
    <t>Chi phí tiếp khách, ngoại giao HĐ số 170</t>
  </si>
  <si>
    <t>Chi phí tiếp khách, ngoại giao HĐ số 18358</t>
  </si>
  <si>
    <t>Chi phí tiếp khách, ngoại giao HĐ số 3804016</t>
  </si>
  <si>
    <t>Chi phí tiếp khách, ngoại giao HĐ số 99290</t>
  </si>
  <si>
    <t>Chi phí tiếp khách, ngoại giao HĐ số 2214</t>
  </si>
  <si>
    <t>Chi phí tiếp khách, ngoại giao HĐ số 22224</t>
  </si>
  <si>
    <t>Chi phí dịch vụ mua ngoài HĐ số 29206</t>
  </si>
  <si>
    <t>Chi phí tiếp khách, ngoại giao HĐ số 273</t>
  </si>
  <si>
    <t>Chi phí tiếp khách, ngoại giao HĐ số 114038</t>
  </si>
  <si>
    <t>Chi phí đồ dùng văn phòng HĐ số 1013402</t>
  </si>
  <si>
    <t>Chi phí tiếp khách, ngoại giao HĐ số 114483</t>
  </si>
  <si>
    <t>Chi phí tiếp khách, ngoại giao HĐ số 114518</t>
  </si>
  <si>
    <t>Chi phí tiếp khách, ngoại giao HĐ số 28246</t>
  </si>
  <si>
    <t>Chi phí tiếp khách, ngoại giao HĐ số 149370</t>
  </si>
  <si>
    <t>Chi phí tiếp khách, ngoại giao HĐ số 1158260</t>
  </si>
  <si>
    <t>Chi phí vận chuyển HĐ số 51127</t>
  </si>
  <si>
    <t>Chi phí tiếp khách, ngoại giao HĐ số 11566</t>
  </si>
  <si>
    <t>Chi phí tiếp khách, ngoại giao HĐ số 10692922</t>
  </si>
  <si>
    <t>Chi phí tiếp khách, ngoại giao HĐ số 12273</t>
  </si>
  <si>
    <t>Chi phí vận chuyển HĐ số 27529</t>
  </si>
  <si>
    <t>Chi phí tiếp khách, ngoại giao HĐ số 116945</t>
  </si>
  <si>
    <t>Chi phí tiếp khách, ngoại giao HĐ số 96124</t>
  </si>
  <si>
    <t>Chi phí tiếp khách, ngoại giao HĐ số 833</t>
  </si>
  <si>
    <t>Chi phí tiếp khách, ngoại giao HĐ số 545</t>
  </si>
  <si>
    <t>Chi phí tiếp khách, ngoại giao HĐ số 118531</t>
  </si>
  <si>
    <t>Chi phí tiếp khách, ngoại giao HĐ số 27771</t>
  </si>
  <si>
    <t>Chi phí tiếp khách, ngoại giao HĐ số 3765</t>
  </si>
  <si>
    <t>Chi phí tiếp khách, ngoại giao HĐ số 14697</t>
  </si>
  <si>
    <t>Chi phí dịch vụ mua ngoài HĐ số 122541</t>
  </si>
  <si>
    <t>Chi phí tiếp khách, ngoại giao HĐ số 957334</t>
  </si>
  <si>
    <t>Chi phí đồ dùng văn phòng HĐ số 11415</t>
  </si>
  <si>
    <t>Chi phí tiếp khách, ngoại giao HĐ số 66</t>
  </si>
  <si>
    <t>Chi phí tiếp khách, ngoại giao HĐ số 122748</t>
  </si>
  <si>
    <t>Chi phí tiếp khách, ngoại giao HĐ số 282945</t>
  </si>
  <si>
    <t>Chi phí tiếp khách, ngoại giao HĐ số 35457</t>
  </si>
  <si>
    <t>Chi phí tiếp khách, ngoại giao HĐ số 123570</t>
  </si>
  <si>
    <t>Chi phí tiếp khách, ngoại giao HĐ số 826</t>
  </si>
  <si>
    <t>Chi phí tiếp khách, ngoại giao HĐ số 1606</t>
  </si>
  <si>
    <t>Chi phí tiếp khách, ngoại giao HĐ số 5489</t>
  </si>
  <si>
    <t>Chi phí tiếp khách, ngoại giao HĐ số 124036</t>
  </si>
  <si>
    <t>Chi phí tiếp khách, ngoại giao HĐ số 648583</t>
  </si>
  <si>
    <t>Chi phí tiếp khách, ngoại giao HĐ số 1231743</t>
  </si>
  <si>
    <t>Phí dịch vụ tư vấn tháng 09/2025 HĐ số 129</t>
  </si>
  <si>
    <t>Phí dịch vụ tư vấn tháng 10/2025 HĐ số 185</t>
  </si>
  <si>
    <t>Phí dịch vụ tư vấn tháng 11/2025 HĐ số 189</t>
  </si>
  <si>
    <t>Doanh thu Dịch vụ quảng cáo và truyền thông theo Hợp đồng số 20250905HDDV/MEISHANG – TRUONGNHADINH ký ngày 05/09/2025 HĐ số 6</t>
  </si>
  <si>
    <t>Doanh thu Dịch vụ quảng cáo và truyền thông theo Hợp đồng số HKD TND_ GARNIER_ON_TOP_01102025 ký ngày 01/10/2025 (Đợt 1) HĐ số 7</t>
  </si>
  <si>
    <t>Doanh thu Dịch vụ quảng cáo và truyền thông theo Hợp đồng số HKD TND_ GARNIER_ON_TOP_01102025 ký ngày 01/10/2025 (Đợt 2) và Biên bản nghiệm thu ký ngày 10/10/2025 HĐ số 8</t>
  </si>
  <si>
    <t>Doanh thu Dịch vụ quảng cáo và truyền thông theo Hợp đồng số 20251020HDDV/TRENDIFY – tnhadinh ký ngày 22/10/2025 HĐ số 9</t>
  </si>
  <si>
    <t>Doanh thu Dịch vụ quảng cáo và truyền thông theo Hợp đồng số 2211/2025/HĐDV/BS-TND ký ngày 22/11/2025 và Biên bản nghiệm thu ký ngày 03/12/2025 HĐ số 12</t>
  </si>
  <si>
    <t>Doanh thu Dịch vụ quảng cáo và truyền thông theo Hợp đồng số 20251117HDDV/TRENDIFY-HKD.TND ký ngày 17/11/2025 HĐ số 13</t>
  </si>
  <si>
    <t>Doanh thu Thanh toán 100% phí dịch vụ OAP - UV AQUA - VIDEO - Scope 3 - 1012 - PO 4001523586 SOW số 30735/2025/WPP-BTL-LO ID Tiktok: tnhadinh HĐ số 14</t>
  </si>
  <si>
    <t>Doanh thu Thanh toán 100% phí dịch vụ OAP - HA Campaign - Video - Scope 3 - 3011 - PO 4001524261 SOW số 28530/2025/WPP-BTL-LO ID Tiktok: tnhadinh HĐ số 15</t>
  </si>
  <si>
    <t>Doanh thu Dịch vụ quảng cáo và truyền thông theo Hợp đồng số MDA/20251212/2456 ngày 11/11/2025 kèm Biên bản nghiệm thu và thanh lý ngày 19/12/2025 HĐ số 16</t>
  </si>
  <si>
    <t>Điều chỉnh giảm Doanh thu Dịch vụ quảng cáo và truyền thông theo Hợp đồng số 20250905HDDV/MEISHANG – TRUONGNHADINH ký ngày 05/09/2025 HĐ số 6</t>
  </si>
  <si>
    <t>Điều chỉnh giảm Doanh thu Dịch vụ quảng cáo và truyền thông theo Hợp đồng số HKD TND_ GARNIER_ON_TOP_01102025 ký ngày 01/10/2025 (Đợt 1) HĐ số 7</t>
  </si>
  <si>
    <t>Điều chỉnh giảm Doanh thu Dịch vụ quảng cáo và truyền thông theo Hợp đồng số HKD TND_ GARNIER_ON_TOP_01102025 ký ngày 01/10/2025 (Đợt 2) và Biên bản nghiệm thu ký ngày 10/10/2025 HĐ số 8</t>
  </si>
  <si>
    <t>Điều chỉnh giảm Doanh thu Dịch vụ quảng cáo và truyền thông theo Hợp đồng số 20251020HDDV/TRENDIFY – tnhadinh ký ngày 22/10/2025 HĐ số 9</t>
  </si>
  <si>
    <t>Điều chỉnh giảm Doanh thu Dịch vụ quảng cáo và truyền thông theo Hợp đồng số 2211/2025/HĐDV/BS-TND ký ngày 22/11/2025 và Biên bản nghiệm thu ký ngày 03/12/2025 HĐ số 12</t>
  </si>
  <si>
    <t>Điều chỉnh giảm Doanh thu Dịch vụ quảng cáo và truyền thông theo Hợp đồng số 20251117HDDV/TRENDIFY-HKD.TND ký ngày 17/11/2025 HĐ số 13</t>
  </si>
  <si>
    <t>Điều chỉnh giảm Doanh thu Thanh toán 100% phí dịch vụ OAP - UV AQUA - VIDEO - Scope 3 - 1012 - PO 4001523586 SOW số 30735/2025/WPP-BTL-LO ID Tiktok: tnhadinh HĐ số 14</t>
  </si>
  <si>
    <t>Điều chỉnh giảm Doanh thu Thanh toán 100% phí dịch vụ OAP - HA Campaign - Video - Scope 3 - 3011 - PO 4001524261 SOW số 28530/2025/WPP-BTL-LO ID Tiktok: tnhadinh HĐ số 15</t>
  </si>
  <si>
    <t>Điều chỉnh giảm Doanh thu Dịch vụ quảng cáo và truyền thông theo Hợp đồng số MDA/20251212/2456 ngày 11/11/2025 kèm Biên bản nghiệm thu và thanh lý ngày 19/12/2025 HĐ số 16</t>
  </si>
  <si>
    <t>0312357541</t>
  </si>
  <si>
    <t>0309910540</t>
  </si>
  <si>
    <t>0312392923</t>
  </si>
  <si>
    <t>0318648120</t>
  </si>
  <si>
    <t>0311854540-003</t>
  </si>
  <si>
    <t>0108269207-008</t>
  </si>
  <si>
    <t>0110614309</t>
  </si>
  <si>
    <t>0313175103</t>
  </si>
  <si>
    <t>0314047922</t>
  </si>
  <si>
    <t>0318766660</t>
  </si>
  <si>
    <t>0316446129</t>
  </si>
  <si>
    <t>0318336266-001</t>
  </si>
  <si>
    <t>0314673013</t>
  </si>
  <si>
    <t>0312222833-005</t>
  </si>
  <si>
    <t>0318861674</t>
  </si>
  <si>
    <t>0318755115</t>
  </si>
  <si>
    <t>0108104540</t>
  </si>
  <si>
    <t>Chi phí vé máy bay HĐ số 59909</t>
  </si>
  <si>
    <t>Chi phí vé máy bay HĐ số 59910</t>
  </si>
  <si>
    <t>Phần mềm hóa đơn điện tử (1 năm) HĐ số 4145</t>
  </si>
  <si>
    <t>Phí thí nghiệm mẫu HĐ số 8327</t>
  </si>
  <si>
    <t>Chi phí vận chuyển HĐ số 30609045</t>
  </si>
  <si>
    <t>Chi phí vận chuyển HĐ số 30718459</t>
  </si>
  <si>
    <t>Chi phí vận chuyển HĐ số 30755442</t>
  </si>
  <si>
    <t>Chi phí tiếp khách, ngoại giao HĐ số 520</t>
  </si>
  <si>
    <t>Chi phí tiếp khách, ngoại giao HĐ số 21998</t>
  </si>
  <si>
    <t>Chi phí vận chuyển HĐ số 31414629</t>
  </si>
  <si>
    <t>Chi phí vận chuyển HĐ số 31866755</t>
  </si>
  <si>
    <t>Chi phí vận chuyển HĐ số 31926338</t>
  </si>
  <si>
    <t>Chi phí vận chuyển HĐ số 32023308</t>
  </si>
  <si>
    <t>Chi phí vận chuyển HĐ số 32066810</t>
  </si>
  <si>
    <t>Chi phí vận chuyển HĐ số 32497032</t>
  </si>
  <si>
    <t>Chi phí đồ dùng văn phòng HĐ số 18129</t>
  </si>
  <si>
    <t>Chi phí vận chuyển HĐ số 33088480</t>
  </si>
  <si>
    <t>Chi phí vận chuyển HĐ số 33100652</t>
  </si>
  <si>
    <t>Chi phí vận chuyển HĐ số 33308038</t>
  </si>
  <si>
    <t>Chi phí vận chuyển HĐ số 33320886</t>
  </si>
  <si>
    <t>Chi phí vận chuyển HĐ số 33398674</t>
  </si>
  <si>
    <t>Chi phí vận chuyển HĐ số 15875009</t>
  </si>
  <si>
    <t>Chi phí vận chuyển HĐ số 33435763</t>
  </si>
  <si>
    <t>Chi phí vận chuyển HĐ số 33533575</t>
  </si>
  <si>
    <t>Chi phí vận chuyển HĐ số 33558883</t>
  </si>
  <si>
    <t>Chi phí tiếp khách, ngoại giao HĐ số 729</t>
  </si>
  <si>
    <t>Chi phí vận chuyển HĐ số 33784177</t>
  </si>
  <si>
    <t>Chi phí vận chuyển HĐ số 33806250</t>
  </si>
  <si>
    <t>Chi phí tiếp khách, ngoại giao HĐ số 392</t>
  </si>
  <si>
    <t>Chi phí vận chuyển HĐ số 33936597</t>
  </si>
  <si>
    <t>Chi phí vận chuyển HĐ số 34055275</t>
  </si>
  <si>
    <t>Chi phí vận chuyển HĐ số 34080431</t>
  </si>
  <si>
    <t>Chi phí vận chuyển HĐ số 34094036</t>
  </si>
  <si>
    <t>Chi phí vận chuyển HĐ số 34135843</t>
  </si>
  <si>
    <t>Chi phí vận chuyển HĐ số 34155452</t>
  </si>
  <si>
    <t>Chi phí vận chuyển HĐ số 34205734</t>
  </si>
  <si>
    <t>Chi phí vận chuyển HĐ số 34298057</t>
  </si>
  <si>
    <t>Chi phí vận chuyển HĐ số 34343393</t>
  </si>
  <si>
    <t>Chi phí vận chuyển HĐ số 16350062</t>
  </si>
  <si>
    <t>Chi phí vận chuyển HĐ số 34570875</t>
  </si>
  <si>
    <t>Chi phí vận chuyển HĐ số 34595046</t>
  </si>
  <si>
    <t>Chi phí vận chuyển HĐ số 34932144</t>
  </si>
  <si>
    <t>Chi phí vận chuyển HĐ số 34949323</t>
  </si>
  <si>
    <t>Chi phí vận chuyển HĐ số 35082605</t>
  </si>
  <si>
    <t>Chi phí vận chuyển HĐ số 35091464</t>
  </si>
  <si>
    <t>Chi phí vận chuyển HĐ số 35187497</t>
  </si>
  <si>
    <t>Chi phí tiếp khách, ngoại giao HĐ số 25358</t>
  </si>
  <si>
    <t>Chi phí vận chuyển HĐ số 93584</t>
  </si>
  <si>
    <t>Chi phí vận chuyển HĐ số 93586</t>
  </si>
  <si>
    <t>Chi phí vận chuyển HĐ số 35578821</t>
  </si>
  <si>
    <t>Chi phí vận chuyển HĐ số 35579902</t>
  </si>
  <si>
    <t>Chi phí vận chuyển HĐ số 93614</t>
  </si>
  <si>
    <t>Chi phí vận chuyển HĐ số 93615</t>
  </si>
  <si>
    <t>Chi phí vận chuyển HĐ số 93623</t>
  </si>
  <si>
    <t>Chi phí vận chuyển HĐ số 93627</t>
  </si>
  <si>
    <t>Chi phí vận chuyển HĐ số 35599636</t>
  </si>
  <si>
    <t>Chi phí vận chuyển HĐ số 35600877</t>
  </si>
  <si>
    <t>Chi phí vận chuyển HĐ số 35601087</t>
  </si>
  <si>
    <t>Chi phí vận chuyển HĐ số 35601837</t>
  </si>
  <si>
    <t>Chi phí vận chuyển HĐ số 35604563</t>
  </si>
  <si>
    <t>Chi phí vận chuyển HĐ số 35604742</t>
  </si>
  <si>
    <t>Chi phí vận chuyển HĐ số 35605546</t>
  </si>
  <si>
    <t>Chi phí vận chuyển HĐ số 35747959</t>
  </si>
  <si>
    <t>Chi phí tiếp khách, ngoại giao HĐ số 8797</t>
  </si>
  <si>
    <t>Chi phí đồ dùng văn phòng HĐ số 294446</t>
  </si>
  <si>
    <t>Chi phí vận chuyển HĐ số 35882800</t>
  </si>
  <si>
    <t>Chi phí vận chuyển HĐ số 35884712</t>
  </si>
  <si>
    <t>Chi phí vận chuyển HĐ số 35885403</t>
  </si>
  <si>
    <t>Chi phí vận chuyển HĐ số 35885956</t>
  </si>
  <si>
    <t>Chi phí tiếp khách, ngoại giao HĐ số 4952</t>
  </si>
  <si>
    <t>Chi phí tiếp khách, ngoại giao HĐ số 24049</t>
  </si>
  <si>
    <t>Chi phí vận chuyển HĐ số 35891601</t>
  </si>
  <si>
    <t>Chi phí vận chuyển HĐ số 35892620</t>
  </si>
  <si>
    <t>Chi phí vận chuyển HĐ số 35893759</t>
  </si>
  <si>
    <t>Chi phí vận chuyển HĐ số 35896607</t>
  </si>
  <si>
    <t>Chi phí vận chuyển HĐ số 35945063</t>
  </si>
  <si>
    <t>Chi phí vận chuyển HĐ số 35948546</t>
  </si>
  <si>
    <t>Chi phí tiếp khách, ngoại giao HĐ số 21971</t>
  </si>
  <si>
    <t>Chi phí đồ dùng văn phòng HĐ số 24668</t>
  </si>
  <si>
    <t>Chi phí đồ dùng văn phòng HĐ số 866508</t>
  </si>
  <si>
    <t>Chi phí đồ dùng văn phòng HĐ số 241</t>
  </si>
  <si>
    <t>Chi phí vận chuyển HĐ số 17335711</t>
  </si>
  <si>
    <t>Chi phí vận chuyển HĐ số 36612647</t>
  </si>
  <si>
    <t>Chi phí vận chuyển HĐ số 36639460</t>
  </si>
  <si>
    <t>Chi phí vận chuyển HĐ số 36655289</t>
  </si>
  <si>
    <t>Chi phí vận chuyển HĐ số 36713451</t>
  </si>
  <si>
    <t>Chi phí vận chuyển HĐ số 36728595</t>
  </si>
  <si>
    <t>Chi phí vận chuyển HĐ số 36740861</t>
  </si>
  <si>
    <t>Chi phí vận chuyển HĐ số 36998213</t>
  </si>
  <si>
    <t>Chi phí vận chuyển HĐ số 37808460</t>
  </si>
  <si>
    <t>Chi phí vận chuyển HĐ số 38899162</t>
  </si>
  <si>
    <t>Chi phí vận chuyển HĐ số 38919516</t>
  </si>
  <si>
    <t>Chi phí vận chuyển HĐ số 38979411</t>
  </si>
  <si>
    <t>Chi phí vận chuyển HĐ số 39016356</t>
  </si>
  <si>
    <t>Chi phí vận chuyển HĐ số 39051750</t>
  </si>
  <si>
    <t>Chi phí vận chuyển HĐ số 39078881</t>
  </si>
  <si>
    <t>Chi phí vận chuyển HĐ số 39097548</t>
  </si>
  <si>
    <t>Chi phí đồ dùng văn phòng HĐ số 388</t>
  </si>
  <si>
    <t>Chi phí vận chuyển HĐ số 39626868</t>
  </si>
  <si>
    <t>Chi phí vận chuyển HĐ số 39779630</t>
  </si>
  <si>
    <t>Chi phí tiếp khách, ngoại giao HĐ số 30286</t>
  </si>
  <si>
    <t>Chi phí tiếp khách, ngoại giao HĐ số 3577314</t>
  </si>
  <si>
    <t>Chi phí vận chuyển HĐ số 41481658</t>
  </si>
  <si>
    <t>Chi phí vận chuyển HĐ số 19724974</t>
  </si>
  <si>
    <t>Chi phí vận chuyển HĐ số 41622007</t>
  </si>
  <si>
    <t>Chi phí vận chuyển HĐ số 41669535</t>
  </si>
  <si>
    <t>Chi phí vận chuyển HĐ số 41721536</t>
  </si>
  <si>
    <t>Chi phí tiếp khách, ngoại giao HĐ số 1910</t>
  </si>
  <si>
    <t>Chi phí vận chuyển HĐ số 41839431</t>
  </si>
  <si>
    <t>Chi phí tiếp khách, ngoại giao HĐ số 12867</t>
  </si>
  <si>
    <t>Chi phí tiếp khách, ngoại giao HĐ số 41262</t>
  </si>
  <si>
    <t>Chi phí vận chuyển HĐ số 42075566</t>
  </si>
  <si>
    <t>Chi phí vận chuyển HĐ số 42175014</t>
  </si>
  <si>
    <t>Chi phí tiếp khách, ngoại giao HĐ số 18414</t>
  </si>
  <si>
    <t>Chi phí vận chuyển HĐ số 42328243</t>
  </si>
  <si>
    <t>Chi phí vận chuyển HĐ số 42374019</t>
  </si>
  <si>
    <t>Chi phí vận chuyển HĐ số 42391066</t>
  </si>
  <si>
    <t>Chi phí vận chuyển HĐ số 42442168</t>
  </si>
  <si>
    <t>Chi phí tiếp khách, ngoại giao HĐ số 6005</t>
  </si>
  <si>
    <t>Chi phí vận chuyển HĐ số 985533</t>
  </si>
  <si>
    <t>Chi phí vận chuyển HĐ số 991561</t>
  </si>
  <si>
    <t>Chi phí vận chuyển HĐ số 1015725</t>
  </si>
  <si>
    <t>Chi phí vận chuyển HĐ số 1021398</t>
  </si>
  <si>
    <t>Chi phí vận chuyển HĐ số 1060117</t>
  </si>
  <si>
    <t>Chi phí vận chuyển HĐ số 1095218</t>
  </si>
  <si>
    <t>Chi phí vận chuyển HĐ số 42756646</t>
  </si>
  <si>
    <t>Chi phí vận chuyển HĐ số 42766879</t>
  </si>
  <si>
    <t>Chi phí vận chuyển HĐ số 42788403</t>
  </si>
  <si>
    <t>Chi phí vận chuyển HĐ số 42893125</t>
  </si>
  <si>
    <t>Chi phí vận chuyển HĐ số 1176610</t>
  </si>
  <si>
    <t>Chi phí vận chuyển HĐ số 1186995</t>
  </si>
  <si>
    <t>Chi phí vận chuyển HĐ số 1236698</t>
  </si>
  <si>
    <t>Chi phí vận chuyển HĐ số 1270795</t>
  </si>
  <si>
    <t>Chi phí vận chuyển HĐ số 1307961</t>
  </si>
  <si>
    <t>Chi phí vận chuyển HĐ số 1315853</t>
  </si>
  <si>
    <t>Chi phí vận chuyển HĐ số 1335673</t>
  </si>
  <si>
    <t>Chi phí vận chuyển HĐ số 1345908</t>
  </si>
  <si>
    <t>Chi phí vận chuyển HĐ số 1387753</t>
  </si>
  <si>
    <t>Chi phí vận chuyển HĐ số 1425467</t>
  </si>
  <si>
    <t>Chi phí vận chuyển HĐ số 1490070</t>
  </si>
  <si>
    <t>Chi phí vận chuyển HĐ số 1508106</t>
  </si>
  <si>
    <t>Chi phí vận chuyển HĐ số 1520956</t>
  </si>
  <si>
    <t>Chi phí vận chuyển HĐ số 425642</t>
  </si>
  <si>
    <t>Chi phí vận chuyển HĐ số 434035</t>
  </si>
  <si>
    <t>Chi phí vận chuyển HĐ số 475013</t>
  </si>
  <si>
    <t>Chi phí vận chuyển HĐ số 517655</t>
  </si>
  <si>
    <t>Chi phí vận chuyển HĐ số 633726</t>
  </si>
  <si>
    <t>Chi phí vận chuyển HĐ số 666274</t>
  </si>
  <si>
    <t>Chi phí vận chuyển HĐ số 390115</t>
  </si>
  <si>
    <t>Chi phí vận chuyển HĐ số 867386</t>
  </si>
  <si>
    <t>Chi phí vận chuyển HĐ số 933662</t>
  </si>
  <si>
    <t>Chi phí vận chuyển HĐ số 944246</t>
  </si>
  <si>
    <t>Chi phí vận chuyển HĐ số 1067882</t>
  </si>
  <si>
    <t>Chi phí vận chuyển HĐ số 1082516</t>
  </si>
  <si>
    <t>Chi phí vận chuyển HĐ số 1091594</t>
  </si>
  <si>
    <t>Chi phí vận chuyển HĐ số 1161255</t>
  </si>
  <si>
    <t>Chi phí vận chuyển HĐ số 1186584</t>
  </si>
  <si>
    <t>Chi phí vận chuyển HĐ số 1292624</t>
  </si>
  <si>
    <t>Chi phí vận chuyển HĐ số 1327572</t>
  </si>
  <si>
    <t>Chi phí vận chuyển HĐ số 1373824</t>
  </si>
  <si>
    <t>Chi phí vận chuyển HĐ số 1411423</t>
  </si>
  <si>
    <t>Chi phí tiếp khách, ngoại giao HĐ số 2215</t>
  </si>
  <si>
    <t>Chi phí đồ dùng văn phòng HĐ số 104655</t>
  </si>
  <si>
    <t>Chi phí vận chuyển HĐ số 1498942</t>
  </si>
  <si>
    <t>Chi phí vận chuyển HĐ số 1505594</t>
  </si>
  <si>
    <t>Chi phí vận chuyển HĐ số 1527383</t>
  </si>
  <si>
    <t>Chi phí vận chuyển HĐ số 1547107</t>
  </si>
  <si>
    <t>Chi phí vận chuyển HĐ số 1562838</t>
  </si>
  <si>
    <t>Chi phí vận chuyển HĐ số 1604153</t>
  </si>
  <si>
    <t>Chi phí tiếp khách, ngoại giao HĐ số 26337</t>
  </si>
  <si>
    <t>Chi phí tiếp khách, ngoại giao HĐ số 92497</t>
  </si>
  <si>
    <t>Chi phí vận chuyển HĐ số 1788510</t>
  </si>
  <si>
    <t>Chi phí vận chuyển HĐ số 1793376</t>
  </si>
  <si>
    <t>Chi phí vận chuyển HĐ số 2075284</t>
  </si>
  <si>
    <t>Chi phí vận chuyển HĐ số 2117998</t>
  </si>
  <si>
    <t>Chi phí vận chuyển HĐ số 2203012</t>
  </si>
  <si>
    <t>Chi phí vận chuyển HĐ số 2838067</t>
  </si>
  <si>
    <t>Chi phí vận chuyển HĐ số 2900292</t>
  </si>
  <si>
    <t>Chi phí vận chuyển HĐ số 2914566</t>
  </si>
  <si>
    <t>Chi phí vận chuyển HĐ số 2924075</t>
  </si>
  <si>
    <t>Chi phí vận chuyển HĐ số 2932485</t>
  </si>
  <si>
    <t>Chi phí vận chuyển HĐ số 3130492</t>
  </si>
  <si>
    <t>Chi phí vận chuyển HĐ số 3149199</t>
  </si>
  <si>
    <t>Chi phí vận chuyển HĐ số 3161729</t>
  </si>
  <si>
    <t>Chi phí vận chuyển HĐ số 3291164</t>
  </si>
  <si>
    <t>Chi phí vận chuyển HĐ số 3322741</t>
  </si>
  <si>
    <t>Chi phí vận chuyển HĐ số 3393094</t>
  </si>
  <si>
    <t>Chi phí vận chuyển HĐ số 3453115</t>
  </si>
  <si>
    <t>Chi phí vận chuyển HĐ số 3477794</t>
  </si>
  <si>
    <t>Chi phí vận chuyển HĐ số 3518388</t>
  </si>
  <si>
    <t>Chi phí tiếp khách, ngoại giao HĐ số 6985</t>
  </si>
  <si>
    <t>Chi phí vận chuyển HĐ số 3735810</t>
  </si>
  <si>
    <t>Chi phí vận chuyển HĐ số 3775058</t>
  </si>
  <si>
    <t>Chi phí tiếp khách, ngoại giao HĐ số 43254</t>
  </si>
  <si>
    <t>Chi phí đồ dùng văn phòng HĐ số 396216</t>
  </si>
  <si>
    <t>Chi phí vận chuyển HĐ số 3976350</t>
  </si>
  <si>
    <t>Chi phí tiếp khách, ngoại giao HĐ số 19801</t>
  </si>
  <si>
    <t>Chi phí vận chuyển HĐ số 4622014</t>
  </si>
  <si>
    <t>Chi phí vận chuyển HĐ số 4673014</t>
  </si>
  <si>
    <t>Chi phí vận chuyển HĐ số 5025095</t>
  </si>
  <si>
    <t>Chi phí vận chuyển HĐ số 5032468</t>
  </si>
  <si>
    <t>Chi phí vận chuyển HĐ số 5034170</t>
  </si>
  <si>
    <t>Chi phí vận chuyển HĐ số 5040941</t>
  </si>
  <si>
    <t>Chi phí vận chuyển HĐ số 5049420</t>
  </si>
  <si>
    <t>Chi phí vận chuyển HĐ số 5068646</t>
  </si>
  <si>
    <t>Chi phí vận chuyển HĐ số 5086641</t>
  </si>
  <si>
    <t>Chi phí vận chuyển HĐ số 5095733</t>
  </si>
  <si>
    <t>Chi phí vận chuyển HĐ số 5118552</t>
  </si>
  <si>
    <t>Chi phí vận chuyển HĐ số 44186896</t>
  </si>
  <si>
    <t>Chi phí vận chuyển HĐ số 44376338</t>
  </si>
  <si>
    <t>Chi phí vận chuyển HĐ số 44376339</t>
  </si>
  <si>
    <t>Chi phí vận chuyển HĐ số 44376340</t>
  </si>
  <si>
    <t>Chi phí vận chuyển HĐ số 44543586</t>
  </si>
  <si>
    <t>Chi phí vận chuyển HĐ số 44880484</t>
  </si>
  <si>
    <t>Chi phí vận chuyển HĐ số 44880485</t>
  </si>
  <si>
    <t>Chi phí vận chuyển HĐ số 44880486</t>
  </si>
  <si>
    <t>Chi phí vận chuyển HĐ số 44880487</t>
  </si>
  <si>
    <t>Chi phí vận chuyển HĐ số 44880488</t>
  </si>
  <si>
    <t>Chi phí vận chuyển HĐ số 44880489</t>
  </si>
  <si>
    <t>Chi phí vận chuyển HĐ số 44880490</t>
  </si>
  <si>
    <t>Chi phí vận chuyển HĐ số 44880491</t>
  </si>
  <si>
    <t>Chi phí vận chuyển HĐ số 45695704</t>
  </si>
  <si>
    <t>Chi phí vận chuyển HĐ số 7482855</t>
  </si>
  <si>
    <t>Chi phí vận chuyển HĐ số 46351375</t>
  </si>
  <si>
    <t>Chi phí vận chuyển HĐ số 46351376</t>
  </si>
  <si>
    <t>Chi phí vận chuyển HĐ số 46351377</t>
  </si>
  <si>
    <t>Chi phí vận chuyển HĐ số 46351378</t>
  </si>
  <si>
    <t>Chi phí vận chuyển HĐ số 46424127</t>
  </si>
  <si>
    <t>Chi phí vận chuyển HĐ số 46432053</t>
  </si>
  <si>
    <t>Chi phí vận chuyển HĐ số 7921025</t>
  </si>
  <si>
    <t>Chi phí vận chuyển HĐ số 8002917</t>
  </si>
  <si>
    <t>Chi phí vận chuyển HĐ số 8017843</t>
  </si>
  <si>
    <t>Chi phí đồ dùng văn phòng HĐ số 2789</t>
  </si>
  <si>
    <t>Chi phí vận chuyển HĐ số 8123666</t>
  </si>
  <si>
    <t>Chi phí vận chuyển HĐ số 8166384</t>
  </si>
  <si>
    <t>Chi phí vận chuyển HĐ số 8175633</t>
  </si>
  <si>
    <t>Chi phí vận chuyển HĐ số 8181928</t>
  </si>
  <si>
    <t>Chi phí vận chuyển HĐ số 8185989</t>
  </si>
  <si>
    <t>Chi phí vận chuyển HĐ số 8233976</t>
  </si>
  <si>
    <t>Chi phí vận chuyển HĐ số 8284783</t>
  </si>
  <si>
    <t>Chi phí vận chuyển HĐ số 3954267</t>
  </si>
  <si>
    <t>Chi phí vận chuyển HĐ số 8320921</t>
  </si>
  <si>
    <t>Phí dịch vụ tư vấn tháng 09/2025 HĐ số 136</t>
  </si>
  <si>
    <t>Phí dịch vụ tư vấn tháng 10/2025 HĐ số 160</t>
  </si>
  <si>
    <t>Phí dịch vụ tư vấn tháng 11/2025 HĐ số 183</t>
  </si>
  <si>
    <t>Dịch vụ vận chuyển HĐ số 1375</t>
  </si>
  <si>
    <t>Doanh thu Dịch vụ quảng cáo và truyền thông theo Hợp đồng số 2309/2025/HDDV/UNI-HKDNTA ký ngày 19/09/2025 và Biên bản nghiệm thu ký ngày 01/10/2025 HĐ số 74</t>
  </si>
  <si>
    <t>Doanh thu Thanh toán chi phí quảng cáo cho nhãn hàng FT Vietnam theo hợp đồng dịch vụ số 0109/HKDNGOCTUANH-LAVA/NEU/2025 ký ngày 01/09/2025 và Biên bản nghiệm thu ký ngày 01/10/2025 HĐ số 75</t>
  </si>
  <si>
    <t>Doanh thu Phí dịch vụ quảng cáo theo Hợp đồng dịch vụ số MDA/20250925/1775 ngày 25/09/2025 và Biên bản nghiệm thu và thanh lý ngày 02/10/2025 HĐ số 76</t>
  </si>
  <si>
    <t>Doanh thu Thanh toán 100% phí dịch vụ 3CE - KOC Hub Oct - Video - Scope 3 - 1010 SOW số 24357/2025/WPP-BTL-LO ID Tiktok: peonyanh HĐ số 77</t>
  </si>
  <si>
    <t>Doanh thu Dịch vụ quảng cáo và truyền thông theo Hợp đồng số 250915/HDDV/MIZUMI-PEONYANH-250915MIZUMI ký ngày 15/09/2025 HĐ số 78</t>
  </si>
  <si>
    <t>Doanh thu Dịch vụ quảng cáo và truyền thông theo Hợp đồng số 01102025HDDVNGOCTUANHCELIMAX ký ngày 01/10/2025 và Biên bản nghiệm thu ký ngày 13/10/2025 HĐ số 79</t>
  </si>
  <si>
    <t>Doanh thu Dịch vụ quảng cáo và truyền thông theo Hợp đồng số 00037-2025/PMAX/SUP/NGOCTUANH ký ngày 25/09/2025 và Biên bản nghiệm thu ký ngày .... ( = ngày xuất hóa đơn) HĐ số 80</t>
  </si>
  <si>
    <t>Doanh thu Thanh toán 100% phí dịch vụ VIC - VICHY COLLAGEN 16 - Livestream - Scope 2 - 3010 SOW số 25357/2025/WPP-BTL-LO ID Tiktok: peonyanh HĐ số 81</t>
  </si>
  <si>
    <t>Doanh thu Thanh toán dịch vụ quảng cáo theo Biên bản nghiệm thu của Hợp đồng số 00037-2025/PMAX/SUP/NGOCTUANH ký ngày 25/09/2025 HĐ số 82</t>
  </si>
  <si>
    <t>Doanh thu Điều chỉnh giảm &amp;quot;Dịch vụ quảng cáo và truyền thông theo Hợp đồng số 00037-2025/PMAX/SUP/NGOCTUANH ký ngày 25/09/2025 và Biên bản nghiệm thu ký ngày .... ( = ngày xuất hóa đơn)&amp;quot; HĐ số 83</t>
  </si>
  <si>
    <t>Doanh thu Thanh toán 100% phí dịch vụ MNY - FLEX POWDER - Video - Scope 3 - 1010 SOW số 24883/2025/WPP-BTL-LO ID TikTok: peonyanh HĐ số 84</t>
  </si>
  <si>
    <t>Doanh thu Thanh toán 100% phí dịch vụ MNY - FLEX POWDER - Video - Scope 3 - 3010 - 4001492980 SOW số 25527/2025/WPP-BTL-LO ID TikTok: peonyanh HĐ số 85</t>
  </si>
  <si>
    <t>Doanh thu Phí tham dự Sự kiện ra mắt sản phẩm và sản xuất và đăng tải 01 video review Nước tẩy trang sen Hậu Giang theo hợp đồng số 13622025/HĐDV/Y&amp;B ký ngày 26/09/2025 kèm Biên bản nghiệm thu và thanh toán số 13622025/BBNT-TT/Y&amp;B ký ngày 04/11/2025 HĐ số 1</t>
  </si>
  <si>
    <t>Doanh thu Thanh toán 100% phí dịch vụ MNY - FLEX POWDER - Video - Scope 3 -10.11 - PO 4001492980 SOW số 27859/2025/WPP-BTL-LO ID Tiktok: peonyanh HĐ số 3</t>
  </si>
  <si>
    <t>Doanh thu Thanh toán đợt 1 theo thoả thuận hợp đồng Số. 0511/KOLs-CMV/VTD/2025 HĐ số 4</t>
  </si>
  <si>
    <t>Doanh thu Dịch vụ quảng cáo và truyền thông theo Phụ lục 1 ký ngày 14/10/2025 của Hợp đồng số 001/HD2025-GFM-KOL ký ngày 14/10/2025 và Biên bản nghiệm thu ký ngày 20/11/2025 HĐ số 5</t>
  </si>
  <si>
    <t>Doanh thu Phí dịch vụ Quảng cáo theo Hợp đồng số: 10.2025/HDDV/CD - NNTA ký ngày 17/10/2025 kèm theo Biên bản nghiệm thu và thanh lý ký ngày 20/11/2025 HĐ số 6</t>
  </si>
  <si>
    <t>Doanh thu Thanh toán đợt 2 theo thoả thuận hợp đồng Số. 0511/KOLs-CMV/VTD/2025 HĐ số 7</t>
  </si>
  <si>
    <t>Doanh thu Dịch vụ quảng cáo và truyền thông theo Hợp đồng số 2710/HDDV/TCELL-NGOCTUANH ký ngày 27/10/2025 và Biên bản nghiệm thu ký ngày 02/12/2025 HĐ số 8</t>
  </si>
  <si>
    <t>Doanh thu Thanh toán 100% phí dịch vụ MNY - Teddy Tint - Video - Scope 3 - 1012 SOW số 30771/2025/WPP-BTL-LO ID Tiktok: peonyanh HĐ số 9</t>
  </si>
  <si>
    <t>Doanh thu Dịch vụ Quảng cáo theo Hợp đồng số: 10.2025/HDDV/TTM - NNTA ký ngày 17/10/2025 kèm theo Biên bản nghiệm thu và thanh lý ký ngày 10/12/2025 HĐ số 10</t>
  </si>
  <si>
    <t>Doanh thu Dịch vụ quảng cáo và truyền thông theo Hợp đồng số 1511/NGOCTUANH/AMPLUSVN ký ngày 15/11/2025 HĐ số 11</t>
  </si>
  <si>
    <t>Doanh thu Dịch vụ quảng cáo và truyền thông theo Hợp đồng số T03MPD25HDDV-0125-1977 NGUYENNGOCTUANH ký ngày 05/12/2025 và Biên bản nghiệm thu ký ngày 12/12/2025 HĐ số 12</t>
  </si>
  <si>
    <t>Doanh thu Dịch vụ quảng cáo và truyền thông theo Hợp đồng số 0712/2025/TTS/NGOCTUANH/MENARD ký ngày 07/12/2025 và Biên bản nghiệm thu ký ngày 15/12/2025 HĐ số 13</t>
  </si>
  <si>
    <t>Điều chỉnh giảm Doanh thu Dịch vụ quảng cáo và truyền thông theo Hợp đồng số 2309/2025/HDDV/UNI-HKDNTA ký ngày 19/09/2025 và Biên bản nghiệm thu ký ngày 01/10/2025 HĐ số 74</t>
  </si>
  <si>
    <t>Điều chỉnh giảm Doanh thu Thanh toán chi phí quảng cáo cho nhãn hàng FT Vietnam theo hợp đồng dịch vụ số 0109/HKDNGOCTUANH-LAVA/NEU/2025 ký ngày 01/09/2025 và Biên bản nghiệm thu ký ngày 01/10/2025 HĐ số 75</t>
  </si>
  <si>
    <t>Điều chỉnh giảm Doanh thu Phí dịch vụ quảng cáo theo Hợp đồng dịch vụ số MDA/20250925/1775 ngày 25/09/2025 và Biên bản nghiệm thu và thanh lý ngày 02/10/2025 HĐ số 76</t>
  </si>
  <si>
    <t>Điều chỉnh giảm Doanh thu Thanh toán 100% phí dịch vụ 3CE - KOC Hub Oct - Video - Scope 3 - 1010 SOW số 24357/2025/WPP-BTL-LO ID Tiktok: peonyanh HĐ số 77</t>
  </si>
  <si>
    <t>Điều chỉnh giảm Doanh thu Dịch vụ quảng cáo và truyền thông theo Hợp đồng số 250915/HDDV/MIZUMI-PEONYANH-250915MIZUMI ký ngày 15/09/2025 HĐ số 78</t>
  </si>
  <si>
    <t>Điều chỉnh giảm Doanh thu Dịch vụ quảng cáo và truyền thông theo Hợp đồng số 01102025HDDVNGOCTUANHCELIMAX ký ngày 01/10/2025 và Biên bản nghiệm thu ký ngày 13/10/2025 HĐ số 79</t>
  </si>
  <si>
    <t>Điều chỉnh giảm Doanh thu Dịch vụ quảng cáo và truyền thông theo Hợp đồng số 00037-2025/PMAX/SUP/NGOCTUANH ký ngày 25/09/2025 và Biên bản nghiệm thu ký ngày .... ( = ngày xuất hóa đơn) HĐ số 80</t>
  </si>
  <si>
    <t>Điều chỉnh giảm Doanh thu Thanh toán 100% phí dịch vụ VIC - VICHY COLLAGEN 16 - Livestream - Scope 2 - 3010 SOW số 25357/2025/WPP-BTL-LO ID Tiktok: peonyanh HĐ số 81</t>
  </si>
  <si>
    <t>Điều chỉnh giảm Doanh thu Thanh toán dịch vụ quảng cáo theo Biên bản nghiệm thu của Hợp đồng số 00037-2025/PMAX/SUP/NGOCTUANH ký ngày 25/09/2025 HĐ số 82</t>
  </si>
  <si>
    <t>Điều chỉnh giảm Doanh thu Điều chỉnh giảm &amp;quot;Dịch vụ quảng cáo và truyền thông theo Hợp đồng số 00037-2025/PMAX/SUP/NGOCTUANH ký ngày 25/09/2025 và Biên bản nghiệm thu ký ngày .... ( = ngày xuất hóa đơn)&amp;quot; HĐ số 83</t>
  </si>
  <si>
    <t>Điều chỉnh giảm Doanh thu Thanh toán 100% phí dịch vụ MNY - FLEX POWDER - Video - Scope 3 - 1010 SOW số 24883/2025/WPP-BTL-LO ID TikTok: peonyanh HĐ số 84</t>
  </si>
  <si>
    <t>Điều chỉnh giảm Doanh thu Thanh toán 100% phí dịch vụ MNY - FLEX POWDER - Video - Scope 3 - 3010 - 4001492980 SOW số 25527/2025/WPP-BTL-LO ID TikTok: peonyanh HĐ số 85</t>
  </si>
  <si>
    <t>Điều chỉnh giảm Doanh thu Phí tham dự Sự kiện ra mắt sản phẩm và sản xuất và đăng tải 01 video review Nước tẩy trang sen Hậu Giang theo hợp đồng số 13622025/HĐDV/Y&amp;B ký ngày 26/09/2025 kèm Biên bản nghiệm thu và thanh toán số 13622025/BBNT-TT/Y&amp;B ký ngày 04/11/2025 HĐ số 1</t>
  </si>
  <si>
    <t>Điều chỉnh giảm Doanh thu Thanh toán 100% phí dịch vụ MNY - FLEX POWDER - Video - Scope 3 -10.11 - PO 4001492980 SOW số 27859/2025/WPP-BTL-LO ID Tiktok: peonyanh HĐ số 3</t>
  </si>
  <si>
    <t>Điều chỉnh giảm Doanh thu Thanh toán đợt 1 theo thoả thuận hợp đồng Số. 0511/KOLs-CMV/VTD/2025 HĐ số 4</t>
  </si>
  <si>
    <t>Điều chỉnh giảm Doanh thu Dịch vụ quảng cáo và truyền thông theo Phụ lục 1 ký ngày 14/10/2025 của Hợp đồng số 001/HD2025-GFM-KOL ký ngày 14/10/2025 và Biên bản nghiệm thu ký ngày 20/11/2025 HĐ số 5</t>
  </si>
  <si>
    <t>Điều chỉnh giảm Doanh thu Phí dịch vụ Quảng cáo theo Hợp đồng số: 10.2025/HDDV/CD - NNTA ký ngày 17/10/2025 kèm theo Biên bản nghiệm thu và thanh lý ký ngày 20/11/2025 HĐ số 6</t>
  </si>
  <si>
    <t>Điều chỉnh giảm Doanh thu Thanh toán đợt 2 theo thoả thuận hợp đồng Số. 0511/KOLs-CMV/VTD/2025 HĐ số 7</t>
  </si>
  <si>
    <t>Điều chỉnh giảm Doanh thu Dịch vụ quảng cáo và truyền thông theo Hợp đồng số 2710/HDDV/TCELL-NGOCTUANH ký ngày 27/10/2025 và Biên bản nghiệm thu ký ngày 02/12/2025 HĐ số 8</t>
  </si>
  <si>
    <t>Điều chỉnh giảm Doanh thu Thanh toán 100% phí dịch vụ MNY - Teddy Tint - Video - Scope 3 - 1012 SOW số 30771/2025/WPP-BTL-LO ID Tiktok: peonyanh HĐ số 9</t>
  </si>
  <si>
    <t>Điều chỉnh giảm Doanh thu Dịch vụ Quảng cáo theo Hợp đồng số: 10.2025/HDDV/TTM - NNTA ký ngày 17/10/2025 kèm theo Biên bản nghiệm thu và thanh lý ký ngày 10/12/2025 HĐ số 10</t>
  </si>
  <si>
    <t>Điều chỉnh giảm Doanh thu Dịch vụ quảng cáo và truyền thông theo Hợp đồng số 1511/NGOCTUANH/AMPLUSVN ký ngày 15/11/2025 HĐ số 11</t>
  </si>
  <si>
    <t>Điều chỉnh giảm Doanh thu Dịch vụ quảng cáo và truyền thông theo Hợp đồng số T03MPD25HDDV-0125-1977 NGUYENNGOCTUANH ký ngày 05/12/2025 và Biên bản nghiệm thu ký ngày 12/12/2025 HĐ số 12</t>
  </si>
  <si>
    <t>Điều chỉnh giảm Doanh thu Dịch vụ quảng cáo và truyền thông theo Hợp đồng số 0712/2025/TTS/NGOCTUANH/MENARD ký ngày 07/12/2025 và Biên bản nghiệm thu ký ngày 15/12/2025 HĐ số 13</t>
  </si>
  <si>
    <t>0312439924-009</t>
  </si>
  <si>
    <t>0318091175</t>
  </si>
  <si>
    <t>0106988975-001</t>
  </si>
  <si>
    <t>0318253531</t>
  </si>
  <si>
    <t>095187000172</t>
  </si>
  <si>
    <t>0311327008</t>
  </si>
  <si>
    <t>0316605259</t>
  </si>
  <si>
    <t>0315627066</t>
  </si>
  <si>
    <t>0318249775</t>
  </si>
  <si>
    <t>0318884745</t>
  </si>
  <si>
    <t>0110664490</t>
  </si>
  <si>
    <t>0106239831</t>
  </si>
  <si>
    <t>0319153730</t>
  </si>
  <si>
    <t>Phần mềm hóa đơn điện tử (1 năm) HĐ số 89453</t>
  </si>
  <si>
    <t>Chi phí tiếp khách, ngoại giao HĐ số 3247429</t>
  </si>
  <si>
    <t>Chi phí tiếp khách, ngoại giao HĐ số 8637</t>
  </si>
  <si>
    <t>Chi phí tiếp khách, ngoại giao HĐ số 3397</t>
  </si>
  <si>
    <t>Chi phí tiếp khách, ngoại giao HĐ số 2204</t>
  </si>
  <si>
    <t>Chi phí tiếp khách, ngoại giao HĐ số 3548081</t>
  </si>
  <si>
    <t>Chi phí tiếp khách, ngoại giao HĐ số 32467</t>
  </si>
  <si>
    <t>Chi phí tiếp khách, ngoại giao HĐ số 3458</t>
  </si>
  <si>
    <t>Chi phí tiếp khách, ngoại giao HĐ số 3703</t>
  </si>
  <si>
    <t>Chi phí tiếp khách, ngoại giao HĐ số 11411</t>
  </si>
  <si>
    <t>Chi phí tiếp khách, ngoại giao HĐ số 12159</t>
  </si>
  <si>
    <t>Chi phí tiếp khách, ngoại giao HĐ số 2295</t>
  </si>
  <si>
    <t>Chi phí tiếp khách, ngoại giao HĐ số 8415</t>
  </si>
  <si>
    <t>Chi phí tiếp khách, ngoại giao HĐ số 14377</t>
  </si>
  <si>
    <t>Chi phí tiếp khách, ngoại giao HĐ số 18628</t>
  </si>
  <si>
    <t>Chi phí đồ dùng văn phòng HĐ số 5251888</t>
  </si>
  <si>
    <t>Chi phí đồ dùng văn phòng HĐ số 5857857</t>
  </si>
  <si>
    <t>Phí ngân hàng HĐ số 1462396</t>
  </si>
  <si>
    <t>Phí ngân hàng HĐ số 2340623</t>
  </si>
  <si>
    <t>Chi phí đồ dùng văn phòng HĐ số 15149</t>
  </si>
  <si>
    <t>Phí dịch vụ tư vấn tháng 09/2025 HĐ số 143</t>
  </si>
  <si>
    <t>Phí dịch vụ tư vấn tháng 10/2025 HĐ số 165</t>
  </si>
  <si>
    <t>Phí dịch vụ tư vấn tháng 11/2025 HĐ số 186</t>
  </si>
  <si>
    <t>Doanh thu Dịch vụ quảng cáo và truyền thông theo Hợp đồng số ATV/HỌC NHÂN/CETPHIL SA/2025-HDDV-1839P ký ngày 24/07/2025 và Biên bản nghiệm thu ký ngày 01/10/2025 HĐ số 5</t>
  </si>
  <si>
    <t>Doanh thu Dịch vụ quảng cáo và truyền thông theo Hợp đồng số HKD HN_ GARNIER_TRI_ACID_EVENT_15092025 ký ngày 15/09/2025 và Biên bản nghiệm thu ký ngày 02/10/2025 HĐ số 6</t>
  </si>
  <si>
    <t>Doanh thu Dịch vụ quảng cáo và truyền thông theo Hợp đồng số 10/09/2025/HDDV/ZAKKA- HỌC NHÂN ký ngày 10/09/2025 và Biên bản nghiệm thu ký ngày 06/10/2025 HĐ số 7</t>
  </si>
  <si>
    <t>Doanh thu Dịch vụ quảng cáo và truyền thông theo Hợp đồng số 0910.25/HNSK-VL ký ngày 09/10/2025 (Đợt 1) HĐ số 8</t>
  </si>
  <si>
    <t>Doanh thu Dịch vụ quảng cáo và truyền thông theo Hợp đồng số 072025/MKT-KOL ký ngày 18/07/2025 HĐ số 9</t>
  </si>
  <si>
    <t>Doanh thu Dịch vụ quảng cáo và truyền thông theo Hợp đồng số 01-1709/2025/HĐDV/MK-HT ký ngày 17/09/2025 HĐ số 10</t>
  </si>
  <si>
    <t>Doanh thu Dịch vụ quảng cáo và truyền thông theo Hợp đồng số 16/2025/HĐCTV-HNS ký ngày 10/09/2025 và Biên bản nghiệm thu ký ngày 15/10/2025 HĐ số 11</t>
  </si>
  <si>
    <t>Doanh thu Dịch vụ quảng cáo và truyền thông theo Hợp đồng số 1009/2025/WEI-HN ký ngày 10/09/2025 và Biên bản nghiệm thu ký ngày 21/10/2025 HĐ số 12</t>
  </si>
  <si>
    <t>Doanh thu Dịch vụ quảng cáo và truyền thông theo Hợp đồng số 09/10/2025/HDDV/ZAKKA- HỌC NHÂN ký ngày 09/10/2025 và Biên bản nghiệm thu ký ngày 21/10/2025 HĐ số 13</t>
  </si>
  <si>
    <t>Doanh thu Dịch vụ quảng cáo và truyền thông theo Hợp đồng số 0210/HDDV/TCELL-HOCNHAN ký ngày 02/10/2025 và Biên bản nghiệm thu ký ngày 24/10/2025 HĐ số 14</t>
  </si>
  <si>
    <t>Doanh thu Dịch vụ quảng cáo và truyền thông theo Hợp đồng số 131025/HDDV/UNICORN-HOCNHAN ký ngày 13/10/2025 và Biên bản nghiệm thu ký ngày 24/10/2025 HĐ số 15</t>
  </si>
  <si>
    <t>Doanh thu Dịch vụ quảng cáo và truyền thông theo Hợp đồng số HKD HN_ SIMPLE _01102025 ký ngày 01/10/2025 HĐ số 16</t>
  </si>
  <si>
    <t>Doanh thu Chi phí cung cấp dịch vụ quảng cáo và truyền thông theo Hợp đồng số PR25048/11082025/82X-UNO-HOCNHAN ký ngày 11/08/2025 và Biên bản nghiệm thu ký ngày 30/10/2025 HĐ số 17</t>
  </si>
  <si>
    <t>Doanh thu Dịch vụ tư vấn, phát triển sản phẩm theo Hợp đồng số 2510/2025/HĐTVSP ký ngày 25/10/2025 (Đợt 1) HĐ số 18</t>
  </si>
  <si>
    <t>Doanh thu Dịch vụ quảng cáo và truyền thông theo Hợp đồng số 16/HĐMGDV ký ngày 21/10/2025 và Biên bản nghiệm thu ký ngày 04/11/2025 HĐ số 19</t>
  </si>
  <si>
    <t>Doanh thu Dịch vụ quảng cáo và truyền thông theo Hợp đồng số HKD HN_ CLEAR _09102025 ký ngày 09/10/2025 HĐ số 20</t>
  </si>
  <si>
    <t>Doanh thu Dịch vụ quảng cáo và truyền thông theo Hợp đồng số 0910.25/HNSK-VL ký ngày 09/10/2025 (Đợt 2) và Biên bản nghiệm thu ký ngày 07/11/2025 HĐ số 22</t>
  </si>
  <si>
    <t>Doanh thu Dịch vụ quảng cáo và truyền thông theo Hợp đồng số CLC/2025/033 ký ngày 04/06/2025 và Biên bản nghiệm thu ký ngày 12/11/2025 HĐ số 23</t>
  </si>
  <si>
    <t>Doanh thu Dịch vụ quảng cáo và truyền thông theo Hợp đồng số 11.25/HNSK-VL ký ngày 10/10/2025 và Biên bản nghiệm thu ký ngày 14/11/2025 HĐ số 24</t>
  </si>
  <si>
    <t>Doanh thu Dịch vụ quảng cáo và truyền thông theo Hợp đồng số T06T25HDDV-0056-0793 HOCNHANSKINCARE ký ngày 13/10/2025 và Biên bản nghiệm thu ký ngày 17/11/2025 HĐ số 25</t>
  </si>
  <si>
    <t>Doanh thu Dịch vụ quảng cáo và truyền thông theo Hợp đồng số T03T25HDDV-0097-0793 HOCNHANSKINCARE ký ngày 06/11/2025 và Biên bản nghiệm thu ký ngày 25/11/2025 HĐ số 27</t>
  </si>
  <si>
    <t>Doanh thu Dịch vụ quảng cáo và truyền thông theo Hợp đồng số CRE/Học Nhân/BIORE/2025-HDDV-62 ký ngày 25/08/2025 và Biên bản nghiệm thu ký ngày 01/12/2025 HĐ số 28</t>
  </si>
  <si>
    <t>Doanh thu Dịch vụ quảng cáo và truyền thông theo Hợp đồng số 20251021/HEIDILAND x HKD HỌC NHÂN SKINCARE ký ngày 21/10/2025 và Biên bản nghiệm thu ký ngày 02/12/2025 HĐ số 29</t>
  </si>
  <si>
    <t>Doanh thu Dịch vụ quảng cáo và truyền thông theo Hợp đồng số HKD HN_ NINELESS_01092025 ký ngày 01/09/2025 và Biên bản nghiệm thu ký ngày 09/12/2025 HĐ số 30</t>
  </si>
  <si>
    <t>Doanh thu Dịch vụ quảng cáo và truyền thông theo Hợp đồng số 18112025/HĐDV-041/ST- KOL ký ngày 18/11/2025 và Biên bản nghiệm thu ký ngày 16/12/2025 HĐ số 33</t>
  </si>
  <si>
    <t>Doanh thu Dịch vụ quảng cáo và truyền thông theo Hợp đồng số 251112/HDDV/BRAINAD-HOCNHAN ký ngày 12/11/2025 (Đợt 1) HĐ số 34</t>
  </si>
  <si>
    <t>Doanh thu Dịch vụ quảng cáo và truyền thông theo Hợp đồng số 31102025/HDDV/UPBASE-KEYSHU-HOCNHAN.SKINCARE ký ngày 10/11/2025 và Biên bản nghiệm thu ký ngày 22/12/2025 HĐ số 35</t>
  </si>
  <si>
    <t>Doanh thu Dịch vụ quảng cáo và truyền thông theo Hợp đồng số 12112025/HDDV/DST-HOCNHANSKINCARE ký ngày 12/11/2025 và Biên bản nghiệm thu ký ngày 22/12/2025 HĐ số 36</t>
  </si>
  <si>
    <t>Doanh thu Dịch vụ quảng cáo và truyền thông theo Hợp đồng số 251112/HDDV/BRAINAD-HOCNHAN ký ngày 12/11/2025 (Đợt 2) và Biên bản nghiệm thu ký ngày 22/12/2025 HĐ số 37</t>
  </si>
  <si>
    <t>0310524194</t>
  </si>
  <si>
    <t>0316906263</t>
  </si>
  <si>
    <t>0319139616</t>
  </si>
  <si>
    <t>0314904493</t>
  </si>
  <si>
    <t>0316914465</t>
  </si>
  <si>
    <t>1702296409</t>
  </si>
  <si>
    <t>0313950056</t>
  </si>
  <si>
    <t>Chi phí đồ dùng văn phòng HĐ số 953</t>
  </si>
  <si>
    <t>Chi phí đồ dùng văn phòng HĐ số 954</t>
  </si>
  <si>
    <t>Chi phí đồ dùng văn phòng HĐ số 1013</t>
  </si>
  <si>
    <t>Chi phí đồ dùng văn phòng HĐ số 1014</t>
  </si>
  <si>
    <t>Chi phí tiếp khách, ngoại giao HĐ số 1106894</t>
  </si>
  <si>
    <t>Điều chỉnh giảm Doanh thu Dịch vụ quảng cáo và truyền thông theo Hợp đồng số ATV/HỌC NHÂN/CETPHIL SA/2025-HDDV-1839P ký ngày 24/07/2025 và Biên bản nghiệm thu ký ngày 01/10/2025 HĐ số 5</t>
  </si>
  <si>
    <t>Điều chỉnh giảm Doanh thu Dịch vụ quảng cáo và truyền thông theo Hợp đồng số HKD HN_ GARNIER_TRI_ACID_EVENT_15092025 ký ngày 15/09/2025 và Biên bản nghiệm thu ký ngày 02/10/2025 HĐ số 6</t>
  </si>
  <si>
    <t>Điều chỉnh giảm Doanh thu Dịch vụ quảng cáo và truyền thông theo Hợp đồng số 10/09/2025/HDDV/ZAKKA- HỌC NHÂN ký ngày 10/09/2025 và Biên bản nghiệm thu ký ngày 06/10/2025 HĐ số 7</t>
  </si>
  <si>
    <t>Điều chỉnh giảm Doanh thu Dịch vụ quảng cáo và truyền thông theo Hợp đồng số 0910.25/HNSK-VL ký ngày 09/10/2025 (Đợt 1) HĐ số 8</t>
  </si>
  <si>
    <t>Điều chỉnh giảm Doanh thu Dịch vụ quảng cáo và truyền thông theo Hợp đồng số 072025/MKT-KOL ký ngày 18/07/2025 HĐ số 9</t>
  </si>
  <si>
    <t>Điều chỉnh giảm Doanh thu Dịch vụ quảng cáo và truyền thông theo Hợp đồng số 01-1709/2025/HĐDV/MK-HT ký ngày 17/09/2025 HĐ số 10</t>
  </si>
  <si>
    <t>Điều chỉnh giảm Doanh thu Dịch vụ quảng cáo và truyền thông theo Hợp đồng số 16/2025/HĐCTV-HNS ký ngày 10/09/2025 và Biên bản nghiệm thu ký ngày 15/10/2025 HĐ số 11</t>
  </si>
  <si>
    <t>Điều chỉnh giảm Doanh thu Dịch vụ quảng cáo và truyền thông theo Hợp đồng số 1009/2025/WEI-HN ký ngày 10/09/2025 và Biên bản nghiệm thu ký ngày 21/10/2025 HĐ số 12</t>
  </si>
  <si>
    <t>Điều chỉnh giảm Doanh thu Dịch vụ quảng cáo và truyền thông theo Hợp đồng số 09/10/2025/HDDV/ZAKKA- HỌC NHÂN ký ngày 09/10/2025 và Biên bản nghiệm thu ký ngày 21/10/2025 HĐ số 13</t>
  </si>
  <si>
    <t>Điều chỉnh giảm Doanh thu Dịch vụ quảng cáo và truyền thông theo Hợp đồng số 0210/HDDV/TCELL-HOCNHAN ký ngày 02/10/2025 và Biên bản nghiệm thu ký ngày 24/10/2025 HĐ số 14</t>
  </si>
  <si>
    <t>Điều chỉnh giảm Doanh thu Dịch vụ quảng cáo và truyền thông theo Hợp đồng số 131025/HDDV/UNICORN-HOCNHAN ký ngày 13/10/2025 và Biên bản nghiệm thu ký ngày 24/10/2025 HĐ số 15</t>
  </si>
  <si>
    <t>Điều chỉnh giảm Doanh thu Dịch vụ quảng cáo và truyền thông theo Hợp đồng số HKD HN_ SIMPLE _01102025 ký ngày 01/10/2025 HĐ số 16</t>
  </si>
  <si>
    <t>Điều chỉnh giảm Doanh thu Chi phí cung cấp dịch vụ quảng cáo và truyền thông theo Hợp đồng số PR25048/11082025/82X-UNO-HOCNHAN ký ngày 11/08/2025 và Biên bản nghiệm thu ký ngày 30/10/2025 HĐ số 17</t>
  </si>
  <si>
    <t>Điều chỉnh giảm Doanh thu Dịch vụ tư vấn, phát triển sản phẩm theo Hợp đồng số 2510/2025/HĐTVSP ký ngày 25/10/2025 (Đợt 1) HĐ số 18</t>
  </si>
  <si>
    <t>Điều chỉnh giảm Doanh thu Dịch vụ quảng cáo và truyền thông theo Hợp đồng số 16/HĐMGDV ký ngày 21/10/2025 và Biên bản nghiệm thu ký ngày 04/11/2025 HĐ số 19</t>
  </si>
  <si>
    <t>Điều chỉnh giảm Doanh thu Dịch vụ quảng cáo và truyền thông theo Hợp đồng số HKD HN_ CLEAR _09102025 ký ngày 09/10/2025 HĐ số 20</t>
  </si>
  <si>
    <t>Điều chỉnh giảm Doanh thu Dịch vụ quảng cáo và truyền thông theo Hợp đồng số 0910.25/HNSK-VL ký ngày 09/10/2025 (Đợt 2) và Biên bản nghiệm thu ký ngày 07/11/2025 HĐ số 22</t>
  </si>
  <si>
    <t>Điều chỉnh giảm Doanh thu Dịch vụ quảng cáo và truyền thông theo Hợp đồng số CLC/2025/033 ký ngày 04/06/2025 và Biên bản nghiệm thu ký ngày 12/11/2025 HĐ số 23</t>
  </si>
  <si>
    <t>Điều chỉnh giảm Doanh thu Dịch vụ quảng cáo và truyền thông theo Hợp đồng số 11.25/HNSK-VL ký ngày 10/10/2025 và Biên bản nghiệm thu ký ngày 14/11/2025 HĐ số 24</t>
  </si>
  <si>
    <t>Điều chỉnh giảm Doanh thu Dịch vụ quảng cáo và truyền thông theo Hợp đồng số T06T25HDDV-0056-0793 HOCNHANSKINCARE ký ngày 13/10/2025 và Biên bản nghiệm thu ký ngày 17/11/2025 HĐ số 25</t>
  </si>
  <si>
    <t>Điều chỉnh giảm Doanh thu Dịch vụ quảng cáo và truyền thông theo Hợp đồng số T03T25HDDV-0097-0793 HOCNHANSKINCARE ký ngày 06/11/2025 và Biên bản nghiệm thu ký ngày 25/11/2025 HĐ số 27</t>
  </si>
  <si>
    <t>Điều chỉnh giảm Doanh thu Dịch vụ quảng cáo và truyền thông theo Hợp đồng số CRE/Học Nhân/BIORE/2025-HDDV-62 ký ngày 25/08/2025 và Biên bản nghiệm thu ký ngày 01/12/2025 HĐ số 28</t>
  </si>
  <si>
    <t>Điều chỉnh giảm Doanh thu Dịch vụ quảng cáo và truyền thông theo Hợp đồng số 20251021/HEIDILAND x HKD HỌC NHÂN SKINCARE ký ngày 21/10/2025 và Biên bản nghiệm thu ký ngày 02/12/2025 HĐ số 29</t>
  </si>
  <si>
    <t>Điều chỉnh giảm Doanh thu Dịch vụ quảng cáo và truyền thông theo Hợp đồng số HKD HN_ NINELESS_01092025 ký ngày 01/09/2025 và Biên bản nghiệm thu ký ngày 09/12/2025 HĐ số 30</t>
  </si>
  <si>
    <t>Điều chỉnh giảm Doanh thu Dịch vụ quảng cáo và truyền thông theo Hợp đồng số 18112025/HĐDV-041/ST- KOL ký ngày 18/11/2025 và Biên bản nghiệm thu ký ngày 16/12/2025 HĐ số 33</t>
  </si>
  <si>
    <t>Điều chỉnh giảm Doanh thu Dịch vụ quảng cáo và truyền thông theo Hợp đồng số 251112/HDDV/BRAINAD-HOCNHAN ký ngày 12/11/2025 (Đợt 1) HĐ số 34</t>
  </si>
  <si>
    <t>Điều chỉnh giảm Doanh thu Dịch vụ quảng cáo và truyền thông theo Hợp đồng số 31102025/HDDV/UPBASE-KEYSHU-HOCNHAN.SKINCARE ký ngày 10/11/2025 và Biên bản nghiệm thu ký ngày 22/12/2025 HĐ số 35</t>
  </si>
  <si>
    <t>Điều chỉnh giảm Doanh thu Dịch vụ quảng cáo và truyền thông theo Hợp đồng số 12112025/HDDV/DST-HOCNHANSKINCARE ký ngày 12/11/2025 và Biên bản nghiệm thu ký ngày 22/12/2025 HĐ số 36</t>
  </si>
  <si>
    <t>Điều chỉnh giảm Doanh thu Dịch vụ quảng cáo và truyền thông theo Hợp đồng số 251112/HDDV/BRAINAD-HOCNHAN ký ngày 12/11/2025 (Đợt 2) và Biên bản nghiệm thu ký ngày 22/12/2025 HĐ số 37</t>
  </si>
  <si>
    <t>Phí dịch vụ tư vấn tháng 09/2025 HĐ số 137</t>
  </si>
  <si>
    <t>Phí dịch vụ tư vấn tháng 10/2025 HĐ số 154</t>
  </si>
  <si>
    <t>Phí dịch vụ tư vấn tháng 11/2025 HĐ số 198</t>
  </si>
  <si>
    <t>Doanh thu Dịch vụ quảng cáo và truyền thông theo Hợp đồng số 250915/HDDV/MIZUMI-HOANGTHACHH-250915MIZUMI ký ngày 15/09/2025 (Đợt 1) HĐ số 14</t>
  </si>
  <si>
    <t>Doanh thu Dịch vụ quảng cáo và truyền thông theo hợp đồng số HKD HOANGTHACH_ GARNIER_ON_TOP_01102025 ký ngày 01/10/2025 (Đợt 1) HĐ số 15</t>
  </si>
  <si>
    <t>Doanh thu Phí dịch vụ sử dụng hình ảnh 10/2025 theo Hợp đồng số 010825/HĐHTDV/THTTANE ký ngày 01/08/2025 và Biên bản nghiệm thu ký ngày 02/10/2025 HĐ số 16</t>
  </si>
  <si>
    <t>Doanh thu Dịch vụ quảng cáo và truyền thông theo Hợp đồng số 20250901HDDV/TRENDIFY – hoangthachhh ký ngày 01/10/2025 HĐ số 17</t>
  </si>
  <si>
    <t>Doanh thu Dịch vụ quảng cáo và truyền thông theo Hợp đồng số 13542025/HĐDV/Y&amp;B ký ngày 22/09/2025 (Đợt 1) HĐ số 18</t>
  </si>
  <si>
    <t>Doanh thu Cung cấp dịch vụ quảng cáo theo Hợp đồng số: 1109/HDDV-2025/REDAMO-HOANGTHACH/BEPLAIN ký ngày 11/09/2025 (Đợt 2) và Biên bản nghiệm thu ký ngày 07/10/2025 HĐ số 20</t>
  </si>
  <si>
    <t>Doanh thu Dịch vụ quảng cáo và truyền thông theo hợp đồng số HKD HOANGTHACH_ LOREAL_01102025 ký ngày 01/10/2025 (Đợt 1) HĐ số 21</t>
  </si>
  <si>
    <t>Doanh thu Dịch vụ quảng cáo và truyền thông theo hợp đồng số 1206/HDDV/UPBASE-KEYSHU-HOANGTHACHHH/2025 ký ngày 12/06/2025 (Đợt 2) HĐ số 22</t>
  </si>
  <si>
    <t>Doanh thu Dịch vụ quảng cáo và truyền thông theo hợp đồng số HKD HOANGTHACH_JUMISO_03092025 ký ngày 03/09/2025 (Đợt 2) HĐ số 24</t>
  </si>
  <si>
    <t>Doanh thu Dịch vụ quảng cáo và truyền thông theo Hợp đồng số 0510-1/HDDV/CER-HT ký ngày 05/10/2025 (Đợt 1) HĐ số 25</t>
  </si>
  <si>
    <t>Doanh thu Thanh toán 50% (Đợt 2) phí dịch vụ MNY - Super Stay Franchise - Video - Scope 2 - 1009- SOW No. 21975/2025/WPP-BTL-LO ID Tiktok: hoangthachhh HĐ số 26</t>
  </si>
  <si>
    <t>Doanh thu Dịch vụ quảng cáo và truyền thông theo hợp đồng số HKD HOANGTHACH_ GARNIER_ON_TOP_01102025 ký ngày 01/10/2025 (Đợt 2) và Biên bản nghiệm thu ký ngày 29/10/2025 HĐ số 27</t>
  </si>
  <si>
    <t>Doanh thu Dịch vụ quảng cáo và truyền thông theo hợp đồng số HKD HOANGTHACH_ GARNIER_CAMP NOV_01112025 ký ngày 29/10/2025 (Đợt 1) HĐ số 28</t>
  </si>
  <si>
    <t>Doanh thu Dịch vụ quảng cáo và truyền thông theo Hợp đồng số TP0925-HanFias/Hoangthach ký ngày 03/09/2025 (Đợt 2) HĐ số 29</t>
  </si>
  <si>
    <t>Doanh thu Phí dịch vụ sử dụng hình ảnh 11/2025 theo Hợp đồng số 010825/HĐHTDV/THTTANE ký ngày 01/08/2025 HĐ số 30</t>
  </si>
  <si>
    <t>Doanh thu Thanh toán theo Hợp đồng dịch vụ số HD01112025/TIRTIR_ASIACONSULTING_HOANGTHACH ký ngày 01/11/2025 (Đợt 1) HĐ số 31</t>
  </si>
  <si>
    <t>Doanh thu Dịch vụ quảng cáo và truyền thông theo hợp đồng số HKD HOANGTHACH_ LOREAL_01102025 ký ngày 01/10/2025 (Đợt 2) và Biên bản nghiệm thu ký ngày 04/11/2025 HĐ số 32</t>
  </si>
  <si>
    <t>Doanh thu Dịch vụ quảng cáo và truyền thông theo Hợp đồng số HKD HOANGTHACH_ OBAGI_07112025 ký ngày 07/11/2025 (Đợt 1) HĐ số 34</t>
  </si>
  <si>
    <t>Doanh thu Dịch vụ quảng cáo và truyền thông theo Hợp đồng số VN2025/PR/hoangthachhh/19082025/HDDVQC ký ngày 19/08/2025 (Đợt 2) HĐ số 35</t>
  </si>
  <si>
    <t>Doanh thu Dịch vụ quảng cáo và truyền thông theo Hợp đồng số 250915/HDDV/MIZUMI-HOANGTHACHH-250915MIZUMI ký ngày 15/09/2025 (Đợt 2) HĐ số 36</t>
  </si>
  <si>
    <t>Doanh thu Dịch vụ quảng cáo và truyền thông theo Hợp đồng dịch vụ ký ngày 14/10/2025 Advertising and communication services under the Promotional Service Contract signed on October 14, 2025 HĐ số 37</t>
  </si>
  <si>
    <t>Doanh thu Dịch vụ quảng cáo và truyền thông theo Hợp đồng số HKD HOANGTHACH_ LOREAL UV AQUA_15112025 ký ngày 15/11/2025 (Đợt 1) HĐ số 39</t>
  </si>
  <si>
    <t>Doanh thu Dịch vụ quảng cáo và truyền thông theo Hợp đồng số 13542025/HĐDV/Y&amp;B ký ngày 22/09/2025 (Đợt 2) kèm Biên bản nghiệm thu và thanh lý số 13542025/BBNT-TT/Y&amp;B ký ngày 26/11/2025 HĐ số 40</t>
  </si>
  <si>
    <t>Doanh thu Dịch vụ quảng cáo và truyền thông theo hợp đồng số HKD HOANGTHACH_ GARNIER_CAMP NOV_01112025 ký ngày 29/10/2025 (Đợt 2) và Biên bản nghiệm thu ký ngày 02/12/2025 HĐ số 42</t>
  </si>
  <si>
    <t>Doanh thu Phí dịch vụ sử dụng hình ảnh 12/2025 theo Hợp đồng số 010825/HĐHTDV/THTTANE ký ngày 01/08/2025 HĐ số 43</t>
  </si>
  <si>
    <t>Doanh thu Dịch vụ quảng cáo và truyền thông theo Hợp đồng số 22112025/HDDV-INNOYO MÁY SẤY TÓC/HOÀNG THẠCH-087 ký ngày 22/11/2025 (Đợt 1) HĐ số 44</t>
  </si>
  <si>
    <t>Doanh thu Dịch vụ quảng cáo và truyền thông theo Hợp đồng số 0510-1/HDDV/CER-HT ký ngày 05/10/2025 (Đợt 2) HĐ số 45</t>
  </si>
  <si>
    <t>Doanh thu Dịch vụ quảng cáo và truyền thông theo Hợp đồng số EX-BLUME-HOANGTHACH-04 ký ngày 02/12/2025 (Đợt 1) HĐ số 46</t>
  </si>
  <si>
    <t>Doanh thu Dịch vụ quảng cáo và truyền thông theo hợp đồng số 1511.2025/HDDV/UPBASE-CB-hoangthachhh ký ngày 15/11/2025 HĐ số 47</t>
  </si>
  <si>
    <t>Doanh thu Dịch vụ quảng cáo và truyền thông theo Hợp đồng số FINTVN-ATTENIR3-2025-52 ký ngày 10/11/2025 (Đợt 1) HĐ số 48</t>
  </si>
  <si>
    <t>Doanh thu Thanh toán theo Hợp đồng dịch vụ số HD01112025/TIRTIR_ASIACONSULTING_HOANGTHACH ký ngày 01/11/2025 (Đợt 2) kèm Biên bản nghiệm thu và thanh lý ký ngày 11/12/2025 HĐ số 50</t>
  </si>
  <si>
    <t>Doanh thu Dịch vụ quảng cáo và truyền thông theo Hợp đồng số HKD HOANGTHACH_ OBAGI_07112025 ký ngày 07/11/2025 (Đợt 2) và Biên bản nghiệm thu ký ngày 11/12/2025 HĐ số 51</t>
  </si>
  <si>
    <t>Doanh thu Dịch vụ quảng cáo và truyền thông theo Hợp đồng số HKD HOANGTHACH_ THE SAEM_05122025 ký ngày 05/12/2025 (Đợt 1) HĐ số 52</t>
  </si>
  <si>
    <t>Doanh thu Dịch vụ quảng cáo và truyền thông theo Hợp đồng số 2811-2025-RxHOANGTHACH ký ngày 28/11/2025 (Đợt 1) HĐ số 53</t>
  </si>
  <si>
    <t>Doanh thu Dịch vụ quảng cáo và truyền thông theo Hợp đồng số HTKM- NTDTT/2025/HĐHTKD ký ngày 10/12/2025 (Đợt 1) HĐ số 55</t>
  </si>
  <si>
    <t>Doanh thu Dịch vụ quảng cáo và truyền thông thông theo Hợp đồng số 24112025/HDDV/ES-MK-HT ký ngày 24/11/2025 (Đợt 1) HĐ số 56</t>
  </si>
  <si>
    <t>Doanh thu Dịch vụ quảng cáo và truyền thông theo Hợp đồng số 01112025/HDDV/SGS-EMB-THT ký ngày 01/11/2025 (Đợt 1) HĐ số 57</t>
  </si>
  <si>
    <t>Doanh thu Phí thực hiện sản xuất và đăng tải video review sản phẩm thuộc thương hiệu Cocoon Việt Nam theo hợp đồng số 20042025/HĐDV/Y&amp;B ký ngày 01/12/2025 (Đợt 1) HĐ số 58</t>
  </si>
  <si>
    <t>Doanh thu Dịch vụ quảng cáo và truyền thông theo Hợp đồng số HKD HOANGTHACH_ LOREAL UV AQUA_15112025 ký ngày 15/11/2025 (Đợt 2) và Biên bản nghiệm thu ký ngày 23/12/2025 HĐ số 59</t>
  </si>
  <si>
    <t>Doanh thu Dịch vụ quảng cáo và truyền thông theo Hợp đồng số EX-BLUME-HOANGTHACH-04 ký ngày 02/12/2025 (Đợt 2) HĐ số 60</t>
  </si>
  <si>
    <t>Doanh thu Dịch vụ quảng cáo và truyền thông theo Hợp đồng số FINTVN-KAO7-2025-197 ký ngày 12/12/2025 (Đợt 1) HĐ số 61</t>
  </si>
  <si>
    <t>Điều chỉnh giảm Doanh thu Dịch vụ quảng cáo và truyền thông theo Hợp đồng số 250915/HDDV/MIZUMI-HOANGTHACHH-250915MIZUMI ký ngày 15/09/2025 (Đợt 1) HĐ số 14</t>
  </si>
  <si>
    <t>Điều chỉnh giảm Doanh thu Dịch vụ quảng cáo và truyền thông theo hợp đồng số HKD HOANGTHACH_ GARNIER_ON_TOP_01102025 ký ngày 01/10/2025 (Đợt 1) HĐ số 15</t>
  </si>
  <si>
    <t>Điều chỉnh giảm Doanh thu Phí dịch vụ sử dụng hình ảnh 10/2025 theo Hợp đồng số 010825/HĐHTDV/THTTANE ký ngày 01/08/2025 và Biên bản nghiệm thu ký ngày 02/10/2025 HĐ số 16</t>
  </si>
  <si>
    <t>Điều chỉnh giảm Doanh thu Dịch vụ quảng cáo và truyền thông theo Hợp đồng số 20250901HDDV/TRENDIFY – hoangthachhh ký ngày 01/10/2025 HĐ số 17</t>
  </si>
  <si>
    <t>Điều chỉnh giảm Doanh thu Dịch vụ quảng cáo và truyền thông theo Hợp đồng số 13542025/HĐDV/Y&amp;B ký ngày 22/09/2025 (Đợt 1) HĐ số 18</t>
  </si>
  <si>
    <t>Điều chỉnh giảm Doanh thu Cung cấp dịch vụ quảng cáo theo Hợp đồng số: 1109/HDDV-2025/REDAMO-HOANGTHACH/BEPLAIN ký ngày 11/09/2025 (Đợt 2) và Biên bản nghiệm thu ký ngày 07/10/2025 HĐ số 20</t>
  </si>
  <si>
    <t>Điều chỉnh giảm Doanh thu Dịch vụ quảng cáo và truyền thông theo hợp đồng số HKD HOANGTHACH_ LOREAL_01102025 ký ngày 01/10/2025 (Đợt 1) HĐ số 21</t>
  </si>
  <si>
    <t>Điều chỉnh giảm Doanh thu Dịch vụ quảng cáo và truyền thông theo hợp đồng số 1206/HDDV/UPBASE-KEYSHU-HOANGTHACHHH/2025 ký ngày 12/06/2025 (Đợt 2) HĐ số 22</t>
  </si>
  <si>
    <t>Điều chỉnh giảm Doanh thu Dịch vụ quảng cáo và truyền thông theo hợp đồng số HKD HOANGTHACH_JUMISO_03092025 ký ngày 03/09/2025 (Đợt 2) HĐ số 24</t>
  </si>
  <si>
    <t>Điều chỉnh giảm Doanh thu Dịch vụ quảng cáo và truyền thông theo Hợp đồng số 0510-1/HDDV/CER-HT ký ngày 05/10/2025 (Đợt 1) HĐ số 25</t>
  </si>
  <si>
    <t>Điều chỉnh giảm Doanh thu Thanh toán 50% (Đợt 2) phí dịch vụ MNY - Super Stay Franchise - Video - Scope 2 - 1009- SOW No. 21975/2025/WPP-BTL-LO ID Tiktok: hoangthachhh HĐ số 26</t>
  </si>
  <si>
    <t>Điều chỉnh giảm Doanh thu Dịch vụ quảng cáo và truyền thông theo hợp đồng số HKD HOANGTHACH_ GARNIER_ON_TOP_01102025 ký ngày 01/10/2025 (Đợt 2) và Biên bản nghiệm thu ký ngày 29/10/2025 HĐ số 27</t>
  </si>
  <si>
    <t>Điều chỉnh giảm Doanh thu Dịch vụ quảng cáo và truyền thông theo hợp đồng số HKD HOANGTHACH_ GARNIER_CAMP NOV_01112025 ký ngày 29/10/2025 (Đợt 1) HĐ số 28</t>
  </si>
  <si>
    <t>Điều chỉnh giảm Doanh thu Dịch vụ quảng cáo và truyền thông theo Hợp đồng số TP0925-HanFias/Hoangthach ký ngày 03/09/2025 (Đợt 2) HĐ số 29</t>
  </si>
  <si>
    <t>Điều chỉnh giảm Doanh thu Phí dịch vụ sử dụng hình ảnh 11/2025 theo Hợp đồng số 010825/HĐHTDV/THTTANE ký ngày 01/08/2025 HĐ số 30</t>
  </si>
  <si>
    <t>Điều chỉnh giảm Doanh thu Thanh toán theo Hợp đồng dịch vụ số HD01112025/TIRTIR_ASIACONSULTING_HOANGTHACH ký ngày 01/11/2025 (Đợt 1) HĐ số 31</t>
  </si>
  <si>
    <t>Điều chỉnh giảm Doanh thu Dịch vụ quảng cáo và truyền thông theo hợp đồng số HKD HOANGTHACH_ LOREAL_01102025 ký ngày 01/10/2025 (Đợt 2) và Biên bản nghiệm thu ký ngày 04/11/2025 HĐ số 32</t>
  </si>
  <si>
    <t>Điều chỉnh giảm Doanh thu Dịch vụ quảng cáo và truyền thông theo Hợp đồng số HKD HOANGTHACH_ OBAGI_07112025 ký ngày 07/11/2025 (Đợt 1) HĐ số 34</t>
  </si>
  <si>
    <t>Điều chỉnh giảm Doanh thu Dịch vụ quảng cáo và truyền thông theo Hợp đồng số VN2025/PR/hoangthachhh/19082025/HDDVQC ký ngày 19/08/2025 (Đợt 2) HĐ số 35</t>
  </si>
  <si>
    <t>Điều chỉnh giảm Doanh thu Dịch vụ quảng cáo và truyền thông theo Hợp đồng số 250915/HDDV/MIZUMI-HOANGTHACHH-250915MIZUMI ký ngày 15/09/2025 (Đợt 2) HĐ số 36</t>
  </si>
  <si>
    <t>Điều chỉnh giảm Doanh thu Dịch vụ quảng cáo và truyền thông theo Hợp đồng số HKD HOANGTHACH_ LOREAL UV AQUA_15112025 ký ngày 15/11/2025 (Đợt 1) HĐ số 39</t>
  </si>
  <si>
    <t>Điều chỉnh giảm Doanh thu Dịch vụ quảng cáo và truyền thông theo hợp đồng số HKD HOANGTHACH_ GARNIER_CAMP NOV_01112025 ký ngày 29/10/2025 (Đợt 2) và Biên bản nghiệm thu ký ngày 02/12/2025 HĐ số 42</t>
  </si>
  <si>
    <t>Điều chỉnh giảm Doanh thu Phí dịch vụ sử dụng hình ảnh 12/2025 theo Hợp đồng số 010825/HĐHTDV/THTTANE ký ngày 01/08/2025 HĐ số 43</t>
  </si>
  <si>
    <t>Điều chỉnh giảm Doanh thu Dịch vụ quảng cáo và truyền thông theo Hợp đồng số 22112025/HDDV-INNOYO MÁY SẤY TÓC/HOÀNG THẠCH-087 ký ngày 22/11/2025 (Đợt 1) HĐ số 44</t>
  </si>
  <si>
    <t>Điều chỉnh giảm Doanh thu Dịch vụ quảng cáo và truyền thông theo Hợp đồng số 0510-1/HDDV/CER-HT ký ngày 05/10/2025 (Đợt 2) HĐ số 45</t>
  </si>
  <si>
    <t>Điều chỉnh giảm Doanh thu Dịch vụ quảng cáo và truyền thông theo Hợp đồng số EX-BLUME-HOANGTHACH-04 ký ngày 02/12/2025 (Đợt 1) HĐ số 46</t>
  </si>
  <si>
    <t>Điều chỉnh giảm Doanh thu Dịch vụ quảng cáo và truyền thông theo hợp đồng số 1511.2025/HDDV/UPBASE-CB-hoangthachhh ký ngày 15/11/2025 HĐ số 47</t>
  </si>
  <si>
    <t>Điều chỉnh giảm Doanh thu Dịch vụ quảng cáo và truyền thông theo Hợp đồng số FINTVN-ATTENIR3-2025-52 ký ngày 10/11/2025 (Đợt 1) HĐ số 48</t>
  </si>
  <si>
    <t>Điều chỉnh giảm Doanh thu Thanh toán theo Hợp đồng dịch vụ số HD01112025/TIRTIR_ASIACONSULTING_HOANGTHACH ký ngày 01/11/2025 (Đợt 2) kèm Biên bản nghiệm thu và thanh lý ký ngày 11/12/2025 HĐ số 50</t>
  </si>
  <si>
    <t>Điều chỉnh giảm Doanh thu Dịch vụ quảng cáo và truyền thông theo Hợp đồng số HKD HOANGTHACH_ OBAGI_07112025 ký ngày 07/11/2025 (Đợt 2) và Biên bản nghiệm thu ký ngày 11/12/2025 HĐ số 51</t>
  </si>
  <si>
    <t>Điều chỉnh giảm Doanh thu Dịch vụ quảng cáo và truyền thông theo Hợp đồng số HKD HOANGTHACH_ THE SAEM_05122025 ký ngày 05/12/2025 (Đợt 1) HĐ số 52</t>
  </si>
  <si>
    <t>Điều chỉnh giảm Doanh thu Dịch vụ quảng cáo và truyền thông theo Hợp đồng số 2811-2025-RxHOANGTHACH ký ngày 28/11/2025 (Đợt 1) HĐ số 53</t>
  </si>
  <si>
    <t>Điều chỉnh giảm Doanh thu Dịch vụ quảng cáo và truyền thông theo Hợp đồng số HTKM- NTDTT/2025/HĐHTKD ký ngày 10/12/2025 (Đợt 1) HĐ số 55</t>
  </si>
  <si>
    <t>Điều chỉnh giảm Doanh thu Dịch vụ quảng cáo và truyền thông thông theo Hợp đồng số 24112025/HDDV/ES-MK-HT ký ngày 24/11/2025 (Đợt 1) HĐ số 56</t>
  </si>
  <si>
    <t>Điều chỉnh giảm Doanh thu Dịch vụ quảng cáo và truyền thông theo Hợp đồng số 01112025/HDDV/SGS-EMB-THT ký ngày 01/11/2025 (Đợt 1) HĐ số 57</t>
  </si>
  <si>
    <t>Điều chỉnh giảm Doanh thu Phí thực hiện sản xuất và đăng tải video review sản phẩm thuộc thương hiệu Cocoon Việt Nam theo hợp đồng số 20042025/HĐDV/Y&amp;B ký ngày 01/12/2025 (Đợt 1) HĐ số 58</t>
  </si>
  <si>
    <t>Điều chỉnh giảm Doanh thu Dịch vụ quảng cáo và truyền thông theo Hợp đồng số HKD HOANGTHACH_ LOREAL UV AQUA_15112025 ký ngày 15/11/2025 (Đợt 2) và Biên bản nghiệm thu ký ngày 23/12/2025 HĐ số 59</t>
  </si>
  <si>
    <t>Điều chỉnh giảm Doanh thu Dịch vụ quảng cáo và truyền thông theo Hợp đồng số EX-BLUME-HOANGTHACH-04 ký ngày 02/12/2025 (Đợt 2) HĐ số 60</t>
  </si>
  <si>
    <t>Điều chỉnh giảm Doanh thu Dịch vụ quảng cáo và truyền thông theo Hợp đồng số FINTVN-KAO7-2025-197 ký ngày 12/12/2025 (Đợt 1) HĐ số 61</t>
  </si>
  <si>
    <t>0304907505</t>
  </si>
  <si>
    <t>0314071957</t>
  </si>
  <si>
    <t>0315322096</t>
  </si>
  <si>
    <t>0314911564</t>
  </si>
  <si>
    <t>0313746491</t>
  </si>
  <si>
    <t>0108372860</t>
  </si>
  <si>
    <t>0317850609</t>
  </si>
  <si>
    <t>0313662763</t>
  </si>
  <si>
    <t>7858600823</t>
  </si>
  <si>
    <t>1801792944</t>
  </si>
  <si>
    <t>0313458831</t>
  </si>
  <si>
    <t>1801812534</t>
  </si>
  <si>
    <t>0110533709</t>
  </si>
  <si>
    <t>0111065108</t>
  </si>
  <si>
    <t>0108823048</t>
  </si>
  <si>
    <t>Chi phí tiếp khách, ngoại giao HĐ số 1650</t>
  </si>
  <si>
    <t>Chi phí tiếp khách, ngoại giao HĐ số 2995</t>
  </si>
  <si>
    <t>Chi phí tiếp khách, ngoại giao HĐ số 11924</t>
  </si>
  <si>
    <t>Chi phí tiếp khách, ngoại giao HĐ số 54257</t>
  </si>
  <si>
    <t>Chi phí tiếp khách, ngoại giao HĐ số 4702</t>
  </si>
  <si>
    <t>Chi phí tiếp khách, ngoại giao HĐ số 12191</t>
  </si>
  <si>
    <t>Chi phí tiếp khách, ngoại giao HĐ số 35169</t>
  </si>
  <si>
    <t>Chi phí tiếp khách, ngoại giao HĐ số 15945</t>
  </si>
  <si>
    <t>Chi phí tiếp khách, ngoại giao HĐ số 85619</t>
  </si>
  <si>
    <t>Chi phí tiếp khách, ngoại giao HĐ số 13049</t>
  </si>
  <si>
    <t>Chi phí tiếp khách, ngoại giao HĐ số 37410</t>
  </si>
  <si>
    <t>Chi phí tiếp khách, ngoại giao HĐ số 1848</t>
  </si>
  <si>
    <t>Chi phí tiếp khách, ngoại giao HĐ số 14117</t>
  </si>
  <si>
    <t>Chi phí tiếp khách, ngoại giao HĐ số 3876980</t>
  </si>
  <si>
    <t>Chi phí tiếp khách, ngoại giao HĐ số 17649</t>
  </si>
  <si>
    <t>Chi phí tiếp khách, ngoại giao HĐ số 3709</t>
  </si>
  <si>
    <t>Chi phí tiếp khách, ngoại giao HĐ số 45955</t>
  </si>
  <si>
    <t>Chi phí tiếp khách, ngoại giao HĐ số 30920</t>
  </si>
  <si>
    <t>Chi phí đồ dùng văn phòng HĐ số 273267</t>
  </si>
  <si>
    <t>Chi phí đồ dùng văn phòng HĐ số 4098</t>
  </si>
  <si>
    <t>Chi phí đồ dùng văn phòng HĐ số 661332</t>
  </si>
  <si>
    <t>Chi phí đồ dùng văn phòng HĐ số 40</t>
  </si>
  <si>
    <t>Chi phí đồ dùng văn phòng HĐ số 974462</t>
  </si>
  <si>
    <t>Chi phí đồ dùng văn phòng HĐ số 1051150</t>
  </si>
  <si>
    <t>Chi phí đồ dùng văn phòng HĐ số 9619</t>
  </si>
  <si>
    <t>Chi phí đồ dùng văn phòng HĐ số 17150</t>
  </si>
  <si>
    <t>Chi phí dịch vụ mua ngoài HĐ số 49347</t>
  </si>
  <si>
    <t>0107546722</t>
  </si>
  <si>
    <t>1001291586</t>
  </si>
  <si>
    <t>0313438930</t>
  </si>
  <si>
    <t>0318745727</t>
  </si>
  <si>
    <t>0317189107</t>
  </si>
  <si>
    <t>Phí dịch vụ tư vấn tháng 09/2025 HĐ số 130</t>
  </si>
  <si>
    <t>Phí dịch vụ tư vấn tháng 10/2025 HĐ số 159</t>
  </si>
  <si>
    <t>Phí dịch vụ tư vấn tháng 11/2025 HĐ số 182</t>
  </si>
  <si>
    <t>Doanh thu Dịch vụ quảng cáo và truyền thông theo Hợp đồng số 16082025/trangtrankoc- INTOYOU ký ngày 13/08/2025 và Biên bản nghiệm thu ký ngày 01/10/2025 HĐ số 13</t>
  </si>
  <si>
    <t>Doanh thu Dịch vụ quảng cáo và truyền thông theo Phụ lục 01 ký ngày 20/08/2025 của Hợp đồng nguyên tắc số 20082025/HDHT/LL_TTKOC ký ngày 20/08/2025 và Biên bản nghiệm thu ký ngày 17/10/2025 HĐ số 14</t>
  </si>
  <si>
    <t>Doanh thu Dịch vụ quảng cáo và truyền thông theo hợp đồng số 141025/HDDV/TRANGTRAN-IBP ký ngày 14/10/2025 và Biên bản nghiệm thu ký ngày 27/10/2025 HĐ số 15</t>
  </si>
  <si>
    <t>Doanh thu Dịch vụ quảng cáo và truyền thông theo Đơn đặt hàng số 271025 ký ngày 27/10/2025 và Biên bản nghiệm thu ký ngày 30/10/2025 HĐ số 16</t>
  </si>
  <si>
    <t>Doanh thu Dịch vụ quảng cáo và truyền thông theo Hợp đồng số 3110.2025/HDDV/UPBASE-trangtrankoc ký ngày 31/10/2025 và Biên bản nghiệm thu ký ngày 03/11/2025 HĐ số 17</t>
  </si>
  <si>
    <t>Doanh thu Dịch vụ quảng cáo và truyền thông theo Hợp đồng số TRANGTRAN/20251001 ký ngày 01/10/2025 và Biên bản nghiệm thu ký ngày 05/11/2025 HĐ số 18</t>
  </si>
  <si>
    <t>Doanh thu Dịch vụ quảng cáo và truyền thông theo Hợp đồng số SMD20251012/AMT-TRANGTRANKOC ký ngày 12/10/2025 và Biên bản nghiệm thu ký ngày 06/11/2025 HĐ số 19</t>
  </si>
  <si>
    <t>Doanh thu Dịch vụ quảng cáo và truyền thông theo Hợp đồng số LIXIBOX_TTS/TTKOC/03112025 ký ngày 22/10/2025 HĐ số 20</t>
  </si>
  <si>
    <t>Doanh thu Dịch vụ quảng cáo và truyền thông theo Hợp đồng số LIXIBOX_TTS/TTKOC/17112025 ký ngày 07/11/2025 HĐ số 21</t>
  </si>
  <si>
    <t>Doanh thu Dịch vụ quảng cáo và truyền thông theo Hợp đồng số 201125/HDDV/TRANGTRAN-IBP ký ngày 20/11/2025 và Biên bản nghiệm thu ký ngày 26/11/2025 HĐ số 22</t>
  </si>
  <si>
    <t>Doanh thu Dịch vụ quảng cáo và truyền thông theo Hợp đồng số 2611/2025/HDDV-BOVN-TRANGTRANKOC ký ngày 17/12/2025 kèm Biên bản nghiệm thu và thanh lý ký ngày 18/12/2025 HĐ số 23</t>
  </si>
  <si>
    <t>Doanh thu Dịch vụ quảng cáo và truyền thông theo Hợp đồng số LIXIBOX_TTS/TTKOC/18122025 ký ngày 09/12/2025 HĐ số 24</t>
  </si>
  <si>
    <t>Doanh thu Dịch vụ quảng cáo và truyền thông theo Hợp đồng số LIXIBOX_TTS/TTKOC/01122025 ký ngày 28/11/2025 HĐ số 25</t>
  </si>
  <si>
    <t>Doanh thu Dịch vụ quảng cáo và truyền thông theo Hợp đồng số 191225/HDDV/TRANGTRAN-IBP ký ngày 17/12/2025 và Biên bản nghiệm thu ký ngày 23/12/2025 HĐ số 26</t>
  </si>
  <si>
    <t>Doanh thu Dịch vụ quảng cáo và truyền thông theo Hợp đồng số 2212/2025/TTS/TRANGTRAN/FTD ký ngày 22/12/2025 và Biên bản nghiệm thu ký ngày 23/12/2025 HĐ số 27</t>
  </si>
  <si>
    <t>Điều chỉnh giảm Doanh thu Dịch vụ quảng cáo và truyền thông theo Hợp đồng số 16082025/trangtrankoc- INTOYOU ký ngày 13/08/2025 và Biên bản nghiệm thu ký ngày 01/10/2025 HĐ số 13</t>
  </si>
  <si>
    <t>Điều chỉnh giảm Doanh thu Dịch vụ quảng cáo và truyền thông theo Phụ lục 01 ký ngày 20/08/2025 của Hợp đồng nguyên tắc số 20082025/HDHT/LL_TTKOC ký ngày 20/08/2025 và Biên bản nghiệm thu ký ngày 17/10/2025 HĐ số 14</t>
  </si>
  <si>
    <t>Điều chỉnh giảm Doanh thu Dịch vụ quảng cáo và truyền thông theo hợp đồng số 141025/HDDV/TRANGTRAN-IBP ký ngày 14/10/2025 và Biên bản nghiệm thu ký ngày 27/10/2025 HĐ số 15</t>
  </si>
  <si>
    <t>Điều chỉnh giảm Doanh thu Dịch vụ quảng cáo và truyền thông theo Đơn đặt hàng số 271025 ký ngày 27/10/2025 và Biên bản nghiệm thu ký ngày 30/10/2025 HĐ số 16</t>
  </si>
  <si>
    <t>Điều chỉnh giảm Doanh thu Dịch vụ quảng cáo và truyền thông theo Hợp đồng số 3110.2025/HDDV/UPBASE-trangtrankoc ký ngày 31/10/2025 và Biên bản nghiệm thu ký ngày 03/11/2025 HĐ số 17</t>
  </si>
  <si>
    <t>Điều chỉnh giảm Doanh thu Dịch vụ quảng cáo và truyền thông theo Hợp đồng số TRANGTRAN/20251001 ký ngày 01/10/2025 và Biên bản nghiệm thu ký ngày 05/11/2025 HĐ số 18</t>
  </si>
  <si>
    <t>Điều chỉnh giảm Doanh thu Dịch vụ quảng cáo và truyền thông theo Hợp đồng số SMD20251012/AMT-TRANGTRANKOC ký ngày 12/10/2025 và Biên bản nghiệm thu ký ngày 06/11/2025 HĐ số 19</t>
  </si>
  <si>
    <t>Điều chỉnh giảm Doanh thu Dịch vụ quảng cáo và truyền thông theo Hợp đồng số LIXIBOX_TTS/TTKOC/03112025 ký ngày 22/10/2025 HĐ số 20</t>
  </si>
  <si>
    <t>Điều chỉnh giảm Doanh thu Dịch vụ quảng cáo và truyền thông theo Hợp đồng số LIXIBOX_TTS/TTKOC/17112025 ký ngày 07/11/2025 HĐ số 21</t>
  </si>
  <si>
    <t>Điều chỉnh giảm Doanh thu Dịch vụ quảng cáo và truyền thông theo Hợp đồng số 201125/HDDV/TRANGTRAN-IBP ký ngày 20/11/2025 và Biên bản nghiệm thu ký ngày 26/11/2025 HĐ số 22</t>
  </si>
  <si>
    <t>Điều chỉnh giảm Doanh thu Dịch vụ quảng cáo và truyền thông theo Hợp đồng số 2611/2025/HDDV-BOVN-TRANGTRANKOC ký ngày 17/12/2025 kèm Biên bản nghiệm thu và thanh lý ký ngày 18/12/2025 HĐ số 23</t>
  </si>
  <si>
    <t>Điều chỉnh giảm Doanh thu Dịch vụ quảng cáo và truyền thông theo Hợp đồng số LIXIBOX_TTS/TTKOC/18122025 ký ngày 09/12/2025 HĐ số 24</t>
  </si>
  <si>
    <t>Điều chỉnh giảm Doanh thu Dịch vụ quảng cáo và truyền thông theo Hợp đồng số LIXIBOX_TTS/TTKOC/01122025 ký ngày 28/11/2025 HĐ số 25</t>
  </si>
  <si>
    <t>Điều chỉnh giảm Doanh thu Dịch vụ quảng cáo và truyền thông theo Hợp đồng số 191225/HDDV/TRANGTRAN-IBP ký ngày 17/12/2025 và Biên bản nghiệm thu ký ngày 23/12/2025 HĐ số 26</t>
  </si>
  <si>
    <t>Điều chỉnh giảm Doanh thu Dịch vụ quảng cáo và truyền thông theo Hợp đồng số 2212/2025/TTS/TRANGTRAN/FTD ký ngày 22/12/2025 và Biên bản nghiệm thu ký ngày 23/12/2025 HĐ số 27</t>
  </si>
  <si>
    <t>Chi phí tiếp khách, ngoại giao HĐ số 6188</t>
  </si>
  <si>
    <t>Chi phí dịch vụ mua ngoài HĐ số 511</t>
  </si>
  <si>
    <t>Chi phí mạng viễn thông HĐ số 4077989</t>
  </si>
  <si>
    <t>Chi phí mạng viễn thông HĐ số 4593229</t>
  </si>
  <si>
    <t>27/12/2025</t>
  </si>
  <si>
    <t>0310676101</t>
  </si>
  <si>
    <t>0318692955</t>
  </si>
  <si>
    <t>0302286281-034</t>
  </si>
  <si>
    <t>0318105029</t>
  </si>
  <si>
    <t>0301427324</t>
  </si>
  <si>
    <t>0305767459</t>
  </si>
  <si>
    <t>0313465740</t>
  </si>
  <si>
    <t>3800758013</t>
  </si>
  <si>
    <t>3600258976</t>
  </si>
  <si>
    <t>0316940306</t>
  </si>
  <si>
    <t>0107307178</t>
  </si>
  <si>
    <t>3700381324-470</t>
  </si>
  <si>
    <t>0109334402</t>
  </si>
  <si>
    <t>0319164002</t>
  </si>
  <si>
    <t>0110820090</t>
  </si>
  <si>
    <t>Phí dịch vụ tư vấn tháng 09/2025 HĐ số 134</t>
  </si>
  <si>
    <t>Phí dịch vụ tư vấn tháng 10/2025 HĐ số 153</t>
  </si>
  <si>
    <t>Phí dịch vụ tư vấn tháng 11/2025 HĐ số 184</t>
  </si>
  <si>
    <t>Doanh thu Dịch vụ quảng cáo và truyền thông theo Hợp đồng số 15092025_HĐDV-HUNGTHINH-VUTHAIBINH ký ngày 15/09/2025 HĐ số 16</t>
  </si>
  <si>
    <t>Doanh thu Dịch vụ quảng cáo và truyền thông theo Hợp đồng số 2409/HDDV/UPBASENUCOS-VUTHAIBINH/2025 ký ngày 24/09/2025 HĐ số 17</t>
  </si>
  <si>
    <t>Doanh thu Dịch vụ quảng cáo và truyền thông theo Hợp đồng số HKD VTB_GARNIER_TRI_ACID_01092025 ký ngày 01/09/2025 và Biên bản nghiệm thu ký ngày 06/10/2025 HĐ số 18</t>
  </si>
  <si>
    <t>Doanh thu Dịch vụ quảng cáo và truyền thông theo Hợp đồng số HKD VTB_ GARNIER_TRI_ACID_EVENT_15092025 ký ngày 15/09/2025 và Biên bản nghiệm thu ký ngày 06/10/2025 HĐ số 19</t>
  </si>
  <si>
    <t>Doanh thu Dịch vụ quảng cáo và truyền thông theo Hợp đồng số 29092025/HD/VUTHAIBINH-SYB ký ngày 29/09/2025 (Đợt 1) HĐ số 20</t>
  </si>
  <si>
    <t>Doanh thu Dịch vụ quảng cáo và truyền thông theo Hợp đồng số CRE/Vũ Thái Bình/Biore/2025-HDDV-71 ký ngày 10/08/2025 và Biên bản nghiệm thu ký ngày 15/10/2025 HĐ số 21</t>
  </si>
  <si>
    <t>Doanh thu Dịch vụ quảng cáo và truyền thông theo Hợp đồng số HKD VTB_ANUA_01092025 ký ngày 01/09/2025 và Biên bản nghiệm thu ký ngày 23/10/2025 HĐ số 22</t>
  </si>
  <si>
    <t>Doanh thu Dịch vụ quảng cáo và truyền thông theo Hợp đồng số HKD VUTHAIBINH_DAOIDA_13082025 ký ngày 13/08/2025 và Biên bản nghiệm thu ký ngày 23/10/2025 HĐ số 23</t>
  </si>
  <si>
    <t>Doanh thu Thanh toán đợt 1: 50% chi phí dịch vụ theo hợp đồng số 29092025_HĐDV-HUNGTHINH-VUTHAIBINH ký ngày 29/09/2025 HĐ số 24</t>
  </si>
  <si>
    <t>Doanh thu Phí sử dụng hình ảnh theo Hợp đồng số HKD VTB_ ANUA_08082025 ký ngày 08/08/2025 HĐ số 25</t>
  </si>
  <si>
    <t>Doanh thu Dịch vụ quảng cáo và truyền thông theo Hợp đồng số HKD VTB_ JUMISO_01082025 ký ngày 01/08/2025 và Biên bản nghiệm thu ký ngày 27/10/2025 HĐ số 26</t>
  </si>
  <si>
    <t>Doanh thu Phí sử dụng hình ảnh theo Hợp đồng số HKD VTB_ ANUA_03092025 ký ngày 03/09/2025 HĐ số 27</t>
  </si>
  <si>
    <t>Doanh thu Phí dịch vụ hợp đồng số 13882025/HĐDV/Y&amp;B ký ngày 23/09/2025 và Biên bản nghiệm thu số 13882025/BBNT-TT/Y&amp;B ký ngày 27/10/2025 HĐ số 28</t>
  </si>
  <si>
    <t>Doanh thu Dịch vụ quảng cáo và truyền thông theo Hợp đồng số 0110/2025/HDDV-BOVN-VTB ký ngày 01/10/2025 kèm Biên bản nghiệm thu thanh lý ký ngày 28/10/2025 HĐ số 29</t>
  </si>
  <si>
    <t>Doanh thu Dịch vụ quảng cáo và truyền thông theo Hợp đồng số 26082025/HDDV/MINCER-VTB ký ngày 26/08/2025 kèm Biên bản nghiệm thu và thanh lý hợp đồng ký ngày 28/10/2025 HĐ số 30</t>
  </si>
  <si>
    <t>Doanh thu Dịch vụ quảng cáo và truyền thông theo Hợp đồng số HKD VTB_ LOREAL UV AQUA_01102025 ký ngày 01/10/2025 và Biên bản nghiệm thu ký ngày 30/10/2025 HĐ số 31</t>
  </si>
  <si>
    <t>Doanh thu DỊch vụ quảng cáo và truyền thông theo Hợp đồng số 09102025/HĐDV-SE-VUTHAIBINH-LIVEADDIN0910 ký ngày 09/10/2025 và Biên bản nghiệm thu ký ngày 31/10/2025 HĐ số 32</t>
  </si>
  <si>
    <t>Doanh thu Dịch vụ quảng cáo và truyền thông theo Hợp đồng số HĐ/1818/2025/VNNL ký ngày 16/09/2025 kèm Biên bản nghiệm thu và thanh lý hợp đồng ký ngày 03/11/2025 HĐ số 33</t>
  </si>
  <si>
    <t>Doanh thu Dịch vụ quảng cáo và truyền thông theo Hợp đồng số 29092025/HD/VUTHAIBINH-SYB ký ngày 29/09/2025 (Đợt 2) và Biên bản nghiệm thu ký ngày 03/11/2025 HĐ số 34</t>
  </si>
  <si>
    <t>Doanh thu Dịch vụ quảng cáo và truyền thông theo Hợp đồng số HKD VTB_ LOREAL PEEL_01102025 ký ngày 01/10/2025 và Biên bản nghiệm thu ký ngày 04/11/2025 HĐ số 35</t>
  </si>
  <si>
    <t>Doanh thu Dịch vụ quảng cáo và truyền thông theo Hợp đồng số 0311/2025/TTS/VUTHAIBINH/KENVUE ký ngày 03/11/2025 và Biên bản nghiệm thu ký ngày 07/11/2025 HĐ số 36</t>
  </si>
  <si>
    <t>Doanh thu Dịch vụ quảng cáo và truyền thông theo Hợp đồng dịch vụ ký ngày 18/08/2025 và Biên bản nghiệm thu ký ngày 11/11/2025 HĐ số 37</t>
  </si>
  <si>
    <t>Doanh thu Dịch vụ quảng cáo và truyền thông theo Hợp đồng số 20102025/HĐDV-SE-SIMPLE-VUTHAIBINH ký ngày 20/10/2025 và Biên bản nghiệm thu ký ngày 11/11/2025 HĐ số 38</t>
  </si>
  <si>
    <t>Doanh thu Dịch vụ quảng cáo và truyền thông theo Hợp đồng số HDDV/OLAYSCARLETxVĐxVTB/221025 ký ngày 22/10/2025 và Biên bản nghiệm thu ký ngày 13/11/2025 HĐ số 39</t>
  </si>
  <si>
    <t>Doanh thu Dịch vụ quảng cáo và truyền thông theo Hợp đồng số 061125/HDDV/VTB ký ngày 06/11/2025 HĐ số 40</t>
  </si>
  <si>
    <t>Doanh thu Phí thực hiện sản xuất và đăng tải video review về sản phẩm Sữa rửa mặt sen Hậu Giang theo hợp đồng số 15742025/HĐDV/Y&amp;B ký ngày 01/10/2025 và Biên bản nghiệm thu số 15742025/BBNT-TT/Y&amp;B ký ngày 14/11/2025 HĐ số 41</t>
  </si>
  <si>
    <t>Doanh thu Dịch vụ quảng cáo và truyền thông theo Hợp đồng số 20251031HDDV/TRENDIFY-HKD_VTB ký ngày 31/10/2025 và Biên bản nghiệm thu ký ngày 18/11/2025 HĐ số 42</t>
  </si>
  <si>
    <t>Doanh thu Dịch vụ quảng cáo và truyền thông theo Hợp đồng số HKD VTB_ L&amp;apos;OREAL PARIS_ CAMP HA_NOV_01112025 ký ngày 01/11/2025 và Biên bản nghiệm thu ký ngày 26/11/2025 HĐ số 43</t>
  </si>
  <si>
    <t>Doanh thu Dịch vụ quảng cáo và truyền thông theo Hợp đồng số 01112025HDDVVUTHAIBINHCELIMAX ký ngày 01/11/2025 và Biên bản nghiệm thu ký ngày 02/12/2025 HĐ số 44</t>
  </si>
  <si>
    <t>Doanh thu Phí cung cấp dịch vụ quảng cáo theo hợp đồng số HĐ/1958/2025/VNNL ký ngày 07/10/2025 kèm biên bản nghiệm thu và thanh lý ký ngày 02/12/2025 HĐ số 45</t>
  </si>
  <si>
    <t>Doanh thu Thanh toán 100% Chi phí dịch vụ theo hợp đồng số 14102025_HĐDV-HUNGTHINH-VUTHAIBINH ký ngày 14/10/2025 HĐ số 46</t>
  </si>
  <si>
    <t>Doanh thu Dịch vụ quảng cáo và truyền thông theo Hợp đồng nguyên tắc số 18112025/HDHT/LL_VTB ký ngày 18/11/2025, Phụ lục 01 ký ngày 18/11/2025 và Biên bản nghiệm thu ký ngày 19/12/2025 HĐ số 47</t>
  </si>
  <si>
    <t>Điều chỉnh giảm Doanh thu Dịch vụ quảng cáo và truyền thông theo Hợp đồng số 15092025_HĐDV-HUNGTHINH-VUTHAIBINH ký ngày 15/09/2025 HĐ số 16</t>
  </si>
  <si>
    <t>Điều chỉnh giảm Doanh thu Dịch vụ quảng cáo và truyền thông theo Hợp đồng số 2409/HDDV/UPBASENUCOS-VUTHAIBINH/2025 ký ngày 24/09/2025 HĐ số 17</t>
  </si>
  <si>
    <t>Điều chỉnh giảm Doanh thu Dịch vụ quảng cáo và truyền thông theo Hợp đồng số HKD VTB_GARNIER_TRI_ACID_01092025 ký ngày 01/09/2025 và Biên bản nghiệm thu ký ngày 06/10/2025 HĐ số 18</t>
  </si>
  <si>
    <t>Điều chỉnh giảm Doanh thu Dịch vụ quảng cáo và truyền thông theo Hợp đồng số HKD VTB_ GARNIER_TRI_ACID_EVENT_15092025 ký ngày 15/09/2025 và Biên bản nghiệm thu ký ngày 06/10/2025 HĐ số 19</t>
  </si>
  <si>
    <t>Điều chỉnh giảm Doanh thu Dịch vụ quảng cáo và truyền thông theo Hợp đồng số 29092025/HD/VUTHAIBINH-SYB ký ngày 29/09/2025 (Đợt 1) HĐ số 20</t>
  </si>
  <si>
    <t>Điều chỉnh giảm Doanh thu Dịch vụ quảng cáo và truyền thông theo Hợp đồng số CRE/Vũ Thái Bình/Biore/2025-HDDV-71 ký ngày 10/08/2025 và Biên bản nghiệm thu ký ngày 15/10/2025 HĐ số 21</t>
  </si>
  <si>
    <t>Điều chỉnh giảm Doanh thu Dịch vụ quảng cáo và truyền thông theo Hợp đồng số HKD VTB_ANUA_01092025 ký ngày 01/09/2025 và Biên bản nghiệm thu ký ngày 23/10/2025 HĐ số 22</t>
  </si>
  <si>
    <t>Điều chỉnh giảm Doanh thu Dịch vụ quảng cáo và truyền thông theo Hợp đồng số HKD VUTHAIBINH_DAOIDA_13082025 ký ngày 13/08/2025 và Biên bản nghiệm thu ký ngày 23/10/2025 HĐ số 23</t>
  </si>
  <si>
    <t>Điều chỉnh giảm Doanh thu Thanh toán đợt 1: 50% chi phí dịch vụ theo hợp đồng số 29092025_HĐDV-HUNGTHINH-VUTHAIBINH ký ngày 29/09/2025 HĐ số 24</t>
  </si>
  <si>
    <t>Điều chỉnh giảm Doanh thu Phí sử dụng hình ảnh theo Hợp đồng số HKD VTB_ ANUA_08082025 ký ngày 08/08/2025 HĐ số 25</t>
  </si>
  <si>
    <t>Điều chỉnh giảm Doanh thu Dịch vụ quảng cáo và truyền thông theo Hợp đồng số HKD VTB_ JUMISO_01082025 ký ngày 01/08/2025 và Biên bản nghiệm thu ký ngày 27/10/2025 HĐ số 26</t>
  </si>
  <si>
    <t>Điều chỉnh giảm Doanh thu Phí sử dụng hình ảnh theo Hợp đồng số HKD VTB_ ANUA_03092025 ký ngày 03/09/2025 HĐ số 27</t>
  </si>
  <si>
    <t>Điều chỉnh giảm Doanh thu Phí dịch vụ hợp đồng số 13882025/HĐDV/Y&amp;B ký ngày 23/09/2025 và Biên bản nghiệm thu số 13882025/BBNT-TT/Y&amp;B ký ngày 27/10/2025 HĐ số 28</t>
  </si>
  <si>
    <t>Điều chỉnh giảm Doanh thu Dịch vụ quảng cáo và truyền thông theo Hợp đồng số 0110/2025/HDDV-BOVN-VTB ký ngày 01/10/2025 kèm Biên bản nghiệm thu thanh lý ký ngày 28/10/2025 HĐ số 29</t>
  </si>
  <si>
    <t>Điều chỉnh giảm Doanh thu Dịch vụ quảng cáo và truyền thông theo Hợp đồng số 26082025/HDDV/MINCER-VTB ký ngày 26/08/2025 kèm Biên bản nghiệm thu và thanh lý hợp đồng ký ngày 28/10/2025 HĐ số 30</t>
  </si>
  <si>
    <t>Điều chỉnh giảm Doanh thu Dịch vụ quảng cáo và truyền thông theo Hợp đồng số HKD VTB_ LOREAL UV AQUA_01102025 ký ngày 01/10/2025 và Biên bản nghiệm thu ký ngày 30/10/2025 HĐ số 31</t>
  </si>
  <si>
    <t>Điều chỉnh giảm Doanh thu DỊch vụ quảng cáo và truyền thông theo Hợp đồng số 09102025/HĐDV-SE-VUTHAIBINH-LIVEADDIN0910 ký ngày 09/10/2025 và Biên bản nghiệm thu ký ngày 31/10/2025 HĐ số 32</t>
  </si>
  <si>
    <t>Điều chỉnh giảm Doanh thu Dịch vụ quảng cáo và truyền thông theo Hợp đồng số HĐ/1818/2025/VNNL ký ngày 16/09/2025 kèm Biên bản nghiệm thu và thanh lý hợp đồng ký ngày 03/11/2025 HĐ số 33</t>
  </si>
  <si>
    <t>Điều chỉnh giảm Doanh thu Dịch vụ quảng cáo và truyền thông theo Hợp đồng số 29092025/HD/VUTHAIBINH-SYB ký ngày 29/09/2025 (Đợt 2) và Biên bản nghiệm thu ký ngày 03/11/2025 HĐ số 34</t>
  </si>
  <si>
    <t>Điều chỉnh giảm Doanh thu Dịch vụ quảng cáo và truyền thông theo Hợp đồng số HKD VTB_ LOREAL PEEL_01102025 ký ngày 01/10/2025 và Biên bản nghiệm thu ký ngày 04/11/2025 HĐ số 35</t>
  </si>
  <si>
    <t>Điều chỉnh giảm Doanh thu Dịch vụ quảng cáo và truyền thông theo Hợp đồng số 0311/2025/TTS/VUTHAIBINH/KENVUE ký ngày 03/11/2025 và Biên bản nghiệm thu ký ngày 07/11/2025 HĐ số 36</t>
  </si>
  <si>
    <t>Điều chỉnh giảm Doanh thu Dịch vụ quảng cáo và truyền thông theo Hợp đồng dịch vụ ký ngày 18/08/2025 và Biên bản nghiệm thu ký ngày 11/11/2025 HĐ số 37</t>
  </si>
  <si>
    <t>Điều chỉnh giảm Doanh thu Dịch vụ quảng cáo và truyền thông theo Hợp đồng số 20102025/HĐDV-SE-SIMPLE-VUTHAIBINH ký ngày 20/10/2025 và Biên bản nghiệm thu ký ngày 11/11/2025 HĐ số 38</t>
  </si>
  <si>
    <t>Điều chỉnh giảm Doanh thu Dịch vụ quảng cáo và truyền thông theo Hợp đồng số HDDV/OLAYSCARLETxVĐxVTB/221025 ký ngày 22/10/2025 và Biên bản nghiệm thu ký ngày 13/11/2025 HĐ số 39</t>
  </si>
  <si>
    <t>Điều chỉnh giảm Doanh thu Dịch vụ quảng cáo và truyền thông theo Hợp đồng số 061125/HDDV/VTB ký ngày 06/11/2025 HĐ số 40</t>
  </si>
  <si>
    <t>Điều chỉnh giảm Doanh thu Phí thực hiện sản xuất và đăng tải video review về sản phẩm Sữa rửa mặt sen Hậu Giang theo hợp đồng số 15742025/HĐDV/Y&amp;B ký ngày 01/10/2025 và Biên bản nghiệm thu số 15742025/BBNT-TT/Y&amp;B ký ngày 14/11/2025 HĐ số 41</t>
  </si>
  <si>
    <t>Điều chỉnh giảm Doanh thu Dịch vụ quảng cáo và truyền thông theo Hợp đồng số 20251031HDDV/TRENDIFY-HKD_VTB ký ngày 31/10/2025 và Biên bản nghiệm thu ký ngày 18/11/2025 HĐ số 42</t>
  </si>
  <si>
    <t>Điều chỉnh giảm Doanh thu Dịch vụ quảng cáo và truyền thông theo Hợp đồng số HKD VTB_ L&amp;apos;OREAL PARIS_ CAMP HA_NOV_01112025 ký ngày 01/11/2025 và Biên bản nghiệm thu ký ngày 26/11/2025 HĐ số 43</t>
  </si>
  <si>
    <t>Điều chỉnh giảm Doanh thu Dịch vụ quảng cáo và truyền thông theo Hợp đồng số 01112025HDDVVUTHAIBINHCELIMAX ký ngày 01/11/2025 và Biên bản nghiệm thu ký ngày 02/12/2025 HĐ số 44</t>
  </si>
  <si>
    <t>Điều chỉnh giảm Doanh thu Phí cung cấp dịch vụ quảng cáo theo hợp đồng số HĐ/1958/2025/VNNL ký ngày 07/10/2025 kèm biên bản nghiệm thu và thanh lý ký ngày 02/12/2025 HĐ số 45</t>
  </si>
  <si>
    <t>Điều chỉnh giảm Doanh thu Thanh toán 100% Chi phí dịch vụ theo hợp đồng số 14102025_HĐDV-HUNGTHINH-VUTHAIBINH ký ngày 14/10/2025 HĐ số 46</t>
  </si>
  <si>
    <t>Điều chỉnh giảm Doanh thu Dịch vụ quảng cáo và truyền thông theo Hợp đồng nguyên tắc số 18112025/HDHT/LL_VTB ký ngày 18/11/2025, Phụ lục 01 ký ngày 18/11/2025 và Biên bản nghiệm thu ký ngày 19/12/2025 HĐ số 47</t>
  </si>
  <si>
    <t>Chi phí đồ dùng văn phòng HĐ số 16840</t>
  </si>
  <si>
    <t>Chi phí đồ dùng văn phòng HĐ số 2585</t>
  </si>
  <si>
    <t>Chi phí đồ dùng văn phòng HĐ số 23073</t>
  </si>
  <si>
    <t>Chi phí thuê văn phòng HĐ số 273</t>
  </si>
  <si>
    <t>Chi phí đồ dùng văn phòng HĐ số 23798</t>
  </si>
  <si>
    <t>Chi phí đồ dùng văn phòng HĐ số 17505</t>
  </si>
  <si>
    <t>Chi phí di chuyển HĐ số 311269</t>
  </si>
  <si>
    <t>Chi phí tiếp khách, ngoại giao HĐ số 915476</t>
  </si>
  <si>
    <t>Chi phí đồ dùng văn phòng HĐ số 274</t>
  </si>
  <si>
    <t>Chi phí di chuyển HĐ số 196073</t>
  </si>
  <si>
    <t>Chi phí đồ dùng văn phòng HĐ số 937823</t>
  </si>
  <si>
    <t>Chi phí tiếp khách, ngoại giao HĐ số 937824</t>
  </si>
  <si>
    <t>Chi phí di chuyển HĐ số 1199705</t>
  </si>
  <si>
    <t>Chi phí tiếp khách, ngoại giao HĐ số 1229589</t>
  </si>
  <si>
    <t>Chi phí tiếp khách, ngoại giao HĐ số 5464</t>
  </si>
  <si>
    <t>Chi phí tiếp khách, ngoại giao HĐ số 33465</t>
  </si>
  <si>
    <t>Chi phí di chuyển HĐ số 1275161</t>
  </si>
  <si>
    <t>Chi phí đồ dùng văn phòng HĐ số 406</t>
  </si>
  <si>
    <t>Chi phí tiếp khách, ngoại giao HĐ số 1016363</t>
  </si>
  <si>
    <t>Chi phí tiếp khách, ngoại giao HĐ số 17112</t>
  </si>
  <si>
    <t>Chi phí tiếp khách, ngoại giao HĐ số 17575</t>
  </si>
  <si>
    <t>Chi phí dịch vụ đăng tin tuyển dụng HĐ số 9962</t>
  </si>
  <si>
    <t>Chi phí di chuyển HĐ số 1416335</t>
  </si>
  <si>
    <t>Chi phí tiếp khách, ngoại giao HĐ số 1046189</t>
  </si>
  <si>
    <t>Chi phí đồ dùng văn phòng HĐ số 1074311</t>
  </si>
  <si>
    <t>Chi phí tiếp khách, ngoại giao HĐ số 1074327</t>
  </si>
  <si>
    <t>Chi phí di chuyển HĐ số 1547563</t>
  </si>
  <si>
    <t>Chi phí tiếp khách, ngoại giao HĐ số 1095658</t>
  </si>
  <si>
    <t>Chi phí tiếp khách, ngoại giao HĐ số 1107697</t>
  </si>
  <si>
    <t>23/11/2025</t>
  </si>
  <si>
    <t>21/12/2025</t>
  </si>
  <si>
    <t>05/12/2025</t>
  </si>
  <si>
    <t>26/12/2025</t>
  </si>
  <si>
    <t>0315952588</t>
  </si>
  <si>
    <t>0107139974-001</t>
  </si>
  <si>
    <t>0111125244</t>
  </si>
  <si>
    <t>0315087043</t>
  </si>
  <si>
    <t>0315648203</t>
  </si>
  <si>
    <t>0318674265</t>
  </si>
  <si>
    <t>0314086054</t>
  </si>
  <si>
    <t>0106818437</t>
  </si>
  <si>
    <t>0102006360</t>
  </si>
  <si>
    <t>0318149097</t>
  </si>
  <si>
    <t>0109795900</t>
  </si>
  <si>
    <t>0103065993</t>
  </si>
  <si>
    <t>0314526114</t>
  </si>
  <si>
    <t>0314997603</t>
  </si>
  <si>
    <t>0109852637</t>
  </si>
  <si>
    <t>0313248400</t>
  </si>
  <si>
    <t>0108164853</t>
  </si>
  <si>
    <t>0319096578</t>
  </si>
  <si>
    <t>0111143204</t>
  </si>
  <si>
    <t>Phí dịch vụ tư vấn tháng 09/2025 HĐ số 142</t>
  </si>
  <si>
    <t>Phí dịch vụ Affiliate 10/2025_17340290023 HĐ số 1669217</t>
  </si>
  <si>
    <t>Phí dịch vụ tư vấn tháng 10/2025 HĐ số 173</t>
  </si>
  <si>
    <t>Phí dịch vụ tư vấn tháng 11/2025 HĐ số 193</t>
  </si>
  <si>
    <t>Doanh thu Dịch vụ quảng cáo và truyền thông theo Hợp đồng số AMV/TROXX&amp;LACCI/CANESBALANCE/2025-HDDV-1983P ký ngày 01/08/2025 và Biên bản nghiệm thu ký ngày 01/10/2025 HĐ số 20</t>
  </si>
  <si>
    <t>Doanh thu Dịch vụ quảng cáo và truyền thông theo Hợp đồng số AMV/ONG THI BA LONG/SHELL CITY/2025-HDDV-2154P ký ngày 29/08/2025 và Biên bản nghiệm thu ký ngày 03/10/2025 HĐ số 21</t>
  </si>
  <si>
    <t>Doanh thu Dịch vụ quảng cáo và truyền thông theo Hợp đồng số 0509/HDDV-2025/REDAMO-ONGTHIBALONG/BEPLAIN ký ngày 05/09/2025 và Biên bản nghiệm thu ký ngày 07/10/2025 HĐ số 22</t>
  </si>
  <si>
    <t>Doanh thu Dịch vụ quảng cáo và truyền thông theo Hợp đồng số 11092025/HĐDV-VF-OTBL ký ngày 11/09/2025 (Đợt 1) HĐ số 23</t>
  </si>
  <si>
    <t>Doanh thu Dịch vụ quảng cáo và truyền thông theo Hợp đồng số GG-TC2025-DK-GTM-02 ký ngày 11/09/2025 và Biên bản nghiệm thu ký ngày 09/10/2025 HĐ số 26</t>
  </si>
  <si>
    <t>Doanh thu Dịch vụ quảng cáo và truyền thông theo Hợp đồng số FINTVN-ATTENIR1-2025-26 ký ngày 10/09/2025 và Biên bản nghiệm thu ký ngày 09/10/2025 HĐ số 27</t>
  </si>
  <si>
    <t>Doanh thu Phí dịch vụ quảng cáo theo Hợp đồng số MDA/20250924/1761 ngày 01/09/2025 và Biên bản nghiệm thu và thanh lý ngày 15/10/2025 HĐ số 28</t>
  </si>
  <si>
    <t>Doanh thu Dịch vụ quảng cáo và truyền thông theo Hợp đồng số MSS-NTTT/011025/HDDV ký ngày 01/10/2025 và Biên bản nghiệm thu và thanh lý hợp đồng ký ngày 17/10/2025 HĐ số 29</t>
  </si>
  <si>
    <t>Doanh thu Dịch vụ quảng cáo và truyền thông theo Hợp đồng số 25092025/TLC-OTBL ký ngày 25/09/2025 và Biên bản nghiệm thu ký ngày 20/10/2025 HĐ số 30</t>
  </si>
  <si>
    <t>Doanh thu Dịch vụ quảng cáo và truyền thông theo Hợp đồng số HĐ/660/2025/MMUSIC ký ngày 16/09/2025 và Biên bản nghiệm thu ký ngày 20/10/2025 HĐ số 31</t>
  </si>
  <si>
    <t>Doanh thu Dịch vụ quảng cáo và truyền thông theo Hợp đồng số 3008025/HĐDV-SE-ONGTHIBALONG ký ngày 30/08/2025 và Biên bản nghiệm thu ký ngày 23/10/2025 HĐ số 33</t>
  </si>
  <si>
    <t>Doanh thu Dịch vụ quảng cáo và truyền thông theo Hợp đồng số 22692025-SSMB/KOL ký ngày 26/09/2025 HĐ số 34</t>
  </si>
  <si>
    <t>Doanh thu Dịch vụ quảng cáo và truyền thông theo Hợp đồng số 0810.67/HDDV/KOL/HKD.OTBL-NBN ký ngày 13/10/2025 và Biên bản nghiệm thu ký ngày 27/10/2025 HĐ số 35</t>
  </si>
  <si>
    <t>Doanh thu Dịch vụ quảng cáo và truyền thông theo Hợp đồng số AMV/HKD ONG THI BA LONG/MSD HARIWON CAMPAIGN/2025-HDDV-1936P ký ngày 21/08/2025 và Biên bản nghiệm thu ký ngày 31/10/2025 HĐ số 36</t>
  </si>
  <si>
    <t>Doanh thu Chi phí cung cấp dịch vụ cho nhãn hàng Comfort theo hợp đồng số 0309/2025/HĐDV - SOFT/BNT - OTBL HĐ số 37</t>
  </si>
  <si>
    <t>Doanh thu Thanh toán 100% phí dịch vụ LAN - Genifique Repush - Video - Scope 2 - 1010 SOW số 24600/2025/WPP-BTL-LO ID Tiktok: ongthibalong HĐ số 38</t>
  </si>
  <si>
    <t>Doanh thu Dịch vụ quảng cáo và truyền thông theo Hợp đồng số 31102025/HDDV/UPBASE-KEYSHU-ONGTHISLAY ký ngày 31/10/2025 và Biên bản nghiệm thu ký ngày 12/11/2025 HĐ số 39</t>
  </si>
  <si>
    <t>Doanh thu Dịch vụ quảng cáo và truyền thông theo Hợp đồng số 536-2510-HDDV-VY25147-Y1N-NLHL ký ngày 20/10/2025 và Biên bản nghiệm thu ký ngày 12/11/2025 HĐ số 40</t>
  </si>
  <si>
    <t>Doanh thu Dịch vụ quảng cáo và truyền thông theo Hợp đồng số 11092025/HĐDV-VF-OTBL ký ngày 11/09/2025 (Đợt 2) và Biên bản nghiệm thu ký ngày 12/11/2025 HĐ số 41</t>
  </si>
  <si>
    <t>Doanh thu Dịch vụ quảng cáo và truyền thông theo Hợp đồng số HDDV/ONGTHIBALONG/LOTTECHOCOLAT/23092025 ký ngày 23/09/2025 và Biên bản nghiệm thu ký ngày 13/11/2025 HĐ số 42</t>
  </si>
  <si>
    <t>Doanh thu Dịch vụ quảng cáo và truyền thông theo Hợp đồng số HD235/2025/HĐDV/VPBANK-NOVAON/OngThiBaLong ký ngày 01/10/2025 và Biên bản nghiệm thu ký ngày 20/11/2025 HĐ số 43</t>
  </si>
  <si>
    <t>Doanh thu Dịch vụ quảng cáo và truyền thông theo Hợp đồng số 211025/HDDV/NIVEADOUBLECLEASING/ICON-ONGTHIBALONG ký ngày 21/10/2025 và Biên bản nghiệm thu ký ngày 02/12/2025 HĐ số 44</t>
  </si>
  <si>
    <t>Doanh thu Dịch vụ quảng cáo và truyền thông theo Hợp đồng số 07102025_HĐDV-HUNGTHINH-ONGTHIBALONG ký ngày 07/10/2025 HĐ số 45</t>
  </si>
  <si>
    <t>Doanh thu Dịch vụ quảng cáo và truyền thông theo Hợp đồng số 19112025/HDDV-K&amp;K-ONGTHIBALONG-MINISO ký ngày 18/08/2025 và Biên bản nghiệm thu ký ngày 05/12/2025 HĐ số 46</t>
  </si>
  <si>
    <t>Doanh thu Dịch vụ quảng cáo và truyền thông theo Hợp đồng số HDDVQC/20251110/MANNY&amp;ONGTHIBALONG ký ngày 10/11/2025 (Đợt 1) HĐ số 47</t>
  </si>
  <si>
    <t>Doanh thu Phí dịch vụ theo Hợp đồng số 01112025/HDDV/BOXVN-OTBL ký ngày 01/11/2025 kèm Biên bản nghiệm thu và thanh lý Hợp đồng HĐ số 48</t>
  </si>
  <si>
    <t>Doanh thu Phí dịch vụ sử dụng hình ảnh theo Hợp đồng số 16122025_HĐDV-SDHA-OTBL ký ngày 16/12/2025 HĐ số 49</t>
  </si>
  <si>
    <t>Doanh thu Dịch vụ quảng cáo và truyền thông theo Hợp đồng số 24102025/HĐDV-ZEE-C2-ÔNG THỈ BÀ LONG ký ngày 24/10/2025 và Biên bản nghiệm thu ký ngày 18/12/2025 HĐ số 50</t>
  </si>
  <si>
    <t>Doanh thu Dịch vụ quảng cáo và truyền thông theo Hợp đồng số 25112025/HĐDV-OTBL-TKY ký ngày 25/11/2025 và Biên bản nghiệm thu ký ngày 18/12/2025 HĐ số 51</t>
  </si>
  <si>
    <t>Doanh thu Dịch vụ quảng cáo và truyền thông theo Hợp đồng số 2025/HDDV/VTM-OTBL-MILO ký ngày 06/11/2025 và Biên bản nghiệm thu ký ngày 18/12/2025 HĐ số 52</t>
  </si>
  <si>
    <t>Doanh thu Dịch vụ quảng cáo và truyền thông theo Hợp đồng số 1912/2025/HDDV/ PNT ký ngày 19/12/2025 HĐ số 53</t>
  </si>
  <si>
    <t>Điều chỉnh giảm Doanh thu Dịch vụ quảng cáo và truyền thông theo Hợp đồng số AMV/TROXX&amp;LACCI/CANESBALANCE/2025-HDDV-1983P ký ngày 01/08/2025 và Biên bản nghiệm thu ký ngày 01/10/2025 HĐ số 20</t>
  </si>
  <si>
    <t>Điều chỉnh giảm Doanh thu Dịch vụ quảng cáo và truyền thông theo Hợp đồng số AMV/ONG THI BA LONG/SHELL CITY/2025-HDDV-2154P ký ngày 29/08/2025 và Biên bản nghiệm thu ký ngày 03/10/2025 HĐ số 21</t>
  </si>
  <si>
    <t>Điều chỉnh giảm Doanh thu Dịch vụ quảng cáo và truyền thông theo Hợp đồng số 0509/HDDV-2025/REDAMO-ONGTHIBALONG/BEPLAIN ký ngày 05/09/2025 và Biên bản nghiệm thu ký ngày 07/10/2025 HĐ số 22</t>
  </si>
  <si>
    <t>Điều chỉnh giảm Doanh thu Dịch vụ quảng cáo và truyền thông theo Hợp đồng số 11092025/HĐDV-VF-OTBL ký ngày 11/09/2025 (Đợt 1) HĐ số 23</t>
  </si>
  <si>
    <t>Điều chỉnh giảm Doanh thu Dịch vụ quảng cáo và truyền thông theo Hợp đồng số GG-TC2025-DK-GTM-02 ký ngày 11/09/2025 và Biên bản nghiệm thu ký ngày 09/10/2025 HĐ số 26</t>
  </si>
  <si>
    <t>Điều chỉnh giảm Doanh thu Dịch vụ quảng cáo và truyền thông theo Hợp đồng số FINTVN-ATTENIR1-2025-26 ký ngày 10/09/2025 và Biên bản nghiệm thu ký ngày 09/10/2025 HĐ số 27</t>
  </si>
  <si>
    <t>Điều chỉnh giảm Doanh thu Phí dịch vụ quảng cáo theo Hợp đồng số MDA/20250924/1761 ngày 01/09/2025 và Biên bản nghiệm thu và thanh lý ngày 15/10/2025 HĐ số 28</t>
  </si>
  <si>
    <t>Điều chỉnh giảm Doanh thu Dịch vụ quảng cáo và truyền thông theo Hợp đồng số MSS-NTTT/011025/HDDV ký ngày 01/10/2025 và Biên bản nghiệm thu và thanh lý hợp đồng ký ngày 17/10/2025 HĐ số 29</t>
  </si>
  <si>
    <t>Điều chỉnh giảm Doanh thu Dịch vụ quảng cáo và truyền thông theo Hợp đồng số 25092025/TLC-OTBL ký ngày 25/09/2025 và Biên bản nghiệm thu ký ngày 20/10/2025 HĐ số 30</t>
  </si>
  <si>
    <t>Điều chỉnh giảm Doanh thu Dịch vụ quảng cáo và truyền thông theo Hợp đồng số HĐ/660/2025/MMUSIC ký ngày 16/09/2025 và Biên bản nghiệm thu ký ngày 20/10/2025 HĐ số 31</t>
  </si>
  <si>
    <t>Điều chỉnh giảm Doanh thu Dịch vụ quảng cáo và truyền thông theo Hợp đồng số 3008025/HĐDV-SE-ONGTHIBALONG ký ngày 30/08/2025 và Biên bản nghiệm thu ký ngày 23/10/2025 HĐ số 33</t>
  </si>
  <si>
    <t>Điều chỉnh giảm Doanh thu Dịch vụ quảng cáo và truyền thông theo Hợp đồng số 22692025-SSMB/KOL ký ngày 26/09/2025 HĐ số 34</t>
  </si>
  <si>
    <t>Điều chỉnh giảm Doanh thu Dịch vụ quảng cáo và truyền thông theo Hợp đồng số 0810.67/HDDV/KOL/HKD.OTBL-NBN ký ngày 13/10/2025 và Biên bản nghiệm thu ký ngày 27/10/2025 HĐ số 35</t>
  </si>
  <si>
    <t>Điều chỉnh giảm Doanh thu Chi phí cung cấp dịch vụ cho nhãn hàng Comfort theo hợp đồng số 0309/2025/HĐDV - SOFT/BNT - OTBL HĐ số 37</t>
  </si>
  <si>
    <t>Điều chỉnh giảm Doanh thu Thanh toán 100% phí dịch vụ LAN - Genifique Repush - Video - Scope 2 - 1010 SOW số 24600/2025/WPP-BTL-LO ID Tiktok: ongthibalong HĐ số 38</t>
  </si>
  <si>
    <t>Điều chỉnh giảm Doanh thu Dịch vụ quảng cáo và truyền thông theo Hợp đồng số 31102025/HDDV/UPBASE-KEYSHU-ONGTHISLAY ký ngày 31/10/2025 và Biên bản nghiệm thu ký ngày 12/11/2025 HĐ số 39</t>
  </si>
  <si>
    <t>Điều chỉnh giảm Doanh thu Dịch vụ quảng cáo và truyền thông theo Hợp đồng số 536-2510-HDDV-VY25147-Y1N-NLHL ký ngày 20/10/2025 và Biên bản nghiệm thu ký ngày 12/11/2025 HĐ số 40</t>
  </si>
  <si>
    <t>Điều chỉnh giảm Doanh thu Dịch vụ quảng cáo và truyền thông theo Hợp đồng số 11092025/HĐDV-VF-OTBL ký ngày 11/09/2025 (Đợt 2) và Biên bản nghiệm thu ký ngày 12/11/2025 HĐ số 41</t>
  </si>
  <si>
    <t>Điều chỉnh giảm Doanh thu Dịch vụ quảng cáo và truyền thông theo Hợp đồng số HDDV/ONGTHIBALONG/LOTTECHOCOLAT/23092025 ký ngày 23/09/2025 và Biên bản nghiệm thu ký ngày 13/11/2025 HĐ số 42</t>
  </si>
  <si>
    <t>Điều chỉnh giảm Doanh thu Dịch vụ quảng cáo và truyền thông theo Hợp đồng số HD235/2025/HĐDV/VPBANK-NOVAON/OngThiBaLong ký ngày 01/10/2025 và Biên bản nghiệm thu ký ngày 20/11/2025 HĐ số 43</t>
  </si>
  <si>
    <t>Điều chỉnh giảm Doanh thu Dịch vụ quảng cáo và truyền thông theo Hợp đồng số 211025/HDDV/NIVEADOUBLECLEASING/ICON-ONGTHIBALONG ký ngày 21/10/2025 và Biên bản nghiệm thu ký ngày 02/12/2025 HĐ số 44</t>
  </si>
  <si>
    <t>Điều chỉnh giảm Doanh thu Dịch vụ quảng cáo và truyền thông theo Hợp đồng số 07102025_HĐDV-HUNGTHINH-ONGTHIBALONG ký ngày 07/10/2025 HĐ số 45</t>
  </si>
  <si>
    <t>Điều chỉnh giảm Doanh thu Dịch vụ quảng cáo và truyền thông theo Hợp đồng số 19112025/HDDV-K&amp;K-ONGTHIBALONG-MINISO ký ngày 18/08/2025 và Biên bản nghiệm thu ký ngày 05/12/2025 HĐ số 46</t>
  </si>
  <si>
    <t>Điều chỉnh giảm Doanh thu Dịch vụ quảng cáo và truyền thông theo Hợp đồng số HDDVQC/20251110/MANNY&amp;ONGTHIBALONG ký ngày 10/11/2025 (Đợt 1) HĐ số 47</t>
  </si>
  <si>
    <t>Điều chỉnh giảm Doanh thu Phí dịch vụ theo Hợp đồng số 01112025/HDDV/BOXVN-OTBL ký ngày 01/11/2025 kèm Biên bản nghiệm thu và thanh lý Hợp đồng HĐ số 48</t>
  </si>
  <si>
    <t>Điều chỉnh giảm Doanh thu Phí dịch vụ sử dụng hình ảnh theo Hợp đồng số 16122025_HĐDV-SDHA-OTBL ký ngày 16/12/2025 HĐ số 49</t>
  </si>
  <si>
    <t>Điều chỉnh giảm Doanh thu Dịch vụ quảng cáo và truyền thông theo Hợp đồng số 24102025/HĐDV-ZEE-C2-ÔNG THỈ BÀ LONG ký ngày 24/10/2025 và Biên bản nghiệm thu ký ngày 18/12/2025 HĐ số 50</t>
  </si>
  <si>
    <t>Điều chỉnh giảm Doanh thu Dịch vụ quảng cáo và truyền thông theo Hợp đồng số 25112025/HĐDV-OTBL-TKY ký ngày 25/11/2025 và Biên bản nghiệm thu ký ngày 18/12/2025 HĐ số 51</t>
  </si>
  <si>
    <t>Điều chỉnh giảm Doanh thu Dịch vụ quảng cáo và truyền thông theo Hợp đồng số 2025/HDDV/VTM-OTBL-MILO ký ngày 06/11/2025 và Biên bản nghiệm thu ký ngày 18/12/2025 HĐ số 52</t>
  </si>
  <si>
    <t>Điều chỉnh giảm Doanh thu Dịch vụ quảng cáo và truyền thông theo Hợp đồng số 1912/2025/HDDV/ PNT ký ngày 19/12/2025 HĐ số 53</t>
  </si>
  <si>
    <t>14/12/2025</t>
  </si>
  <si>
    <t>3901344393</t>
  </si>
  <si>
    <t>0318248651</t>
  </si>
  <si>
    <t>0315275368</t>
  </si>
  <si>
    <t>0310350452-013</t>
  </si>
  <si>
    <t>0319168286</t>
  </si>
  <si>
    <t>0318304384</t>
  </si>
  <si>
    <t>075095016313</t>
  </si>
  <si>
    <t>0317415684</t>
  </si>
  <si>
    <t>0315321991</t>
  </si>
  <si>
    <t>0311854540-016</t>
  </si>
  <si>
    <t>0317943236</t>
  </si>
  <si>
    <t>2601041519</t>
  </si>
  <si>
    <t>0318748100</t>
  </si>
  <si>
    <t>0317251806</t>
  </si>
  <si>
    <t>Phí dịch vụ tư vấn tháng 09/2025 HĐ số 135</t>
  </si>
  <si>
    <t>Phí dịch vụ tư vấn tháng 10/2025 HĐ số 169</t>
  </si>
  <si>
    <t>Phí dịch vụ tư vấn tháng 11/2025 HĐ số 188</t>
  </si>
  <si>
    <t>Doanh thu Dịch vụ quảng cáo và truyền thông theo Hợp đồng số HKD THP_ NINELESS_01092025 ký ngày 01/09/2025 và Biên bản nghiệm thu ký ngày 07/10/2025 HĐ số 23</t>
  </si>
  <si>
    <t>Doanh thu Dịch vụ quảng cáo và truyền thông theo Hợp đồng số FINTVN-ATTENIR2-2025-12 ký ngày 25/09/2025 và Biên bản nghiệm thu ký ngày 10/10/2025 HĐ số 24</t>
  </si>
  <si>
    <t>Doanh thu Dịch vụ quảng cáo và truyền thông theo Hợp đồng số 18092025/HD/TRANHONGPHUC-SYB ký ngày 18/09/2025 và Biên bản nghiệm thu ký ngày 14/10/2025 HĐ số 25</t>
  </si>
  <si>
    <t>Doanh thu Dịch vụ quảng cáo và truyền thông theo Hợp đồng số T03T25HDDV-0034-0207 TRANHONGPHUC ký ngày 08/10/2025 và Biên bản nghiệm thu ký ngày 14/10/2025 HĐ số 26</t>
  </si>
  <si>
    <t>Doanh thu Dịch vụ quảng cáo và truyền thông theo Hợp đồng số HKD THP_ GARNIER_ON_TOP_01102025 ký ngày 01/10/2025 và Biên bản nghiệm thu ký ngày 16/10/2025 HĐ số 27</t>
  </si>
  <si>
    <t>Doanh thu Dịch vụ quảng cáo và truyền thông theo Hợp đồng số 2409/HDDV/TCELL-THP ký ngày 24/09/2025 và Biên bản nghiệm thu ký ngày 22/10/2025 HĐ số 28</t>
  </si>
  <si>
    <t>Doanh thu Dịch vụ quảng cáo và truyền thông theo Hợp đồng số HDDV/OLAYSCARLETxVĐxVTB/221025 ký ngày 22/10/2025 và Biên bản nghiệm thu ký ngày 29/10/2025 HĐ số 29</t>
  </si>
  <si>
    <t>Doanh thu Dịch vụ quảng cáo và truyền thông theo Hợp đồng số 20251001HDDV/TRENDIFY-tranhongphuc107 ký ngày 01/10/2025 và Biên bản nghiệm thu ký ngày 29/10/2025 HĐ số 30</t>
  </si>
  <si>
    <t>Doanh thu Dịch vụ quảng cáo và truyền thông theo Hợp đồng số SG-THP-HDDV-180925 ký ngày 01/10/2025 và Biên bản nghiệm thu ký ngày 31/10/2025 HĐ số 31</t>
  </si>
  <si>
    <t>Doanh thu Dịch vụ quảng cáo và truyền thông theo Hợp đồng số I04378Q_HDDV/HIIP-2025-16015 ký ngày 15/09/2025 và Biên bản nghiệm thu ký ngày 31/10/2025 HĐ số 32</t>
  </si>
  <si>
    <t>Doanh thu Dịch vụ quảng cáo và truyền thông theo Hợp đồng số 20251006/SKAUVDUOSERUM-UNICORNxTRANHONGPHUC ký ngày 06/10/2025 và Biên bản nghiệm thu ký ngày 03/11/2025 HĐ số 33</t>
  </si>
  <si>
    <t>Doanh thu Dịch vụ quảng cáo và truyền thông theo Hợp đồng số heimishSKVN_31102025_tranhongphuc107 ký ngày 04/11/2025 và Biên bản nghiệm thu và thanh lý ký ngày 18/11/2025 HĐ số 35</t>
  </si>
  <si>
    <t>Doanh thu Dịch vụ quảng cáo và truyền thông theo Hợp đồng số 2709/2025/HDBK/TGO-CTT ký ngày 27/09/2025 và Biên bản nghiệm thu và thanh lý ký ngày 18/11/2025 HĐ số 36</t>
  </si>
  <si>
    <t>Doanh thu Dịch vụ quảng cáo và truyền thông theo Hợp đồng số 2710/HDDV/TCELL-THP ký ngày 27/10/2025 và Biên bản nghiệm thu ký ngày 24/11/2025 HĐ số 37</t>
  </si>
  <si>
    <t>Doanh thu Dịch vụ quảng cáo và truyền thông theo Hợp đồng số 0711T7/25/HĐDV – LBN ký ngày 07/11/2025 và Biên bản nghiệm thu ký ngày 04/12/2025 HĐ số 39</t>
  </si>
  <si>
    <t>Doanh thu Dịch vụ quảng cáo và truyền thông theo Hợp đồng số Abib_SKVN_191125_tranhongphuc107 ký ngày 26/11/2025 và Biên bản nghiệm thu và thanh lý ký ngày 11/12/2025 HĐ số 40</t>
  </si>
  <si>
    <t>Doanh thu Dịch vụ quảng cáo và truyền thông theo Hợp đồng số T03MPD25HDDV-0126-0201 HONGPHUC ký ngày 05/12/2025 và Biên bản nghiệm thu ký ngày 12/12/2025 HĐ số 41</t>
  </si>
  <si>
    <t>Doanh thu Dịch vụ quảng cáo và truyền thông theo Hợp đồng số 02 -122501 /HDDV-TTH ký ngày 02/12/2025 và Biên bản nghiệm thu ký ngày 19/12/2025 HĐ số 42</t>
  </si>
  <si>
    <t>Doanh thu Dịch vụ quảng cáo và truyền thông theo Hợp đồng số 20251114/HADALABO-UNICORNxTRANHONGPHUC ký ngày 14/11/2025 và Biên bản nghiệm thu ký ngày 22/12/2025 HĐ số 43</t>
  </si>
  <si>
    <t>Doanh thu Thanh toán theo Hợp đồng dịch vụ số HD01122025/BEPLAIN_ASIACONSULTING_TRANHONGPHUC ký ngày 01/12/2025 và Biên bản nghiệm thu ký ngày 22/12/2025 HĐ số 44</t>
  </si>
  <si>
    <t>Điều chỉnh giảm Doanh thu Dịch vụ quảng cáo và truyền thông theo Hợp đồng số HKD THP_ NINELESS_01092025 ký ngày 01/09/2025 và Biên bản nghiệm thu ký ngày 07/10/2025 HĐ số 23</t>
  </si>
  <si>
    <t>Điều chỉnh giảm Doanh thu Dịch vụ quảng cáo và truyền thông theo Hợp đồng số FINTVN-ATTENIR2-2025-12 ký ngày 25/09/2025 và Biên bản nghiệm thu ký ngày 10/10/2025 HĐ số 24</t>
  </si>
  <si>
    <t>Điều chỉnh giảm Doanh thu Dịch vụ quảng cáo và truyền thông theo Hợp đồng số 18092025/HD/TRANHONGPHUC-SYB ký ngày 18/09/2025 và Biên bản nghiệm thu ký ngày 14/10/2025 HĐ số 25</t>
  </si>
  <si>
    <t>Điều chỉnh giảm Doanh thu Dịch vụ quảng cáo và truyền thông theo Hợp đồng số T03T25HDDV-0034-0207 TRANHONGPHUC ký ngày 08/10/2025 và Biên bản nghiệm thu ký ngày 14/10/2025 HĐ số 26</t>
  </si>
  <si>
    <t>Điều chỉnh giảm Doanh thu Dịch vụ quảng cáo và truyền thông theo Hợp đồng số HKD THP_ GARNIER_ON_TOP_01102025 ký ngày 01/10/2025 và Biên bản nghiệm thu ký ngày 16/10/2025 HĐ số 27</t>
  </si>
  <si>
    <t>Điều chỉnh giảm Doanh thu Dịch vụ quảng cáo và truyền thông theo Hợp đồng số 2409/HDDV/TCELL-THP ký ngày 24/09/2025 và Biên bản nghiệm thu ký ngày 22/10/2025 HĐ số 28</t>
  </si>
  <si>
    <t>Điều chỉnh giảm Doanh thu Dịch vụ quảng cáo và truyền thông theo Hợp đồng số HDDV/OLAYSCARLETxVĐxVTB/221025 ký ngày 22/10/2025 và Biên bản nghiệm thu ký ngày 29/10/2025 HĐ số 29</t>
  </si>
  <si>
    <t>Điều chỉnh giảm Doanh thu Dịch vụ quảng cáo và truyền thông theo Hợp đồng số 20251001HDDV/TRENDIFY-tranhongphuc107 ký ngày 01/10/2025 và Biên bản nghiệm thu ký ngày 29/10/2025 HĐ số 30</t>
  </si>
  <si>
    <t>Điều chỉnh giảm Doanh thu Dịch vụ quảng cáo và truyền thông theo Hợp đồng số SG-THP-HDDV-180925 ký ngày 01/10/2025 và Biên bản nghiệm thu ký ngày 31/10/2025 HĐ số 31</t>
  </si>
  <si>
    <t>Điều chỉnh giảm Doanh thu Dịch vụ quảng cáo và truyền thông theo Hợp đồng số I04378Q_HDDV/HIIP-2025-16015 ký ngày 15/09/2025 và Biên bản nghiệm thu ký ngày 31/10/2025 HĐ số 32</t>
  </si>
  <si>
    <t>Điều chỉnh giảm Doanh thu Dịch vụ quảng cáo và truyền thông theo Hợp đồng số 20251006/SKAUVDUOSERUM-UNICORNxTRANHONGPHUC ký ngày 06/10/2025 và Biên bản nghiệm thu ký ngày 03/11/2025 HĐ số 33</t>
  </si>
  <si>
    <t>Điều chỉnh giảm Doanh thu Dịch vụ quảng cáo và truyền thông theo Hợp đồng số heimishSKVN_31102025_tranhongphuc107 ký ngày 04/11/2025 và Biên bản nghiệm thu và thanh lý ký ngày 18/11/2025 HĐ số 35</t>
  </si>
  <si>
    <t>Điều chỉnh giảm Doanh thu Dịch vụ quảng cáo và truyền thông theo Hợp đồng số 2709/2025/HDBK/TGO-CTT ký ngày 27/09/2025 và Biên bản nghiệm thu và thanh lý ký ngày 18/11/2025 HĐ số 36</t>
  </si>
  <si>
    <t>Điều chỉnh giảm Doanh thu Dịch vụ quảng cáo và truyền thông theo Hợp đồng số 2710/HDDV/TCELL-THP ký ngày 27/10/2025 và Biên bản nghiệm thu ký ngày 24/11/2025 HĐ số 37</t>
  </si>
  <si>
    <t>Điều chỉnh giảm Doanh thu Dịch vụ quảng cáo và truyền thông theo Hợp đồng số 0711T7/25/HĐDV – LBN ký ngày 07/11/2025 và Biên bản nghiệm thu ký ngày 04/12/2025 HĐ số 39</t>
  </si>
  <si>
    <t>Điều chỉnh giảm Doanh thu Dịch vụ quảng cáo và truyền thông theo Hợp đồng số Abib_SKVN_191125_tranhongphuc107 ký ngày 26/11/2025 và Biên bản nghiệm thu và thanh lý ký ngày 11/12/2025 HĐ số 40</t>
  </si>
  <si>
    <t>Điều chỉnh giảm Doanh thu Dịch vụ quảng cáo và truyền thông theo Hợp đồng số T03MPD25HDDV-0126-0201 HONGPHUC ký ngày 05/12/2025 và Biên bản nghiệm thu ký ngày 12/12/2025 HĐ số 41</t>
  </si>
  <si>
    <t>Điều chỉnh giảm Doanh thu Dịch vụ quảng cáo và truyền thông theo Hợp đồng số 02 -122501 /HDDV-TTH ký ngày 02/12/2025 và Biên bản nghiệm thu ký ngày 19/12/2025 HĐ số 42</t>
  </si>
  <si>
    <t>Điều chỉnh giảm Doanh thu Dịch vụ quảng cáo và truyền thông theo Hợp đồng số 20251114/HADALABO-UNICORNxTRANHONGPHUC ký ngày 14/11/2025 và Biên bản nghiệm thu ký ngày 22/12/2025 HĐ số 43</t>
  </si>
  <si>
    <t>Điều chỉnh giảm Doanh thu Thanh toán theo Hợp đồng dịch vụ số HD01122025/BEPLAIN_ASIACONSULTING_TRANHONGPHUC ký ngày 01/12/2025 và Biên bản nghiệm thu ký ngày 22/12/2025 HĐ số 44</t>
  </si>
  <si>
    <t>Chi phí tiếp khách, ngoại giao HĐ số 3111</t>
  </si>
  <si>
    <t>Chi phí tiếp khách, ngoại giao HĐ số 4354</t>
  </si>
  <si>
    <t>Chi phí tiếp khách, ngoại giao HĐ số 3789649</t>
  </si>
  <si>
    <t>Chi phí tiếp khách, ngoại giao HĐ số 3823339</t>
  </si>
  <si>
    <t>Chi phí tiếp khách, ngoại giao HĐ số 1166184</t>
  </si>
  <si>
    <t>Chi phí tiếp khách, ngoại giao HĐ số 4044101</t>
  </si>
  <si>
    <t>Chi phí tiếp khách, ngoại giao HĐ số 8132</t>
  </si>
  <si>
    <t>Chi phí tiếp khách, ngoại giao HĐ số 466</t>
  </si>
  <si>
    <t>Chi phí đồ dùng văn phòng HĐ số 356491</t>
  </si>
  <si>
    <t>Chi phí đồ dùng văn phòng HĐ số 647</t>
  </si>
  <si>
    <t>Chi phí đồ dùng văn phòng HĐ số 5309</t>
  </si>
  <si>
    <t>Chi phí đồ dùng văn phòng HĐ số 10287</t>
  </si>
  <si>
    <t>Chi phí đồ dùng văn phòng HĐ số 22507</t>
  </si>
  <si>
    <t>Chi phí tiếp khách, ngoại giao HĐ số 40484</t>
  </si>
  <si>
    <t>Chi phí tiếp khách, ngoại giao HĐ số 16608</t>
  </si>
  <si>
    <t>Chi phí đồ dùng văn phòng HĐ số 7269</t>
  </si>
  <si>
    <t>Chi phí đồ dùng văn phòng HĐ số 22506</t>
  </si>
  <si>
    <t>Chi phí tiếp khách, ngoại giao HĐ số 2</t>
  </si>
  <si>
    <t>Chi phí tiếp khách, ngoại giao HĐ số 14091135</t>
  </si>
  <si>
    <t>Chi phí tiếp khách, ngoại giao HĐ số 552</t>
  </si>
  <si>
    <t>Chi phí tiếp khách, ngoại giao HĐ số 1077632</t>
  </si>
  <si>
    <t>Chi phí tiếp khách, ngoại giao HĐ số 35488</t>
  </si>
  <si>
    <t>Chi phí tiếp khách, ngoại giao HĐ số 17414505</t>
  </si>
  <si>
    <t>Chi phí tiếp khách, ngoại giao HĐ số 1062</t>
  </si>
  <si>
    <t>Chi phí tiếp khách, ngoại giao HĐ số 27587</t>
  </si>
  <si>
    <t>Chi phí tiếp khách, ngoại giao HĐ số 34466</t>
  </si>
  <si>
    <t>Chi phí đồ dùng văn phòng HĐ số 939</t>
  </si>
  <si>
    <t>Chi phí đồ dùng văn phòng HĐ số 5480</t>
  </si>
  <si>
    <t>Chi phí đồ dùng văn phòng HĐ số 10805219</t>
  </si>
  <si>
    <t>Chi phí đồ dùng văn phòng HĐ số 10805693</t>
  </si>
  <si>
    <t>Chi phí đồ dùng văn phòng HĐ số 2150</t>
  </si>
  <si>
    <t>Chi phí đồ dùng văn phòng HĐ số 341737</t>
  </si>
  <si>
    <t>Chi phí đồ dùng văn phòng HĐ số 326842</t>
  </si>
  <si>
    <t>Điều chỉnh giảm chi phí đồ dùng văn phòng HĐ số 341737 HĐ số 389711</t>
  </si>
  <si>
    <t>Chi phí đồ dùng văn phòng HĐ số 5516</t>
  </si>
  <si>
    <t>Chi phí đồ dùng văn phòng HĐ số 59837</t>
  </si>
  <si>
    <t>Chi phí Dịch vụ lưu trú phòng từ ngày 15/11/2025 đến 17/11/2025 HĐ số 199</t>
  </si>
  <si>
    <t>0318873158</t>
  </si>
  <si>
    <t>0313168515-015</t>
  </si>
  <si>
    <t>0318602359</t>
  </si>
  <si>
    <t>0318394099</t>
  </si>
  <si>
    <t>0311117635</t>
  </si>
  <si>
    <t>0318137694</t>
  </si>
  <si>
    <t>0317589842</t>
  </si>
  <si>
    <t>Phí dịch vụ tư vấn tháng 09/2025 HĐ số 131</t>
  </si>
  <si>
    <t>Phí dịch vụ Affiliate 09/2025_17357950148 HĐ số 959533</t>
  </si>
  <si>
    <t>Phí dịch vụ tư vấn tháng 10/2025 HĐ số 162</t>
  </si>
  <si>
    <t>Phí dịch vụ Affiliate 10/2025_17357950148 HĐ số 1071344</t>
  </si>
  <si>
    <t>Phí dịch vụ tư vấn tháng 11/2025 HĐ số 192</t>
  </si>
  <si>
    <t>Phí dịch vụ Affiliate 11/2025_17357950148 HĐ số 1739599</t>
  </si>
  <si>
    <t>Doanh thu Dịch vụ quảng cáo theo hợp đồng số 01092025/HDDV­-GSLAY.XUANNHI ký ngày 01/09/2025 kèm Biên bản nghiệm thu và thanh lý hợp đồng ký ngày 03/10/2025 HĐ số 8</t>
  </si>
  <si>
    <t>Doanh thu Dịch vụ quảng cáo và truyền thông theo Hợp đồng số SG-NXN-HDDV-180925 ký ngày 23/09/2025 và Biên bản nghiệm thu ký ngày 14/10/2025 HĐ số 10</t>
  </si>
  <si>
    <t>Doanh thu Cung cấp dịch vụ quảng cáo đợt 2 theo hợp đồng số HĐ/1598/2025/VNNL ký ngày 05/09/2025 kèm biên bản nghiệm thu và thanh lý ký ngày 14/10/2025 HĐ số 11</t>
  </si>
  <si>
    <t>Doanh thu Dịch vụ quảng cáo theo hợp đồng số 01102025/HDDV­-GSLAY.XUANNHI ký ngày 01/10/2025 kèm Biên bản nghiệm thu và thanh lý hợp đồng ký ngày 17/10/2025 HĐ số 13</t>
  </si>
  <si>
    <t>Doanh thu Dịch vụ quảng cáo và truyền thông theo Hợp đồng số T03T25HDDV-0040-1173 XUANNHILAMGIDO ký ngày 08/10/2025 và Biên bản nghiệm thu ký ngày 20/10/2025 HĐ số 14</t>
  </si>
  <si>
    <t>Doanh thu Dịch vụ quảng cáo và truyền thông theo Hợp đồng số 14412025/HĐDV/Y&amp;B ký ngày 30/09/2025 kèm Biên bản nghiệm thu và thanh toán số 14412025/BBNT-TT/Y&amp;B ký ngày 20/10/2025 HĐ số 15</t>
  </si>
  <si>
    <t>Doanh thu Dịch vụ quảng cáo và truyền thông theo Hợp đồng số HDDV17102025 ký ngày 17/10/2025 và Biên bản nghiệm thu ký ngày 24/10/2025 HĐ số 16</t>
  </si>
  <si>
    <t>Doanh thu Dịch vụ quảng cáo theo Hợp đồng số 10/16092025/HDDV/MS-NXH ký ngày 16/09/2025 kèm Biên bản nghiệm thu và thanh lý Hợp đồng HĐ số 17</t>
  </si>
  <si>
    <t>Doanh thu Dịch vụ quảng cáo và truyền thông theo Hợp đồng số MOK - xuannhilamgido - V - 2025 - 11/HĐHTKD ký ngày 01/11/2025 và Biên bản nghiệm thu ký ngày 03/11/2025 HĐ số 19</t>
  </si>
  <si>
    <t>Doanh thu Phí cung cấp dịch vụ quảng cáo theo hợp đồng số HĐ/2000/2025/VNNL ký ngày 23/10/2025 kèm biên bản nghiệm thu và thanh lý ký ngày 18/11/2025 HĐ số 24</t>
  </si>
  <si>
    <t>Doanh thu Dịch vụ quảng cáo và truyền thông theo Hợp đồng số 770/2025/HDDV/OQR ký ngày 10/11/2025 và Biên bản nghiệm thu ký ngày 20/11/2025 HĐ số 25</t>
  </si>
  <si>
    <t>Doanh thu Dịch vụ quảng cáo và truyền thông theo Hợp đồng số TP1125-HanFias/xuannhilamgido ký ngày 21/11/2025 và Biên bản nghiệm thu ký ngày 25/11/2025 HĐ số 27</t>
  </si>
  <si>
    <t>Doanh thu Dịch vụ quảng cáo và truyền thông theo Hợp đồng số 714/HĐQC-2025 ký ngày 05/11/2025 và Biên bản nghiệm thu ký ngày 27/11/2025 HĐ số 28</t>
  </si>
  <si>
    <t>Doanh thu Dịch vụ quảng cáo và truyền thông theo Hợp đồng số 841/2025/HDDV/OQR ký ngày 27/11/2025 và Biên bản nghiệm thu ký ngày 02/12/2025 HĐ số 31</t>
  </si>
  <si>
    <t>Doanh thu Dịch vụ quảng cáo và truyền thông theo Hợp đồng số 3010/2025/HDDV/UNI-HKDNXN ký ngày 27/10/2025 và Biên bản nghiệm thu ký ngày 08/12/2025 HĐ số 32</t>
  </si>
  <si>
    <t>Doanh thu Dịch vụ quảng cáo và truyền thông theo Hợp đồng số 08/12/2025/HĐDV-SE-ANESSA-XUANNHI ký ngày 08/12/2025 và Biên bản nghiệm thu ký ngày 09/12/2025 HĐ số 33</t>
  </si>
  <si>
    <t>Doanh thu Dịch vụ quảng cáo và truyền thông theo Hợp đồng số 533KOC/12.25/HĐDV ký ngày 01/12/2025 và Biên bản nghiệm thu ký ngày 18/12/2025 HĐ số 34</t>
  </si>
  <si>
    <t>Doanh thu Dịch vụ quảng cáo và truyền thông theo Hợp đồng số 894/2025/HDDV/OQR ký ngày 09/12/2025 kèm Biên bản nghiệm thu và thanh lý số 894.01/2025/BBNT/OQR ký ngày 19/12/2025 HĐ số 35</t>
  </si>
  <si>
    <t>Doanh thu Dịch vụ quảng cáo và truyền thông theo Hợp đồng số 011225/HDDV – EZS X HKD NGỌC XUÂN NHI ký ngày 01/12/2025 HĐ số 38</t>
  </si>
  <si>
    <t>Doanh thu Dịch vụ quảng cáo và truyền thông theo Hợp đồng số 2025-0690/HDDV/NMH-HKDNXN ký ngày 18/11/2025 kèm Biên bản nghiệm thu và thanh lý ký ngày 24/12/2025 HĐ số 39</t>
  </si>
  <si>
    <t>Điều chỉnh giảm Doanh thu Dịch vụ quảng cáo theo hợp đồng số 01092025/HDDV­-GSLAY.XUANNHI ký ngày 01/09/2025 kèm Biên bản nghiệm thu và thanh lý hợp đồng ký ngày 03/10/2025 HĐ số 8</t>
  </si>
  <si>
    <t>Điều chỉnh giảm Doanh thu Dịch vụ quảng cáo và truyền thông theo Hợp đồng số SG-NXN-HDDV-180925 ký ngày 23/09/2025 và Biên bản nghiệm thu ký ngày 14/10/2025 HĐ số 10</t>
  </si>
  <si>
    <t>Điều chỉnh giảm Doanh thu Cung cấp dịch vụ quảng cáo đợt 2 theo hợp đồng số HĐ/1598/2025/VNNL ký ngày 05/09/2025 kèm biên bản nghiệm thu và thanh lý ký ngày 14/10/2025 HĐ số 11</t>
  </si>
  <si>
    <t>Điều chỉnh giảm Doanh thu Dịch vụ quảng cáo theo hợp đồng số 01102025/HDDV­-GSLAY.XUANNHI ký ngày 01/10/2025 kèm Biên bản nghiệm thu và thanh lý hợp đồng ký ngày 17/10/2025 HĐ số 13</t>
  </si>
  <si>
    <t>Điều chỉnh giảm Doanh thu Dịch vụ quảng cáo và truyền thông theo Hợp đồng số T03T25HDDV-0040-1173 XUANNHILAMGIDO ký ngày 08/10/2025 và Biên bản nghiệm thu ký ngày 20/10/2025 HĐ số 14</t>
  </si>
  <si>
    <t>Điều chỉnh giảm Doanh thu Dịch vụ quảng cáo và truyền thông theo Hợp đồng số HDDV17102025 ký ngày 17/10/2025 và Biên bản nghiệm thu ký ngày 24/10/2025 HĐ số 16</t>
  </si>
  <si>
    <t>Điều chỉnh giảm Doanh thu Dịch vụ quảng cáo theo Hợp đồng số 10/16092025/HDDV/MS-NXH ký ngày 16/09/2025 kèm Biên bản nghiệm thu và thanh lý Hợp đồng HĐ số 17</t>
  </si>
  <si>
    <t>Điều chỉnh giảm Doanh thu Dịch vụ quảng cáo và truyền thông theo Hợp đồng số MOK - xuannhilamgido - V - 2025 - 11/HĐHTKD ký ngày 01/11/2025 và Biên bản nghiệm thu ký ngày 03/11/2025 HĐ số 19</t>
  </si>
  <si>
    <t>Điều chỉnh giảm Doanh thu Phí cung cấp dịch vụ quảng cáo theo hợp đồng số HĐ/2000/2025/VNNL ký ngày 23/10/2025 kèm biên bản nghiệm thu và thanh lý ký ngày 18/11/2025 HĐ số 24</t>
  </si>
  <si>
    <t>Điều chỉnh giảm Doanh thu Dịch vụ quảng cáo và truyền thông theo Hợp đồng số 770/2025/HDDV/OQR ký ngày 10/11/2025 và Biên bản nghiệm thu ký ngày 20/11/2025 HĐ số 25</t>
  </si>
  <si>
    <t>Điều chỉnh giảm Doanh thu Dịch vụ quảng cáo và truyền thông theo Hợp đồng số TP1125-HanFias/xuannhilamgido ký ngày 21/11/2025 và Biên bản nghiệm thu ký ngày 25/11/2025 HĐ số 27</t>
  </si>
  <si>
    <t>Điều chỉnh giảm Doanh thu Dịch vụ quảng cáo và truyền thông theo Hợp đồng số 714/HĐQC-2025 ký ngày 05/11/2025 và Biên bản nghiệm thu ký ngày 27/11/2025 HĐ số 28</t>
  </si>
  <si>
    <t>Điều chỉnh giảm Doanh thu Dịch vụ quảng cáo và truyền thông theo Hợp đồng số 841/2025/HDDV/OQR ký ngày 27/11/2025 và Biên bản nghiệm thu ký ngày 02/12/2025 HĐ số 31</t>
  </si>
  <si>
    <t>Điều chỉnh giảm Doanh thu Dịch vụ quảng cáo và truyền thông theo Hợp đồng số 3010/2025/HDDV/UNI-HKDNXN ký ngày 27/10/2025 và Biên bản nghiệm thu ký ngày 08/12/2025 HĐ số 32</t>
  </si>
  <si>
    <t>Điều chỉnh giảm Doanh thu Dịch vụ quảng cáo và truyền thông theo Hợp đồng số 08/12/2025/HĐDV-SE-ANESSA-XUANNHI ký ngày 08/12/2025 và Biên bản nghiệm thu ký ngày 09/12/2025 HĐ số 33</t>
  </si>
  <si>
    <t>Điều chỉnh giảm Doanh thu Dịch vụ quảng cáo và truyền thông theo Hợp đồng số 533KOC/12.25/HĐDV ký ngày 01/12/2025 và Biên bản nghiệm thu ký ngày 18/12/2025 HĐ số 34</t>
  </si>
  <si>
    <t>Điều chỉnh giảm Doanh thu Dịch vụ quảng cáo và truyền thông theo Hợp đồng số 011225/HDDV – EZS X HKD NGỌC XUÂN NHI ký ngày 01/12/2025 HĐ số 38</t>
  </si>
  <si>
    <t>Điều chỉnh giảm Doanh thu Dịch vụ quảng cáo và truyền thông theo Hợp đồng số 2025-0690/HDDV/NMH-HKDNXN ký ngày 18/11/2025 kèm Biên bản nghiệm thu và thanh lý ký ngày 24/12/2025 HĐ số 39</t>
  </si>
  <si>
    <t>Chi phí tiếp khách, ngoại giao HĐ số 107</t>
  </si>
  <si>
    <t>Chi phí tiếp khách, ngoại giao HĐ số 28446</t>
  </si>
  <si>
    <t>Chi phí tiếp khách, ngoại giao HĐ số 372</t>
  </si>
  <si>
    <t>Chi phí tiếp khách, ngoại giao HĐ số 35792</t>
  </si>
  <si>
    <t>Chi phí tiếp khách, ngoại giao HĐ số 3767638</t>
  </si>
  <si>
    <t>Chi phí tiếp khách, ngoại giao HĐ số 2859</t>
  </si>
  <si>
    <t>Chi phí tiếp khách, ngoại giao HĐ số 6979</t>
  </si>
  <si>
    <t>Chi phí tiếp khách, ngoại giao HĐ số 6980</t>
  </si>
  <si>
    <t>Chi phí tiếp khách, ngoại giao HĐ số 2049</t>
  </si>
  <si>
    <t>Chi phí tiếp khách, ngoại giao HĐ số 2375</t>
  </si>
  <si>
    <t>Chi phí tiếp khách, ngoại giao HĐ số 2165</t>
  </si>
  <si>
    <t>Chi phí di chuyển, đi lại HĐ số 37918849</t>
  </si>
  <si>
    <t>Chi phí di chuyển, đi lại HĐ số 42877727</t>
  </si>
  <si>
    <t>Chi phí di chuyển, đi lại HĐ số 41121624</t>
  </si>
  <si>
    <t>Chi phí di chuyển, đi lại HĐ số 44090816</t>
  </si>
  <si>
    <t>Chi phí di chuyển, đi lại HĐ số 44116623</t>
  </si>
  <si>
    <t>Chi phí di chuyển, đi lại HĐ số 44650617</t>
  </si>
  <si>
    <t>Chi phí di chuyển, đi lại HĐ số 44676252</t>
  </si>
  <si>
    <t>Chi phí di chuyển, đi lại HĐ số 46939476</t>
  </si>
  <si>
    <t>Chi phí di chuyển, đi lại HĐ số 47028172</t>
  </si>
  <si>
    <t>Chi phí di chuyển, đi lại HĐ số 59888367</t>
  </si>
  <si>
    <t>Chi phí di chuyển, đi lại HĐ số 60317581</t>
  </si>
  <si>
    <t>Chi phí di chuyển, đi lại HĐ số 60475130</t>
  </si>
  <si>
    <t>Chi phí di chuyển, đi lại HĐ số 63382019</t>
  </si>
  <si>
    <t>Chi phí di chuyển, đi lại HĐ số 63505073</t>
  </si>
  <si>
    <t>Chi phí di chuyển, đi lại HĐ số 63534270</t>
  </si>
  <si>
    <t>Chi phí di chuyển, đi lại HĐ số 64493576</t>
  </si>
  <si>
    <t>Chi phí di chuyển, đi lại HĐ số 64583681</t>
  </si>
  <si>
    <t>Chi phí đồ dùng văn phòng HĐ số 856082</t>
  </si>
  <si>
    <t>Chi phí đồ dùng văn phòng HĐ số 12690948</t>
  </si>
  <si>
    <t>Phí dịch vụ tư vấn tháng 09/2025 HĐ số 146</t>
  </si>
  <si>
    <t>Phí dịch vụ tư vấn tháng 10/2025 HĐ số 175</t>
  </si>
  <si>
    <t>Phí dịch vụ tư vấn tháng 11/2025 HĐ số 197</t>
  </si>
  <si>
    <t>Doanh thu Dịch vụ quảng cáo và truyền thông theo Hợp đồng số 250903/HDDV/BRAINAD-HAIDANG ký ngày 03/09/2025 và Biên bản nghiệm thu ký ngày 17/10/2025 HĐ số 2</t>
  </si>
  <si>
    <t>Doanh thu Dịch vu quảng cáo và truyền thông theo Hợp đồng số 011-25/HDDV/MS-MKT-[HCM]-LUSH ký ngày 10/10/2025 và Biên bản nghiệm thu ký ngày 21/10/2025 HĐ số 3</t>
  </si>
  <si>
    <t>Doanh thu Dịch vụ quảng bá và tiếp thị cho sản phẩm theo Hợp đồng số 1009/2025/HDDV/WEI-THD ký ngày 10/09/2025 và Biên bản nghiệm thu ký ngày 21/10/2025 HĐ số 4</t>
  </si>
  <si>
    <t>Doanh thu Dịch vu quảng cáo và truyền thông theo Hợp đồng số HKD HAIDANG_GARNIER_15092025 ký ngày 15/09/2025 và Biên bản nghiệm thu ký ngày 27/10/2025 HĐ số 5</t>
  </si>
  <si>
    <t>Doanh thu Dịch vụ quảng cáo và truyền thông theo Hợp đồng số 20250929/UNICORN x HAIDANGOFFICIAL ký ngày 29/09/2025 và Biên bản nghiệm thu ký ngày 27/10/2025 HĐ số 6</t>
  </si>
  <si>
    <t>Doanh thu Dịch vụ quảng cáo và truyền thông theo Hợp đồng số 27102025.HDDV. SPARKLE.HDO ký ngày 27/10/2025 và Biên bản nghiệm thu ký ngày 11/11/2025 HĐ số 7</t>
  </si>
  <si>
    <t>Doanh thu Dịch vụ quảng cáo và truyền thông theo Hợp đồng số 001-2025/HDDV/DS-BEDANG x JUDYDOLL ký ngày 05/10/2025 và Biên bản nghiệm thu ký ngày 11/11/2025 HĐ số 8</t>
  </si>
  <si>
    <t>Doanh thu Phí cung cấp dịch vụ quảng cáo theo hợp đồng số HĐ/1820/2025/VNNL ký ngày 16/09/2025 kèm biên bản nghiệm thu và thanh lý ký ngày 12/11/2025 HĐ số 9</t>
  </si>
  <si>
    <t>Doanh thu Dịch vụ quảng cáo và truyền thông theo Hợp đồng số HKD HAIDANG_TOCOBO_09102025 ký ngày 09/10/2025 và Biên bản nghiệm thu ký ngày 13/11/2025 HĐ số 10</t>
  </si>
  <si>
    <t>Doanh thu Dịch vụ quảng cáo và truyền thông theo Hợp đồng số VT/HDQC/25110401 ký ngày 04/11/2025 Advertising and communication services under Contract No. VT/HDQC/25110401 signed on November 4, 2025 HĐ số 11</t>
  </si>
  <si>
    <t>Doanh thu Thanh toán 100% phí dịch vụ 3CE - KOC Hub Oct - Video - Scope 3 - 3010 SOW số 25511/2025/WPP-BTL-LO ID Tiktok: bedangbae HĐ số 12</t>
  </si>
  <si>
    <t>Doanh thu Phí dịch vụ quảng cáo theo Hợp đồng dịch vụ số MDA/20251118/2289 ngày 06/11/2025 và Biên bản nghiệm thu và thanh lý ngày 01/12/2025 HĐ số 13</t>
  </si>
  <si>
    <t>Doanh thu Chi phí cung cấp dịch vụ theo theo Hợp đồng số PR25055/11112025/AESTURA-UNO-BEDANG ký ngày 11/11/2025 và Biên bản nghiệm thu ký ngày 03/12/2025 HĐ số 14</t>
  </si>
  <si>
    <t>Doanh thu Dịch vụ quảng cáo và truyền thông theo Hợp đồng số 01122025.HDDV.SPARKLE.HDO ký ngày 01/12/2025 và Biên bản nghiệm thu ký ngày 08/12/2025 HĐ số 15</t>
  </si>
  <si>
    <t>Doanh thu Dịch vụ quảng cáo và truyền thông theo Hợp đồng số 13842025/HĐDV/Y&amp;B ký ngày 26/09/2025 kèm Biên bản nghiệm thu và thanh toán số 13842025/BBNT-TT/Y&amp;B ký ngày 19/12/2025 HĐ số 16</t>
  </si>
  <si>
    <t>Doanh thu Dịch vụ quảng cáo và truyền thông theo Hợp đồng số 20250311/UNICORN x HAIDANGOFFICIAL ký ngày 03/11/2025 và Biên bản nghiệm thu ký ngày 22/12/2025 HĐ số 17</t>
  </si>
  <si>
    <t>Doanh thu Dịch vụ quảng cáo và truyền thông theo Hợp đồng số HDDV/BEDANG/BATH&amp;BODYWORKS/07112025 ký ngày 07/11/2025 kèm Biên bản nghiệm thu và thanh lý ký ngày 25/12/2025 HĐ số 18</t>
  </si>
  <si>
    <t>Doanh thu Dịch vụ quảng cáo và truyền thông theo Hợp đồng số EX-BLUME-BEDANG-07 ký ngày 02/12/2025 và Biên bản nghiệm thu ký ngày 25/12/2025 HĐ số 19</t>
  </si>
  <si>
    <t>Doanh thu Dịch vụ quảng cáo và truyền thông theo Hợp đồng số 3283-2511-HDDV-SALE-1BRAND-HAIDANG ký ngày 25/11/2025 kèm Biên bản nghiệm thu và thanh lý ký ngày 26/12/2025 HĐ số 20</t>
  </si>
  <si>
    <t>Doanh thu Dịch vụ quảng cáo và truyền thông theo Hợp đồng số 0029/2025/HĐDV ký ngày 31/10/2025 và Biên bản nghiệm thu ký ngày 26/12/2025 HĐ số 21</t>
  </si>
  <si>
    <t>Doanh thu Chi phí thực hiện dịch vụ theo biên bản nghiệm thu của hợp đồng dịch vụ số 2025/PMAX/HKDHAIDANG ký ngày 01/11/2025 HĐ số 22</t>
  </si>
  <si>
    <t>Doanh thu Thanh toán 100% phí dịch vụ 3CE - Livestream Dec - Scope 3 -3012 SOW số 32189/2025/WPP-BTL-LO ID Tiktok: bedangbae HĐ số 23</t>
  </si>
  <si>
    <t>Doanh thu Dịch vụ quảng cáo và truyền thông theo Hợp đồng số 122025/HDDV/TOOM/HAIDANG OFFICIAL ký ngày 15/12/2025 và Biên bản nghiệm thu ký ngày 29/12/2025 HĐ số 24</t>
  </si>
  <si>
    <t>Điều chỉnh giảm Doanh thu Dịch vụ quảng cáo và truyền thông theo Hợp đồng số 250903/HDDV/BRAINAD-HAIDANG ký ngày 03/09/2025 và Biên bản nghiệm thu ký ngày 17/10/2025 HĐ số 2</t>
  </si>
  <si>
    <t>Điều chỉnh giảm Doanh thu Dịch vu quảng cáo và truyền thông theo Hợp đồng số 011-25/HDDV/MS-MKT-[HCM]-LUSH ký ngày 10/10/2025 và Biên bản nghiệm thu ký ngày 21/10/2025 HĐ số 3</t>
  </si>
  <si>
    <t>Điều chỉnh giảm Doanh thu Dịch vụ quảng bá và tiếp thị cho sản phẩm theo Hợp đồng số 1009/2025/HDDV/WEI-THD ký ngày 10/09/2025 và Biên bản nghiệm thu ký ngày 21/10/2025 HĐ số 4</t>
  </si>
  <si>
    <t>Điều chỉnh giảm Doanh thu Dịch vu quảng cáo và truyền thông theo Hợp đồng số HKD HAIDANG_GARNIER_15092025 ký ngày 15/09/2025 và Biên bản nghiệm thu ký ngày 27/10/2025 HĐ số 5</t>
  </si>
  <si>
    <t>Điều chỉnh giảm Doanh thu Dịch vụ quảng cáo và truyền thông theo Hợp đồng số 20250929/UNICORN x HAIDANGOFFICIAL ký ngày 29/09/2025 và Biên bản nghiệm thu ký ngày 27/10/2025 HĐ số 6</t>
  </si>
  <si>
    <t>Điều chỉnh giảm Doanh thu Dịch vụ quảng cáo và truyền thông theo Hợp đồng số 27102025.HDDV. SPARKLE.HDO ký ngày 27/10/2025 và Biên bản nghiệm thu ký ngày 11/11/2025 HĐ số 7</t>
  </si>
  <si>
    <t>Điều chỉnh giảm Doanh thu Dịch vụ quảng cáo và truyền thông theo Hợp đồng số 001-2025/HDDV/DS-BEDANG x JUDYDOLL ký ngày 05/10/2025 và Biên bản nghiệm thu ký ngày 11/11/2025 HĐ số 8</t>
  </si>
  <si>
    <t>Điều chỉnh giảm Doanh thu Phí cung cấp dịch vụ quảng cáo theo hợp đồng số HĐ/1820/2025/VNNL ký ngày 16/09/2025 kèm biên bản nghiệm thu và thanh lý ký ngày 12/11/2025 HĐ số 9</t>
  </si>
  <si>
    <t>Điều chỉnh giảm Doanh thu Dịch vụ quảng cáo và truyền thông theo Hợp đồng số HKD HAIDANG_TOCOBO_09102025 ký ngày 09/10/2025 và Biên bản nghiệm thu ký ngày 13/11/2025 HĐ số 10</t>
  </si>
  <si>
    <t>Điều chỉnh giảm Doanh thu Dịch vụ quảng cáo và truyền thông theo Hợp đồng số VT/HDQC/25110401 ký ngày 04/11/2025 Advertising and communication services under Contract No. VT/HDQC/25110401 signed on November 4, 2025 HĐ số 11</t>
  </si>
  <si>
    <t>Điều chỉnh giảm Doanh thu Thanh toán 100% phí dịch vụ 3CE - KOC Hub Oct - Video - Scope 3 - 3010 SOW số 25511/2025/WPP-BTL-LO ID Tiktok: bedangbae HĐ số 12</t>
  </si>
  <si>
    <t>Điều chỉnh giảm Doanh thu Phí dịch vụ quảng cáo theo Hợp đồng dịch vụ số MDA/20251118/2289 ngày 06/11/2025 và Biên bản nghiệm thu và thanh lý ngày 01/12/2025 HĐ số 13</t>
  </si>
  <si>
    <t>Điều chỉnh giảm Doanh thu Chi phí cung cấp dịch vụ theo theo Hợp đồng số PR25055/11112025/AESTURA-UNO-BEDANG ký ngày 11/11/2025 và Biên bản nghiệm thu ký ngày 03/12/2025 HĐ số 14</t>
  </si>
  <si>
    <t>Điều chỉnh giảm Doanh thu Dịch vụ quảng cáo và truyền thông theo Hợp đồng số 01122025.HDDV.SPARKLE.HDO ký ngày 01/12/2025 và Biên bản nghiệm thu ký ngày 08/12/2025 HĐ số 15</t>
  </si>
  <si>
    <t>Điều chỉnh giảm Doanh thu Dịch vụ quảng cáo và truyền thông theo Hợp đồng số 13842025/HĐDV/Y&amp;B ký ngày 26/09/2025 kèm Biên bản nghiệm thu và thanh toán số 13842025/BBNT-TT/Y&amp;B ký ngày 19/12/2025 HĐ số 16</t>
  </si>
  <si>
    <t>Điều chỉnh giảm Doanh thu Dịch vụ quảng cáo và truyền thông theo Hợp đồng số 20250311/UNICORN x HAIDANGOFFICIAL ký ngày 03/11/2025 và Biên bản nghiệm thu ký ngày 22/12/2025 HĐ số 17</t>
  </si>
  <si>
    <t>Điều chỉnh giảm Doanh thu Dịch vụ quảng cáo và truyền thông theo Hợp đồng số HDDV/BEDANG/BATH&amp;BODYWORKS/07112025 ký ngày 07/11/2025 kèm Biên bản nghiệm thu và thanh lý ký ngày 25/12/2025 HĐ số 18</t>
  </si>
  <si>
    <t>Điều chỉnh giảm Doanh thu Dịch vụ quảng cáo và truyền thông theo Hợp đồng số EX-BLUME-BEDANG-07 ký ngày 02/12/2025 và Biên bản nghiệm thu ký ngày 25/12/2025 HĐ số 19</t>
  </si>
  <si>
    <t>Điều chỉnh giảm Doanh thu Dịch vụ quảng cáo và truyền thông theo Hợp đồng số 3283-2511-HDDV-SALE-1BRAND-HAIDANG ký ngày 25/11/2025 kèm Biên bản nghiệm thu và thanh lý ký ngày 26/12/2025 HĐ số 20</t>
  </si>
  <si>
    <t>Điều chỉnh giảm Doanh thu Dịch vụ quảng cáo và truyền thông theo Hợp đồng số 0029/2025/HĐDV ký ngày 31/10/2025 và Biên bản nghiệm thu ký ngày 26/12/2025 HĐ số 21</t>
  </si>
  <si>
    <t>Điều chỉnh giảm Doanh thu Chi phí thực hiện dịch vụ theo biên bản nghiệm thu của hợp đồng dịch vụ số 2025/PMAX/HKDHAIDANG ký ngày 01/11/2025 HĐ số 22</t>
  </si>
  <si>
    <t>Điều chỉnh giảm Doanh thu Thanh toán 100% phí dịch vụ 3CE - Livestream Dec - Scope 3 -3012 SOW số 32189/2025/WPP-BTL-LO ID Tiktok: bedangbae HĐ số 23</t>
  </si>
  <si>
    <t>Điều chỉnh giảm Doanh thu Dịch vụ quảng cáo và truyền thông theo Hợp đồng số 122025/HDDV/TOOM/HAIDANG OFFICIAL ký ngày 15/12/2025 và Biên bản nghiệm thu ký ngày 29/12/2025 HĐ số 24</t>
  </si>
  <si>
    <t>Chi phí tiếp khách, ngoại giao HĐ số 23713</t>
  </si>
  <si>
    <t>Chi phí tiếp khách, ngoại giao HĐ số 4543</t>
  </si>
  <si>
    <t>Chi phí tiếp khách, ngoại giao HĐ số 7326</t>
  </si>
  <si>
    <t>Chi phí tiếp khách, ngoại giao HĐ số 3661</t>
  </si>
  <si>
    <t>Chi phí tiếp khách, ngoại giao HĐ số 50732</t>
  </si>
  <si>
    <t>Chi phí tiếp khách, ngoại giao HĐ số 17683</t>
  </si>
  <si>
    <t>Chi phí tiếp khách, ngoại giao HĐ số 15242</t>
  </si>
  <si>
    <t>Chi phí tiếp khách, ngoại giao HĐ số 16688</t>
  </si>
  <si>
    <t>Chi phí tiếp khách, ngoại giao HĐ số 14338</t>
  </si>
  <si>
    <t>Chi phí tiếp khách, ngoại giao HĐ số 491510</t>
  </si>
  <si>
    <t>Chi phí tiếp khách, ngoại giao HĐ số 16974</t>
  </si>
  <si>
    <t>Chi phí tiếp khách, ngoại giao HĐ số 9211</t>
  </si>
  <si>
    <t>Chi phí tiếp khách, ngoại giao HĐ số 13781</t>
  </si>
  <si>
    <t>Chi phí tiếp khách, ngoại giao HĐ số 1146749</t>
  </si>
  <si>
    <t>Chi phí tiếp khách, ngoại giao HĐ số 1178637</t>
  </si>
  <si>
    <t>0314294897</t>
  </si>
  <si>
    <t>0314193257</t>
  </si>
  <si>
    <t>0313956153</t>
  </si>
  <si>
    <t>0101794983-004</t>
  </si>
  <si>
    <t>0317411584</t>
  </si>
  <si>
    <t>0317507783</t>
  </si>
  <si>
    <t>0317343246</t>
  </si>
  <si>
    <t>0318420574</t>
  </si>
  <si>
    <t>0107779452-003</t>
  </si>
  <si>
    <t>0318327342</t>
  </si>
  <si>
    <t>0315709583</t>
  </si>
  <si>
    <t>0319196614</t>
  </si>
  <si>
    <t>29/12/2025</t>
  </si>
  <si>
    <t>0108316915</t>
  </si>
  <si>
    <t>0100233368</t>
  </si>
  <si>
    <t>0307147563</t>
  </si>
  <si>
    <t>0100150619-008</t>
  </si>
  <si>
    <t>0108004433</t>
  </si>
  <si>
    <t>0109129611</t>
  </si>
  <si>
    <t>0313147836</t>
  </si>
  <si>
    <t>0901156926</t>
  </si>
  <si>
    <t>0110716597</t>
  </si>
  <si>
    <t>0317346818</t>
  </si>
  <si>
    <t>0315332009</t>
  </si>
  <si>
    <t>0318853842</t>
  </si>
  <si>
    <t>Phí dịch vụ tư vấn tháng 09/2025 HĐ số 144</t>
  </si>
  <si>
    <t>Dịch vụ ngân hàng HĐ số 23889</t>
  </si>
  <si>
    <t>Phí dịch vụ tư vấn tháng 10/2025 HĐ số 163</t>
  </si>
  <si>
    <t>Phí dịch vụ Affiliate 10/2025_17355060002 HĐ số 1109365</t>
  </si>
  <si>
    <t>Phí dịch vụ tư vấn tháng 11/2025 HĐ số 191</t>
  </si>
  <si>
    <t>Phí dịch vụ Affiliate 11/2025_17355060002 HĐ số 1792081</t>
  </si>
  <si>
    <t>Doanh thu Dịch vụ quảng cáo và truyền thông theo Hợp đồng số S31M24HDDV-0338- 0168 DOANVANANH ký ngày 01/09/2025 và Biên bản nghiệm thu ký ngày 03/10/2025 HĐ số 7</t>
  </si>
  <si>
    <t>Doanh thu Dịch vụ quảng cáo và truyền thông theo Hợp đồng số HDDV/FAROSON-DVA/11/2025 ký ngày 25/09/2025 (Đợt 1) HĐ số 8</t>
  </si>
  <si>
    <t>Doanh thu Dịch vụ quảng cáo và truyền thông theo Hợp đồng số HKD ĐVA_ ELITE_EVENT SIMPLE _08092025 ký ngày 08/09/2025 HĐ số 9</t>
  </si>
  <si>
    <t>Doanh thu Dịch vụ quảng cáo và truyền thông theo Hợp đồng số 01102025HDDVDOANVANANHHANNAHLIVE ký ngày 01/10/2025 và Biên bản nghiệm thu ký ngày 13/10/2025 HĐ số 10</t>
  </si>
  <si>
    <t>Doanh thu Dịch vụ quảng cáo và truyền thông theo Hợp đồng số 01102025HDDVDOANVANANHBOJ ký ngày 01/10/2025 và Biên bản nghiệm thu ký ngày 13/10/2025 HĐ số 11</t>
  </si>
  <si>
    <t>Doanh thu Dịch vụ quảng cáo và truyền thông theo Hợp đồng số 0510/HDDV/UPBASE-NUCOS-VANJINKA/2025 ký ngày 05/10/2025 và Biên bản nghiệm thu ký ngày 15/10/2025 HĐ số 12</t>
  </si>
  <si>
    <t>Doanh thu Dịch vụ quảng cáo và truyền thông theo Hợp đồng số FINTVN-ATTENIR2-2025-08 ký ngày 10/09/2025 và Biên bản nghiệm thu ký ngày 15/10/2025 HĐ số 13</t>
  </si>
  <si>
    <t>Doanh thu Dịch vụ quảng cáo và truyền thông theo Hợp đồng số T04T25HDDV-0026-0168 DOANVANANH ký ngày 01/10/2025 và Biên bản nghiệm thu ký ngày 16/10/2025 HĐ số 14</t>
  </si>
  <si>
    <t>Doanh thu Dịch vụ quảng cáo và truyền thông theo Hợp đồng số 25092025/TLC-DVA ký ngày 25/09/2025 và Biên bản nghiệm thu ký ngày 27/10/2025 HĐ số 15</t>
  </si>
  <si>
    <t>Doanh thu Dịch vụ quảng cáo và truyền thông theo Hợp đồng số 01102025HDDVDOANVANANHTORRIDEN ký ngày 01/10/2025 và Biên bản nghiệm thu ký ngày 29/10/2025 HĐ số 16</t>
  </si>
  <si>
    <t>Doanh thu Dịch vụ quảng cáo và truyền thông theo Hợp đồng số T03T25HDDV-0050-0168 DOANVANANH ký ngày 19/10/2025 và Biên bản nghiệm thu ký ngày 29/10/2025 HĐ số 17</t>
  </si>
  <si>
    <t>Doanh thu Dịch vụ quảng cáo và truyền thông theo Hợp đồng số HDDV/OLAYBAUxVĐxDVA/011025 ký ngày 01/10/2025 và Biên bản nghiệm thu ký ngày 30/10/2025 HĐ số 18</t>
  </si>
  <si>
    <t>Doanh thu Dịch vụ quảng cáo và truyền thông theo Hợp đồng số MDA/20251028/2087 ngày 01/10/2025 kèm Biên bản nghiệm thu và thanh lý ngày 03/11/2025 HĐ số 19</t>
  </si>
  <si>
    <t>Doanh thu Dịch vụ quảng cáo và truyền thông theo Hợp đồng số HKD DVA_HADA LABO_05102025 ký ngày 05/10/2025 HĐ số 20</t>
  </si>
  <si>
    <t>Doanh thu Dịch vụ quảng cáo và truyền thông theo Hợp đồng số HDDV/FAROSON-DVA/11/2025 ký ngày 25/09/2025 (Đợt 2) và Biên bản nghiệm thu ký ngày 07/11/2025 HĐ số 21</t>
  </si>
  <si>
    <t>Doanh thu Dịch vụ quảng cáo và truyền thông theo Hợp đồng số T03T25HDDV-0065-0168 DOANVANANH ký ngày 06/11/2025 và Biên bản nghiệm thu ký ngày 11/11/2025 HĐ số 22</t>
  </si>
  <si>
    <t>Doanh thu Dịch vụ quảng cáo và truyền thông cho nhãn hàng Benzac theo Hợp đồng số 681410202502/HDDV/RV/KOL ký ngày 14/10/2025 và Biên bản nghiệm thu ký ngày 17/11/2025 HĐ số 23</t>
  </si>
  <si>
    <t>Doanh thu Dịch vụ quảng cáo và truyền thông theo Hợp đồng số 11.11.2025/HDDV/UPBASE-EUBOS-VANJINKA ký ngày 11/11/2025 và Biên bản nghiệm thu ký ngày 18/11/2025 HĐ số 24</t>
  </si>
  <si>
    <t>Doanh thu Dịch vụ quảng cáo và truyền thông theo Hợp đồng số 20251110HDDV/MEISHANG – DOANVANANH ký ngày 01/11/2025 và Biên bản nghiệm thu ký ngày 18/11/2025 HĐ số 25</t>
  </si>
  <si>
    <t>Doanh thu Dịch vụ quảng cáo và truyền thông theo Hợp đồng số 01112025/HDDV/MATSU - VANJINKA ký ngày 01/11/2025 và Biên bản nghiệm thu ký ngày 27/11/2025 HĐ số 26</t>
  </si>
  <si>
    <t>Doanh thu Dịch vụ quảng cáo và truyền thông theo Hợp đồng số T03MPD25HDDV-0101-0168 DOANVANANH ký ngày 22/11/2025 và Biên bản nghiệm thu ký ngày 27/11/2025 HĐ số 27</t>
  </si>
  <si>
    <t>Doanh thu Dịch vụ quảng cáo và truyền thông theo Hợp đồng số BK343/HKD_DVA/T5A/MIALALA ký ngày 01/11/2025 và Biên bản nghiệm thu ký ngày 28/11/2025 HĐ số 28</t>
  </si>
  <si>
    <t>Doanh thu Dịch vụ quảng cáo và truyền thông theo Hợp đồng số 26112025/HDKV/VNNW-HKD ĐVA ký ngày 26/11/2025 (Đợt 1) HĐ số 29</t>
  </si>
  <si>
    <t>Doanh thu Dịch vụ quảng cáo và truyền thông theo Hợp đồng số HKD DVA_ ACNE – AID_17112025 ký ngày 17/11/2025 HĐ số 30</t>
  </si>
  <si>
    <t>Doanh thu Dịch vụ quảng cáo và truyền thông theo Hợp đồng số HDDV/FAINxHKDDOANVANANH/2025-05 ký ngày 04/12/2025 và Biên bản nghiệm thu ký ngày 15/12/2025 HĐ số 31</t>
  </si>
  <si>
    <t>Doanh thu Dịch vụ quảng cáo và truyền thông theo Hợp đồng số BK275/HKD_DVA/T5A/MIALALA ký ngày 04/12/2025 HĐ số 32</t>
  </si>
  <si>
    <t>Doanh thu Dịch vụ quảng cáo và truyền thông theo Hợp đồng số 10.12.2025/HDDV/UPBASE-EUBOS-VANJINKA ký ngày 10/12/2025 HĐ số 33</t>
  </si>
  <si>
    <t>Doanh thu Thanh toán phí dịch vụ quảng cáo và truyền thông theo Hợp đồng số HD30112025/DRG_ASIACONSULTING_VANJINKA ký ngày 30/11/2025 và Biên bản nghiệm thu ký ngày 22/12/2025 HĐ số 34</t>
  </si>
  <si>
    <t>Doanh thu Dịch vụ quảng cáo và truyền thông cho nhãn hàng CELLEXIA theo Hợp đồng số 681612202505/HDDV/RV/KOL ký ngày 16/12/2025 HĐ số 35</t>
  </si>
  <si>
    <t>Doanh thu Dịch vụ quảng cáo và truyền thông theo Hợp đồng số HD30112025/KANS__HUMAN__VANJINKA ký ngày 30/11/2025 và Biên bản nghiệm thu ký ngày 29/12/2025 HĐ số 36</t>
  </si>
  <si>
    <t>Doanh thu Dịch vụ quảng cáo và truyền thông theo Hợp đồng số 26112025/HDKV/VNNW-HKD ĐVA ký ngày 26/11/2025 (Đợt 2) và Biên bản nghiệm thu ký ngày 29/12/2025 HĐ số 37</t>
  </si>
  <si>
    <t>Doanh thu Phí sử dụng hình ảnh cho nhãn hàng BENZAC theo Hợp đồng số 681112202513/HDDV/RV/KOL ký ngày 11/12/2025 HĐ số 38</t>
  </si>
  <si>
    <t>Điều chỉnh giảm Doanh thu Dịch vụ quảng cáo và truyền thông theo Hợp đồng số S31M24HDDV-0338- 0168 DOANVANANH ký ngày 01/09/2025 và Biên bản nghiệm thu ký ngày 03/10/2025 HĐ số 7</t>
  </si>
  <si>
    <t>Điều chỉnh giảm Doanh thu Dịch vụ quảng cáo và truyền thông theo Hợp đồng số HDDV/FAROSON-DVA/11/2025 ký ngày 25/09/2025 (Đợt 1) HĐ số 8</t>
  </si>
  <si>
    <t>Điều chỉnh giảm Doanh thu Dịch vụ quảng cáo và truyền thông theo Hợp đồng số HKD ĐVA_ ELITE_EVENT SIMPLE _08092025 ký ngày 08/09/2025 HĐ số 9</t>
  </si>
  <si>
    <t>Điều chỉnh giảm Doanh thu Dịch vụ quảng cáo và truyền thông theo Hợp đồng số 01102025HDDVDOANVANANHHANNAHLIVE ký ngày 01/10/2025 và Biên bản nghiệm thu ký ngày 13/10/2025 HĐ số 10</t>
  </si>
  <si>
    <t>Điều chỉnh giảm Doanh thu Dịch vụ quảng cáo và truyền thông theo Hợp đồng số 01102025HDDVDOANVANANHBOJ ký ngày 01/10/2025 và Biên bản nghiệm thu ký ngày 13/10/2025 HĐ số 11</t>
  </si>
  <si>
    <t>Điều chỉnh giảm Doanh thu Dịch vụ quảng cáo và truyền thông theo Hợp đồng số 0510/HDDV/UPBASE-NUCOS-VANJINKA/2025 ký ngày 05/10/2025 và Biên bản nghiệm thu ký ngày 15/10/2025 HĐ số 12</t>
  </si>
  <si>
    <t>Điều chỉnh giảm Doanh thu Dịch vụ quảng cáo và truyền thông theo Hợp đồng số FINTVN-ATTENIR2-2025-08 ký ngày 10/09/2025 và Biên bản nghiệm thu ký ngày 15/10/2025 HĐ số 13</t>
  </si>
  <si>
    <t>Điều chỉnh giảm Doanh thu Dịch vụ quảng cáo và truyền thông theo Hợp đồng số T04T25HDDV-0026-0168 DOANVANANH ký ngày 01/10/2025 và Biên bản nghiệm thu ký ngày 16/10/2025 HĐ số 14</t>
  </si>
  <si>
    <t>Điều chỉnh giảm Doanh thu Dịch vụ quảng cáo và truyền thông theo Hợp đồng số 25092025/TLC-DVA ký ngày 25/09/2025 và Biên bản nghiệm thu ký ngày 27/10/2025 HĐ số 15</t>
  </si>
  <si>
    <t>Điều chỉnh giảm Doanh thu Dịch vụ quảng cáo và truyền thông theo Hợp đồng số 01102025HDDVDOANVANANHTORRIDEN ký ngày 01/10/2025 và Biên bản nghiệm thu ký ngày 29/10/2025 HĐ số 16</t>
  </si>
  <si>
    <t>Điều chỉnh giảm Doanh thu Dịch vụ quảng cáo và truyền thông theo Hợp đồng số T03T25HDDV-0050-0168 DOANVANANH ký ngày 19/10/2025 và Biên bản nghiệm thu ký ngày 29/10/2025 HĐ số 17</t>
  </si>
  <si>
    <t>Điều chỉnh giảm Doanh thu Dịch vụ quảng cáo và truyền thông theo Hợp đồng số HDDV/OLAYBAUxVĐxDVA/011025 ký ngày 01/10/2025 và Biên bản nghiệm thu ký ngày 30/10/2025 HĐ số 18</t>
  </si>
  <si>
    <t>Điều chỉnh giảm Doanh thu Dịch vụ quảng cáo và truyền thông theo Hợp đồng số MDA/20251028/2087 ngày 01/10/2025 kèm Biên bản nghiệm thu và thanh lý ngày 03/11/2025 HĐ số 19</t>
  </si>
  <si>
    <t>Điều chỉnh giảm Doanh thu Dịch vụ quảng cáo và truyền thông theo Hợp đồng số HKD DVA_HADA LABO_05102025 ký ngày 05/10/2025 HĐ số 20</t>
  </si>
  <si>
    <t>Điều chỉnh giảm Doanh thu Dịch vụ quảng cáo và truyền thông theo Hợp đồng số HDDV/FAROSON-DVA/11/2025 ký ngày 25/09/2025 (Đợt 2) và Biên bản nghiệm thu ký ngày 07/11/2025 HĐ số 21</t>
  </si>
  <si>
    <t>Điều chỉnh giảm Doanh thu Dịch vụ quảng cáo và truyền thông theo Hợp đồng số T03T25HDDV-0065-0168 DOANVANANH ký ngày 06/11/2025 và Biên bản nghiệm thu ký ngày 11/11/2025 HĐ số 22</t>
  </si>
  <si>
    <t>Điều chỉnh giảm Doanh thu Dịch vụ quảng cáo và truyền thông cho nhãn hàng Benzac theo Hợp đồng số 681410202502/HDDV/RV/KOL ký ngày 14/10/2025 và Biên bản nghiệm thu ký ngày 17/11/2025 HĐ số 23</t>
  </si>
  <si>
    <t>Điều chỉnh giảm Doanh thu Dịch vụ quảng cáo và truyền thông theo Hợp đồng số 11.11.2025/HDDV/UPBASE-EUBOS-VANJINKA ký ngày 11/11/2025 và Biên bản nghiệm thu ký ngày 18/11/2025 HĐ số 24</t>
  </si>
  <si>
    <t>Điều chỉnh giảm Doanh thu Dịch vụ quảng cáo và truyền thông theo Hợp đồng số 20251110HDDV/MEISHANG – DOANVANANH ký ngày 01/11/2025 và Biên bản nghiệm thu ký ngày 18/11/2025 HĐ số 25</t>
  </si>
  <si>
    <t>Điều chỉnh giảm Doanh thu Dịch vụ quảng cáo và truyền thông theo Hợp đồng số 01112025/HDDV/MATSU - VANJINKA ký ngày 01/11/2025 và Biên bản nghiệm thu ký ngày 27/11/2025 HĐ số 26</t>
  </si>
  <si>
    <t>Điều chỉnh giảm Doanh thu Dịch vụ quảng cáo và truyền thông theo Hợp đồng số T03MPD25HDDV-0101-0168 DOANVANANH ký ngày 22/11/2025 và Biên bản nghiệm thu ký ngày 27/11/2025 HĐ số 27</t>
  </si>
  <si>
    <t>Điều chỉnh giảm Doanh thu Dịch vụ quảng cáo và truyền thông theo Hợp đồng số BK343/HKD_DVA/T5A/MIALALA ký ngày 01/11/2025 và Biên bản nghiệm thu ký ngày 28/11/2025 HĐ số 28</t>
  </si>
  <si>
    <t>Điều chỉnh giảm Doanh thu Dịch vụ quảng cáo và truyền thông theo Hợp đồng số 26112025/HDKV/VNNW-HKD ĐVA ký ngày 26/11/2025 (Đợt 1) HĐ số 29</t>
  </si>
  <si>
    <t>Điều chỉnh giảm Doanh thu Dịch vụ quảng cáo và truyền thông theo Hợp đồng số HKD DVA_ ACNE – AID_17112025 ký ngày 17/11/2025 HĐ số 30</t>
  </si>
  <si>
    <t>Điều chỉnh giảm Doanh thu Dịch vụ quảng cáo và truyền thông theo Hợp đồng số HDDV/FAINxHKDDOANVANANH/2025-05 ký ngày 04/12/2025 và Biên bản nghiệm thu ký ngày 15/12/2025 HĐ số 31</t>
  </si>
  <si>
    <t>Điều chỉnh giảm Doanh thu Dịch vụ quảng cáo và truyền thông theo Hợp đồng số BK275/HKD_DVA/T5A/MIALALA ký ngày 04/12/2025 HĐ số 32</t>
  </si>
  <si>
    <t>Điều chỉnh giảm Doanh thu Dịch vụ quảng cáo và truyền thông theo Hợp đồng số 10.12.2025/HDDV/UPBASE-EUBOS-VANJINKA ký ngày 10/12/2025 HĐ số 33</t>
  </si>
  <si>
    <t>Điều chỉnh giảm Doanh thu Thanh toán phí dịch vụ quảng cáo và truyền thông theo Hợp đồng số HD30112025/DRG_ASIACONSULTING_VANJINKA ký ngày 30/11/2025 và Biên bản nghiệm thu ký ngày 22/12/2025 HĐ số 34</t>
  </si>
  <si>
    <t>Điều chỉnh giảm Doanh thu Dịch vụ quảng cáo và truyền thông cho nhãn hàng CELLEXIA theo Hợp đồng số 681612202505/HDDV/RV/KOL ký ngày 16/12/2025 HĐ số 35</t>
  </si>
  <si>
    <t>Điều chỉnh giảm Doanh thu Dịch vụ quảng cáo và truyền thông theo Hợp đồng số HD30112025/KANS__HUMAN__VANJINKA ký ngày 30/11/2025 và Biên bản nghiệm thu ký ngày 29/12/2025 HĐ số 36</t>
  </si>
  <si>
    <t>Điều chỉnh giảm Doanh thu Dịch vụ quảng cáo và truyền thông theo Hợp đồng số 26112025/HDKV/VNNW-HKD ĐVA ký ngày 26/11/2025 (Đợt 2) và Biên bản nghiệm thu ký ngày 29/12/2025 HĐ số 37</t>
  </si>
  <si>
    <t>Điều chỉnh giảm Doanh thu Phí sử dụng hình ảnh cho nhãn hàng BENZAC theo Hợp đồng số 681112202513/HDDV/RV/KOL ký ngày 11/12/2025 HĐ số 38</t>
  </si>
  <si>
    <t>Chi phí tiếp khách, ngoại giao HĐ số 24197</t>
  </si>
  <si>
    <t>Chi phí tiếp khách, ngoại giao HĐ số 12059</t>
  </si>
  <si>
    <t>Chi phí tiếp khách, ngoại giao HĐ số 280</t>
  </si>
  <si>
    <t>Chi phí tiếp khách, ngoại giao HĐ số 27531</t>
  </si>
  <si>
    <t>Chi phí tiếp khách, ngoại giao HĐ số 3556</t>
  </si>
  <si>
    <t>Chi phí vận chuyển HĐ số 45597793</t>
  </si>
  <si>
    <t>8891446995-002</t>
  </si>
  <si>
    <t>0108779818</t>
  </si>
  <si>
    <t>0313503636</t>
  </si>
  <si>
    <t>Phí dịch vụ tư vấn tháng 10/2025 HĐ số 161</t>
  </si>
  <si>
    <t>Phí dịch vụ tư vấn tháng 10/2025 HĐ số 199</t>
  </si>
  <si>
    <t>Doanh thu Dịch vụ quảng cáo và truyền thông theo Hợp đồng số 08102025/HDDV/DRCEUTICS-THUYNGAOFFICIAL ký ngày 08/10/2025 và Biên bản nghiệm thu ký ngày 14/10/2025 HĐ số 1</t>
  </si>
  <si>
    <t>Doanh thu Dịch vụ quảng cáo và truyền thông theo Hợp đồng số 26092025/DRCEUTICS-THUYNGAOFFICIAL ký ngày 26/09/2025 và Biên bản nghiệm thu ký ngày 14/10/2025 HĐ số 2</t>
  </si>
  <si>
    <t>Doanh thu Dịch vụ quảng cáo và truyền thông theo Hợp đồng số 09.2025/HĐDV_HKD THÚY NGA OFFICIAL_CÔNG TY TNHH HOÀI THU TH ký ngày 10/09/2025 và Biên bản nghiệm thu ký ngày 11/11/2025 HĐ số 5</t>
  </si>
  <si>
    <t>Doanh thu Dịch vụ quảng cáo và truyền thông theo Hợp đồng số 20251027/HEIDILAND x HKD THUYNGA ký ngày 27/10/2025 và Biên bản nghiệm thu ký ngày 13/11/2025 HĐ số 6</t>
  </si>
  <si>
    <t>Doanh thu Dịch vụ quảng cáo và truyền thông theo Hợp đồng số 13/11/2025/HDDV/ZAKKA-THÚY NGA REVIEW ký ngày 13/11/2025 và Biên bản nghiệm thu ký ngày 17/11/2025 HĐ số 7</t>
  </si>
  <si>
    <t>Doanh thu Dịch vụ quảng cáo và truyền thông theo Hợp đồng số 06112025/HDDV/DRCEUTICS-THUYNGAOFFICIAL ký ngày 06/11/2025 và Biên bản nghiệm thu ký ngày 17/11/2025 HĐ số 8</t>
  </si>
  <si>
    <t>Doanh thu Dịch vụ quảng cáo và truyền thông theo Hợp đồng số 101125/HDDV/NN ký ngày 04/11/2025 và Biên bản nghiệm thu ký ngày 20/11/2025 HĐ số 9</t>
  </si>
  <si>
    <t>Doanh thu Dịch vụ quảng cáo và truyền thông theo Hợp đồng số 2610/HDDV/VINBEAUTY-HKD THUYNGA ký ngày 26/09/2025 và Biên bản nghiệm thu ký ngày 21/11/2025 HĐ số 10</t>
  </si>
  <si>
    <t>Doanh thu Dịch vụ quảng cáo và truyền thông theo Hợp đồng số 74/HĐDV/DE-2025/11 ký ngày 28/11/2025 HĐ số 11</t>
  </si>
  <si>
    <t>Doanh thu Dịch vụ quảng cáo và truyền thông theo Hợp đồng số 20251022/CAYVANGxHKDTHUYNGA ký ngày 22/10/2025 và Biên bản nghiệm thu ký ngày 08/12/2025 HĐ số 12</t>
  </si>
  <si>
    <t>Doanh thu Dịch vụ quảng cáo và truyền thông theo Hợp đồng số 03_UMNGA/HDDV/2025 kí ngày 05/11/2025 và Biên bản nghiệm thu ký ngày 08/12/2025 HĐ số 13</t>
  </si>
  <si>
    <t>Doanh thu Dịch vụ quảng cáo và truyền thông theo Hợp đồng số 26/11/2025/HDDV/ZAKKA-THÚY NGA REVIEW ký ngày 26/11/2025 và Biên bản nghiệm thu ký ngày 09/12/2025 HĐ số 14</t>
  </si>
  <si>
    <t>Điều chỉnh giảm Doanh thu Dịch vụ quảng cáo và truyền thông theo Hợp đồng số 08102025/HDDV/DRCEUTICS-THUYNGAOFFICIAL ký ngày 08/10/2025 và Biên bản nghiệm thu ký ngày 14/10/2025 HĐ số 1</t>
  </si>
  <si>
    <t>Điều chỉnh giảm Doanh thu Dịch vụ quảng cáo và truyền thông theo Hợp đồng số 26092025/DRCEUTICS-THUYNGAOFFICIAL ký ngày 26/09/2025 và Biên bản nghiệm thu ký ngày 14/10/2025 HĐ số 2</t>
  </si>
  <si>
    <t>Điều chỉnh giảm Doanh thu Dịch vụ quảng cáo và truyền thông theo Hợp đồng số 20251027/HEIDILAND x HKD THUYNGA ký ngày 27/10/2025 và Biên bản nghiệm thu ký ngày 13/11/2025 HĐ số 6</t>
  </si>
  <si>
    <t>Điều chỉnh giảm Doanh thu Dịch vụ quảng cáo và truyền thông theo Hợp đồng số 13/11/2025/HDDV/ZAKKA-THÚY NGA REVIEW ký ngày 13/11/2025 và Biên bản nghiệm thu ký ngày 17/11/2025 HĐ số 7</t>
  </si>
  <si>
    <t>Điều chỉnh giảm Doanh thu Dịch vụ quảng cáo và truyền thông theo Hợp đồng số 06112025/HDDV/DRCEUTICS-THUYNGAOFFICIAL ký ngày 06/11/2025 và Biên bản nghiệm thu ký ngày 17/11/2025 HĐ số 8</t>
  </si>
  <si>
    <t>Điều chỉnh giảm Doanh thu Dịch vụ quảng cáo và truyền thông theo Hợp đồng số 101125/HDDV/NN ký ngày 04/11/2025 và Biên bản nghiệm thu ký ngày 20/11/2025 HĐ số 9</t>
  </si>
  <si>
    <t>Điều chỉnh giảm Doanh thu Dịch vụ quảng cáo và truyền thông theo Hợp đồng số 2610/HDDV/VINBEAUTY-HKD THUYNGA ký ngày 26/09/2025 và Biên bản nghiệm thu ký ngày 21/11/2025 HĐ số 10</t>
  </si>
  <si>
    <t>Điều chỉnh giảm Doanh thu Dịch vụ quảng cáo và truyền thông theo Hợp đồng số 74/HĐDV/DE-2025/11 ký ngày 28/11/2025 HĐ số 11</t>
  </si>
  <si>
    <t>Điều chỉnh giảm Doanh thu Dịch vụ quảng cáo và truyền thông theo Hợp đồng số 20251022/CAYVANGxHKDTHUYNGA ký ngày 22/10/2025 và Biên bản nghiệm thu ký ngày 08/12/2025 HĐ số 12</t>
  </si>
  <si>
    <t>Điều chỉnh giảm Doanh thu Dịch vụ quảng cáo và truyền thông theo Hợp đồng số 03_UMNGA/HDDV/2025 kí ngày 05/11/2025 và Biên bản nghiệm thu ký ngày 08/12/2025 HĐ số 13</t>
  </si>
  <si>
    <t>Điều chỉnh giảm Doanh thu Dịch vụ quảng cáo và truyền thông theo Hợp đồng số 26/11/2025/HDDV/ZAKKA-THÚY NGA REVIEW ký ngày 26/11/2025 và Biên bản nghiệm thu ký ngày 09/12/2025 HĐ số 14</t>
  </si>
  <si>
    <t>Chi phí dịch vụ mua ngoài HĐ số 69367</t>
  </si>
  <si>
    <t>Chi phí đồ dùng văn phòng HĐ số 659</t>
  </si>
  <si>
    <t>Chi phí đồ dùng văn phòng HĐ số 289562</t>
  </si>
  <si>
    <t>Chi phí đồ dùng văn phòng HĐ số 9978</t>
  </si>
  <si>
    <t>Chi phí đồ dùng văn phòng HĐ số 11450</t>
  </si>
  <si>
    <t>30/12/2025</t>
  </si>
  <si>
    <t>0110618906</t>
  </si>
  <si>
    <t>Chi phí tiếp khách ngoại giao HĐ số 132</t>
  </si>
  <si>
    <t>Chi phí tiếp khách ngoại giao HĐ số 9756</t>
  </si>
  <si>
    <t>Chứng thư CKS (2 năm) HĐ số 15944</t>
  </si>
  <si>
    <t>Chi phí di chuyển đi lại HĐ số 7918530</t>
  </si>
  <si>
    <t>Chi phí di chuyển đi lại HĐ số 7934153</t>
  </si>
  <si>
    <t>Chi phí di chuyển đi lại HĐ số 8399045</t>
  </si>
  <si>
    <t>Chi phí di chuyển đi lại HĐ số 9145721</t>
  </si>
  <si>
    <t>31/12/2025</t>
  </si>
  <si>
    <t>0317837492</t>
  </si>
  <si>
    <t>Doanh thu Chi phí cung cấp dịch vụ cho nhãn hàng P/S theo hợp đồng số 1512/2025/HĐDV - GUM 7/BNT - ĐTL HĐ số 16</t>
  </si>
  <si>
    <t>Doanh thu Dịch vụ quảng cáo và truyền thông theo Phạm vi công việc số 2 ký ngày 10/11/2025 của Hợp đồng dịch vụ khung ký ngày 26/07/2025 và Biên bản nghiệm thu ký ngày 29/12/2025 HĐ số 17</t>
  </si>
  <si>
    <t>Doanh thu Thanh toán 100% phí dịch vụ OAP - AFFILIATE - VIDEO - COMPANY - SCOPE 3 - 3012 - PO 4001486074 SOW số 31118/2025/WPP-BTL-LO ID Tiktok: im.lukedo HĐ số 18</t>
  </si>
  <si>
    <t>Doanh thu Thanh toán 100% phí dịch vụ OAP - UV AQUA - Video - Scope 3 - 3012 - PO4001524261 SOW số 32158/2025/WPP-BTL-LO ID Tiktok: im.lukedo HĐ số 19</t>
  </si>
  <si>
    <t>Doanh thu Thanh toán 100% phí dịch vụ OAP - Festive Campaign - Video - Scope 3 - 3001 SOW số 33916/2025/WPP-BTL-LO ID Tiktok: im.lukedo HĐ số 20</t>
  </si>
  <si>
    <t>Điều chỉnh giảm Doanh thu Chi phí cung cấp dịch vụ cho nhãn hàng P/S theo hợp đồng số 1512/2025/HĐDV - GUM 7/BNT - ĐTL HĐ số 16</t>
  </si>
  <si>
    <t>Điều chỉnh giảm Doanh thu Dịch vụ quảng cáo và truyền thông theo Phạm vi công việc số 2 ký ngày 10/11/2025 của Hợp đồng dịch vụ khung ký ngày 26/07/2025 và Biên bản nghiệm thu ký ngày 29/12/2025 HĐ số 17</t>
  </si>
  <si>
    <t>Điều chỉnh giảm Doanh thu Thanh toán 100% phí dịch vụ OAP - AFFILIATE - VIDEO - COMPANY - SCOPE 3 - 3012 - PO 4001486074 SOW số 31118/2025/WPP-BTL-LO ID Tiktok: im.lukedo HĐ số 18</t>
  </si>
  <si>
    <t>Điều chỉnh giảm Doanh thu Thanh toán 100% phí dịch vụ OAP - UV AQUA - Video - Scope 3 - 3012 - PO4001524261 SOW số 32158/2025/WPP-BTL-LO ID Tiktok: im.lukedo HĐ số 19</t>
  </si>
  <si>
    <t>Điều chỉnh giảm Doanh thu Thanh toán 100% phí dịch vụ OAP - Festive Campaign - Video - Scope 3 - 3001 SOW số 33916/2025/WPP-BTL-LO ID Tiktok: im.lukedo HĐ số 20</t>
  </si>
  <si>
    <t>0108077745</t>
  </si>
  <si>
    <t>Chi phí đồ dùng văn phòng HĐ số 170859</t>
  </si>
  <si>
    <t>0109028941</t>
  </si>
  <si>
    <t>0109984591</t>
  </si>
  <si>
    <t>0318394162</t>
  </si>
  <si>
    <t>0316418241</t>
  </si>
  <si>
    <t>Doanh thu Dịch vụ quảng cáo và truyền thông theo Hợp đồng số 2710/HDDV/TCELL-KIEULAN ký ngày 27/10/2025 và Biên bản nghiệm thu ký ngày 02/12/2025 HĐ số 23</t>
  </si>
  <si>
    <t>Doanh thu Dịch vụ quảng cáo và truyền thông theo Hợp đồng số HKD KNL_ GARNIER_HAIR_CAMP T12_01122025 ký ngày 01/12/2025 HĐ số 24</t>
  </si>
  <si>
    <t>Doanh thu Dịch vụ quảng cáo và truyền thông theo Hợp đồng số 2511/25//HDDV/MIALALA - KNL ký ngày 25/11/2025 và Biên bản nghiệm thu ký ngày 09/12/2025 HĐ số 25</t>
  </si>
  <si>
    <t>Doanh thu Dịch vụ quảng cáo và truyền thông theo Hợp đồng số HKD KNL_ NIVEA_20102025 ký ngày 20/10/2025 HĐ số 26</t>
  </si>
  <si>
    <t>Doanh thu Dịch vụ quảng cáo và truyền thông theo Hợp đồng số 251020/HDDV/BRAINAD-KNL ký ngày 20/10/2025 và Biên bản nghiệm thu ký ngày 10/12/2025 HĐ số 27</t>
  </si>
  <si>
    <t>Doanh thu Dịch vụ quảng cáo và truyền thông theo Hợp đồng số 0511/2025/HDDV/FAIN-HOKINHDOANHKIEUNGOCLAN ký ngày 24/10/2025 và Biên bản nghiệm thu ký ngày 10/12/2025 HĐ số 28</t>
  </si>
  <si>
    <t>Doanh thu Dịch vụ quảng cáo và truyền thông theo Hợp đồng số 428112025-SSMB/KOL ký ngày 28/11/2025 HĐ số 29</t>
  </si>
  <si>
    <t>Doanh thu Dịch vụ quảng cáo và truyền thông theo Hợp đồng số 251111/HDDV/BRAINAD-KNL ký ngày 11/11/2025 và Biên bản nghiệm thu ký ngày 12/12/2025 HĐ số 30</t>
  </si>
  <si>
    <t>Doanh thu Dịch vụ quảng cáo và truyền thông theo Hợp đồng số 12112025/HDDV ký ngày 11/12/2025 và Biên bản nghiệm thu ký ngày 25/12/2025 HĐ số 31</t>
  </si>
  <si>
    <t>Doanh thu Dịch vụ quảng cáo và truyền thông theo Hợp đồng số 06102025/HĐDV-SE-SENKA-KIEUNGOCLAN ký ngày 06/10/2025 và Biên bản nghiệm thu ký ngày 25/12/2025 HĐ số 32</t>
  </si>
  <si>
    <t>Doanh thu Dịch vụ quảng cáo và truyền thông theo Hợp đồng số 08/2025/HĐDV-DOSATA ký ngày 08/10/2025 và Biên bản nghiệm thu ký ngày 25/12/2025 HĐ số 33</t>
  </si>
  <si>
    <t>Doanh thu Dịch vụ quảng cáo và truyền thông theo Hợp đồng số 1612/HDDV/PU-KIEULANBEAUTY ký ngày 16/12/2025 HĐ số 34</t>
  </si>
  <si>
    <t>Doanh thu Dịch vụ quảng cáo và truyền thông theo Hợp đồng số HKD KNL_ JUDYDOLL_14112025 ký ngày 14/11/2025 HĐ số 35</t>
  </si>
  <si>
    <t>Doanh thu Dịch vụ quảng cáo và truyền thông theo Hợp đồng số HKD KNL_ DIINBI_07112025 ký ngày 07/11/2025 HĐ số 36</t>
  </si>
  <si>
    <t>Doanh thu Dịch vụ quảng cáo và truyền thông theo Hợp đồng số HKD KNL_ CANDID_02122025 ký ngày 02/12/2025 HĐ số 37</t>
  </si>
  <si>
    <t>Điều chỉnh giảm Doanh thu Dịch vụ quảng cáo và truyền thông theo Hợp đồng số 2710/HDDV/TCELL-KIEULAN ký ngày 27/10/2025 và Biên bản nghiệm thu ký ngày 02/12/2025 HĐ số 23</t>
  </si>
  <si>
    <t>Điều chỉnh giảm Doanh thu Dịch vụ quảng cáo và truyền thông theo Hợp đồng số HKD KNL_ GARNIER_HAIR_CAMP T12_01122025 ký ngày 01/12/2025 HĐ số 24</t>
  </si>
  <si>
    <t>Điều chỉnh giảm Doanh thu Dịch vụ quảng cáo và truyền thông theo Hợp đồng số 2511/25//HDDV/MIALALA - KNL ký ngày 25/11/2025 và Biên bản nghiệm thu ký ngày 09/12/2025 HĐ số 25</t>
  </si>
  <si>
    <t>Điều chỉnh giảm Doanh thu Dịch vụ quảng cáo và truyền thông theo Hợp đồng số HKD KNL_ NIVEA_20102025 ký ngày 20/10/2025 HĐ số 26</t>
  </si>
  <si>
    <t>Điều chỉnh giảm Doanh thu Dịch vụ quảng cáo và truyền thông theo Hợp đồng số 251020/HDDV/BRAINAD-KNL ký ngày 20/10/2025 và Biên bản nghiệm thu ký ngày 10/12/2025 HĐ số 27</t>
  </si>
  <si>
    <t>Điều chỉnh giảm Doanh thu Dịch vụ quảng cáo và truyền thông theo Hợp đồng số 0511/2025/HDDV/FAIN-HOKINHDOANHKIEUNGOCLAN ký ngày 24/10/2025 và Biên bản nghiệm thu ký ngày 10/12/2025 HĐ số 28</t>
  </si>
  <si>
    <t>Điều chỉnh giảm Doanh thu Dịch vụ quảng cáo và truyền thông theo Hợp đồng số 428112025-SSMB/KOL ký ngày 28/11/2025 HĐ số 29</t>
  </si>
  <si>
    <t>Điều chỉnh giảm Doanh thu Dịch vụ quảng cáo và truyền thông theo Hợp đồng số 251111/HDDV/BRAINAD-KNL ký ngày 11/11/2025 và Biên bản nghiệm thu ký ngày 12/12/2025 HĐ số 30</t>
  </si>
  <si>
    <t>Điều chỉnh giảm Doanh thu Dịch vụ quảng cáo và truyền thông theo Hợp đồng số 12112025/HDDV ký ngày 11/12/2025 và Biên bản nghiệm thu ký ngày 25/12/2025 HĐ số 31</t>
  </si>
  <si>
    <t>Điều chỉnh giảm Doanh thu Dịch vụ quảng cáo và truyền thông theo Hợp đồng số 06102025/HĐDV-SE-SENKA-KIEUNGOCLAN ký ngày 06/10/2025 và Biên bản nghiệm thu ký ngày 25/12/2025 HĐ số 32</t>
  </si>
  <si>
    <t>Điều chỉnh giảm Doanh thu Dịch vụ quảng cáo và truyền thông theo Hợp đồng số 08/2025/HĐDV-DOSATA ký ngày 08/10/2025 và Biên bản nghiệm thu ký ngày 25/12/2025 HĐ số 33</t>
  </si>
  <si>
    <t>Điều chỉnh giảm Doanh thu Dịch vụ quảng cáo và truyền thông theo Hợp đồng số 1612/HDDV/PU-KIEULANBEAUTY ký ngày 16/12/2025 HĐ số 34</t>
  </si>
  <si>
    <t>Điều chỉnh giảm Doanh thu Dịch vụ quảng cáo và truyền thông theo Hợp đồng số HKD KNL_ JUDYDOLL_14112025 ký ngày 14/11/2025 HĐ số 35</t>
  </si>
  <si>
    <t>Điều chỉnh giảm Doanh thu Dịch vụ quảng cáo và truyền thông theo Hợp đồng số HKD KNL_ DIINBI_07112025 ký ngày 07/11/2025 HĐ số 36</t>
  </si>
  <si>
    <t>Điều chỉnh giảm Doanh thu Dịch vụ quảng cáo và truyền thông theo Hợp đồng số HKD KNL_ CANDID_02122025 ký ngày 02/12/2025 HĐ số 37</t>
  </si>
  <si>
    <t>28/12/2025</t>
  </si>
  <si>
    <t>Phí dịch vụ quản lý chiến dịch Unbox 12/2025 theo Hợp đồng số 1512/2025/HDDV – EZS X HKD TÂM TÀI TRÍ ký ngày 15/12/2025 kèm Biên bản nghiệm thu và thanh lý hợp đồng số 1512/2025/BBNT – EZS X HKD TÂM TÀI TRÍ ký ngày 28/12/2025 HĐ số 52</t>
  </si>
  <si>
    <t>Phí duy trì Google Workspace Business Starter integ.vn (10 tháng) - 1 License HĐ số 15882</t>
  </si>
  <si>
    <t>0317145396</t>
  </si>
  <si>
    <t>Chi phí tiếp khách, ngoại giao HĐ số 5565</t>
  </si>
  <si>
    <t>Chi phí tiếp khách, ngoại giao HĐ số 9900</t>
  </si>
  <si>
    <t>0317564887</t>
  </si>
  <si>
    <t>0111275916</t>
  </si>
  <si>
    <t>Doanh thu Dịch vụ quảng cáo và truyền thông theo Hợp đồng số 20251112/AZEDxLUONGLEE ký ngày 12/11/2025 và Biên bản nghiệm thu ký ngày 29/12/2025 HĐ số 29</t>
  </si>
  <si>
    <t>Doanh thu Dịch vụ quảng cáo và truyền thông theo Hợp đồng số 02/2025/HDDV-MKT-HT-KOL ký ngày 03/12/2025 và Biên bản nghiệm thu ký ngày 30/12/2025 HĐ số 30</t>
  </si>
  <si>
    <t>Điều chỉnh giảm Doanh thu Dịch vụ quảng cáo và truyền thông theo Hợp đồng số 20251112/AZEDxLUONGLEE ký ngày 12/11/2025 và Biên bản nghiệm thu ký ngày 29/12/2025 HĐ số 29</t>
  </si>
  <si>
    <t>Điều chỉnh giảm Doanh thu Dịch vụ quảng cáo và truyền thông theo Hợp đồng số 02/2025/HDDV-MKT-HT-KOL ký ngày 03/12/2025 và Biên bản nghiệm thu ký ngày 30/12/2025 HĐ số 30</t>
  </si>
  <si>
    <t>Chi phí đồ dùng văn phòng HĐ số 361653</t>
  </si>
  <si>
    <t>Điều chình giảm Chi phí di chuyển đi lại HĐ số 8945892 HĐ số 21825115</t>
  </si>
  <si>
    <t>Doanh thu Dịch vụ quảng cáo và truyền thông theo Phạm vi công việc số 01 ký ngày 20/11/2025 của Hợp đồng dịch vụ khung ký ngày 24/10/2025 và Biên bản nghiệm thu ký ngày 26/12/2025 HĐ số 12</t>
  </si>
  <si>
    <t>Doanh thu Dịch vụ livestream Tiktok theo Phạm vi công việc số 1 ký ngày 24/10/2025 của Hợp đồng dịch vụ khung ký ngày 24/10/2025 và Biên bản nghiệm thu ký ngày 29/12/2025 HĐ số 13</t>
  </si>
  <si>
    <t>Điều chỉnh giảm Doanh thu Dịch vụ livestream Tiktok theo Phạm vi công việc số 1 ký ngày 24/10/2025 của Hợp đồng dịch vụ khung ký ngày 24/10/2025 và Biên bản nghiệm thu ký ngày 29/12/2025 HĐ số 13</t>
  </si>
  <si>
    <t>0313269922</t>
  </si>
  <si>
    <t>0108523661</t>
  </si>
  <si>
    <t>Doanh thu Dịch vụ quảng cáo và truyền thông theo Hợp đồng số 25122025/HĐ-DVQC2025 ký ngày 19/12/2025 và Biên bản nghiệm thu ký ngày 30/12/2025 HĐ số 10</t>
  </si>
  <si>
    <t>Doanh thu Dịch vụ quảng cáo và truyền thông theo Hợp đồng số 2025/HDDV/OMC-PMB ký ngày 29/12/2025 (Đợt 1) HĐ số 11</t>
  </si>
  <si>
    <t>Điều chỉnh giảm Doanh thu Dịch vụ quảng cáo và truyền thông theo Hợp đồng số 25122025/HĐ-DVQC2025 ký ngày 19/12/2025 và Biên bản nghiệm thu ký ngày 30/12/2025 HĐ số 10</t>
  </si>
  <si>
    <t>Điều chỉnh giảm Doanh thu Dịch vụ quảng cáo và truyền thông theo Hợp đồng số 2025/HDDV/OMC-PMB ký ngày 29/12/2025 (Đợt 1) HĐ số 11</t>
  </si>
  <si>
    <t>Doanh thu Dịch vụ quảng cáo và truyền thông theo Hợp đồng số MDA/20251226/2566 ngày 10/12/2025 và Biên bản nghiệm thu và thanh lý ngày 26/12/2025 HĐ số 44</t>
  </si>
  <si>
    <t>Doanh thu Thanh toán 100% phí dịch vụ 3CE - KOC Hub Dec - ViVideo -Scope 3 - 3012 SOW số 32021/2025/WPP-BTL-LO ID Tiktok: dangvbeauty179 HĐ số 45</t>
  </si>
  <si>
    <t>Doanh thu Thanh toán 100% phí dịch vụ CeraVe - CRV livestreamer Aeon Mall - Handling payment - Scope 3 - 3012 SOW số 31020/2025/WPP-BTL-LO ID Tiktok: dangvbeauty179 HĐ số 46</t>
  </si>
  <si>
    <t>Điều chỉnh giảm Doanh thu Dịch vụ quảng cáo và truyền thông theo Hợp đồng số MDA/20251226/2566 ngày 10/12/2025 và Biên bản nghiệm thu và thanh lý ngày 26/12/2025 HĐ số 44</t>
  </si>
  <si>
    <t>Điều chỉnh giảm Doanh thu Thanh toán 100% phí dịch vụ 3CE - KOC Hub Dec - ViVideo -Scope 3 - 3012 SOW số 32021/2025/WPP-BTL-LO ID Tiktok: dangvbeauty179 HĐ số 45</t>
  </si>
  <si>
    <t>Điều chỉnh giảm Doanh thu Thanh toán 100% phí dịch vụ CeraVe - CRV livestreamer Aeon Mall - Handling payment - Scope 3 - 3012 SOW số 31020/2025/WPP-BTL-LO ID Tiktok: dangvbeauty179 HĐ số 46</t>
  </si>
  <si>
    <t>4201609832</t>
  </si>
  <si>
    <t>Chi phí tiếp khách, ngoại giao HĐ số 18350</t>
  </si>
  <si>
    <t>Chi phí tiếp khách, ngoại giao HĐ số 14894</t>
  </si>
  <si>
    <t>5801201370</t>
  </si>
  <si>
    <t>0315819716</t>
  </si>
  <si>
    <t>5801507425</t>
  </si>
  <si>
    <t>0317449933</t>
  </si>
  <si>
    <t>0304994949-001</t>
  </si>
  <si>
    <t>Chi phí đi lại, di chuyển HĐ số 67741915</t>
  </si>
  <si>
    <t>Chi phí đi lại, di chuyển HĐ số 67974191</t>
  </si>
  <si>
    <t>Chi phí đi lại, di chuyển HĐ số 68089150</t>
  </si>
  <si>
    <t>Cước vận chuyển HĐ số 687654</t>
  </si>
  <si>
    <t>Cước vận chuyển HĐ số 687677</t>
  </si>
  <si>
    <t>Cước vận chuyển HĐ số 692202</t>
  </si>
  <si>
    <t>Cước vận chuyển HĐ số 694658</t>
  </si>
  <si>
    <t>Cước vận chuyển HĐ số 695782</t>
  </si>
  <si>
    <t>Cước vận chuyển HĐ số 695783</t>
  </si>
  <si>
    <t>Cước vận chuyển HĐ số 701572</t>
  </si>
  <si>
    <t>Chi phí tiếp khách, ngoại giao HĐ số 1241287</t>
  </si>
  <si>
    <t>Chi phí tiếp khách, ngoại giao HĐ số 2183</t>
  </si>
  <si>
    <t>Chi phí tiếp khách, ngoại giao HĐ số 128526</t>
  </si>
  <si>
    <t>Chi phí tiếp khách, ngoại giao HĐ số 57988</t>
  </si>
  <si>
    <t>Chi phí tiếp khách, ngoại giao HĐ số 1256574</t>
  </si>
  <si>
    <t>Cước phí vận chuyển HĐ số 66470966</t>
  </si>
  <si>
    <t>Phí vận chuyển HĐ số 1407</t>
  </si>
  <si>
    <t>Phí vận chuyển HĐ số 1415</t>
  </si>
  <si>
    <t>Phí dịch vụ vệ sinh HĐ số 74369</t>
  </si>
  <si>
    <t>Doanh thu Thanh toán 100% phí dịch vụ LP - STORY AFF 11.11 &amp; 12.12 - Video - Scope 2 - 3012 SOW số 33517/2025/WPP-BTL-LO ID Tiktok: cokimngann HĐ số 24</t>
  </si>
  <si>
    <t>Doanh thu Dịch vụ quảng cáo và truyền thông theo Hợp đồng số CREATIVE/01/081225 ký ngày 08/12/2025 và Biên bản nghiệm thu ký ngày 30/12/2025 HĐ số 25</t>
  </si>
  <si>
    <t>Doanh thu Thanh toán 100% phí dịch vụ Lan - New Year - Video - Scope 3 - 3101 SOW số 33824/2025/WPP-BTL-LO ID Tiktok: cokimngann HĐ số 26</t>
  </si>
  <si>
    <t>Điều chỉnh giảm Doanh thu Thanh toán 100% phí dịch vụ LP - STORY AFF 11.11 &amp; 12.12 - Video - Scope 2 - 3012 SOW số 33517/2025/WPP-BTL-LO ID Tiktok: cokimngann HĐ số 24</t>
  </si>
  <si>
    <t>Điều chỉnh giảm Doanh thu Dịch vụ quảng cáo và truyền thông theo Hợp đồng số CREATIVE/01/081225 ký ngày 08/12/2025 và Biên bản nghiệm thu ký ngày 30/12/2025 HĐ số 25</t>
  </si>
  <si>
    <t>Điều chỉnh giảm Doanh thu Thanh toán 100% phí dịch vụ Lan - New Year - Video - Scope 3 - 3101 SOW số 33824/2025/WPP-BTL-LO ID Tiktok: cokimngann HĐ số 26</t>
  </si>
  <si>
    <t>Chi phí vận chuyển HĐ số 8434191</t>
  </si>
  <si>
    <t>Chi phí vận chuyển HĐ số 8521770</t>
  </si>
  <si>
    <t>Chi phí vận chuyển HĐ số 8541459</t>
  </si>
  <si>
    <t>Chi phí vận chuyển HĐ số 8622046</t>
  </si>
  <si>
    <t>Chi phí vận chuyển HĐ số 8646490</t>
  </si>
  <si>
    <t>Chi phí vận chuyển HĐ số 8662250</t>
  </si>
  <si>
    <t>Chi phí vận chuyển HĐ số 8904144</t>
  </si>
  <si>
    <t>Chi phí vận chuyển HĐ số 8964309</t>
  </si>
  <si>
    <t>Chi phí vận chuyển HĐ số 8986440</t>
  </si>
  <si>
    <t>Chi phí vận chuyển HĐ số 9155503</t>
  </si>
  <si>
    <t>Chi phí vận chuyển HĐ số 9167222</t>
  </si>
  <si>
    <t>Chi phí vận chuyển HĐ số 9367188</t>
  </si>
  <si>
    <t>Chi phí vận chuyển HĐ số 9385267</t>
  </si>
  <si>
    <t>Chi phí vận chuyển HĐ số 9417863</t>
  </si>
  <si>
    <t>Chi phí tiếp khách, ngoại giao HĐ số 2948</t>
  </si>
  <si>
    <t>Chi phí đồ dùng văn phòng HĐ số 3303</t>
  </si>
  <si>
    <t>Chi phí đồ dùng văn phòng HĐ số 21520</t>
  </si>
  <si>
    <t>Chi phí đồ dùng văn phòng HĐ số 13176465</t>
  </si>
  <si>
    <t>Doanh thu Dịch vụ quảng cáo và truyền thông theo Hợp đồng số 112025VULACI-TRUONGNHADINH ký ngày 15/11/2025 (Đợt 2) HĐ số 17</t>
  </si>
  <si>
    <t>Doanh thu Thanh toán 100% phí dịch vụ OAP - Festive Campaign - Video - Scope 3 - 3001 SOW số 33910/2025/WPP-BTL-LO ID Tiktok: tnhadinh HĐ số 18</t>
  </si>
  <si>
    <t>Điều chỉnh giảm Doanh thu Dịch vụ quảng cáo và truyền thông theo Hợp đồng số 112025VULACI-TRUONGNHADINH ký ngày 15/11/2025 (Đợt 2) HĐ số 17</t>
  </si>
  <si>
    <t>Điều chỉnh giảm Doanh thu Thanh toán 100% phí dịch vụ OAP - Festive Campaign - Video - Scope 3 - 3001 SOW số 33910/2025/WPP-BTL-LO ID Tiktok: tnhadinh HĐ số 18</t>
  </si>
  <si>
    <t>Doanh thu Dịch vụ quảng cáo và truyền thông theo Hợp đồng số HDDV-01122025-NGUYENNGOCTUANH ký ngày 01/12/2025 và Biên bản nghiệm thu ký ngày 30/12/2025 HĐ số 14</t>
  </si>
  <si>
    <t>Điều chỉnh giảm Doanh thu Dịch vụ quảng cáo và truyền thông theo Hợp đồng số HDDV-01122025-NGUYENNGOCTUANH ký ngày 01/12/2025 và Biên bản nghiệm thu ký ngày 30/12/2025 HĐ số 14</t>
  </si>
  <si>
    <t>0315757770</t>
  </si>
  <si>
    <t>Chi phí đồ dùng văn phòng HĐ số 12197</t>
  </si>
  <si>
    <t>Chi phí tiếp khách, ngoại giao HĐ số 490</t>
  </si>
  <si>
    <t>Doanh thu Phí dịch vụ sử dụng hình ảnh 01/2026 theo Hợp đồng số 010825/HĐHTDV/THTTANE ký ngày 01/08/2025 HĐ số 62</t>
  </si>
  <si>
    <t>Điều chỉnh giảm Doanh thu Phí dịch vụ sử dụng hình ảnh 01/2026 theo Hợp đồng số 010825/HĐHTDV/THTTANE ký ngày 01/08/2025 HĐ số 62</t>
  </si>
  <si>
    <t>Chi phí tiếp khách, ngoại giao HĐ số 4216</t>
  </si>
  <si>
    <t>0315549643</t>
  </si>
  <si>
    <t>Chi phí tiếp khách, ngoại giao HĐ số 12064</t>
  </si>
  <si>
    <t>0315346763</t>
  </si>
  <si>
    <t>0107287436</t>
  </si>
  <si>
    <t>0314868245</t>
  </si>
  <si>
    <t>Doanh thu Thanh toán 100% dịch vụ quảng cáo dự án DOVE XMAS 2025 theo BBTL của hợp đồng số HĐ/3829/2025/METUB ký ngày 17/12/2025 HĐ số 55</t>
  </si>
  <si>
    <t>Doanh thu Dịch vụ quảng cáo và truyền thông theo Hợp đồng số HDDVQC/20251110/MANNY&amp;ONGTHIBALONG ký ngày 10/11/2025 (Đợt 2) kèm Biên bản nghiệm thu và thanh lý hợp đồng ký ngày 30/12/2025 HĐ số 56</t>
  </si>
  <si>
    <t>Doanh thu Phí sử dụng hình ảnh theo Hợp đồng số AMV/ONG THI BA LONG/CAM0075784/CANESBALANCE HCP/Service Contract/2025-0113P ký ngày 06/11/2025 và Biên bản nghiệm thu ký ngày 30/12/2025 HĐ số 57</t>
  </si>
  <si>
    <t>Doanh thu Dịch vụ quảng cáo và truyền thông theo Hợp đồng số QC81111225-PANASONIC-SHARET-ONGTHIBALONG ký ngày 11/12/2025 và Biên bản nghiệm thu ký ngày 31/12/2025 HĐ số 58</t>
  </si>
  <si>
    <t>Doanh thu Dịch vụ quảng cáo và truyền thông theo Hợp đồng số MK-NLHL-2501/HDDV ký ngày 01/12/2025 và Biên bản nghiệm thu ký ngày 31/12/2025 HĐ số 59</t>
  </si>
  <si>
    <t>Doanh thu Dịch vụ quảng cáo và truyền thông theo Hợp đồng số 112025/HĐDV-OTBL-SS ký ngày 30/11/2025 và Biên bản nghiệm thu ký ngày 31/12/2025 HĐ số 60</t>
  </si>
  <si>
    <t>Điều chỉnh giảm Doanh thu Thanh toán 100% dịch vụ quảng cáo dự án DOVE XMAS 2025 theo BBTL của hợp đồng số HĐ/3829/2025/METUB ký ngày 17/12/2025 HĐ số 55</t>
  </si>
  <si>
    <t>Điều chỉnh giảm Doanh thu Dịch vụ quảng cáo và truyền thông theo Hợp đồng số QC81111225-PANASONIC-SHARET-ONGTHIBALONG ký ngày 11/12/2025 và Biên bản nghiệm thu ký ngày 31/12/2025 HĐ số 58</t>
  </si>
  <si>
    <t>Điều chỉnh giảm Doanh thu Dịch vụ quảng cáo và truyền thông theo Hợp đồng số MK-NLHL-2501/HDDV ký ngày 01/12/2025 và Biên bản nghiệm thu ký ngày 31/12/2025 HĐ số 59</t>
  </si>
  <si>
    <t>Điều chỉnh giảm Doanh thu Dịch vụ quảng cáo và truyền thông theo Hợp đồng số 112025/HĐDV-OTBL-SS ký ngày 30/11/2025 và Biên bản nghiệm thu ký ngày 31/12/2025 HĐ số 60</t>
  </si>
  <si>
    <t>Chi phí tiếp khách, ngoại giao HĐ số 1250960</t>
  </si>
  <si>
    <t>Chi phí tiếp khách, ngoại giao HĐ số 4176185</t>
  </si>
  <si>
    <t>Chi phí tiếp khách, ngoại giao HĐ số 1254875</t>
  </si>
  <si>
    <t>0110430703</t>
  </si>
  <si>
    <t>Doanh thu Dịch vụ quảng cáo và truyền thông theo Hợp đồng số 22122025_HĐDV-HUNGTHINH-BEDANG ký ngày 22/12/2025 HĐ số 25</t>
  </si>
  <si>
    <t>Doanh thu Dịch vụ quảng cáo và truyền thông theo Hợp đồng số 15122025/HĐDV/Hải đăng -TCR ký ngày 31/12/2025 HĐ số 26</t>
  </si>
  <si>
    <t>Điều chỉnh giảm Doanh thu Dịch vụ quảng cáo và truyền thông theo Hợp đồng số 22122025_HĐDV-HUNGTHINH-BEDANG ký ngày 22/12/2025 HĐ số 25</t>
  </si>
  <si>
    <t>Điều chỉnh giảm Doanh thu Dịch vụ quảng cáo và truyền thông theo Hợp đồng số 15122025/HĐDV/Hải đăng -TCR ký ngày 31/12/2025 HĐ số 26</t>
  </si>
  <si>
    <t>Doanh thu Dịch vụ quảng cáo và truyền thông theo Hợp đồng số 10122025/MKT-KOC ký ngày 10/12/2025 và Biên bản nghiệm thu ký ngày 31/12/2025 HĐ số 16</t>
  </si>
  <si>
    <t>Điều chỉnh giảm Dịch vụ quảng cáo và truyền thông theo Hợp đồng số 10122025/MKT-KOC ký ngày 10/12/2025 và Biên bản nghiệm thu ký ngày 31/12/2025 HĐ số 16</t>
  </si>
  <si>
    <t>BN</t>
  </si>
  <si>
    <t>BC</t>
  </si>
  <si>
    <t>0100230800</t>
  </si>
  <si>
    <t>Rút tiền mặt nhập quỹ</t>
  </si>
  <si>
    <t>Thanh toán Phí dịch vụ tư vấn tháng 10/2025 HĐ số 166</t>
  </si>
  <si>
    <t>Thanh toán Phí dịch vụ tư vấn tháng 11/2025 HĐ số 201</t>
  </si>
  <si>
    <t>Nộp Chi phí bảo hiểm tháng 2025.10</t>
  </si>
  <si>
    <t>Nộp Chi phí bảo hiểm tháng 2025.11</t>
  </si>
  <si>
    <t>Nhận Doanh thu Dịch vụ quảng cáo và truyền thông theo Hợp đồng số 25092025/HĐDV/SE-CONGAN ký ngày 25/09/2025 (Đợt 1) HĐ số 6</t>
  </si>
  <si>
    <t>Lãi tiền gửi</t>
  </si>
  <si>
    <t>Nhận Doanh thu Phí cung cấp dịch vụ quảng cáo đợt 1 theo hợp đồng số HĐ/1658/2025/VNNL ký ngày 22/09/2025 HĐ số 7</t>
  </si>
  <si>
    <t>Nhận Doanh thu Dịch vụ quảng cáo và truyền thông theo Hợp đồng số 080925/HDDV/EUCERINEPICILINEP2/IC-HKDCONGAN ký ngày 08/09/2025 và Biên bản nghiệm thu ký ngày 03/10/2025 HĐ số 3</t>
  </si>
  <si>
    <t>Nhận Doanh thu Dịch vụ quảng cáo và truyền thông theo Hợp đồng số CREATIVE/01/150925 ký ngày 15/09/2025 và Biên bản nghiệm thu ký ngày 06/10/2025 HĐ số 4</t>
  </si>
  <si>
    <t>Nhận Doanh thu Cung cấp dịch vụ đợt 2 (50%) Hợp đồng số HĐ/1758/2025/METUB ký ngày 01/07/2025 và Biên bản nghiệm thu ký ngày 07/10/2025 HĐ số 5</t>
  </si>
  <si>
    <t>Nhận Doanh thu Dịch vụ quảng cáo và truyền thông theo Hợp đồng số CREATIVE/01/230925 ký ngày 23/09/2025 và Biên bản nghiệm thu ký ngày 21/10/2025 HĐ số 9</t>
  </si>
  <si>
    <t>Nhận Doanh thu Dịch vụ quảng cáo và truyền thông theo Hợp đồng số 13102025/HĐDV-ZEE-TSUBAKI-CONGAN ký ngày 13/10/2025 (Đợt 2) và Biên bản nghiệm thu ký ngày 10/12/2025 HĐ số 20</t>
  </si>
  <si>
    <t>Doanh thu Dịch vụ quảng cáo và truyền thông theo Hợp đồng số 13102025/HĐDV-ZEE-TSUBAKI-CONGAN ký ngày 13/10/2025 (Đợt 1) HĐ số 11</t>
  </si>
  <si>
    <t>Doanh thu Dịch vụ quảng cáo và truyền thông theo Hợp đồng số 301025/HARNN-CONGAN ký ngày 30/10/2025 (Đợt 1) HĐ số 12</t>
  </si>
  <si>
    <t>Doanh thu Dịch vụ quảng cáo và truyền thông theo Hợp đồng số 25092025/HĐDV/SE-CONGAN ký ngày 25/09/2025 (Đợt 2) và Biên bản nghiệm thu ký ngày 07/11/2025 HĐ số 13</t>
  </si>
  <si>
    <t>Doanh thu Dịch vụ quảng cáo và truyền thông theo Hợp đồng số 251025/HDDV/NTFLACTOFERRIN/ICON-CONGAN-HKDCONGANOFFICIAL ký ngày 25/10/2025 (Đợt 1) HĐ số 14</t>
  </si>
  <si>
    <t>Doanh thu Thanh toán 100% phí dịch vụ theo bảng mô tả công việc chiến dịch YSL - Cổ Ngân FY - livestream - Scope 3 - 1012 SOW số 28291/2025/WPP-BTL-LO ID TIktok: cokimngann HĐ số 15</t>
  </si>
  <si>
    <t>Doanh thu Dịch vụ quảng cáo và truyền thông theo Hợp đồng số 301025/HARNN-CONGAN ký ngày 30/10/2025 (Đợt 2) và Biên bản nghiệm thu ký ngày 11/11/2025 HĐ số 16</t>
  </si>
  <si>
    <t>Doanh thu Dịch vụ quảng cáo và truyền thông theo Hợp đồng số HDDV/PANTENExVĐxCNO/280825 ký ngày 28/08/2025 (Đợt 2) và Biên bản nghiệm thu ký ngày 13/11/2025 HĐ số 17</t>
  </si>
  <si>
    <t>Doanh thu Phí cung cấp dịch vụ quảng cáo đợt 2 theo hợp đồng số HĐ/1658/2025/VNNL ký ngày 22/09/2025 kèm Biên bản nghiệm thu và thanh lý hợp đồng ký ngày 18/11/2025 HĐ số 18</t>
  </si>
  <si>
    <t>Điều chỉnh giảm Doanh thu Dịch vụ quảng cáo và truyền thông theo Hợp đồng số 13102025/HĐDV-ZEE-TSUBAKI-CONGAN ký ngày 13/10/2025 (Đợt 1) HĐ số 11</t>
  </si>
  <si>
    <t>Điều chỉnh giảm Doanh thu Dịch vụ quảng cáo và truyền thông theo Hợp đồng số 301025/HARNN-CONGAN ký ngày 30/10/2025 (Đợt 1) HĐ số 12</t>
  </si>
  <si>
    <t>Điều chỉnh giảm Doanh thu Dịch vụ quảng cáo và truyền thông theo Hợp đồng số 25092025/HĐDV/SE-CONGAN ký ngày 25/09/2025 (Đợt 2) và Biên bản nghiệm thu ký ngày 07/11/2025 HĐ số 13</t>
  </si>
  <si>
    <t>Điều chỉnh giảm Doanh thu Dịch vụ quảng cáo và truyền thông theo Hợp đồng số 251025/HDDV/NTFLACTOFERRIN/ICON-CONGAN-HKDCONGANOFFICIAL ký ngày 25/10/2025 (Đợt 1) HĐ số 14</t>
  </si>
  <si>
    <t>Điều chỉnh giảm Doanh thu Thanh toán 100% phí dịch vụ theo bảng mô tả công việc chiến dịch YSL - Cổ Ngân FY - livestream - Scope 3 - 1012 SOW số 28291/2025/WPP-BTL-LO ID TIktok: cokimngann HĐ số 15</t>
  </si>
  <si>
    <t>Điều chỉnh giảm Doanh thu Dịch vụ quảng cáo và truyền thông theo Hợp đồng số 301025/HARNN-CONGAN ký ngày 30/10/2025 (Đợt 2) và Biên bản nghiệm thu ký ngày 11/11/2025 HĐ số 16</t>
  </si>
  <si>
    <t>Điều chỉnh giảm Doanh thu Dịch vụ quảng cáo và truyền thông theo Hợp đồng số HDDV/PANTENExVĐxCNO/280825 ký ngày 28/08/2025 (Đợt 2) và Biên bản nghiệm thu ký ngày 13/11/2025 HĐ số 17</t>
  </si>
  <si>
    <t>Điều chỉnh giảm Doanh thu Phí cung cấp dịch vụ quảng cáo đợt 2 theo hợp đồng số HĐ/1658/2025/VNNL ký ngày 22/09/2025 kèm Biên bản nghiệm thu và thanh lý hợp đồng ký ngày 18/11/2025 HĐ số 18</t>
  </si>
  <si>
    <t>Nhận Doanh thu Dịch vụ quảng cáo và truyền thông theo Hợp đồng số 301025/HARNN-CONGAN ký ngày 30/10/2025 (Đợt 1) HĐ số 12</t>
  </si>
  <si>
    <t>Nhận Doanh thu Dịch vụ quảng cáo và truyền thông theo Hợp đồng số 251025/HDDV/NTFLACTOFERRIN/ICON-CONGAN-HKDCONGANOFFICIAL ký ngày 25/10/2025 (Đợt 1) HĐ số 14</t>
  </si>
  <si>
    <t>Nhận Doanh thu Chi phí cung cấp dịch vụ đợt 2 theo Hợp đồng số PR25051/17092025/DYSON-UNO-CONGAN ngày 17/09/2025 và Biên bản nghiệm thu ký ngày 15/10/2025 HĐ số 8</t>
  </si>
  <si>
    <t>Nhận Doanh thu Dịch vụ quảng cáo và truyền thông theo Hợp đồng số HDDV/PANTENExVĐxCNO/280825 ký ngày 28/08/2025 (Đợt 2) và Biên bản nghiệm thu ký ngày 13/11/2025 HĐ số 17</t>
  </si>
  <si>
    <t>Hoàn trả do khách thanh toán thừa</t>
  </si>
  <si>
    <t>Nhận Doanh thu Dịch vụ quảng cáo và truyền thông theo Hợp đồng số 301025/HARNN-CONGAN ký ngày 30/10/2025 (Đợt 2) và Biên bản nghiệm thu ký ngày 11/11/2025 HĐ số 16</t>
  </si>
  <si>
    <t>Nhận Doanh thu Phí cung cấp dịch vụ quảng cáo đợt 2 theo hợp đồng số HĐ/1658/2025/VNNL ký ngày 22/09/2025 kèm Biên bản nghiệm thu và thanh lý hợp đồng ký ngày 18/11/2025 HĐ số 18</t>
  </si>
  <si>
    <t>0301519977-021</t>
  </si>
  <si>
    <t>Nộp Thuế GTGT, TNCN 2025/Q3</t>
  </si>
  <si>
    <t>PC</t>
  </si>
  <si>
    <t>Thanh toán Chi phí tiếp khách, ngoại giao HĐ số 10517</t>
  </si>
  <si>
    <t>Thanh toán Chi phí tiếp khách, ngoại giao HĐ số 9674</t>
  </si>
  <si>
    <t>Thanh toán Phí dịch vụ Affiliate 09/2025_17360520009 HĐ số 941806</t>
  </si>
  <si>
    <t>Thanh toán Chi phí tiếp khách, ngoại giao HĐ số 8790</t>
  </si>
  <si>
    <t>Thanh toán Chi phí tiếp khách, ngoại giao HĐ số 3189273</t>
  </si>
  <si>
    <t>Thanh toán Chi phí tiếp khách, ngoại giao HĐ số 82377</t>
  </si>
  <si>
    <t>Thanh toán Chi phí tiếp khách, ngoại giao HĐ số 88766</t>
  </si>
  <si>
    <t>Thanh toán Chi phí tiếp khách, ngoại giao HĐ số 606709</t>
  </si>
  <si>
    <t>Thanh toán Chi phí tiếp khách, ngoại giao HĐ số 122933</t>
  </si>
  <si>
    <t>Thanh toán Chi phí tiếp khách, ngoại giao HĐ số 28677</t>
  </si>
  <si>
    <t>Thanh toán Chi phí đi lại, di chuyển HĐ số 39052269</t>
  </si>
  <si>
    <t>Thanh toán Chi phí đi lại, di chuyển HĐ số 41869270</t>
  </si>
  <si>
    <t>Thanh toán Chi phí tiếp khách, ngoại giao HĐ số 223772</t>
  </si>
  <si>
    <t>Thanh toán Chi phí tiếp khách, ngoại giao HĐ số 3775</t>
  </si>
  <si>
    <t>Thanh toán Chi phí dịch vụ mua ngoài HĐ số 78377</t>
  </si>
  <si>
    <t>Thanh toán Chi phí đồ dùng văn phòng HĐ số 341331</t>
  </si>
  <si>
    <t>Thanh toán Chi phí đi lại, di chuyển HĐ số 42452730</t>
  </si>
  <si>
    <t>Thanh toán Chi phí tiếp khách, ngoại giao HĐ số 10885</t>
  </si>
  <si>
    <t>Thanh toán Chi phí tiếp khách, ngoại giao HĐ số 4622</t>
  </si>
  <si>
    <t>Thanh toán Chi phí tiếp khách, ngoại giao HĐ số 7139</t>
  </si>
  <si>
    <t>Thanh toán Chi phí tiếp khách, ngoại giao HĐ số 92256</t>
  </si>
  <si>
    <t>Thanh toán Chi phí đi lại, di chuyển HĐ số 40596543</t>
  </si>
  <si>
    <t>Thanh toán Chi phí đi lại, di chuyển HĐ số 43434321</t>
  </si>
  <si>
    <t>Thanh toán Phí dịch vụ vệ sinh HĐ số 40080</t>
  </si>
  <si>
    <t>Thanh toán Chi phí tiếp khách, ngoại giao HĐ số 8869</t>
  </si>
  <si>
    <t>Thanh toán Chi phí tiếp khách, ngoại giao HĐ số 15198</t>
  </si>
  <si>
    <t>Thanh toán Chi phí đi lại, di chuyển HĐ số 43742048</t>
  </si>
  <si>
    <t>Thanh toán Chi phí tiếp khách, ngoại giao HĐ số 122262</t>
  </si>
  <si>
    <t>Thanh toán Chi phí tiếp khách, ngoại giao HĐ số 103024</t>
  </si>
  <si>
    <t>Thanh toán Chi phí đi lại, di chuyển HĐ số 44041060</t>
  </si>
  <si>
    <t>Thanh toán Chi phí đi lại, di chuyển HĐ số 44147213</t>
  </si>
  <si>
    <t>Thanh toán Chi phí tiếp khách, ngoại giao HĐ số 23181</t>
  </si>
  <si>
    <t>Thanh toán Chi phí tiếp khách, ngoại giao HĐ số 24379</t>
  </si>
  <si>
    <t>Thanh toán Chi phí tiếp khách, ngoại giao HĐ số 52540</t>
  </si>
  <si>
    <t>Thanh toán Chi phí đi lại, di chuyển HĐ số 41536886</t>
  </si>
  <si>
    <t>Thanh toán Chi phí đi lại, di chuyển HĐ số 44337680</t>
  </si>
  <si>
    <t>Thanh toán Chi phí tiếp khách, ngoại giao HĐ số 22111</t>
  </si>
  <si>
    <t>Thanh toán Chi phí đi lại, di chuyển HĐ số 44572554</t>
  </si>
  <si>
    <t>Thanh toán Chi phí đi lại, di chuyển HĐ số 44627334</t>
  </si>
  <si>
    <t>Thanh toán Chi phí đi lại, di chuyển HĐ số 44672609</t>
  </si>
  <si>
    <t>Thanh toán Chi phí đi lại, di chuyển HĐ số 44676306</t>
  </si>
  <si>
    <t>Thanh toán Chi phí đi lại, di chuyển HĐ số 42043977</t>
  </si>
  <si>
    <t>Thanh toán Chi phí đi lại, di chuyển HĐ số 45052898</t>
  </si>
  <si>
    <t>Thanh toán Chi phí tiếp khách, ngoại giao HĐ số 2315</t>
  </si>
  <si>
    <t>Thanh toán Chi phí tiếp khách, ngoại giao HĐ số 2790</t>
  </si>
  <si>
    <t>Thanh toán Chi phí tiếp khách, ngoại giao HĐ số 2791</t>
  </si>
  <si>
    <t>Thanh toán Phí dịch vụ vệ sinh HĐ số 43987</t>
  </si>
  <si>
    <t>Thanh toán Chi phí tiếp khách, ngoại giao HĐ số 26786</t>
  </si>
  <si>
    <t>Thanh toán Chi phí tiếp khách, ngoại giao HĐ số 101773</t>
  </si>
  <si>
    <t>Thanh toán Chi phí đồ dùng văn phòng HĐ số 217254</t>
  </si>
  <si>
    <t>Thanh toán Chi phí đi lại, di chuyển HĐ số 45985283</t>
  </si>
  <si>
    <t>Thanh toán Chi phí đi lại, di chuyển HĐ số 46026415</t>
  </si>
  <si>
    <t>Thanh toán Chi phí đi lại, di chuyển HĐ số 46090723</t>
  </si>
  <si>
    <t>Thanh toán Chi phí tiếp khách, ngoại giao HĐ số 9555</t>
  </si>
  <si>
    <t>Thanh toán Chi phí tiếp khách, ngoại giao HĐ số 14809</t>
  </si>
  <si>
    <t>Thanh toán Chi phí đi lại, di chuyển HĐ số 46317391</t>
  </si>
  <si>
    <t>Thanh toán Chi phí tiếp khách, ngoại giao HĐ số 125702</t>
  </si>
  <si>
    <t>Thanh toán Chi phí tiếp khách, ngoại giao HĐ số 57563</t>
  </si>
  <si>
    <t>Thanh toán Chi phí tiếp khách, ngoại giao HĐ số 56457</t>
  </si>
  <si>
    <t>Thanh toán Chi phí đi lại, di chuyển HĐ số 47222299</t>
  </si>
  <si>
    <t>Thanh toán Chi phí đi lại, di chuyển HĐ số 47276067</t>
  </si>
  <si>
    <t>Thanh toán Chi phí tiếp khách, ngoại giao HĐ số 17499</t>
  </si>
  <si>
    <t>Thanh toán Chi phí dịch vụ mua ngoài HĐ số 55573</t>
  </si>
  <si>
    <t>Thanh toán Chi phí tiếp khách, ngoại giao HĐ số 10948</t>
  </si>
  <si>
    <t>Thanh toán Chi phí đồ dùng văn phòng HĐ số 41993</t>
  </si>
  <si>
    <t>Thanh toán Chi phí tiếp khách, ngoại giao HĐ số 6263</t>
  </si>
  <si>
    <t>Thanh toán Chi phí đi lại, di chuyển HĐ số 48176461</t>
  </si>
  <si>
    <t>Thanh toán Chi phí đi lại, di chuyển HĐ số 48195569</t>
  </si>
  <si>
    <t>Thanh toán Chi phí đi lại, di chuyển HĐ số 48278272</t>
  </si>
  <si>
    <t>Thanh toán Chi phí tiếp khách, ngoại giao HĐ số 5301</t>
  </si>
  <si>
    <t>Thanh toán Chi phí tiếp khách, ngoại giao HĐ số 22787</t>
  </si>
  <si>
    <t>Thanh toán Chi phí đi lại, di chuyển HĐ số 48462439</t>
  </si>
  <si>
    <t>Thanh toán Chi phí đi lại, di chuyển HĐ số 48582146</t>
  </si>
  <si>
    <t>Thanh toán Chi phí tiếp khách, ngoại giao HĐ số 1484</t>
  </si>
  <si>
    <t>Thanh toán Chi phí tiếp khách, ngoại giao HĐ số 11127</t>
  </si>
  <si>
    <t>Thanh toán Chi phí tiếp khách, ngoại giao HĐ số 12680</t>
  </si>
  <si>
    <t>Thanh toán Chi phí tiếp khách, ngoại giao HĐ số 11327905</t>
  </si>
  <si>
    <t>Thanh toán Chi phí đi lại, di chuyển HĐ số 46026506</t>
  </si>
  <si>
    <t>Thanh toán Chi phí đi lại, di chuyển HĐ số 48905526</t>
  </si>
  <si>
    <t>Thanh toán Chi phí tiếp khách, ngoại giao HĐ số 475</t>
  </si>
  <si>
    <t>Thanh toán Chi phí tiếp khách, ngoại giao HĐ số 11448557</t>
  </si>
  <si>
    <t>Thanh toán Chi phí đi lại, di chuyển HĐ số 49406008</t>
  </si>
  <si>
    <t>Thanh toán Chi phí đi lại, di chuyển HĐ số 49430446</t>
  </si>
  <si>
    <t>Thanh toán Chi phí đi lại, di chuyển HĐ số 49468062</t>
  </si>
  <si>
    <t>Thanh toán Phí dịch vụ Affiliate 10/2025_17360520009 HĐ số 1079853</t>
  </si>
  <si>
    <t>Thanh toán Chi phí tiếp khách, ngoại giao HĐ số 1479</t>
  </si>
  <si>
    <t>Thanh toán Chi phí đi lại, di chuyển HĐ số 49686117</t>
  </si>
  <si>
    <t>Thanh toán Chi phí đi lại, di chuyển HĐ số 49829881</t>
  </si>
  <si>
    <t>Thanh toán Chi phí tiếp khách, ngoại giao HĐ số 10690</t>
  </si>
  <si>
    <t>Thanh toán Chi phí tiếp khách, ngoại giao HĐ số 24867</t>
  </si>
  <si>
    <t>Thanh toán Chi phí đi lại, di chuyển HĐ số 50080473</t>
  </si>
  <si>
    <t>Thanh toán Chi phí tiếp khách, ngoại giao HĐ số 16270</t>
  </si>
  <si>
    <t>Thanh toán Chi phí tiếp khách, ngoại giao HĐ số 24958</t>
  </si>
  <si>
    <t>Thanh toán Chi phí đi lại, di chuyển HĐ số 50342378</t>
  </si>
  <si>
    <t>Thanh toán Chi phí tiếp khách, ngoại giao HĐ số 11351</t>
  </si>
  <si>
    <t>Thanh toán Phí dịch vụ vệ sinh HĐ số 49878</t>
  </si>
  <si>
    <t>Thanh toán Chi phí tiếp khách, ngoại giao HĐ số 557</t>
  </si>
  <si>
    <t>Thanh toán Chi phí tiếp khách, ngoại giao HĐ số 102090</t>
  </si>
  <si>
    <t>Thanh toán Chi phí đi lại, di chuyển HĐ số 50541710</t>
  </si>
  <si>
    <t>Thanh toán Chi phí đi lại, di chuyển HĐ số 50577089</t>
  </si>
  <si>
    <t>Thanh toán Chi phí đi lại, di chuyển HĐ số 50725491</t>
  </si>
  <si>
    <t>Thanh toán Chi phí tiếp khách, ngoại giao HĐ số 28501</t>
  </si>
  <si>
    <t>Thanh toán Chi phí đi lại, di chuyển HĐ số 50891432</t>
  </si>
  <si>
    <t>Thanh toán Chi phí đi lại, di chuyển HĐ số 50993351</t>
  </si>
  <si>
    <t>Thanh toán Chi phí đi lại, di chuyển HĐ số 51032695</t>
  </si>
  <si>
    <t>Thanh toán Chi phí tiếp khách, ngoại giao HĐ số 3566819</t>
  </si>
  <si>
    <t>Thanh toán Chi phí đi lại, di chuyển HĐ số 48762871</t>
  </si>
  <si>
    <t>Thanh toán Chi phí đi lại, di chuyển HĐ số 51234049</t>
  </si>
  <si>
    <t>Thanh toán Chi phí tiếp khách, ngoại giao HĐ số 8826</t>
  </si>
  <si>
    <t>Thanh toán Chi phí tiếp khách, ngoại giao HĐ số 92707</t>
  </si>
  <si>
    <t>Thanh toán Chi phí đồ dùng văn phòng HĐ số 674</t>
  </si>
  <si>
    <t>Thanh toán Chi phí tiếp khách, ngoại giao HĐ số 10136</t>
  </si>
  <si>
    <t>Thanh toán Chi phí tiếp khách, ngoại giao HĐ số 29130</t>
  </si>
  <si>
    <t>Thanh toán Chi phí đi lại, di chuyển HĐ số 51928211</t>
  </si>
  <si>
    <t>Thanh toán Chi phí tiếp khách, ngoại giao HĐ số 6441</t>
  </si>
  <si>
    <t>Thanh toán Chi phí tiếp khách, ngoại giao HĐ số 308855</t>
  </si>
  <si>
    <t>Thanh toán Chi phí tiếp khách, ngoại giao HĐ số 143</t>
  </si>
  <si>
    <t>Thanh toán Chi phí tiếp khách, ngoại giao HĐ số 55280</t>
  </si>
  <si>
    <t>Thanh toán Chi phí tiếp khách, ngoại giao HĐ số 384</t>
  </si>
  <si>
    <t>Thanh toán Chi phí đồ dùng văn phòng HĐ số 3051</t>
  </si>
  <si>
    <t>Thanh toán Chi phí tiếp khách, ngoại giao HĐ số 10447</t>
  </si>
  <si>
    <t>Thanh toán Chi phí tiếp khách, ngoại giao HĐ số 59876</t>
  </si>
  <si>
    <t>Thanh toán Chi phí tiếp khách, ngoại giao HĐ số 94090</t>
  </si>
  <si>
    <t>Thanh toán Chi phí đi lại, di chuyển HĐ số 53173330</t>
  </si>
  <si>
    <t>Thanh toán Chi phí tiếp khách, ngoại giao HĐ số 1518</t>
  </si>
  <si>
    <t>Thanh toán Chi phí tiếp khách, ngoại giao HĐ số 10299</t>
  </si>
  <si>
    <t>Thanh toán Chi phí tiếp khách, ngoại giao HĐ số 73752</t>
  </si>
  <si>
    <t>Thanh toán Chi phí đi lại, di chuyển HĐ số 50985988</t>
  </si>
  <si>
    <t>Thanh toán Chi phí đi lại, di chuyển HĐ số 53487797</t>
  </si>
  <si>
    <t>Thanh toán Chi phí đi lại, di chuyển HĐ số 53560223</t>
  </si>
  <si>
    <t>Thanh toán Chi phí tiếp khách, ngoại giao HĐ số 3670896</t>
  </si>
  <si>
    <t>Thanh toán Chi phí tiếp khách, ngoại giao HĐ số 11903</t>
  </si>
  <si>
    <t>Thanh toán Chi phí tiếp khách, ngoại giao HĐ số 1686</t>
  </si>
  <si>
    <t>Thanh toán Chi phí đi lại, di chuyển HĐ số 54414761</t>
  </si>
  <si>
    <t>Thanh toán Chi phí đi lại, di chuyển HĐ số 52174811</t>
  </si>
  <si>
    <t>Thanh toán Chi phí đi lại, di chuyển HĐ số 54976942</t>
  </si>
  <si>
    <t>Thanh toán Chi phí tiếp khách, ngoại giao HĐ số 66511</t>
  </si>
  <si>
    <t>Thanh toán Chi phí tiếp khách, ngoại giao HĐ số 462</t>
  </si>
  <si>
    <t>Thanh toán Chi phí tiếp khách, ngoại giao HĐ số 993</t>
  </si>
  <si>
    <t>Thanh toán Chi phí tiếp khách, ngoại giao HĐ số 4008</t>
  </si>
  <si>
    <t>Thanh toán Chi phí tiếp khách, ngoại giao HĐ số 109419</t>
  </si>
  <si>
    <t>Thanh toán Chi phí tiếp khách, ngoại giao HĐ số 142923</t>
  </si>
  <si>
    <t>Thanh toán Chi phí đi lại, di chuyển HĐ số 1221884</t>
  </si>
  <si>
    <t>Thanh toán Chi phí đi lại, di chuyển HĐ số 53415455</t>
  </si>
  <si>
    <t>Thanh toán Chi phí đi lại, di chuyển HĐ số 55586823</t>
  </si>
  <si>
    <t>Thanh toán Chi phí đi lại, di chuyển HĐ số 55627617</t>
  </si>
  <si>
    <t>Thanh toán Chi phí đi lại, di chuyển HĐ số 55770997</t>
  </si>
  <si>
    <t>Thanh toán Chi phí đi lại, di chuyển HĐ số 55943679</t>
  </si>
  <si>
    <t>Thanh toán Chi phí tiếp khách, ngoại giao HĐ số 2006</t>
  </si>
  <si>
    <t>Thanh toán Chi phí tiếp khách, ngoại giao HĐ số 97270</t>
  </si>
  <si>
    <t>Thanh toán Chi phí đi lại, di chuyển HĐ số 54211482</t>
  </si>
  <si>
    <t>Thanh toán Chi phí tiếp khách, ngoại giao HĐ số 568</t>
  </si>
  <si>
    <t>Thanh toán Chi phí tiếp khách, ngoại giao HĐ số 1136</t>
  </si>
  <si>
    <t>Thanh toán Chi phí tiếp khách, ngoại giao HĐ số 395091</t>
  </si>
  <si>
    <t>Thanh toán Chi phí tiếp khách, ngoại giao HĐ số 10292774</t>
  </si>
  <si>
    <t>Thanh toán Chi phí đồ dùng văn phòng HĐ số 5519</t>
  </si>
  <si>
    <t>Thanh toán Chi phí đồ dùng văn phòng HĐ số 5520</t>
  </si>
  <si>
    <t>Thanh toán Chi phí tiếp khách, ngoại giao HĐ số 62506</t>
  </si>
  <si>
    <t>Thanh toán Chi phí tiếp khách, ngoại giao HĐ số 850992</t>
  </si>
  <si>
    <t>Thanh toán Chi phí tiếp khách, ngoại giao HĐ số 5611</t>
  </si>
  <si>
    <t>Thanh toán Chi phí tiếp khách, ngoại giao HĐ số 145276</t>
  </si>
  <si>
    <t>Thanh toán Chi phí tiếp khách, ngoại giao HĐ số 332405</t>
  </si>
  <si>
    <t>Thanh toán Chi phí tiếp khách, ngoại giao HĐ số 3786185</t>
  </si>
  <si>
    <t>Thanh toán Chi phí đi lại, di chuyển HĐ số 57104114</t>
  </si>
  <si>
    <t>Thanh toán Chi phí đi lại, di chuyển HĐ số 57138441</t>
  </si>
  <si>
    <t>Thanh toán Chi phí tiếp khách, ngoại giao HĐ số 7607</t>
  </si>
  <si>
    <t>Thanh toán Chi phí đi lại, di chuyển HĐ số 57259641</t>
  </si>
  <si>
    <t>Thanh toán Chi phí đi lại, di chuyển HĐ số 57402540</t>
  </si>
  <si>
    <t>Thanh toán Chi phí đi lại, di chuyển HĐ số 57499448</t>
  </si>
  <si>
    <t>Thanh toán Phí dịch vụ vệ sinh HĐ số 58584</t>
  </si>
  <si>
    <t>Thanh toán Chi phí đồ dùng văn phòng HĐ số 12111280</t>
  </si>
  <si>
    <t>Thanh toán Chi phí tiếp khách, ngoại giao HĐ số 170</t>
  </si>
  <si>
    <t>Thanh toán Chi phí tiếp khách, ngoại giao HĐ số 18358</t>
  </si>
  <si>
    <t>Thanh toán Chi phí tiếp khách, ngoại giao HĐ số 3804016</t>
  </si>
  <si>
    <t>Thanh toán Chi phí đi lại, di chuyển HĐ số 55658058</t>
  </si>
  <si>
    <t>Thanh toán Chi phí tiếp khách, ngoại giao HĐ số 99290</t>
  </si>
  <si>
    <t>Thanh toán Chi phí tiếp khách, ngoại giao HĐ số 2214</t>
  </si>
  <si>
    <t>Thanh toán Chi phí tiếp khách, ngoại giao HĐ số 22224</t>
  </si>
  <si>
    <t>Thanh toán Chi phí dịch vụ mua ngoài HĐ số 29206</t>
  </si>
  <si>
    <t>Thanh toán Chi phí đi lại, di chuyển HĐ số 58576058</t>
  </si>
  <si>
    <t>Thanh toán Chi phí tiếp khách, ngoại giao HĐ số 273</t>
  </si>
  <si>
    <t>Thanh toán Chi phí tiếp khách, ngoại giao HĐ số 114038</t>
  </si>
  <si>
    <t>Thanh toán Chi phí đồ dùng văn phòng HĐ số 1013402</t>
  </si>
  <si>
    <t>Thanh toán Phí dịch vụ Affiliate 11/2025_17360520009 HĐ số 1743365</t>
  </si>
  <si>
    <t>Thanh toán Chi phí tiếp khách, ngoại giao HĐ số 114483</t>
  </si>
  <si>
    <t>Thanh toán Chi phí tiếp khách, ngoại giao HĐ số 114518</t>
  </si>
  <si>
    <t>Thanh toán Chi phí đi lại, di chuyển HĐ số 58969465</t>
  </si>
  <si>
    <t>Thanh toán Chi phí đi lại, di chuyển HĐ số 59011419</t>
  </si>
  <si>
    <t>Thanh toán Chi phí đi lại, di chuyển HĐ số 59036592</t>
  </si>
  <si>
    <t>Thanh toán Chi phí tiếp khách, ngoại giao HĐ số 28246</t>
  </si>
  <si>
    <t>Thanh toán Chi phí đi lại, di chuyển HĐ số 57802045</t>
  </si>
  <si>
    <t>Thanh toán Chi phí đi lại, di chuyển HĐ số 59245892</t>
  </si>
  <si>
    <t>Thanh toán Chi phí tiếp khách, ngoại giao HĐ số 149370</t>
  </si>
  <si>
    <t>Thanh toán Chi phí tiếp khách, ngoại giao HĐ số 1158260</t>
  </si>
  <si>
    <t>Thanh toán Chi phí đi lại, di chuyển HĐ số 59733875</t>
  </si>
  <si>
    <t>Thanh toán Chi phí vận chuyển HĐ số 51127</t>
  </si>
  <si>
    <t>Thanh toán Chi phí tiếp khách, ngoại giao HĐ số 11566</t>
  </si>
  <si>
    <t>Thanh toán Chi phí đi lại, di chuyển HĐ số 58374165</t>
  </si>
  <si>
    <t>Thanh toán Chi phí đi lại, di chuyển HĐ số 58428867</t>
  </si>
  <si>
    <t>Thanh toán Chi phí tiếp khách, ngoại giao HĐ số 10692922</t>
  </si>
  <si>
    <t>Thanh toán Chi phí tiếp khách, ngoại giao HĐ số 12273</t>
  </si>
  <si>
    <t>Thanh toán Chi phí vận chuyển HĐ số 27529</t>
  </si>
  <si>
    <t>Thanh toán Chi phí tiếp khách, ngoại giao HĐ số 116945</t>
  </si>
  <si>
    <t>Thanh toán Chi phí đi lại, di chuyển HĐ số 59230197</t>
  </si>
  <si>
    <t>Thanh toán Chi phí đi lại, di chuyển HĐ số 60574686</t>
  </si>
  <si>
    <t>Thanh toán Chi phí đi lại, di chuyển HĐ số 60702882</t>
  </si>
  <si>
    <t>Thanh toán Chi phí đi lại, di chuyển HĐ số 60721713</t>
  </si>
  <si>
    <t>Thanh toán Chi phí đi lại, di chuyển HĐ số 60749040</t>
  </si>
  <si>
    <t>Thanh toán Chi phí tiếp khách, ngoại giao HĐ số 96124</t>
  </si>
  <si>
    <t>Thanh toán Chi phí đi lại, di chuyển HĐ số 60873441</t>
  </si>
  <si>
    <t>Thanh toán Chi phí đi lại, di chuyển HĐ số 60941656</t>
  </si>
  <si>
    <t>Thanh toán Chi phí đi lại, di chuyển HĐ số 61040054</t>
  </si>
  <si>
    <t>Thanh toán Chi phí đi lại, di chuyển HĐ số 59854232</t>
  </si>
  <si>
    <t>Thanh toán Chi phí đi lại, di chuyển HĐ số 59866525</t>
  </si>
  <si>
    <t>Thanh toán Chi phí đi lại, di chuyển HĐ số 60031754</t>
  </si>
  <si>
    <t>Thanh toán Chi phí đi lại, di chuyển HĐ số 61202002</t>
  </si>
  <si>
    <t>Thanh toán Chi phí tiếp khách, ngoại giao HĐ số 833</t>
  </si>
  <si>
    <t>Thanh toán Chi phí tiếp khách, ngoại giao HĐ số 545</t>
  </si>
  <si>
    <t>Thanh toán Chi phí tiếp khách, ngoại giao HĐ số 118531</t>
  </si>
  <si>
    <t>Thanh toán Chi phí đi lại, di chuyển HĐ số 61574764</t>
  </si>
  <si>
    <t>Thanh toán Chi phí đi lại, di chuyển HĐ số 61632347</t>
  </si>
  <si>
    <t>Thanh toán Chi phí đi lại, di chuyển HĐ số 61885758</t>
  </si>
  <si>
    <t>Thanh toán Chi phí đi lại, di chuyển HĐ số 61956606</t>
  </si>
  <si>
    <t>Thanh toán Phí dịch vụ vệ sinh HĐ số 65097</t>
  </si>
  <si>
    <t>Thanh toán Chi phí đi lại, di chuyển HĐ số 61370740</t>
  </si>
  <si>
    <t>Thanh toán Chi phí đi lại, di chuyển HĐ số 62471625</t>
  </si>
  <si>
    <t>Thanh toán Chi phí tiếp khách, ngoại giao HĐ số 27771</t>
  </si>
  <si>
    <t>Thanh toán Chi phí đi lại, di chuyển HĐ số 62802841</t>
  </si>
  <si>
    <t>Thanh toán Chi phí đi lại, di chuyển HĐ số 62891777</t>
  </si>
  <si>
    <t>Thanh toán Chi phí đi lại, di chuyển HĐ số 62931734</t>
  </si>
  <si>
    <t>Thanh toán Chi phí đi lại, di chuyển HĐ số 62209619</t>
  </si>
  <si>
    <t>Thanh toán Chi phí đi lại, di chuyển HĐ số 63174308</t>
  </si>
  <si>
    <t>Thanh toán Chi phí tiếp khách, ngoại giao HĐ số 3765</t>
  </si>
  <si>
    <t>Thanh toán Chi phí tiếp khách, ngoại giao HĐ số 14697</t>
  </si>
  <si>
    <t>Thanh toán Chi phí dịch vụ mua ngoài HĐ số 122541</t>
  </si>
  <si>
    <t>Thanh toán Chi phí tiếp khách, ngoại giao HĐ số 957334</t>
  </si>
  <si>
    <t>Thanh toán Chi phí đi lại, di chuyển HĐ số 63470585</t>
  </si>
  <si>
    <t>Thanh toán Chi phí đi lại, di chuyển HĐ số 63478324</t>
  </si>
  <si>
    <t>Thanh toán Chi phí đi lại, di chuyển HĐ số 63521199</t>
  </si>
  <si>
    <t>Thanh toán Chi phí đồ dùng văn phòng HĐ số 11415</t>
  </si>
  <si>
    <t>Thanh toán Chi phí đi lại, di chuyển HĐ số 62953962</t>
  </si>
  <si>
    <t>Thanh toán Chi phí tiếp khách, ngoại giao HĐ số 66</t>
  </si>
  <si>
    <t>Thanh toán Chi phí tiếp khách, ngoại giao HĐ số 122748</t>
  </si>
  <si>
    <t>Thanh toán Chi phí tiếp khách, ngoại giao HĐ số 282945</t>
  </si>
  <si>
    <t>Thanh toán Chi phí đi lại, di chuyển HĐ số 63852956</t>
  </si>
  <si>
    <t>Thanh toán Chi phí đi lại, di chuyển HĐ số 64539854</t>
  </si>
  <si>
    <t>Thanh toán Chi phí tiếp khách, ngoại giao HĐ số 35457</t>
  </si>
  <si>
    <t>Thanh toán Chi phí tiếp khách, ngoại giao HĐ số 123570</t>
  </si>
  <si>
    <t>Thanh toán Chi phí đi lại, di chuyển HĐ số 64232010</t>
  </si>
  <si>
    <t>Thanh toán Chi phí đi lại, di chuyển HĐ số 64775822</t>
  </si>
  <si>
    <t>Thanh toán Chi phí đi lại, di chuyển HĐ số 64778525</t>
  </si>
  <si>
    <t>Thanh toán Chi phí đi lại, di chuyển HĐ số 64836983</t>
  </si>
  <si>
    <t>Thanh toán Chi phí tiếp khách, ngoại giao HĐ số 826</t>
  </si>
  <si>
    <t>Thanh toán Chi phí tiếp khách, ngoại giao HĐ số 1606</t>
  </si>
  <si>
    <t>Thanh toán Chi phí đi lại, di chuyển HĐ số 64621807</t>
  </si>
  <si>
    <t>Thanh toán Chi phí tiếp khách, ngoại giao HĐ số 5489</t>
  </si>
  <si>
    <t>Thanh toán Chi phí tiếp khách, ngoại giao HĐ số 124036</t>
  </si>
  <si>
    <t>Thanh toán Chi phí đi lại, di chuyển HĐ số 65384377</t>
  </si>
  <si>
    <t>Thanh toán Chi phí đi lại, di chuyển HĐ số 65404761</t>
  </si>
  <si>
    <t>Thanh toán Chi phí tiếp khách, ngoại giao HĐ số 648583</t>
  </si>
  <si>
    <t>Thanh toán Chi phí tiếp khách, ngoại giao HĐ số 1231743</t>
  </si>
  <si>
    <t>Thanh toán Chi phí đi lại, di chuyển HĐ số 65932619</t>
  </si>
  <si>
    <t>Thanh toán Chi phí đi lại, di chuyển HĐ số 65966952</t>
  </si>
  <si>
    <t>Thanh toán Cước vận chuyển HĐ số 687654</t>
  </si>
  <si>
    <t>Thanh toán Cước vận chuyển HĐ số 687677</t>
  </si>
  <si>
    <t>Thanh toán Chi phí tiếp khách, ngoại giao HĐ số 1241287</t>
  </si>
  <si>
    <t>Thanh toán Cước phí vận chuyển HĐ số 66470966</t>
  </si>
  <si>
    <t>Thanh toán Chi phí tiếp khách, ngoại giao HĐ số 2183</t>
  </si>
  <si>
    <t>Thanh toán Cước vận chuyển HĐ số 692202</t>
  </si>
  <si>
    <t>Thanh toán Phí vận chuyển HĐ số 1407</t>
  </si>
  <si>
    <t>Thanh toán Phí vận chuyển HĐ số 1415</t>
  </si>
  <si>
    <t>Thanh toán Chi phí tiếp khách, ngoại giao HĐ số 128526</t>
  </si>
  <si>
    <t>Thanh toán Cước vận chuyển HĐ số 694658</t>
  </si>
  <si>
    <t>Thanh toán Cước vận chuyển HĐ số 695782</t>
  </si>
  <si>
    <t>Thanh toán Cước vận chuyển HĐ số 695783</t>
  </si>
  <si>
    <t>Thanh toán Chi phí tiếp khách, ngoại giao HĐ số 57988</t>
  </si>
  <si>
    <t>Thanh toán Chi phí đi lại, di chuyển HĐ số 67741915</t>
  </si>
  <si>
    <t>Thanh toán Phí dịch vụ vệ sinh HĐ số 74369</t>
  </si>
  <si>
    <t>Thanh toán Cước vận chuyển HĐ số 701572</t>
  </si>
  <si>
    <t>Thanh toán Chi phí tiếp khách, ngoại giao HĐ số 1256574</t>
  </si>
  <si>
    <t>Thanh toán Chi phí đi lại, di chuyển HĐ số 67974191</t>
  </si>
  <si>
    <t>Thanh toán Chi phí đi lại, di chuyển HĐ số 68089150</t>
  </si>
  <si>
    <t>Thanh toán Phí dịch vụ tư vấn tháng 09/2025 HĐ số 139</t>
  </si>
  <si>
    <t>201719908M</t>
  </si>
  <si>
    <t>Doanh thu Hoa hồng tiếp thị liên kết Tiktok</t>
  </si>
  <si>
    <t>Nhận Doanh thu Hoa hồng tiếp thị liên kết Tiktok</t>
  </si>
  <si>
    <t>Nhận Doanh thu Dịch vụ quảng cáo và truyền thông theo Hợp đồng số HDDV/PANTENExVĐxCNO/280825 ký ngày 28/08/2025 (Đợt 1) HĐ số 2</t>
  </si>
  <si>
    <t>Nhận Doanh thu cung cấp dịch vụ đợt 1 theo Hợp đồng số PR25051/17092025/DYSON-UNO-CONGAN ngày 17/09/2025 HĐ số 00000001</t>
  </si>
  <si>
    <t>Thuế GTGT, TNCN sàn TMĐT 02/10/2025</t>
  </si>
  <si>
    <t>Nộp Lãi chậm nộp thuế</t>
  </si>
  <si>
    <t>Nộp Thuế GTGT, TNCN sàn TMĐT 02/10/2025</t>
  </si>
  <si>
    <t>0309385588</t>
  </si>
  <si>
    <t>0100111948</t>
  </si>
  <si>
    <t>Nhận Doanh thu Thanh toán 100% phí dịch vụ theo bảng mô tả công việc chiến dịch YSL - Cổ Ngân FY - livestream - Scope 3 - 1012 SOW số 28291/2025/WPP-BTL-LO ID TIktok: cokimngann HĐ số 15</t>
  </si>
  <si>
    <t>Nhận Doanh thu Thanh toán 100% phí dịch vụ LP - SERIOXYL ADVOCACY - Video/Livestream - Scope 2 - 3010 SOW số 25375/2025/WPP-BTL-LO ID TIktok: cokimngann HĐ số 10</t>
  </si>
  <si>
    <t>Nhận Doanh thu Phí sử dụng hình ảnh theo Hợp đồng số CREATIVE/03/211125 ký ngày 21/11/2025 HĐ số 19</t>
  </si>
  <si>
    <t>Nhận Doanh thu Dịch vụ quảng cáo và truyền thông theo Hợp đồng số 25092025/HĐDV/SE-CONGAN ký ngày 25/09/2025 (Đợt 2) và Biên bản nghiệm thu ký ngày 07/11/2025 HĐ số 13</t>
  </si>
  <si>
    <t>Rút tiền gửi ngân hàng nhập quỹ tiền mặt</t>
  </si>
  <si>
    <t>Hoàn lại tiền</t>
  </si>
  <si>
    <t>Nhận tiền chuyển khoản nhầm</t>
  </si>
  <si>
    <t>Nhận Doanh thu Dịch vụ quảng cáo và truyền thông theo Hợp đồng số 010409.2025/HDDV/NNĐV-INNO ký ngày 04/09/2025 và Biên bản nghiệm thu ký ngày 02/10/2025 HĐ số 22</t>
  </si>
  <si>
    <t>Nhận Doanh thu Dịch vụ quảng cáo và truyền thông theo Hợp đồng số FINTVN-KISSME-08/25-03 ký ngày 22/08/2025 và Biên bản nghiệm thu ký ngày 15/09/2025 HĐ số 00000014</t>
  </si>
  <si>
    <t>Nhận Doanh thu dịch vụ MNY - TEDDY TINT - Video - Scope 3 - 3009 SOW số 22109/2025/WPP-BTL-LO ID Tiktok: dangvbeauty179 HĐ số 00000019</t>
  </si>
  <si>
    <t>Nhận Doanh thu dịch vụ 3CE KOC HUB Jul Video Scope 3 1007 SOW số 13450/2025/WPP-BTL-LO ID Tiktok: dangvbeauty179 HĐ số 00000021</t>
  </si>
  <si>
    <t>Nhận Doanh thu dịch vụ 3CE - KOC Hub Sep - Video - Scope 3 - 1009 SOW số 21970/2025/WPP-BTL-LO ID Tiktok: dangvbeauty179 HĐ số 00000013</t>
  </si>
  <si>
    <t>Nhận Doanh thu dịch vụ MNY - Summer Sunkisser - Video - Scope 3 - 1007 SOW số 14742/2025/WPP-BTL-LO ID Tiktok: dangvbeauty179 HĐ số 00000018</t>
  </si>
  <si>
    <t>Nhận Doanh thu dịch vụ KIE - Retinol &amp; UFC - Video - Scope 2 - 1009 SOW số 21873/2025/WPP-BTL-LO ID Tiktok: dangvbeauty179 HĐ số 00000020</t>
  </si>
  <si>
    <t>Nhận Doanh thu Thanh toán 100% phí dịch vụ 3CE - KOC Hub Oct - Video - Scope 3 - 1010 SOW số 24276/2025/WPP-BTL-LO ID Tiktok: dangvbeauty179 HĐ số 25</t>
  </si>
  <si>
    <t>Nhận Doanh thu Dịch vụ quảng cáo và truyền thông theo Hợp đồng số 0179/09/025C_ TIK_2508_OUB CREATOR VIDEO 9.9_AUG - dangvbeauty179 ký ngày 29/08/2025 và Biên bản nghiệm thu ký ngày 16/10/2025 HĐ số 27</t>
  </si>
  <si>
    <t>Nhận Doanh thu Dịch vụ quảng cáo và truyền thông theo Hợp đồng số HDDV 0808/LVN/NDV ký ngày 07/08/2025 và Biên bản nghiệm thu ký ngày 16/09/2025 HĐ số 00000015</t>
  </si>
  <si>
    <t>Nhận Doanh thu Thanh toán 100% phí dịch vụ MNY - FLEXPOWDER - Video- Scope 3 - 1010 SOW số 24882/2025/WPP-BTL-LO ID Tiktok: dangvbeauty179 HĐ số 30</t>
  </si>
  <si>
    <t>Nhận Doanh thu Dịch vụ quảng cáo và truyền thông theo Hợp đồng số 3009/2025/TTS/DANGVI/YAMAN ký ngày 30/09/2025 và Biên bản nghiệm thu ký ngày 02/10/2025 HĐ số 23</t>
  </si>
  <si>
    <t>Nhận Doanh thu Dịch vụ quảng cáo và truyền thông theo Hợp đồng số HKD DANGVI_HEIMISH _01092025 ký ngày 01/09/2025 HĐ số 28</t>
  </si>
  <si>
    <t>Chuyển khoản nhầm đối tượng</t>
  </si>
  <si>
    <t>Nhận lại tiền hoàn</t>
  </si>
  <si>
    <t>Nhận Doanh thu Thanh toán theo Hợp đồng dịch vụ số HD01092025/D’ALBA_ASIACONSULTING_DANGVIBEAUTY ký ngày 01/09/2025 và Biên bản nghiệm thu ký ngày 03/10/2025 HĐ số 24</t>
  </si>
  <si>
    <t>Nộp Chi phí bảo hiểm tháng 2025.12</t>
  </si>
  <si>
    <t>Nhận Doanh thu Dịch vụ quảng cáo và truyền thông theo Hợp đồng số HDDV 3009/LVN/NDV ký ngày 25/09/2025 và Biên bản nghiệm thu ký ngày 14/10/2025 HĐ số 26</t>
  </si>
  <si>
    <t>Nhận Doanh thu Dịch vụ quảng cáo và truyền thông theo Hợp đồng số 0910/LVN/NDV ký ngày 05/10/2025 và Biên bản nghiệm thu ký ngày 20/10/2025 HĐ số 29</t>
  </si>
  <si>
    <t>Chi phí khác</t>
  </si>
  <si>
    <t>Nhận Doanh thu Thanh toán 100% phí dịch vụ MNY - TEDDY TINT - Video - Scope 3 - 10.11 - PO 4001467856 SOW số 28092/2025/WPP-BTL-LO ID Tiktok: dangvbeauty179 HĐ số 33</t>
  </si>
  <si>
    <t>Nhận Doanh thu Thanh toán 100% phí dịch vụ MNY - SCOPE LIVESTREAM - Video - Scope 3 - 10.11 - PO 4001434845 SOW số 27612/2025/WPP-BTL-LO ID Tiktok: dangvbeauty179 HĐ số 34</t>
  </si>
  <si>
    <t>Nhận Doanh thu Thanh toán 100% phí dịch vụ MNY - FLEX POWDER - Video - Scope 3 - 3010 - 4001492980 SOW số 25526/2025/WPP-BTL-LO ID Tiktok: dangvbeauty179 HĐ số 36</t>
  </si>
  <si>
    <t>Nhận Doanh thu Dịch vụ quảng cáo và truyền thông theo Hợp đồng số HDDV/PANTENExVĐxDVO/011025 ký ngày 01/10/2025 và Biên bản nghiệm thu ký ngày 30/10/2025 HĐ số 31</t>
  </si>
  <si>
    <t>Nhận Doanh thu Phí sử dụng hình ảnh theo Hợp đồng số HDDV/PANTENESDHAxVĐxDVO/011125 ký ngày 01/11/2025 và Biên bản nghiệm thu ký ngày 04/12/2025 HĐ số 40</t>
  </si>
  <si>
    <t>Nhận Doanh thu Thanh toán 100% phí dịch vụ MNY - FLEX POWDER - Video - Scope 3 -10.11 - PO 4001492980 SOW số 27858/2025/WPP-BTL-LO ID Tiktok: dangvbeauty179 HĐ số 37</t>
  </si>
  <si>
    <t>Nhận Doanh thu Thanh toán 100% phí dịch vụ 3CE - KOC Hub Nov - Video - Scope 3 - 1011 SOW số 26823/2025/WPP-BTL-LO ID Tiktok: dangvbeauty179 HĐ số 35</t>
  </si>
  <si>
    <t>Nhận Doanh thu /Dịch vụ quảng cáo và truyền thông theo Hợp đồng số 28092025/HĐDV/SIA-DANGVIOFFICIAL ký ngày 28/09/2025 và Biên bản nghiệm thu ký ngày 25/11/2025 HĐ số 39</t>
  </si>
  <si>
    <t>Thanh toán Phí dịch vụ tư vấn tháng 09/2025 HĐ số 138</t>
  </si>
  <si>
    <t>Thanh toán Chi phí tiếp khách ngoại giao HĐ số 21557</t>
  </si>
  <si>
    <t>Thanh toán Chi phí đồ dùng văn phòng HĐ số 12121</t>
  </si>
  <si>
    <t>Thanh toán Chi phí tiếp khách ngoại giao HĐ số 22976</t>
  </si>
  <si>
    <t>Thanh toán Chi phí tiếp khách ngoại giao HĐ số 2452</t>
  </si>
  <si>
    <t>Thanh toán Chi phí tiếp khách ngoại giao HĐ số 264151</t>
  </si>
  <si>
    <t>Thanh toán Chi phí vận chuyển HĐ số 44414741</t>
  </si>
  <si>
    <t>Thanh toán Chi phí vận chuyển HĐ số 44473446</t>
  </si>
  <si>
    <t>Thanh toán Chi phí vận chuyển HĐ số 44700430</t>
  </si>
  <si>
    <t>Thanh toán Chi phí vận chuyển HĐ số 44805477</t>
  </si>
  <si>
    <t>Thanh toán Chi phí vận chuyển HĐ số 45135569</t>
  </si>
  <si>
    <t>Thanh toán Chi phí tiếp khách ngoại giao HĐ số 258</t>
  </si>
  <si>
    <t>Thanh toán Chi phí tiếp khách ngoại giao HĐ số 3400841</t>
  </si>
  <si>
    <t>Thanh toán Chi phí vận chuyển HĐ số 46342629</t>
  </si>
  <si>
    <t>Thanh toán Chi phí vận chuyển HĐ số 46402668</t>
  </si>
  <si>
    <t>Thanh toán Chi phí tiếp khách ngoại giao HĐ số 3416123</t>
  </si>
  <si>
    <t>Thanh toán Chi phí vận chuyển HĐ số 46487902</t>
  </si>
  <si>
    <t>Thanh toán Chi phí vận chuyển HĐ số 47149465</t>
  </si>
  <si>
    <t>Thanh toán Chi phí vận chuyển HĐ số 47805223</t>
  </si>
  <si>
    <t>Thanh toán Chi phí vận chuyển HĐ số 48100174</t>
  </si>
  <si>
    <t>Thanh toán Phí dịch vụ tư vấn tháng 10/2025 HĐ số 157</t>
  </si>
  <si>
    <t>Thanh toán Chi phí vận chuyển HĐ số 45683561</t>
  </si>
  <si>
    <t>Thanh toán Chi phí vận chuyển HĐ số 48377819</t>
  </si>
  <si>
    <t>Thanh toán Chi phí vận chuyển HĐ số 51033617</t>
  </si>
  <si>
    <t>Thanh toán Chi phí vận chuyển HĐ số 52677347</t>
  </si>
  <si>
    <t>Thanh toán Chi phí vận chuyển HĐ số 52785578</t>
  </si>
  <si>
    <t>Thanh toán Chi phí tiếp khách ngoại giao HĐ số 15134</t>
  </si>
  <si>
    <t>Thanh toán Chi phí vận chuyển HĐ số 54944847</t>
  </si>
  <si>
    <t>Thanh toán Chi phí vận chuyển HĐ số 55062859</t>
  </si>
  <si>
    <t>Thanh toán Chi phí tiếp khách ngoại giao HĐ số 4778</t>
  </si>
  <si>
    <t>Thanh toán Chi phí vận chuyển HĐ số 55598291</t>
  </si>
  <si>
    <t>Thanh toán Chi phí vận chuyển HĐ số 55629458</t>
  </si>
  <si>
    <t>Thanh toán Chi phí vận chuyển HĐ số 54581258</t>
  </si>
  <si>
    <t>Thanh toán Chi phí tiếp khách ngoại giao HĐ số 38399</t>
  </si>
  <si>
    <t>Thanh toán Chi phí tiếp khách ngoại giao HĐ số 27146</t>
  </si>
  <si>
    <t>Thanh toán Chi phí vận chuyển HĐ số 57238436</t>
  </si>
  <si>
    <t>Thanh toán Chi phí tiếp khách ngoại giao HĐ số 10708</t>
  </si>
  <si>
    <t>Thanh toán Phí dịch vụ tư vấn tháng 11/2025 HĐ số 195</t>
  </si>
  <si>
    <t>Thanh toán Chi phí vận chuyển HĐ số 58998945</t>
  </si>
  <si>
    <t>Thanh toán Chi phí tiếp khách ngoại giao HĐ số 11698</t>
  </si>
  <si>
    <t>Thanh toán Chi phí vận chuyển HĐ số 61133144</t>
  </si>
  <si>
    <t>Thanh toán Chi phí vận chuyển HĐ số 61967120</t>
  </si>
  <si>
    <t>Thanh toán Chi phí vận chuyển HĐ số 62375368</t>
  </si>
  <si>
    <t>Thanh toán Chi phí vận chuyển HĐ số 62734009</t>
  </si>
  <si>
    <t>Thanh toán Chi phí tiếp khách, ngoại giao HĐ số 18350</t>
  </si>
  <si>
    <t>Thanh toán Chi phí tiếp khách, ngoại giao HĐ số 14894</t>
  </si>
  <si>
    <t>Phí ngân hàng</t>
  </si>
  <si>
    <t>Lãi ngân hàng</t>
  </si>
  <si>
    <t>Nhận Doanh thu Thanh toán 100% phí dịch vụ GRN - KOC HUB Skin - Video - Scope 3 - 3009 SOW số 22015/2025/WPP-BTL-LO ID Tiktok: vanjinka HĐ số 2</t>
  </si>
  <si>
    <t>Nhận Doanh thu Dịch vụ quảng cáo và truyền thông theo Hợp đồng số HDDV/FAROSON-DVA/11/2025 ký ngày 25/09/2025 (Đợt 1) HĐ số 8</t>
  </si>
  <si>
    <t>Nhận Doanh thu Thanh toán 100% phí dịch vụ OAP - KOC Hub Hair Sep Video - Scope 3 - 3009 SOW số 23989/2025/WPP-BTL-LO ID Tiktok: vanjinka HĐ số 5</t>
  </si>
  <si>
    <t>Nhận Doanh thu Thanh toán 100% phí dịch vụ GRN - KOC HUB Skin - Video - Scope 3 - 3009 - Add SOW số 22154/2025/WPP-BTL-LO ID Tiktok: vanjinka HĐ số 6</t>
  </si>
  <si>
    <t>Nhận Doanh thu Dịch vụ quảng cáo và truyền thông theo Hợp đồng số 01102025HDDVDOANVANANHBOJ ký ngày 01/10/2025 và Biên bản nghiệm thu ký ngày 13/10/2025 HĐ số 11</t>
  </si>
  <si>
    <t>Nhận Doanh thu Dịch vụ quảng cáo và truyền thông theo Hợp đồng số HKD ĐVA_ ELITE_EVENT SIMPLE _08092025 ký ngày 08/09/2025 HĐ số 9</t>
  </si>
  <si>
    <t>Nhận Doanh thu Thanh toán theo Hợp đồng dịch vụ số HD01092025/D’ALBA_ASIACONSULTING_DOANVANANH ký ngày 01/09/2025 và Biên bản nghiệm thu ký ngày 24/09/2025 HĐ số 1</t>
  </si>
  <si>
    <t>Nhận Doanh thu Dịch vụ quảng cáo và truyền thông theo Hợp đồng số 01102025HDDVDOANVANANHHANNAHLIVE ký ngày 01/10/2025 và Biên bản nghiệm thu ký ngày 13/10/2025 HĐ số 10</t>
  </si>
  <si>
    <t>Nhận Doanh thu Dịch vụ quảng cáo và truyền thông theo Hợp đồng số 0510/HDDV/UPBASE-NUCOS-VANJINKA/2025 ký ngày 05/10/2025 và Biên bản nghiệm thu ký ngày 15/10/2025 HĐ số 12</t>
  </si>
  <si>
    <t>Chi phí bảo hiểm tháng 2025.09, 2025.10</t>
  </si>
  <si>
    <t>Nhận Doanh thu Dịch vụ quảng cáo và truyền thông theo Hợp đồng số FINTVN-ATTENIR2-2025-08 ký ngày 10/09/2025 và Biên bản nghiệm thu ký ngày 15/10/2025 HĐ số 13</t>
  </si>
  <si>
    <t>Nhận Doanh thu Dịch vụ quảng cáo và truyền thông theo Hợp đồng số 25092025/TLC-DVA ký ngày 25/09/2025 và Biên bản nghiệm thu ký ngày 27/10/2025 HĐ số 15</t>
  </si>
  <si>
    <t>Nhận Doanh thu Dịch vụ quảng cáo và truyền thông theo Hợp đồng số HDDV/FAROSON-DVA/11/2025 ký ngày 25/09/2025 (Đợt 2) và Biên bản nghiệm thu ký ngày 07/11/2025 HĐ số 21</t>
  </si>
  <si>
    <t>Nhận Doanh thu Dịch vụ quảng cáo và truyền thông theo Hợp đồng số 01102025HDDVDOANVANANHTORRIDEN ký ngày 01/10/2025 và Biên bản nghiệm thu ký ngày 29/10/2025 HĐ số 16</t>
  </si>
  <si>
    <t>Nhận Doanh thu Dịch vụ quảng cáo và truyền thông theo Hợp đồng số S31M24HDDV-0338- 0168 DOANVANANH ký ngày 01/09/2025 và Biên bản nghiệm thu ký ngày 03/10/2025 HĐ số 7</t>
  </si>
  <si>
    <t>Nhận Doanh thu Dịch vụ quảng cáo và truyền thông theo Hợp đồng số HKD DVA_HADA LABO_05102025 ký ngày 05/10/2025 HĐ số 20</t>
  </si>
  <si>
    <t>Nhận Doanh thu Dịch vụ quảng cáo và truyền thông theo Hợp đồng số T04T25HDDV-0026-0168 DOANVANANH ký ngày 01/10/2025 và Biên bản nghiệm thu ký ngày 16/10/2025 HĐ số 14</t>
  </si>
  <si>
    <t>Nhận Doanh thu Dịch vụ quảng cáo và truyền thông theo Hợp đồng số T03T25HDDV-0050-0168 DOANVANANH ký ngày 19/10/2025 và Biên bản nghiệm thu ký ngày 29/10/2025 HĐ số 17</t>
  </si>
  <si>
    <t>Nhận Doanh thu Dịch vụ quảng cáo và truyền thông theo Hợp đồng số 26112025/HDKV/VNNW-HKD ĐVA ký ngày 26/11/2025 (Đợt 1) HĐ số 29</t>
  </si>
  <si>
    <t>Nhận Doanh thu Dịch vụ quảng cáo và truyền thông theo Hợp đồng số 20251110HDDV/MEISHANG – DOANVANANH ký ngày 01/11/2025 và Biên bản nghiệm thu ký ngày 18/11/2025 HĐ số 25</t>
  </si>
  <si>
    <t>Nhận Doanh thu Dịch vụ quảng cáo và truyền thông theo Hợp đồng số BK275/HKD_DVA/T5A/MIALALA ký ngày 04/12/2025 HĐ số 32</t>
  </si>
  <si>
    <t>Nhận Doanh thu Dịch vụ quảng cáo và truyền thông theo Hợp đồng số 11.11.2025/HDDV/UPBASE-EUBOS-VANJINKA ký ngày 11/11/2025 và Biên bản nghiệm thu ký ngày 18/11/2025 HĐ số 24</t>
  </si>
  <si>
    <t>Nhận Doanh thu Dịch vụ quảng cáo và truyền thông theo Hợp đồng số T03T25HDDV-0065-0168 DOANVANANH ký ngày 06/11/2025 và Biên bản nghiệm thu ký ngày 11/11/2025 HĐ số 22</t>
  </si>
  <si>
    <t>Nhận Doanh thu Dịch vụ quảng cáo và truyền thông theo Hợp đồng số 01112025/HDDV/MATSU - VANJINKA ký ngày 01/11/2025 và Biên bản nghiệm thu ký ngày 27/11/2025 HĐ số 26</t>
  </si>
  <si>
    <t>Nhận Doanh thu Dịch vụ quảng cáo và truyền thông theo Hợp đồng số 10.12.2025/HDDV/UPBASE-EUBOS-VANJINKA ký ngày 10/12/2025 HĐ số 33</t>
  </si>
  <si>
    <t>Nhận Doanh thu Dịch vụ quảng cáo và truyền thông cho nhãn hàng Benzac theo Hợp đồng số 681410202502/HDDV/RV/KOL ký ngày 14/10/2025 và Biên bản nghiệm thu ký ngày 17/11/2025 HĐ số 23</t>
  </si>
  <si>
    <t>Nhận Doanh thu Thanh toán phí dịch vụ quảng cáo và truyền thông theo Hợp đồng số HD30112025/DRG_ASIACONSULTING_VANJINKA ký ngày 30/11/2025 và Biên bản nghiệm thu ký ngày 22/12/2025 HĐ số 34</t>
  </si>
  <si>
    <t>Nhận Doanh thu Dịch vụ quảng cáo và truyền thông theo Hợp đồng số 1709/2025/HDDV/WEI-DVA ký ngày 17/09/2025 và Biên bản nghiệm thu ký ngày 26/09/2025 HĐ số 3</t>
  </si>
  <si>
    <t>Fake đối tượng</t>
  </si>
  <si>
    <t>Nhận Doanh thu Dịch vụ quảng cáo và truyền thông theo Hợp đồng số HDDV/OLAYBAUxVĐxDVA/011025 ký ngày 01/10/2025 và Biên bản nghiệm thu ký ngày 30/10/2025 HĐ số 18</t>
  </si>
  <si>
    <t>Thanh toán Chi phí tiếp khách, ngoại giao HĐ số 24197</t>
  </si>
  <si>
    <t>Thanh toán Phí dịch vụ tư vấn tháng 09/2025 HĐ số 144</t>
  </si>
  <si>
    <t>Thanh toán Chi phí tiếp khách, ngoại giao HĐ số 12059</t>
  </si>
  <si>
    <t>Thanh toán Chi phí tiếp khách, ngoại giao HĐ số 280</t>
  </si>
  <si>
    <t>Thanh toán Chi phí tiếp khách, ngoại giao HĐ số 27531</t>
  </si>
  <si>
    <t>Thanh toán Chi phí vận chuyển HĐ số 45597793</t>
  </si>
  <si>
    <t>Thanh toán Phí dịch vụ tư vấn tháng 10/2025 HĐ số 163</t>
  </si>
  <si>
    <t>Thanh toán Phí dịch vụ Affiliate 10/2025_17355060002 HĐ số 1109365</t>
  </si>
  <si>
    <t>Thanh toán Chi phí tiếp khách, ngoại giao HĐ số 3556</t>
  </si>
  <si>
    <t>Thanh toán Phí dịch vụ tư vấn tháng 11/2025 HĐ số 191</t>
  </si>
  <si>
    <t>Thanh toán Phí dịch vụ Affiliate 11/2025_17355060002 HĐ số 1792081</t>
  </si>
  <si>
    <t>Nộp Thuế GTGT, TNCN sàn TMĐT 10/07/2025</t>
  </si>
  <si>
    <t>Nộp Thuế GTGT, TNCN sàn TMĐT 15/07/2025</t>
  </si>
  <si>
    <t xml:space="preserve">  1.600.000 </t>
  </si>
  <si>
    <t xml:space="preserve">  33.500.000 </t>
  </si>
  <si>
    <t xml:space="preserve">  6.400.000 </t>
  </si>
  <si>
    <t>thuynga_tc</t>
  </si>
  <si>
    <t>HỘ KINH DOANH THIÊN KIM MINH CHÂU</t>
  </si>
  <si>
    <t>https://drive.google.com/drive/folders/1O5AjTXx4D-siQhxiyVsFlAE8UZ4QLrJI</t>
  </si>
  <si>
    <t>minhchau_tc</t>
  </si>
  <si>
    <t>HỘ KINH DOANH VŨ DUY OFFICIAL</t>
  </si>
  <si>
    <t>https://drive.google.com/drive/folders/1MZXXBvKPRxmbLJVZiMypTIgzyuoO9Yqo</t>
  </si>
  <si>
    <t>HỘ KINH DOANH AN VY OFFICIAL</t>
  </si>
  <si>
    <t>https://drive.google.com/drive/folders/1PnCw53gaao6cJfOHbak2pkqCW8EnE-Bz</t>
  </si>
  <si>
    <t>anvy_tc</t>
  </si>
  <si>
    <t>HỘ KINH DOANH VÂN PHẠM</t>
  </si>
  <si>
    <t>https://drive.google.com/drive/folders/1k6_VNcGiXinM3KJUFyS_pQU1cWbJ6fOE</t>
  </si>
  <si>
    <t>vanpham_tc</t>
  </si>
  <si>
    <t>HỘ KINH DOANH MINH NGHĨA OFFICIAL</t>
  </si>
  <si>
    <t>https://drive.google.com/drive/folders/1d4VXcOvprHJZ8mJx8DfzlFhtHW98X8_o</t>
  </si>
  <si>
    <t>minhnghia_tc</t>
  </si>
  <si>
    <t>HỘ KINH DOANH THÚY VI</t>
  </si>
  <si>
    <t>https://drive.google.com/drive/folders/18RdniJAi4vvWwR3kv3OweogrlSuy3liu</t>
  </si>
  <si>
    <t>Nhận Doanh thu Dịch vụ quảng cáo và truyền thông theo Phụ lục đơn đặt hàng dự án vinfast-bookingkol-livestream-202507 ký ngày 25/09/2025 (Đợt 2) và Biên bản nghiệm thu ký ngày 25/09/2025 HĐ số 1</t>
  </si>
  <si>
    <t>Nhận Doanh thu Dịch vụ quảng cáo và truyền thông theo Phụ lục đơn đặt hàng dự án narwal-202507-reencyngo-livemix ký ngày 27/07/2025 và Biên bản nghiệm thu ký ngày 25/09/2025 HĐ số 2</t>
  </si>
  <si>
    <t>Doanh thu Hoa hồng tiếp thị liên kết</t>
  </si>
  <si>
    <t>Nhận Doanh thu Hoa hồng tiếp thị liên kết</t>
  </si>
  <si>
    <t>0101653171</t>
  </si>
  <si>
    <t>Nộp Chi phí bảo hiểm tháng 2025.09</t>
  </si>
  <si>
    <t>Chuyển tiền nội bộ</t>
  </si>
  <si>
    <t>Nhận Doanh thu Dịch vụ quảng cáo và truyền thông theo Phụ lục đơn đặt hàng dự án metub-reencyngo-bookingvideo-202507 ký ngày 06/08/2025 và Biên bản nghiệm thu ký ngày 14/10/2025 HĐ số 3</t>
  </si>
  <si>
    <t>Nhận Doanh thu Dịch vụ quảng cáo và truyền thông theo Phụ lục đơn đặt hàng dự án reencyngo-megalive-202509 ký ngày 01/10/2025 và Biên bản nghiệm thu ký ngày 14/10/2025 HĐ số 4</t>
  </si>
  <si>
    <t>Nhận Doanh thu Dịch vụ quảng cáo và truyền thông theo Phụ lục đơn đặt hàng dự án reencyngo-megalive-202510 ký ngày 10/10/2025 và Biên bản nghiệm thu ký ngày 14/10/2025 HĐ số 5</t>
  </si>
  <si>
    <t>Nhận Doanh thu Dịch vụ quảng cáo và truyền thông theo Phụ lục đơn đặt hàng dự án logeski-202510-reencyngo-livedocquyen ký ngày 20/10/2025 và Biên bản nghiệm thu ký ngày 31/10/2025 HĐ số 6</t>
  </si>
  <si>
    <t>Nhận Doanh thu Dịch vụ quảng cáo và truyền thông theo Phụ lục đơn đặt hàng dự án unicorn-reencyngo-live1309-202509 ký ngày 10/09/2025 và Biên bản nghiệm thu ký ngày 03/11/2025 HĐ số 7</t>
  </si>
  <si>
    <t>Thanh toán Phí dịch vụ tư vấn tháng 09/2025 HĐ số 127</t>
  </si>
  <si>
    <t>Thanh toán Chi phí di chuyển đị lại HĐ số 741577</t>
  </si>
  <si>
    <t>Thanh toán Chi phí di chuyển đị lại HĐ số 819984</t>
  </si>
  <si>
    <t>Thanh toán Phí dịch vụ Affiliate 10/2025_17308880261 HĐ số 1637444</t>
  </si>
  <si>
    <t>Thanh toán Phí dịch vụ tư vấn tháng 10/2025 HĐ số 168</t>
  </si>
  <si>
    <t>Thanh toán Chi phí di chuyển đị lại HĐ số 50219247</t>
  </si>
  <si>
    <t>Thanh toán Chi phí di chuyển đị lại HĐ số 855422</t>
  </si>
  <si>
    <t>Thanh toán Chi phí di chuyển đị lại HĐ số 888424</t>
  </si>
  <si>
    <t>Thanh toán Chi phí tiếp khách ngoại giao HĐ số 3799726</t>
  </si>
  <si>
    <t>Thanh toán Phí dịch vụ tư vấn tháng 11/2025 HĐ số 194</t>
  </si>
  <si>
    <t>Thanh toán Phí dịch vụ Affiliate 11/2025_17308880261 HĐ số 1098716</t>
  </si>
  <si>
    <t>Thanh toán Chi phí di chuyển đị lại HĐ số 1396012</t>
  </si>
  <si>
    <t>Thanh toán Chi phí di chuyển đị lại HĐ số 918629</t>
  </si>
  <si>
    <t>Thanh toán Chi phí di chuyển đị lại HĐ số 951036</t>
  </si>
  <si>
    <t>Nộp Thuế GTGT, TNCN sàn TMĐT 30/08/2025</t>
  </si>
  <si>
    <t>Lãi chậm nộp bảo hiểm</t>
  </si>
  <si>
    <t>Nhận lại tiền chuyển khoản nhầm</t>
  </si>
  <si>
    <t>Chi phí lương tháng 10.2025</t>
  </si>
  <si>
    <t>Chi phí lương tháng 11.2025</t>
  </si>
  <si>
    <t>Chi phí lương tháng 12.2025</t>
  </si>
  <si>
    <t>Thanh toán lương tháng 10.2025 (Mai Thúy Vân)</t>
  </si>
  <si>
    <t>Thanh toán lương tháng 10.2025 (Nguyễn Ngọc Bảo Trâm)</t>
  </si>
  <si>
    <t>Thanh toán lương tháng 11.2025 (Mai Thúy Vân)</t>
  </si>
  <si>
    <t>Thanh toán lương tháng 11.2025 (Nguyễn Ngọc Bảo Trâm)</t>
  </si>
  <si>
    <t>Thanh toán lương tháng 12.2025 (Nguyễn Ngọc Bảo Trâm)</t>
  </si>
  <si>
    <t>Thanh toán lương tháng 12.2025 (Trần Thị Mỹ Ngân)</t>
  </si>
  <si>
    <t>Thanh toán lương tháng 12.2025 (Mai Thúy Vân)</t>
  </si>
  <si>
    <t>Nhận Doanh thu Dịch vụ tư vấn quản lý tháng 10/2025 theo Hợp đồng số 0506/2025/HĐ/KT-HKDTTT ký ngày 05/06/2025 và Biên bản nghiệm thu ký ngày 04/11/2025 HĐ số 31</t>
  </si>
  <si>
    <t>Nhận Doanh thu Dịch vụ tư vấn phát triển thương hiệu theo Hợp đồng số 300925/HĐ/LUBYLAB-HKDTTT ký ngày 30/09/2025 (Đợt 1) HĐ số 24</t>
  </si>
  <si>
    <t>Nhận Doanh thu Dịch vụ Đào tạo hướng dẫn về R&amp;D và bán hàng gia công sản xuất mỹ phẩm theo Hợp đồng số 031025/HĐ/KT-ASTRACOS ký ngày 03/10/2025 và Biên bản nghiệm thu ký ngày 04/10/2025 HĐ số 28</t>
  </si>
  <si>
    <t>Nhận Doanh thu Dịch vụ sáng tạo nội dung, bài viết quảng cáo thương hiệu tháng 10/2025 theo Hợp đồng số 200925/HĐTVWELOVE ký ngày 20/09/2025 HĐ số 26</t>
  </si>
  <si>
    <t>Nhận Doanh thu Dịch vụ quảng cáo và truyền thông theo Hợp đồng số 2160-2509-HDDV-SALE-1BRAND-TAMTAITRI ký ngày 10/09/2025 và Biên bản nghiệm thu ký ngày 03/10/2025 HĐ số 27</t>
  </si>
  <si>
    <t>Nhận Doanh thu Dịch vụ tư vấn quản lý tháng 10/2025 theo Hợp đồng số 03/2025/HĐ/KT-GEMARI ký ngày 04/06/2025 HĐ số 32</t>
  </si>
  <si>
    <t>Nhận Doanh thu Phí dịch vụ quản lý chiến dịch Unbox 10/2025 theo Hợp đồng số 0110/2025/HDDV – EZS X HKD TÂM TÀI TRÍ ký ngày 01/10/2025 và Biên bản nghiệm thu ký ngày 28/11/2025 HĐ số 38</t>
  </si>
  <si>
    <t>Nhận Doanh thu Dịch vụ quản lý chiến dịch Mega Livestream theo Hợp đồng số 01120/HDDV – OM X HỘ KINH DOANH TÂM TÀI TRÍ ký ngày 09/10/2025 và Biên bản nghiệm thu ký ngày 27/10/2025 HĐ số 29</t>
  </si>
  <si>
    <t>Nhận Doanh thu Dịch vụ tư vấn phát triển thương hiệu theo hợp đồng số 01102025/HĐ/WEILAIYA-HKDTTT ký ngày 01/10/2025 HĐ số 34</t>
  </si>
  <si>
    <t>Nhận Doanh thu Dịch vụ tư vấn quản lý tháng 11/2025 theo Hợp đồng số 03/2025/HĐ/KT-GEMARI ký ngày 04/06/2025 HĐ số 35</t>
  </si>
  <si>
    <t>Nhận Doanh thu Dịch vụ quản lý chất lượng video cho hoạt động quảng bá sản phẩm “Beta &amp; Vitamin B5 Serum” theo Hợp đồng số QC1010/2025/HĐQC/LPCOS - HKD TÂM TÀI TRÍ ký ngày 10/10/2025 và Biên bản nghiệm thu ký ngày 26/11/2025 HĐ số 37</t>
  </si>
  <si>
    <t>Hoàn trả Doanh thu Phí dịch vụ quản lý chiến dịch Unbox 10/2025 theo Hợp đồng số 0110/2025/HDDV – EZS X HKD TÂM TÀI TRÍ ký ngày 01/10/2025 và Biên bản nghiệm thu ký ngày 28/11/2025 HĐ số 38</t>
  </si>
  <si>
    <t>Nhận Doanh thu Dịch vụ quảng cáo và truyền thông theo Hợp đồng số 04112025/HDDV/D&amp;DxHKDTTT ký ngày 04/11/2025 HĐ số 36</t>
  </si>
  <si>
    <t>Nhận Doanh thu Dịch vụ quảng cáo và truyền thông theo Hợp đồng số 301025/HARNN-MORANH ký ngày 30/10/2025 và Biên bản nghiệm thu ký ngày 11/11/2025 HĐ số 33</t>
  </si>
  <si>
    <t>Nhận Doanh thu Dịch vụ sáng tạo nội dung, bài viết quảng cáo thương hiệu tháng 11/2025 theo Hợp đồng số 200925/HĐTVWELOVE ký ngày 20/09/2025 và Biên bản nghiệm thu ký ngày 04/12/2025 HĐ số 44</t>
  </si>
  <si>
    <t>Nhận Doanh thu Dịch vụ quảng cáo và truyền thông theo Hợp đồng số 18342025/HĐDV/Y&amp;B ký ngày 01/11/2025 HĐ số 41</t>
  </si>
  <si>
    <t>Nhận Doanh thu Phí dịch vụ quản lý Megalive 11.11 theo Hợp đồng số 0811/2025/HDDV - EZS X HKS TÂM TÀI TRÍ ký ngày 08/11/2025 kèm BBNT và TLHĐ số 0811/2025/BBNT - EZS X HKD TÂM TÀI TRÍ ký ngày 02/12/2025 HĐ số 42</t>
  </si>
  <si>
    <t>Nhận Doanh thu Dịch vụ tư vấn phát triển thương hiệu theo Hợp đồng số 04122525/T&amp;C-PAROS ký ngày 05/12/2025 HĐ số 46</t>
  </si>
  <si>
    <t>Nhận Doanh thu Dịch vụ tư vấn, xây dựng ý tưởng sản phẩn “Retinol Lifting Remix Ampoule” theo Hợp đồng số DV0211/2025/HĐHTDV/LPCOS-HKD TÂM TÀI TRÍ ký ngày 02/11/2025 và Biên bản nghiệm thu ký ngày 15/12/2025 HĐ số 47</t>
  </si>
  <si>
    <t>Nhận Doanh thu Dịch vụ tư vấn, quản lý chiến dịch truyền thông quảng bá sản phẩm theo Hợp đồng số 311125/HĐTVGGG ký ngày 01/12/2025 (Đợt 1) HĐ số 48</t>
  </si>
  <si>
    <t>Nhận Doanh thu Phí dịch vụ quản lý chiến dịch Unbox 11/2025 theo Hợp đồng số 1011/2025/HDDV – EZS X HKD TÂM TÀI TRÍ ký ngày 10/11/2025 kèm Biên bản nghiệm thu và thanh lý hợp đồng số 1011/2025/BBNT – EZS X HKD TÂM TÀI TRÍ ký ngày 10/12/2025 HĐ số 45</t>
  </si>
  <si>
    <t>Nhận Doanh thu Dịch vụ quảng cáo và truyền thông theo Hợp đồng số 3075-2511-HDDV-SALE-1BRAND-TAMTAITRI ký ngày 21/11/2025 và Biên bản nghiệm thu ký ngày 03/12/2025 HĐ số 43</t>
  </si>
  <si>
    <t>Nhận Doanh thu Dịch vụ tư vấn quản lý tháng 12/2025 theo Hợp đồng số 03/2025/HĐ/KT-GEMARI ký ngày 04/06/2025 HĐ số 49</t>
  </si>
  <si>
    <t>Nhận Doanh thu Dịch vụ quảng cáo và truyền thông theo Hợp đồng số 04122025/HDDV/DST-TAMTAITRI ký ngày 04/12/2025 kèm Biên bản nghiệm thu và thanh lý hợp đồng ký ngày 24/12/2025 HĐ số 51</t>
  </si>
  <si>
    <t>Nhận Doanh thu Phí dịch vụ quản lý theo Hợp đồng số 0812/2025/HDDV – EZS X HKD TÂM TÀI TRÍ ký ngày 08/12/2025 kèm Biên bản nghiệm thu và thanh lý số 0812/2025/BBNT – EZS X HKD TÂM TÀI TRÍ ký ngày 22/12/2025 HĐ số 50</t>
  </si>
  <si>
    <t>Nhận Doanh thu Phí dịch vụ quản lý chiến dịch Unbox 12/2025 theo Hợp đồng số 1512/2025/HDDV – EZS X HKD TÂM TÀI TRÍ ký ngày 15/12/2025 kèm Biên bản nghiệm thu và thanh lý hợp đồng số 1512/2025/BBNT – EZS X HKD TÂM TÀI TRÍ ký ngày 28/12/2025 HĐ số 52</t>
  </si>
  <si>
    <t>Nhận Doanh thu Dịch vụ tư vấn quản lý tháng 09/2025 theo Hợp đồng số 0506/2025/HĐ/KT-HKDTTT ký ngày 05/06/2025 và Biên bản nghiệm thu ký ngày 02/10/2025 HĐ số 25</t>
  </si>
  <si>
    <t>Nhận Doanh thu Dịch vụ tư vấn quản lý tháng 11/2025 theo Hợp đồng số 0506/2025/HĐ/KT-HKDTTT ký ngày 05/06/2025 và Biên bản nghiệm thu ký ngày 01/12/2025 HĐ số 39</t>
  </si>
  <si>
    <t>Doanh thu Dịch vụ tư vấn quản lý tháng 12/2025 theo Hợp đồng số 0506/2025/HĐ/KT-HKDTTT ký ngày 05/06/2025 HĐ số 53</t>
  </si>
  <si>
    <t>Điều chỉnh giảm Doanh thu Dịch vụ tư vấn quản lý tháng 12/2025 theo Hợp đồng số 0506/2025/HĐ/KT-HKDTTT ký ngày 05/06/2025 HĐ số 53</t>
  </si>
  <si>
    <t>Nhận Doanh thu Dịch vụ tư vấn quản lý tháng 12/2025 theo Hợp đồng số 0506/2025/HĐ/KT-HKDTTT ký ngày 05/06/2025 HĐ số 53</t>
  </si>
  <si>
    <t>Nhận Doanh thu Dịch vụ quảng cáo và truyền thông theo Hợp đồng số 01102025_HĐDV-HUNGTHINH-HUYNHTHUYEN ký ngày 01/10/2025 kèm Biên bản nghiệm thu và thanh lý ký ngày 28/10/2025 HĐ số 4</t>
  </si>
  <si>
    <t>Nhận Doanh thu Dịch vụ quảng cáo và truyền thông theo Hợp đồng số 84-1025/HDDV/VIGO-HUYNHTHUYEN ký ngày 01/10/2025 và Biên bản nghiệm thu ký ngày 31/10/2025 HĐ số 5</t>
  </si>
  <si>
    <t>Nhận Doanh thu Dịch vụ quảng cáo và truyền thông theo Hợp đồng số 20251021/HEIDILAND x HKD HUYNH THUYEN ký ngày 21/10/2025 và Biên bản nghiệm thu ký ngày 17/11/2025 HĐ số 7</t>
  </si>
  <si>
    <t>Nhận Doanh thu Phí dịch vụ tham gia, diễn giả và truyền thông sự kiện theo Hợp đồng số 251110/HĐHT ký ngày 15/10/2025 HĐ số 8</t>
  </si>
  <si>
    <t>Nhận Doanh thu Dịch vụ quảng cáo và truyền thông theo Hợp đồng số 11/2025/HĐ-MKT ký ngày 05/11/2025 HĐ số 6</t>
  </si>
  <si>
    <t>Nhận Doanh thu Dịch vụ quảng cáo và truyền thông theo Hợp đồng số 86-1125/HDDV/VIGO-HUYNHTHUYEN ký ngày 01/11/2025 và Biên bản nghiệm thu ký ngày 10/12/2025 HĐ số 9</t>
  </si>
  <si>
    <t>Nhận Doanh thu Dịch vụ quảng cáo và truyền thông theo Hợp đồng số 11/2025/HĐ-MKT ký ngày 05/11/2025 HĐ số 11</t>
  </si>
  <si>
    <t>Nhận Doanh thu Thanh toán 100% phí dịch vụ LRP - KOL Booking fee_Eff Advocacy Q4 - Video - Scope 1 - 3012- AWO SOW số 31030/2025/WPP-BTL-LO ID Tiktok: thuyen_huynh HĐ số 10</t>
  </si>
  <si>
    <t>Nhận Doanh thu Dịch vụ quảng cáo và truyền thông theo Hợp đồng số 02102025.HDDV.SPARKLE.HUYNHTHUYEN ký ngày 02/10/2025 và Biên bản nghiệm thu ký ngày 14/10/2025 HĐ số 3</t>
  </si>
  <si>
    <t>Hoàn tiền do khách thanh toán thừa</t>
  </si>
  <si>
    <t>Thanh toán Phí dịch vụ tư vấn tháng 09/2025 HĐ số 141</t>
  </si>
  <si>
    <t>Thanh toán Chi phí di chuyển đi lại HĐ số 15891273</t>
  </si>
  <si>
    <t>Thanh toán Phí ngân hàng HĐ số 578541</t>
  </si>
  <si>
    <t>Thanh toán Phí ngân hàng HĐ số 579270</t>
  </si>
  <si>
    <t>Thanh toán Chi phí đồ dùng văn phòng HĐ số 287396</t>
  </si>
  <si>
    <t>Thanh toán Chi phí đồ dùng văn phòng HĐ số 287397</t>
  </si>
  <si>
    <t>Thanh toán Chi phí đồ dùng văn phòng HĐ số 860006</t>
  </si>
  <si>
    <t>Thanh toán Chi phí đồ dùng văn phòng HĐ số 75555</t>
  </si>
  <si>
    <t>Thanh toán Chi phí đồ dùng văn phòng HĐ số 302640</t>
  </si>
  <si>
    <t>Thanh toán Chi phí đồ dùng văn phòng HĐ số 901364</t>
  </si>
  <si>
    <t>Thanh toán Chi phí di chuyển đi lại HĐ số 19486593</t>
  </si>
  <si>
    <t>Thanh toán Phí dịch vụ tư vấn tháng 10/2025 HĐ số 177</t>
  </si>
  <si>
    <t>Thanh toán Chi phí di chuyển đi lại HĐ số 19612176</t>
  </si>
  <si>
    <t>Thanh toán Chi phí di chuyển đi lại HĐ số 69811</t>
  </si>
  <si>
    <t>Thanh toán Chi phí đồ dùng văn phòng HĐ số 310524</t>
  </si>
  <si>
    <t>Thanh toán Phí ngân hàng HĐ số 724082</t>
  </si>
  <si>
    <t>Thanh toán Phí ngân hàng HĐ số 724363</t>
  </si>
  <si>
    <t>Thanh toán Chi phí đồ dùng văn phòng HĐ số 931072</t>
  </si>
  <si>
    <t>Thanh toán Chi phí đồ dùng văn phòng HĐ số 2697</t>
  </si>
  <si>
    <t>Thanh toán Phí dịch vụ tư vấn tháng 11/2025 HĐ số 202</t>
  </si>
  <si>
    <t>Thanh toán Điều chình giảm Chi phí di chuyển đi lại HĐ số 8945892 HĐ số 21825115</t>
  </si>
  <si>
    <t>Thanh toán Chi phí đồ dùng văn phòng HĐ số 361653</t>
  </si>
  <si>
    <t>Thiếu sao kê</t>
  </si>
  <si>
    <t>Column1</t>
  </si>
  <si>
    <t>0100150619</t>
  </si>
  <si>
    <t>Nộp tiền mặt vào tiền gửi ngân hàng</t>
  </si>
  <si>
    <t>Nhận Doanh thu dịch vụ 3CE - KOC Hub Sep - Video -Scope 3 - 3009 SOW số No. 23287/2025/WPP-BTL-LO ID Tiktok: peonyanh HĐ số 73</t>
  </si>
  <si>
    <t>Nhận Doanh thu Phí dịch vụ quảng cáo theo Hợp đồng dịch vụ số MDA/20250925/1775 ngày 25/09/2025 và Biên bản nghiệm thu và thanh lý ngày 02/10/2025 HĐ số 76</t>
  </si>
  <si>
    <t>Nhận Doanh thu Thanh toán chi phí quảng cáo cho nhãn hàng FT Vietnam theo hợp đồng dịch vụ số 0109/HKDNGOCTUANH-LAVA/NEU/2025 ký ngày 01/09/2025 và Biên bản nghiệm thu ký ngày 01/10/2025 HĐ số 75</t>
  </si>
  <si>
    <t>Nhận Doanh thu Dịch vụ quảng cáo và truyền thông theo Hợp đồng số 0109/2025/TTS/NGOCTUANH/YAMAN ký ngày 01/09/2025 và Biên bản nghiệm thu ký ngày 10/09/2025 HĐ số 69</t>
  </si>
  <si>
    <t>Nhận Doanh thu Dịch vụ quảng cáo và truyền thông theo Hợp đồng số 250915/HDDV/MIZUMI-PEONYANH-250915MIZUMI ký ngày 15/09/2025 HĐ số 78</t>
  </si>
  <si>
    <t>Nhận Doanh thu Dịch vụ quảng cáo và truyền thông theo Hợp đồng số 01102025HDDVNGOCTUANHCELIMAX ký ngày 01/10/2025 và Biên bản nghiệm thu ký ngày 13/10/2025 HĐ số 79</t>
  </si>
  <si>
    <t>Nhận Doanh thu Dịch vụ quảng cáo và truyền thông theo Hợp đồng số 2309/2025/HDDV/UNI-HKDNTA ký ngày 19/09/2025 và Biên bản nghiệm thu ký ngày 01/10/2025 HĐ số 74</t>
  </si>
  <si>
    <t>Nhận Doanh thu Thanh toán dịch vụ quảng cáo theo Biên bản nghiệm thu của Hợp đồng số 00037-2025/PMAX/SUP/NGOCTUANH ký ngày 25/09/2025 HĐ số 82</t>
  </si>
  <si>
    <t>Nhận Doanh thu Thanh toán 100% phí dịch vụ MNY - FLEX POWDER - Video - Scope 3 - 3010 - 4001492980 SOW số 25527/2025/WPP-BTL-LO ID TikTok: peonyanh HĐ số 85</t>
  </si>
  <si>
    <t>Nhận Doanh thu Thanh toán 100% phí dịch vụ VIC - VICHY COLLAGEN 16 - Livestream - Scope 2 - 3010 SOW số 25357/2025/WPP-BTL-LO ID Tiktok: peonyanh HĐ số 81</t>
  </si>
  <si>
    <t>Nhận Doanh thu Thanh toán 100% phí dịch vụ 3CE - KOC Hub Oct - Video - Scope 3 - 1010 SOW số 24357/2025/WPP-BTL-LO ID Tiktok: peonyanh HĐ số 77</t>
  </si>
  <si>
    <t>Nhận Doanh thu Phí tham dự Sự kiện ra mắt sản phẩm và sản xuất và đăng tải 01 video review Nước tẩy trang sen Hậu Giang theo hợp đồng số 13622025/HĐDV/Y&amp;B ký ngày 26/09/2025 kèm Biên bản nghiệm thu và thanh toán số 13622025/BBNT-TT/Y&amp;B ký ngày 04/11/2025 HĐ số 1</t>
  </si>
  <si>
    <t>Nhận Doanh thu Thanh toán 100% phí dịch vụ MNY - FLEX POWDER - Video - Scope 3 - 1010 SOW số 24883/2025/WPP-BTL-LO ID TikTok: peonyanh HĐ số 84</t>
  </si>
  <si>
    <t>Nhận Doanh thu Thanh toán đợt 1 theo thoả thuận hợp đồng Số. 0511/KOLs-CMV/VTD/2025 HĐ số 4</t>
  </si>
  <si>
    <t>Nhận Doanh thu Dịch vụ quảng cáo và truyền thông theo Phụ lục 1 ký ngày 14/10/2025 của Hợp đồng số 001/HD2025-GFM-KOL ký ngày 14/10/2025 và Biên bản nghiệm thu ký ngày 20/11/2025 HĐ số 5</t>
  </si>
  <si>
    <t>Nhận Doanh thu Thanh toán đợt 2 theo thoả thuận hợp đồng Số. 0511/KOLs-CMV/VTD/2025 HĐ số 7</t>
  </si>
  <si>
    <t>Nhận Doanh thu Phí dịch vụ Quảng cáo theo Hợp đồng số: 10.2025/HDDV/CD - NNTA ký ngày 17/10/2025 kèm theo Biên bản nghiệm thu và thanh lý ký ngày 20/11/2025 HĐ số 6</t>
  </si>
  <si>
    <t>Nhận Doanh thu Thanh toán 100% phí dịch vụ MNY - FLEX POWDER - Video - Scope 3 -10.11 - PO 4001492980 SOW số 27859/2025/WPP-BTL-LO ID Tiktok: peonyanh HĐ số 3</t>
  </si>
  <si>
    <t>Nhận Doanh thu Dịch vụ quảng cáo và truyền thông theo Hợp đồng số 2710/HDDV/TCELL-NGOCTUANH ký ngày 27/10/2025 và Biên bản nghiệm thu ký ngày 02/12/2025 HĐ số 8</t>
  </si>
  <si>
    <t>Nhận Doanh thu Thanh toán 100% phí dịch vụ MNY - Teddy Tint - Video - Scope 3 - 1012 SOW số 30771/2025/WPP-BTL-LO ID Tiktok: peonyanh HĐ số 9</t>
  </si>
  <si>
    <t>Nhận Doanh thu Dịch vụ Quảng cáo theo Hợp đồng số: 10.2025/HDDV/TTM - NNTA ký ngày 17/10/2025 kèm theo Biên bản nghiệm thu và thanh lý ký ngày 10/12/2025 HĐ số 10</t>
  </si>
  <si>
    <t>Nhận Doanh thu Dịch vụ quảng cáo và truyền thông theo Hợp đồng số 1511/NGOCTUANH/AMPLUSVN ký ngày 15/11/2025 HĐ số 11</t>
  </si>
  <si>
    <t>0301519977-026</t>
  </si>
  <si>
    <t>Nộp Thuế GTGT, TNCN sàn TMĐT 24/11/2025</t>
  </si>
  <si>
    <t>Thuế GTGT, TNCN sàn TMĐT 24/11/2025</t>
  </si>
  <si>
    <t>Nộp Thuế GTGT, TNCN HKD 2025/Q3</t>
  </si>
  <si>
    <t>Thanh toán Phần mềm hóa đơn điện tử (1 năm) HĐ số 89453</t>
  </si>
  <si>
    <t>Thanh toán Phí dịch vụ tư vấn tháng 09/2025 HĐ số 136</t>
  </si>
  <si>
    <t>Thanh toán Chi phí tiếp khách, ngoại giao HĐ số 3247429</t>
  </si>
  <si>
    <t>Thanh toán Phí ngân hàng HĐ số 1462396</t>
  </si>
  <si>
    <t>Thanh toán Chi phí tiếp khách, ngoại giao HĐ số 8637</t>
  </si>
  <si>
    <t>Thanh toán Chi phí tiếp khách, ngoại giao HĐ số 3397</t>
  </si>
  <si>
    <t>Thanh toán Chi phí tiếp khách, ngoại giao HĐ số 2204</t>
  </si>
  <si>
    <t>Thanh toán Phí dịch vụ tư vấn tháng 10/2025 HĐ số 160</t>
  </si>
  <si>
    <t>Thanh toán Chi phí đồ dùng văn phòng HĐ số 5251888</t>
  </si>
  <si>
    <t>Thanh toán Chi phí tiếp khách, ngoại giao HĐ số 3548081</t>
  </si>
  <si>
    <t>Thanh toán Chi phí tiếp khách, ngoại giao HĐ số 32467</t>
  </si>
  <si>
    <t>Thanh toán Chi phí tiếp khách, ngoại giao HĐ số 3458</t>
  </si>
  <si>
    <t>Thanh toán Chi phí đồ dùng văn phòng HĐ số 15149</t>
  </si>
  <si>
    <t>Thanh toán Chi phí tiếp khách, ngoại giao HĐ số 3703</t>
  </si>
  <si>
    <t>Thanh toán Phí ngân hàng HĐ số 2340623</t>
  </si>
  <si>
    <t>Thanh toán Chi phí tiếp khách, ngoại giao HĐ số 11411</t>
  </si>
  <si>
    <t>Thanh toán Chi phí tiếp khách, ngoại giao HĐ số 12159</t>
  </si>
  <si>
    <t>Thanh toán Chi phí tiếp khách, ngoại giao HĐ số 2295</t>
  </si>
  <si>
    <t>Thanh toán Phí dịch vụ tư vấn tháng 11/2025 HĐ số 183</t>
  </si>
  <si>
    <t>Thanh toán Chi phí đồ dùng văn phòng HĐ số 5857857</t>
  </si>
  <si>
    <t>Thanh toán Dịch vụ vận chuyển HĐ số 1375</t>
  </si>
  <si>
    <t>Thanh toán Chi phí tiếp khách, ngoại giao HĐ số 8415</t>
  </si>
  <si>
    <t>Thanh toán Chi phí tiếp khách, ngoại giao HĐ số 14377</t>
  </si>
  <si>
    <t>Thanh toán Chi phí tiếp khách, ngoại giao HĐ số 18628</t>
  </si>
  <si>
    <t>Nộp Thuế GTGT, TNCN sàn TMĐT 22/08/2025</t>
  </si>
  <si>
    <t>8315034952-001</t>
  </si>
  <si>
    <t>Chi phí tiếp khách, ngoại giao HĐ số 778</t>
  </si>
  <si>
    <t>Nhận Doanh thu Dịch vụ quảng cáo và truyền thông theo Hợp đồng số 250811/HDDV/BRAINAD-OTBL ký ngày 11/08/2025 và Biên bản nghiệm thu thanh lý ký ngày 08/09/2025 HĐ số 11</t>
  </si>
  <si>
    <t>Nhận Doanh thu Dịch vụ quảng cáo và truyền thông theo Hợp đồng số 2025/HDDV/VTM-ONGTHIBALONG ký ngày 19/08/2025 HĐ số 8</t>
  </si>
  <si>
    <t>Nhận Doanh thu Dịch vụ quảng cáo và truyền thông theo Hợp đồng số AME/OTBL/FIESTA/2025-HDDV-2125P ký ngày 09/09/2025 và Biên bản nghiệm thu ký ngày 25/09/2025 HĐ số 17</t>
  </si>
  <si>
    <t>0315441181</t>
  </si>
  <si>
    <t>Nhận Doanh thu Dịch vụ quảng cáo và truyền thông theo Hợp đồng số 861108202501/HDDV/RV/KOL ký ngày 01/08/2025 và Biên bản nghiệm thu ký ngày 25/09/2025 HĐ số 18</t>
  </si>
  <si>
    <t>Nhận Doanh thu Phí dịch vụ quảng cáo theo Hợp đồng số MDA/20250924/1761 ngày 01/09/2025 và Biên bản nghiệm thu và thanh lý ngày 15/10/2025 HĐ số 28</t>
  </si>
  <si>
    <t>Nhận Doanh thu Dịch vụ quảng cáo và truyền thông theo Hợp đồng số 22692025-SSMB/KOL ký ngày 26/09/2025 HĐ số 34</t>
  </si>
  <si>
    <t>Nhận Doanh thu Dịch vụ quảng cáo và truyền thông theo Hợp đồng số MSS-NTTT/011025/HDDV ký ngày 01/10/2025 và Biên bản nghiệm thu và thanh lý hợp đồng ký ngày 17/10/2025 HĐ số 29</t>
  </si>
  <si>
    <t>Nhận Doanh thu Dịch vụ quảng cáo và truyền thông theo Hợp đồng số AMV/HKD ONG THI BA LONG/MSD HARIWON CAMPAIGN/2025-HDDV-1936P ký ngày 21/08/2025 và Biên bản nghiệm thu ký ngày 31/10/2025 HĐ số 36</t>
  </si>
  <si>
    <t>Nhận Doanh thu Dịch vụ quảng cáo và truyền thông theo Hợp đồng số 364/2025/HDDV – TM ký ngày 14/08/2025 và Biên bản nghiệm thu ký ngày 16/09/2025 HĐ số 16</t>
  </si>
  <si>
    <t>0318723201</t>
  </si>
  <si>
    <t>Nhận Doanh thu Dịch vụ quảng cáo và truyền thông theo Hợp đồng số 11092025/HĐDV-VF-OTBL ký ngày 11/09/2025 (Đợt 1) HĐ số 23</t>
  </si>
  <si>
    <t>Nhận Doanh thu Dịch vụ quảng cáo và truyền thông theo Hợp đồng số GG-TC2025-DK-GTM-02 ký ngày 11/09/2025 và Biên bản nghiệm thu ký ngày 09/10/2025 HĐ số 26</t>
  </si>
  <si>
    <t>Nhận Doanh thu Dịch vụ quảng cáo và truyền thông theo Hợp đồng số AMV/TROXX&amp;LACCI/CANESBALANCE/2025-HDDV-1983P ký ngày 01/08/2025 và Biên bản nghiệm thu ký ngày 01/10/2025 HĐ số 20</t>
  </si>
  <si>
    <t>Nhận Doanh thu Dịch vụ quảng cáo và truyền thông theo Hợp đồng số 0810.67/HDDV/KOL/HKD.OTBL-NBN ký ngày 13/10/2025 và Biên bản nghiệm thu ký ngày 27/10/2025 HĐ số 35</t>
  </si>
  <si>
    <t>Nhận Doanh thu Dịch vụ quảng cáo và truyền thông theo Hợp đồng số 0509/HDDV-2025/REDAMO-ONGTHIBALONG/BEPLAIN ký ngày 05/09/2025 và Biên bản nghiệm thu ký ngày 07/10/2025 HĐ số 22</t>
  </si>
  <si>
    <t>Nhận Doanh thu Dịch vụ quảng cáo và truyền thông theo Hợp đồng số AMV/ONG THI BA LONG/SHELL CITY/2025-HDDV-2154P ký ngày 29/08/2025 và Biên bản nghiệm thu ký ngày 03/10/2025 HĐ số 21</t>
  </si>
  <si>
    <t>Nhận Doanh thu Dịch vụ quảng cáo và truyền thông theo Hợp đồng số FINTVN-ATTENIR1-2025-26 ký ngày 10/09/2025 và Biên bản nghiệm thu ký ngày 09/10/2025 HĐ số 27</t>
  </si>
  <si>
    <t>Nhận Doanh thu Dịch vụ quảng cáo và truyền thông theo Hợp đồng số HDDV/ONGTHIBALONG/LOTTECHOCOLAT/23092025 ký ngày 23/09/2025 và Biên bản nghiệm thu ký ngày 13/11/2025 HĐ số 42</t>
  </si>
  <si>
    <t>Dịch vụ quảng cáo và truyền thông theo Hợp đồng số 31102025/HDDV/UPBASE-KEYSHU-ONGTHISLAY ký ngày 31/10/2025 và Biên bản nghiệm thu ký ngày 12/11/2025 HĐ số 39</t>
  </si>
  <si>
    <t>Nhận Doanh thu Dịch vụ quảng cáo và truyền thông theo Hợp đồng số 536-2510-HDDV-VY25147-Y1N-NLHL ký ngày 20/10/2025 và Biên bản nghiệm thu ký ngày 12/11/2025 HĐ số 40</t>
  </si>
  <si>
    <t>Nhận Doanh thu Dịch vụ quảng cáo và truyền thông theo Hợp đồng số 25092025/TLC-OTBL ký ngày 25/09/2025 và Biên bản nghiệm thu ký ngày 20/10/2025 HĐ số 30</t>
  </si>
  <si>
    <t>Nhận Doanh thu Dịch vụ quảng cáo và truyền thông theo Hợp đồng số HĐ/660/2025/MMUSIC ký ngày 16/09/2025 và Biên bản nghiệm thu ký ngày 20/10/2025 HĐ số 31</t>
  </si>
  <si>
    <t>Nhận Doanh thu Thanh toán 100% phí dịch vụ LAN - Genifique Repush - Video - Scope 2 - 1010 SOW số 24600/2025/WPP-BTL-LO ID Tiktok: ongthibalong HĐ số 38</t>
  </si>
  <si>
    <t>Nhận Doanh thu Chi phí cung cấp dịch vụ cho nhãn hàng Comfort theo hợp đồng số 0309/2025/HĐDV - SOFT/BNT - OTBL HĐ số 37</t>
  </si>
  <si>
    <t>Nộp Chi phí bảo hiểm</t>
  </si>
  <si>
    <t>Nhận Doanh thu Dịch vụ quảng cáo và truyền thông theo Hợp đồng số 3008025/HĐDV-SE-ONGTHIBALONG ký ngày 30/08/2025 và Biên bản nghiệm thu ký ngày 23/10/2025 HĐ số 33</t>
  </si>
  <si>
    <t>Nhận Doanh thu Dịch vụ quảng cáo và truyền thông theo Hợp đồng số 07102025_HĐDV-HUNGTHINH-ONGTHIBALONG ký ngày 07/10/2025 HĐ số 45</t>
  </si>
  <si>
    <t>Nhận Doanh thu Dịch vụ quảng cáo và truyền thông theo Hợp đồng số HDDVQC/20251110/MANNY&amp;ONGTHIBALONG ký ngày 10/11/2025 (Đợt 1) HĐ số 47</t>
  </si>
  <si>
    <t>Nhận Doanh thu Dịch vụ quảng cáo và truyền thông theo Hợp đồng số 25112025/HĐDV-OTBL-TKY ký ngày 25/11/2025 và Biên bản nghiệm thu ký ngày 18/12/2025 HĐ số 51</t>
  </si>
  <si>
    <t>Nhận Doanh thu Phí dịch vụ sử dụng hình ảnh theo Hợp đồng số 16122025_HĐDV-SDHA-OTBL ký ngày 16/12/2025 HĐ số 49</t>
  </si>
  <si>
    <t>Nhận Doanh thu Dịch vụ quảng cáo và truyền thông theo Hợp đồng số 211025/HDDV/NIVEADOUBLECLEASING/ICON-ONGTHIBALONG ký ngày 21/10/2025 và Biên bản nghiệm thu ký ngày 02/12/2025 HĐ số 44</t>
  </si>
  <si>
    <t>Nhận Doanh thu Dịch vụ quảng cáo và truyền thông theo Hợp đồng số HD235/2025/HĐDV/VPBANK-NOVAON/OngThiBaLong ký ngày 01/10/2025 và Biên bản nghiệm thu ký ngày 20/11/2025 HĐ số 43</t>
  </si>
  <si>
    <t>Nhận Doanh thu Dịch vụ quảng cáo và truyền thông theo Hợp đồng số 11092025/HĐDV-VF-OTBL ký ngày 11/09/2025 (Đợt 2) và Biên bản nghiệm thu ký ngày 12/11/2025 HĐ số 41</t>
  </si>
  <si>
    <t>Nhận Doanh thu Dịch vụ quảng cáo và truyền thông theo Hợp đồng số 19112025/HDDV-K&amp;K-ONGTHIBALONG-MINISO ký ngày 18/08/2025 và Biên bản nghiệm thu ký ngày 05/12/2025 HĐ số 46</t>
  </si>
  <si>
    <t>Thanh toán Phí dịch vụ tư vấn tháng 09/2025 HĐ số 142</t>
  </si>
  <si>
    <t>Thanh toán Chi phí đồ dùng văn phòng HĐ số 22506</t>
  </si>
  <si>
    <t>Thanh toán Chi phí đồ dùng văn phòng HĐ số 22507</t>
  </si>
  <si>
    <t>Thanh toán Chi phí tiếp khách, ngoại giao HĐ số 778</t>
  </si>
  <si>
    <t>Thanh toán Phí dịch vụ Affiliate 10/2025_17340290023 HĐ số 1669217</t>
  </si>
  <si>
    <t>Thanh toán Chi phí tiếp khách, ngoại giao HĐ số 16608</t>
  </si>
  <si>
    <t>Thanh toán Chi phí đồ dùng văn phòng HĐ số 7269</t>
  </si>
  <si>
    <t>Thanh toán Chi phí tiếp khách, ngoại giao HĐ số 40484</t>
  </si>
  <si>
    <t>Thanh toán Phí dịch vụ tư vấn tháng 10/2025 HĐ số 173</t>
  </si>
  <si>
    <t>Thanh toán Chi phí tiếp khách, ngoại giao HĐ số 3111</t>
  </si>
  <si>
    <t>Thanh toán Chi phí tiếp khách, ngoại giao HĐ số 4354</t>
  </si>
  <si>
    <t>Thanh toán Chi phí đồ dùng văn phòng HĐ số 10287</t>
  </si>
  <si>
    <t>Thanh toán Chi phí tiếp khách, ngoại giao HĐ số 3789649</t>
  </si>
  <si>
    <t>Thanh toán Chi phí tiếp khách, ngoại giao HĐ số 3823339</t>
  </si>
  <si>
    <t>Thanh toán Phí dịch vụ tư vấn tháng 11/2025 HĐ số 193</t>
  </si>
  <si>
    <t>Thanh toán Chi phí tiếp khách, ngoại giao HĐ số 1166184</t>
  </si>
  <si>
    <t>Thanh toán Chi phí đồ dùng văn phòng HĐ số 5309</t>
  </si>
  <si>
    <t>Thanh toán Chi phí tiếp khách, ngoại giao HĐ số 4044101</t>
  </si>
  <si>
    <t>Thanh toán Chi phí tiếp khách, ngoại giao HĐ số 8132</t>
  </si>
  <si>
    <t>Thanh toán Chi phí đồ dùng văn phòng HĐ số 647</t>
  </si>
  <si>
    <t>Thanh toán Chi phí đồ dùng văn phòng HĐ số 356491</t>
  </si>
  <si>
    <t>Thanh toán Chi phí tiếp khách, ngoại giao HĐ số 466</t>
  </si>
  <si>
    <t>Thanh toán Chi phí tiếp khách, ngoại giao HĐ số 12064</t>
  </si>
  <si>
    <t>Hoàn trả tiền chuyển khoản nhầm</t>
  </si>
  <si>
    <t>Điều chỉnh giảm Doanh thu Dịch vụ quảng cáo và truyền thông theo Hợp đồng số AMV/HKD ONG THI BA LONG/MSD HARIWON CAMPAIGN/2025-HDDV-1936P HĐ số 36</t>
  </si>
  <si>
    <t>Doanh thu Dịch vụ quảng cáo và truyền thông theo Hợp đồng số ATV/ÔNG THỈ BÀ LONG/CAM0075849/DUREX POME NOV25/Service Contract/2025-0016P HĐ số 54</t>
  </si>
  <si>
    <t>Điều chỉnh giảm Doanh thu Dịch vụ quảng cáo và truyền thông theo Hợp đồng số ATV/ÔNG THỈ BÀ LONG/CAM0075849/DUREX POME NOV25/Service Contract/2025-0016P HĐ số 54</t>
  </si>
  <si>
    <t>Điều chỉnh giảm Doanh thu Dịch vụ quảng cáo và truyền thông theo Hợp đồng số HDDVQC/20251110/MANNY&amp;ONGTHIBALONG HĐ số 56</t>
  </si>
  <si>
    <t>Điều chỉnh giảm Doanh thu Phí sử dụng hình ảnh theo Hợp đồng số AMV/ONG THI BA LONG/CAM0075784/CANESBALANCE HCP/Service Contract/2025-0113P HĐ số 57</t>
  </si>
  <si>
    <t>Doanh thu Dịch vụ quảng cáo và truyền thông theo Hợp đồng số AMV/ÔNG THỈ BÀ LONG/CAM0074911/Omnicom-Philips/Service Contract/2025-0048P HĐ số 61</t>
  </si>
  <si>
    <t>Điều chỉnh giảm Doanh thu Dịch vụ quảng cáo và truyền thông theo Hợp đồng số AMV/ÔNG THỈ BÀ LONG/CAM0074911/Omnicom-Philips/Service Contract/2025-0048P HĐ số 61</t>
  </si>
  <si>
    <t>Doanh thu Dịch vụ quảng cáo và truyền thông theo Hợp đồng số AMV/ÔNG THỈ BÀ LONG/CAM0074142/SHELL Q4 PROMO/Service Contract/2025-0040P HĐ số 62</t>
  </si>
  <si>
    <t>Điều chỉnh giảm Doanh thu Dịch vụ quảng cáo và truyền thông theo Hợp đồng số AMV/ÔNG THỈ BÀ LONG/CAM0074142/SHELL Q4 PROMO/Service Contract/2025-0040P HĐ số 62</t>
  </si>
  <si>
    <t>Độ dài diễn giải</t>
  </si>
  <si>
    <t>Nhận Doanh thu Dịch vụ quảng cáo và truyền thông theo Hợp đồng số HDDV/VNMxVĐxHKDOTBL/290825 kýngày 29/08/2025 và Biên bản nghiệm thu ký ngày 26/09/2025 HĐ số 19</t>
  </si>
  <si>
    <t>Đã hạch toán</t>
  </si>
  <si>
    <t>Thanh toán Phí dịch vụ tư vấn tháng 09/2025 HĐ số 131</t>
  </si>
  <si>
    <t>Thanh toán Phí dịch vụ Affiliate 09/2025_17357950148 HĐ số 959533</t>
  </si>
  <si>
    <t>Thanh toán Chi phí tiếp khách, ngoại giao HĐ số 107</t>
  </si>
  <si>
    <t>Thanh toán Chi phí tiếp khách, ngoại giao HĐ số 28446</t>
  </si>
  <si>
    <t>Thanh toán Chi phí di chuyển, đi lại HĐ số 37918849</t>
  </si>
  <si>
    <t>Thanh toán Chi phí di chuyển, đi lại HĐ số 42877727</t>
  </si>
  <si>
    <t>Thanh toán Chi phí tiếp khách, ngoại giao HĐ số 372</t>
  </si>
  <si>
    <t>Thanh toán Chi phí di chuyển, đi lại HĐ số 41121624</t>
  </si>
  <si>
    <t>Thanh toán Chi phí di chuyển, đi lại HĐ số 44090816</t>
  </si>
  <si>
    <t>Thanh toán Chi phí di chuyển, đi lại HĐ số 44116623</t>
  </si>
  <si>
    <t>Thanh toán Chi phí tiếp khách, ngoại giao HĐ số 35792</t>
  </si>
  <si>
    <t>Thanh toán Chi phí di chuyển, đi lại HĐ số 44650617</t>
  </si>
  <si>
    <t>Thanh toán Chi phí di chuyển, đi lại HĐ số 44676252</t>
  </si>
  <si>
    <t>Thanh toán Chi phí đồ dùng văn phòng HĐ số 856082</t>
  </si>
  <si>
    <t>Thanh toán Chi phí di chuyển, đi lại HĐ số 46939476</t>
  </si>
  <si>
    <t>Thanh toán Chi phí di chuyển, đi lại HĐ số 47028172</t>
  </si>
  <si>
    <t>Thanh toán Phí dịch vụ tư vấn tháng 10/2025 HĐ số 162</t>
  </si>
  <si>
    <t>Thanh toán Phí dịch vụ Affiliate 10/2025_17357950148 HĐ số 1071344</t>
  </si>
  <si>
    <t>Thanh toán Chi phí tiếp khách, ngoại giao HĐ số 3767638</t>
  </si>
  <si>
    <t>Thanh toán Phí dịch vụ tư vấn tháng 11/2025 HĐ số 192</t>
  </si>
  <si>
    <t>Thanh toán Phí dịch vụ Affiliate 11/2025_17357950148 HĐ số 1739599</t>
  </si>
  <si>
    <t>Thanh toán Chi phí di chuyển, đi lại HĐ số 59888367</t>
  </si>
  <si>
    <t>Thanh toán Chi phí di chuyển, đi lại HĐ số 60317581</t>
  </si>
  <si>
    <t>Thanh toán Chi phí di chuyển, đi lại HĐ số 60475130</t>
  </si>
  <si>
    <t>Thanh toán Chi phí đồ dùng văn phòng HĐ số 12690948</t>
  </si>
  <si>
    <t>Thanh toán Chi phí tiếp khách, ngoại giao HĐ số 2859</t>
  </si>
  <si>
    <t>Thanh toán Chi phí di chuyển, đi lại HĐ số 63382019</t>
  </si>
  <si>
    <t>Thanh toán Chi phí di chuyển, đi lại HĐ số 63505073</t>
  </si>
  <si>
    <t>Thanh toán Chi phí di chuyển, đi lại HĐ số 63534270</t>
  </si>
  <si>
    <t>Thanh toán Chi phí di chuyển, đi lại HĐ số 64493576</t>
  </si>
  <si>
    <t>Thanh toán Chi phí di chuyển, đi lại HĐ số 64583681</t>
  </si>
  <si>
    <t>Thanh toán Chi phí tiếp khách, ngoại giao HĐ số 6979</t>
  </si>
  <si>
    <t>Thanh toán Chi phí tiếp khách, ngoại giao HĐ số 6980</t>
  </si>
  <si>
    <t>Thanh toán Chi phí tiếp khách, ngoại giao HĐ số 2049</t>
  </si>
  <si>
    <t>Thanh toán Chi phí tiếp khách, ngoại giao HĐ số 2375</t>
  </si>
  <si>
    <t>Thanh toán Chi phí tiếp khách, ngoại giao HĐ số 2165</t>
  </si>
  <si>
    <t>Thanh toán Chi phí tiếp khách, ngoại giao HĐ số 4176185</t>
  </si>
  <si>
    <t>Chuyển tiền nhầm đối tượng</t>
  </si>
  <si>
    <t>Nhận Doanh thu Cung cấp dịch vụ quảng cáo đợt 2 theo hợp đồng số HĐ/1598/2025/VNNL ký ngày 05/09/2025 kèm biên bản nghiệm thu và thanh lý ký ngày 14/10/2025 HĐ số 11</t>
  </si>
  <si>
    <t>Hoàn tiền chuyển khoản nhầm</t>
  </si>
  <si>
    <t>Nhận Doanh thu Dịch vụ quảng cáo và truyền thông theo Hợp đồng số 250825/HĐDV/APERIRE-XUANNHI ký ngày 25/08/2025 và Biên bản nghiệm thu ký ngày 26/09/2025 HĐ số 6</t>
  </si>
  <si>
    <t>Nhận Doanh thu Dịch vụ quảng cáo theo hợp đồng số 01092025/HDDV­-GSLAY.XUANNHI ký ngày 01/09/2025 kèm Biên bản nghiệm thu và thanh lý hợp đồng ký ngày 03/10/2025 HĐ số 8</t>
  </si>
  <si>
    <t>Nhận Doanh thu Dịch vụ quảng cáo và truyền thông theo Hợp đồng số SG-NXN-HDDV-180925 ký ngày 23/09/2025 và Biên bản nghiệm thu ký ngày 14/10/2025 HĐ số 10</t>
  </si>
  <si>
    <t>Doanh thu hoa hồng tiếp thị liên kết</t>
  </si>
  <si>
    <t>Nhận Doanh thu hoa hồng tiếp thị liên kết</t>
  </si>
  <si>
    <t>Nhận Doanh thu Dịch vụ quảng cáo và truyền thông theo Hợp đồng số 14412025/HĐDV/Y&amp;B ký ngày 30/09/2025 kèm Biên bản nghiệm thu và thanh toán số 14412025/BBNT-TT/Y&amp;B ký ngày 20/10/2025 HĐ số 15</t>
  </si>
  <si>
    <t>Nhận Doanh thu Dịch vụ quảng cáo và truyền thông theo Hợp đồng số HDDV17102025 ký ngày 17/10/2025 và Biên bản nghiệm thu ký ngày 24/10/2025 HĐ số 16</t>
  </si>
  <si>
    <t>Nhận Doanh thu Dịch vụ quảng cáo và truyền thông theo Hợp đồng số 20250919/ MEISHANG x HKDNGOCXUANNHI ký ngày 03/09/2025 và Biên bản nghiệm thu ký ngày 24/09/2025 HĐ số 2</t>
  </si>
  <si>
    <t>Nhận Doanh thu Dịch vụ quảng cáo theo Hợp đồng số 10/16092025/HDDV/MS-NXH ký ngày 16/09/2025 kèm Biên bản nghiệm thu và thanh lý Hợp đồng HĐ số 17</t>
  </si>
  <si>
    <t>Nhận Doanh thu Dịch vụ quảng cáo và truyền thông theo Hợp đồng số T03T25HDDV-0040-1173 XUANNHILAMGIDO ký ngày 08/10/2025 và Biên bản nghiệm thu ký ngày 20/10/2025 HĐ số 14</t>
  </si>
  <si>
    <t>Nhận Doanh thu Dịch vụ quảng cáo và truyền thông theo Hợp đồng số 2508/2025/HDDV-LEMONADE.XUANNHI ký ngày 25/08/2025 và Biên bản nghiệm thu ký ngày 25/09/2025 HĐ số 4</t>
  </si>
  <si>
    <t>Nhận Doanh thu Dịch vụ quảng cáo và truyền thông theo Hợp đồng số 770/2025/HDDV/OQR ký ngày 10/11/2025 và Biên bản nghiệm thu ký ngày 20/11/2025 HĐ số 25</t>
  </si>
  <si>
    <t>Nhận Doanh thu Dịch vụ quảng cáo theo hợp đồng số 01102025/HDDV­-GSLAY.XUANNHI ký ngày 01/10/2025 kèm Biên bản nghiệm thu và thanh lý hợp đồng ký ngày 17/10/2025 HĐ số 13</t>
  </si>
  <si>
    <t>Nhận Doanh thu Dịch vụ quảng cáo và truyền thông theo Hợp đồng số 714/HĐQC-2025 ký ngày 05/11/2025 và Biên bản nghiệm thu ký ngày 27/11/2025 HĐ số 28</t>
  </si>
  <si>
    <t>Nhận Doanh thu Dịch vụ quảng cáo và truyền thông theo Hợp đồng số TP1125-HanFias/xuannhilamgido ký ngày 21/11/2025 và Biên bản nghiệm thu ký ngày 25/11/2025 HĐ số 27</t>
  </si>
  <si>
    <t>Nhận Doanh thu Dịch vụ quảng cáo và truyền thông theo Hợp đồng số 841/2025/HDDV/OQR ký ngày 27/11/2025 và Biên bản nghiệm thu ký ngày 02/12/2025 HĐ số 31</t>
  </si>
  <si>
    <t>Nhận Doanh thu Phí cung cấp dịch vụ quảng cáo theo hợp đồng số HĐ/2000/2025/VNNL ký ngày 23/10/2025 kèm biên bản nghiệm thu và thanh lý ký ngày 18/11/2025 HĐ số 24</t>
  </si>
  <si>
    <t>Nhận Doanh thu Dịch vụ quảng cáo và truyền thông theo Hợp đồng số 3010/2025/HDDV/UNI-HKDNXN ký ngày 27/10/2025 và Biên bản nghiệm thu ký ngày 08/12/2025 HĐ số 32</t>
  </si>
  <si>
    <t>Nhận Doanh thu Dịch vụ quảng cáo và truyền thông theo Hợp đồng số 894/2025/HDDV/OQR ký ngày 09/12/2025 kèm Biên bản nghiệm thu và thanh lý số 894.01/2025/BBNT/OQR ký ngày 19/12/2025 HĐ số 35</t>
  </si>
  <si>
    <t>Nhận Doanh thu Dịch vụ quảng cáo và truyền thông theo Hợp đồng số 533KOC/12.25/HĐDV ký ngày 01/12/2025 và Biên bản nghiệm thu ký ngày 18/12/2025 HĐ số 34</t>
  </si>
  <si>
    <t>Nhận Doanh thu Dịch vụ quảng cáo và truyền thông theo Hợp đồng số 08/12/2025/HĐDV-SE-ANESSA-XUANNHI ký ngày 08/12/2025 và Biên bản nghiệm thu ký ngày 09/12/2025 HĐ số 33</t>
  </si>
  <si>
    <t>Nhận Dịch vụ quảng cáo và truyền thông theo Hợp đồng số MOK - xuannhilamgido - V - 2025 - 09/HĐHTKD ký ngày 19/09/2025 và Biên bản nghiệm thu ký ngày 25/09/2025 HĐ số 3</t>
  </si>
  <si>
    <t>Nhận Doanh thu Dịch vụ quảng cáo và truyền thông theo Hợp đồng số MOK - xuannhilamgido - V - 2025 - 11/HĐHTKD ký ngày 01/11/2025 và Biên bản nghiệm thu ký ngày 03/11/2025 HĐ số 19</t>
  </si>
  <si>
    <t>Doanh thu Dịch vụ quảng cáo và truyền thông theo Phụ lục yêu cầu số 02 ký ngày 01/10/2025 của Hợp đồng nguyên tắc số HD/01092025/WV-XUANNHILAMGIDO HĐ số 9</t>
  </si>
  <si>
    <t>Điều chỉnh giảm Doanh thu Dịch vụ quảng cáo và truyền thông theo Phụ lục yêu cầu số 02 ký ngày 01/10/2025 của Hợp đồng nguyên tắc số HD/01092025/WV-XUANNHILAMGIDO HĐ số 9</t>
  </si>
  <si>
    <t>Doanh thu Dịch vụ quảng cáo và truyền thông theo Phụ lục yêu cầu số 03 ký ngày 01/10/2025 của Hợp đồng nguyên tắc số HD/01092025/WV-XUANNHILAMGIDO HĐ số 12</t>
  </si>
  <si>
    <t>Điều chỉnh giảm Doanh thu Dịch vụ quảng cáo và truyền thông theo Phụ lục yêu cầu số 03 ký ngày 01/10/2025 của Hợp đồng nguyên tắc số HD/01092025/WV-XUANNHILAMGIDO HĐ số 12</t>
  </si>
  <si>
    <t>Điều chỉnh giảm Doanh thu Dịch vụ quảng cáo và truyền thông theo Hợp đồng số 14412025/HĐDV/Y&amp;B ký ngày 30/09/2025 HĐ số 15</t>
  </si>
  <si>
    <t>Doanh thu Dịch vụ quảng cáo và truyền thông theo Hợp đồng số HĐQC-2025 ký ngày 15/10/2025 và Biên bản nghiệm thu ký ngày 03/11/2025 HĐ số 18</t>
  </si>
  <si>
    <t>Điều chỉnh giảm Doanh thu Dịch vụ quảng cáo và truyền thông theo Hợp đồng số HĐQC-2025 ký ngày 15/10/2025 và Biên bản nghiệm thu ký ngày 03/11/2025 HĐ số 18</t>
  </si>
  <si>
    <t>Doanh thu Dịch vụ quảng cáo và truyền thông theo Phụ lục yêu cầu số 05 ký ngày 10/10/2025 của Hợp đồng nguyên tắc số HD/01092025/WV-XUANNHILAMGIDO HĐ số 21</t>
  </si>
  <si>
    <t>Điều chỉnh giảm Doanh thu Dịch vụ quảng cáo và truyền thông theo Phụ lục yêu cầu số 05 ký ngày 10/10/2025 của Hợp đồng nguyên tắc số HD/01092025/WV-XUANNHILAMGIDO HĐ số 21</t>
  </si>
  <si>
    <t>Doanh thu Dịch vụ quảng cáo và truyền thông theo Phụ lục yêu cầu số 04 ký ngày 10/10/2025 của Hợp đồng nguyên tắc số HD/01092025/WV-XUANNHILAMGIDO HĐ số 22</t>
  </si>
  <si>
    <t>Điều chỉnh giảm Doanh thu Dịch vụ quảng cáo và truyền thông theo Phụ lục yêu cầu số 04 ký ngày 10/10/2025 của Hợp đồng nguyên tắc số HD/01092025/WV-XUANNHILAMGIDO HĐ số 22</t>
  </si>
  <si>
    <t>Doanh thu Dịch vụ quảng cáo và truyền thông theo Phụ lục yêu cầu số 06 ký ngày 10/10/2025 của Hợp đồng nguyên tắc số HD/01092025/WV-XUANNHILAMGIDO HĐ số 23</t>
  </si>
  <si>
    <t>Điều chỉnh giảm Doanh thu Dịch vụ quảng cáo và truyền thông theo Phụ lục yêu cầu số 06 ký ngày 10/10/2025 của Hợp đồng nguyên tắc số HD/01092025/WV-XUANNHILAMGIDO HĐ số 23</t>
  </si>
  <si>
    <t>Doanh thu Dịch vụ quảng cáo và truyền thông theo Phụ lục yêu cầu số 07 ký ngày 10/11/2025 của Hợp đồng nguyên tắc số HD/01092025/WV-XUANNHILAMGIDO HĐ số 26</t>
  </si>
  <si>
    <t>Điều chỉnh giảm Doanh thu Dịch vụ quảng cáo và truyền thông theo Phụ lục yêu cầu số 07 ký ngày 10/11/2025 của Hợp đồng nguyên tắc số HD/01092025/WV-XUANNHILAMGIDO HĐ số 26</t>
  </si>
  <si>
    <t>Doanh thu Dịch vụ quảng cáo và truyền thông theo Phụ lục yêu cầu số 08 ký ngày 10/11/2025 của Hợp đồng nguyên tắc số HD/01092025/WV-XUANNHILAMGIDO HĐ số 29</t>
  </si>
  <si>
    <t>Điều chỉnh giảm Doanh thu Dịch vụ quảng cáo và truyền thông theo Phụ lục yêu cầu số 08 ký ngày 10/11/2025 của Hợp đồng nguyên tắc số HD/01092025/WV-XUANNHILAMGIDO HĐ số 29</t>
  </si>
  <si>
    <t>Doanh thu Dịch vụ quảng cáo và truyền thông theo Phụ lục yêu cầu số 09 ký ngày 10/11/2025 của Hợp đồng nguyên tắc số HD/01092025/WV-XUANNHILAMGIDO HĐ số 30</t>
  </si>
  <si>
    <t>Điều chỉnh giảm Doanh thu Dịch vụ quảng cáo và truyền thông theo Phụ lục yêu cầu số 09 ký ngày 10/11/2025 của Hợp đồng nguyên tắc số HD/01092025/WV-XUANNHILAMGIDO HĐ số 30</t>
  </si>
  <si>
    <t>Điều chỉnh giảm Doanh thu Dịch vụ quảng cáo và truyền thông theo Hợp đồng số 894/2025/HDDV/OQR ký ngày 09/12/2025 HĐ số 35</t>
  </si>
  <si>
    <t>Doanh thu Dịch vụ quảng cáo và truyền thông theo Phụ lục yêu cầu số 10 ký ngày 20/11/2025 của Hợp đồng nguyên tắc số HD/01092025/WV-XUANNHILAMGIDO HĐ số 36</t>
  </si>
  <si>
    <t>Điều chỉnh giảm Doanh thu Dịch vụ quảng cáo và truyền thông theo Phụ lục yêu cầu số 10 ký ngày 20/11/2025 của Hợp đồng nguyên tắc số HD/01092025/WV-XUANNHILAMGIDO HĐ số 36</t>
  </si>
  <si>
    <t>Doanh thu Dịch vụ quảng cáo và truyền thông theo Phụ lục yêu cầu số 11 ký ngày 20/11/2025 của Hợp đồng nguyên tắc số HD/01092025/WV-XUANNHILAMGIDO HĐ số 37</t>
  </si>
  <si>
    <t>Điều chỉnh giảm Doanh thu Dịch vụ quảng cáo và truyền thông theo Phụ lục yêu cầu số 11 ký ngày 20/11/2025 của Hợp đồng nguyên tắc số HD/01092025/WV-XUANNHILAMGIDO HĐ số 37</t>
  </si>
  <si>
    <t>Doanh thu Dịch vụ quảng cáo và truyền thông theo Hợp đồng số 714/HĐQC-2025 ký ngày 03/11/2025 và Biên bản nghiệm thu ký ngày 26/12/2025 HĐ số 40</t>
  </si>
  <si>
    <t>Điều chỉnh giảm Doanh thu Dịch vụ quảng cáo và truyền thông theo Hợp đồng số 714/HĐQC-2025 ký ngày 03/11/2025 và Biên bản nghiệm thu ký ngày 26/12/2025 HĐ số 40</t>
  </si>
  <si>
    <t>Nhận Doanh thu Dịch vụ quảng cáo và truyền thông theo Phụ lục yêu cầu số 02 ký ngày 01/10/2025 của Hợp đồng nguyên tắc số HD/01092025/WV-XUANNHILAMGIDO HĐ số 9</t>
  </si>
  <si>
    <t>Nhận Doanh thu Dịch vụ quảng cáo và truyền thông theo Phụ lục yêu cầu số 03 ký ngày 01/10/2025 của Hợp đồng nguyên tắc số HD/01092025/WV-XUANNHILAMGIDO HĐ số 12</t>
  </si>
  <si>
    <t>Nhận Doanh thu Dịch vụ quảng cáo và truyền thông theo Phụ lục yêu cầu số 05 ký ngày 10/10/2025 của Hợp đồng nguyên tắc số HD/01092025/WV-XUANNHILAMGIDO HĐ số 21</t>
  </si>
  <si>
    <t>Nhận Doanh thu Dịch vụ quảng cáo và truyền thông theo Phụ lục yêu cầu số 06 ký ngày 10/10/2025 của Hợp đồng nguyên tắc số HD/01092025/WV-XUANNHILAMGIDO HĐ số 23</t>
  </si>
  <si>
    <t>Hoàn tiền Doanh thu Dịch vụ quảng cáo và truyền thông theo Phụ lục yêu cầu số 03 ký ngày 01/10/2025 của Hợp đồng nguyên tắc số HD/01092025/WV-XUANNHILAMGIDO HĐ số 12</t>
  </si>
  <si>
    <t>Hoàn tiền Doanh thu Dịch vụ quảng cáo và truyền thông theo Phụ lục yêu cầu số 05 ký ngày 10/10/2025 của Hợp đồng nguyên tắc số HD/01092025/WV-XUANNHILAMGIDO HĐ số 21</t>
  </si>
  <si>
    <t>Hoàn tiền Doanh thu Dịch vụ quảng cáo và truyền thông theo Phụ lục yêu cầu số 06 ký ngày 10/10/2025 của Hợp đồng nguyên tắc số HD/01092025/WV-XUANNHILAMGIDO HĐ số 23</t>
  </si>
  <si>
    <t>Nhận Doanh thu Dịch vụ quảng cáo và truyền thông theo Hợp đồng số HĐQC-2025 ký ngày 15/10/2025 và Biên bản nghiệm thu ký ngày 03/11/2025 HĐ số 18</t>
  </si>
  <si>
    <t>Nhận Doanh thu Dịch vụ quảng cáo và truyền thông theo Phụ lục yêu cầu số 07 ký ngày 10/11/2025 của Hợp đồng nguyên tắc số HD/01092025/WV-XUANNHILAMGIDO HĐ số 26</t>
  </si>
  <si>
    <t>Nhận Doanh thu Dịch vụ quảng cáo và truyền thông theo Phụ lục yêu cầu số 08 ký ngày 10/11/2025 của Hợp đồng nguyên tắc số HD/01092025/WV-XUANNHILAMGIDO HĐ số 29</t>
  </si>
  <si>
    <t>Nhận Doanh thu Dịch vụ quảng cáo và truyền thông theo Phụ lục yêu cầu số 09 ký ngày 10/11/2025 của Hợp đồng nguyên tắc số HD/01092025/WV-XUANNHILAMGIDO HĐ số 30</t>
  </si>
  <si>
    <t>Nhận Doanh thu Dịch vụ quảng cáo và truyền thông theo Hợp đồng số 714/HĐQC-2025 ký ngày 03/11/2025 và Biên bản nghiệm thu ký ngày 26/12/2025 HĐ số 40</t>
  </si>
  <si>
    <t>Nhận Doanh thu Dịch vụ quảng cáo và truyền thông theo Phụ lục yêu cầu số 11 ký ngày 20/11/2025 của Hợp đồng nguyên tắc số HD/01092025/WV-XUANNHILAMGIDO HĐ số 37</t>
  </si>
  <si>
    <t>Nhận Doanh thu Dịch vụ quảng cáo và truyền thông theo Phụ lục yêu cầu số 10 ký ngày 20/11/2025 của Hợp đồng nguyên tắc số HD/01092025/WV-XUANNHILAMGIDO HĐ số 36</t>
  </si>
  <si>
    <t>Nhận Doanh thu Dịch vụ quảng cáo và truyền thông theo Hợp đồng số 1912/2025/HDDV/ PNT ký ngày 19/12/2025 HĐ số 53</t>
  </si>
  <si>
    <t>Chi phí bảo hiểm HĐ số 9664</t>
  </si>
  <si>
    <t>0000000004</t>
  </si>
  <si>
    <t>Done (CÔNG TY TNHH SILICON2)</t>
  </si>
  <si>
    <t>Nhận Doanh thu Dịch vụ quảng cáo và truyền thông theo Hợp đồng số 250915/HDDV/MIZUMI-HOANGTHACHH-250915MIZUMI ký ngày 15/09/2025 (Đợt 1) HĐ số 14</t>
  </si>
  <si>
    <t>Nhận Doanh thu Dịch vụ sử dụng hình ảnh theo Hợp đồng số 09/2025/BESTME-CFR-HT ký ngày 01/09/2025 và Biên bản nghiệm thu ký ngày 09/09/2025	 HĐ số 00000083</t>
  </si>
  <si>
    <t>0109863389</t>
  </si>
  <si>
    <t>Nhận Doanh thu Dịch vụ sử dụng hình ảnh theo Hợp đồng số 28072025/HDDV/SGS-EMB-THT ký ngày 28/07/2025 HĐ số 00000009</t>
  </si>
  <si>
    <t>Nhận Doanh thu Dịch vụ quảng cáo và truyền thông theo hợp đồng số HKD HOANGTHACH_JUMISO_03092025 ký ngày 03/09/2025 (Đợt 2) HĐ số 24</t>
  </si>
  <si>
    <t>Nhận Doanh thu Dịch vụ quảng cáo và truyền thông theo hợp đồng số HKD HOANGTHACH_ GARNIER_TRI_ACID_01092025 ký ngày 01/09/2025 (Đợt 2) và Biên bản nghiệm thu ký ngày 29/09/2025 HĐ số 00000012</t>
  </si>
  <si>
    <t>Nhận Doanh thu Phí dịch vụ sử dụng hình ảnh 10/2025 theo Hợp đồng số 010825/HĐHTDV/THTTANE ký ngày 01/08/2025 và Biên bản nghiệm thu ký ngày 02/10/2025 HĐ số 16</t>
  </si>
  <si>
    <t>Nhận Doanh thu Cung cấp dịch vụ quảng cáo theo Hợp đồng số: 1109/HDDV-2025/REDAMO-HOANGTHACH/BEPLAIN ký ngày 11/09/2025 (Đợt 2) và Biên bản nghiệm thu ký ngày 07/10/2025 HĐ số 20</t>
  </si>
  <si>
    <t>Nhận Doanh thu Dịch vụ quảng cáo và truyền thông theo Hợp đồng số TP0925-HanFias/Hoangthach ký ngày 03/09/2025 (Đợt 2) HĐ số 29</t>
  </si>
  <si>
    <t>Nhận Doanh thu Thanh toán 50% (Đợt 2) phí dịch vụ MNY - Super Stay Franchise - Video - Scope 2 - 1009- SOW No. 21975/2025/WPP-BTL-LO ID Tiktok: hoangthachhh HĐ số 26</t>
  </si>
  <si>
    <t>Nhận Doanh thu Thanh toán theo Hợp đồng dịch vụ số HD01112025/TIRTIR_ASIACONSULTING_HOANGTHACH ký ngày 01/11/2025 (Đợt 1) HĐ số 31</t>
  </si>
  <si>
    <t>Nhận Doanh thu Dịch vụ quảng cáo và truyền thông theo hợp đồng số HKD HOANGTHACH_ LOREAL_01102025 ký ngày 01/10/2025 (Đợt 1) HĐ số 21</t>
  </si>
  <si>
    <t>Nhận Doanh thu Dịch vụ quảng cáo và truyền thông theo hợp đồng số HKD HOANGTHACH_ GARNIER_ON_TOP_01102025 ký ngày 01/10/2025 (Đợt 1) HĐ số 15</t>
  </si>
  <si>
    <t>Nhận Doanh thu Dịch vụ quảng cáo và truyền thông theo hợp đồng số HKD HOANGTHACH_ GARNIER_ON_TOP_01102025 ký ngày 01/10/2025 (Đợt 2) và Biên bản nghiệm thu ký ngày 29/10/2025 HĐ số 27</t>
  </si>
  <si>
    <t>Done (HANGZHOU FUNNY ELVES COSMETIC TECHNOLOGY INC)</t>
  </si>
  <si>
    <t>0000000005</t>
  </si>
  <si>
    <t>Nhận Doanh thu Dịch vụ quảng cáo và truyền thông theo Hợp đồng số VN2025/PR/hoangthachhh/19082025/HDDVQC ký ngày 19/08/2025 (Đợt 2) HĐ số 35</t>
  </si>
  <si>
    <t>0313612829</t>
  </si>
  <si>
    <t>Nhận Doanh thu Dịch vụ sử dụng hình ảnh theo Hợp đồng số 0909/HĐCTV/HASAKI-2025 ký ngày 09/09/2025 HĐ số 00000011</t>
  </si>
  <si>
    <t>Nhận lại tiền hoàn do chuyển nhầm</t>
  </si>
  <si>
    <t>Nhận Doanh thu Phí dịch vụ sử dụng hình ảnh 12/2025 theo Hợp đồng số 010825/HĐHTDV/THTTANE ký ngày 01/08/2025 HĐ số 43</t>
  </si>
  <si>
    <t>Nhận Doanh thu Dịch vụ quảng cáo và truyền thông theo hợp đồng số 1511.2025/HDDV/UPBASE-CB-hoangthachhh ký ngày 15/11/2025 HĐ số 47</t>
  </si>
  <si>
    <t>Nhận Doanh thu Dịch vụ quảng cáo và truyền thông theo hợp đồng số HKD HOANGTHACH_ LOREAL_01102025 ký ngày 01/10/2025 (Đợt 2) và Biên bản nghiệm thu ký ngày 04/11/2025 HĐ số 32</t>
  </si>
  <si>
    <t>Nhận Doanh thu Dịch vụ quảng cáo và truyền thông theo Hợp đồng số HKD HOANGTHACH_ OBAGI_07112025 ký ngày 07/11/2025 (Đợt 1) HĐ số 34</t>
  </si>
  <si>
    <t>Nhận Doanh thu Dịch vụ quảng cáo và truyền thông theo Hợp đồng số 01112025/HDDV/SGS-EMB-THT ký ngày 01/11/2025 (Đợt 1) HĐ số 57</t>
  </si>
  <si>
    <t>Nhận Doanh thu Dịch vụ quảng cáo và truyền thông theo Hợp đồng số 13542025/HĐDV/Y&amp;B ký ngày 22/09/2025 (Đợt 2) kèm Biên bản nghiệm thu và thanh lý số 13542025/BBNT-TT/Y&amp;B ký ngày 26/11/2025 HĐ số 40</t>
  </si>
  <si>
    <t>Nhận Doanh thu Dịch vụ quảng cáo và truyền thông theo hợp đồng số HKD HOANGTHACH_ GARNIER_CAMP NOV_01112025 ký ngày 29/10/2025 (Đợt 2) và Biên bản nghiệm thu ký ngày 02/12/2025 HĐ số 42</t>
  </si>
  <si>
    <t>Nhận Doanh thu Phí thực hiện sản xuất và đăng tải video review sản phẩm thuộc thương hiệu Cocoon Việt Nam theo hợp đồng số 20042025/HĐDV/Y&amp;B ký ngày 01/12/2025 (Đợt 1) HĐ số 58</t>
  </si>
  <si>
    <t>Nhận Doanh thu Dịch vụ quảng cáo và truyền thông theo hợp đồng số T08C25HDDV-0167- 0009 HOANGTHACH ký ngày 27/05/2025 (Đợt 2) và Biên bản nghiệm thu ký ngày 15/09/2025 HĐ số 00000005</t>
  </si>
  <si>
    <t>Nhận Doanh thu Dịch vụ quảng cáo và truyền thông theo Hợp đồng số HKD HOANGTHACH_ OBAGI_07112025 ký ngày 07/11/2025 (Đợt 2) và Biên bản nghiệm thu ký ngày 11/12/2025 HĐ số 51</t>
  </si>
  <si>
    <t>Nhận Doanh thu Dịch vụ quảng cáo và truyền thông theo Hợp đồng số 250915/HDDV/MIZUMI-HOANGTHACHH-250915MIZUMI ký ngày 15/09/2025 (Đợt 2) HĐ số 36</t>
  </si>
  <si>
    <t>Hoàn Doanh thu Dịch vụ quảng cáo và truyền thông theo Hợp đồng số 250915/HDDV/MIZUMI-HOANGTHACHH-250915MIZUMI ký ngày 15/09/2025 (Đợt 2) HĐ số 36</t>
  </si>
  <si>
    <t>Nhận Doanh thu Dịch vụ quảng cáo và truyền thông theo hợp đồng số T21C25HDDV-0061- 0009 HOANGTHACH ký ngày 11/06/2025 (Đợt 2) và Biên bản nghiệm thu ký ngày 11/09/2025 HĐ số 00000001</t>
  </si>
  <si>
    <t>Nộp Thuế GTGT, TNCN sàn TMĐT</t>
  </si>
  <si>
    <t>Nhận Doanh thu Dịch vụ quảng cáo và truyền thông theo Hợp đồng số 0510-1/HDDV/CER-HT ký ngày 05/10/2025 (Đợt 1) HĐ số 25</t>
  </si>
  <si>
    <t>Thanh toán Chi phí bảo hiểm HĐ số 9664</t>
  </si>
  <si>
    <t>Thanh toán Chi phí tiếp khách, ngoại giao HĐ số 1650</t>
  </si>
  <si>
    <t>Thanh toán Phí dịch vụ tư vấn tháng 09/2025 HĐ số 137</t>
  </si>
  <si>
    <t>Thanh toán Chi phí tiếp khách, ngoại giao HĐ số 2995</t>
  </si>
  <si>
    <t>Thanh toán Chi phí tiếp khách, ngoại giao HĐ số 11924</t>
  </si>
  <si>
    <t>Thanh toán Chi phí tiếp khách, ngoại giao HĐ số 54257</t>
  </si>
  <si>
    <t>Thanh toán Chi phí tiếp khách, ngoại giao HĐ số 4702</t>
  </si>
  <si>
    <t>Thanh toán Chi phí đồ dùng văn phòng HĐ số 273267</t>
  </si>
  <si>
    <t>Thanh toán Chi phí tiếp khách, ngoại giao HĐ số 12191</t>
  </si>
  <si>
    <t>Thanh toán Chi phí tiếp khách, ngoại giao HĐ số 35169</t>
  </si>
  <si>
    <t>Thanh toán Chi phí tiếp khách, ngoại giao HĐ số 15945</t>
  </si>
  <si>
    <t>Thanh toán Phí dịch vụ tư vấn tháng 10/2025 HĐ số 154</t>
  </si>
  <si>
    <t>Thanh toán Chi phí đồ dùng văn phòng HĐ số 4098</t>
  </si>
  <si>
    <t>Thanh toán Chi phí đồ dùng văn phòng HĐ số 661332</t>
  </si>
  <si>
    <t>Thanh toán Chi phí tiếp khách, ngoại giao HĐ số 85619</t>
  </si>
  <si>
    <t>Thanh toán Chi phí tiếp khách, ngoại giao HĐ số 13049</t>
  </si>
  <si>
    <t>Thanh toán Chi phí tiếp khách, ngoại giao HĐ số 37410</t>
  </si>
  <si>
    <t>Thanh toán Chi phí đồ dùng văn phòng HĐ số 40</t>
  </si>
  <si>
    <t>Thanh toán Chi phí tiếp khách, ngoại giao HĐ số 1848</t>
  </si>
  <si>
    <t>Thanh toán Chi phí đồ dùng văn phòng HĐ số 974462</t>
  </si>
  <si>
    <t>Thanh toán Chi phí tiếp khách, ngoại giao HĐ số 14117</t>
  </si>
  <si>
    <t>Thanh toán Chi phí dịch vụ mua ngoài HĐ số 49347</t>
  </si>
  <si>
    <t>Thanh toán Phí dịch vụ tư vấn tháng 11/2025 HĐ số 198</t>
  </si>
  <si>
    <t>Thanh toán Chi phí tiếp khách, ngoại giao HĐ số 3876980</t>
  </si>
  <si>
    <t>Thanh toán Chi phí tiếp khách, ngoại giao HĐ số 17649</t>
  </si>
  <si>
    <t>Thanh toán Chi phí đồ dùng văn phòng HĐ số 1051150</t>
  </si>
  <si>
    <t>Thanh toán Chi phí đồ dùng văn phòng HĐ số 9619</t>
  </si>
  <si>
    <t>Thanh toán Chi phí tiếp khách, ngoại giao HĐ số 3709</t>
  </si>
  <si>
    <t>Thanh toán Chi phí tiếp khách, ngoại giao HĐ số 45955</t>
  </si>
  <si>
    <t>Thanh toán Chi phí đồ dùng văn phòng HĐ số 17150</t>
  </si>
  <si>
    <t>Thanh toán Chi phí tiếp khách, ngoại giao HĐ số 30920</t>
  </si>
  <si>
    <t>Thanh toán Chi phí đồ dùng văn phòng HĐ số 12197</t>
  </si>
  <si>
    <t>Thanh toán Chi phí tiếp khách, ngoại giao HĐ số 490</t>
  </si>
  <si>
    <t>Nộp Chi phí bảo hiểm tháng 2025.08</t>
  </si>
  <si>
    <t>Doanh thu Dịch vụ quảng cáo và truyền thông theo Hợp đồng hợp tác sản xuất nội dung UGC ký ngày 30/09/2025 (Đợt 1) HĐ số 23</t>
  </si>
  <si>
    <t>Điều chỉnh giảm Doanh thu Dịch vụ quảng cáo và truyền thông theo Hợp đồng hợp tác sản xuất nội dung UGC ký ngày 30/09/2025 (Đợt 1) HĐ số 23</t>
  </si>
  <si>
    <t>Doanh thu Dịch vụ tham dự Sự kiện ra mắt sản phẩm và thực hiện sản xuất và đăng tải video review về sản phẩm mới - Nước tẩy trang sen Hậu Giang theo Hợp đồng số 14782025/HĐDV/Y&amp;B (Đợt 1) HĐ số 33</t>
  </si>
  <si>
    <t>Điều chỉnh giảm Doanh thu Dịch vụ tham dự Sự kiện ra mắt sản phẩm và thực hiện sản xuất và đăng tải video review về sản phẩm mới theo Hợp đồng số 14782025/HĐDV/Y&amp;B (Đợt 1) HĐ số 33</t>
  </si>
  <si>
    <t>Điều chỉnh giảm Doanh thu Dịch vụ quảng cáo và truyền thông theo Hợp đồng dịch vụ ký ngày 14/10/2025 HĐ số 37</t>
  </si>
  <si>
    <t>Doanh thu Dịch vụ thực hiện sản xuất và đăng tải video review về sản phẩm mới - Nước tẩy trang sen Hậu Giang theo Hợp đồng số 14782025/HĐDV/Y&amp;B ký ngày 01/10/2025 (Đợt 2) HĐ số 38</t>
  </si>
  <si>
    <t>Điều chỉnh giảm Doanh thu Dịch vụ quảng cáo và truyền thông theo Hợp đồng số 13542025/HĐDV/Y&amp;B ký ngày 22/09/2025 (Đợt 2) HĐ số 40</t>
  </si>
  <si>
    <t>Điều chỉnh giảm Doanh thu Dịch vụ thực hiện sản xuất và đăng tải video review về sản phẩm mới theo Hợp đồng số 14782025/HĐDV/Y&amp;B ký ngày 01/10/2025 (Đợt 2) HĐ số 38</t>
  </si>
  <si>
    <t>Doanh thu Dịch vụ quảng cáo và truyền thông theo Hợp đồng hợp tác sản xuất nội dung UGC ký ngày 30/09/2025 (Đợt 2) HĐ số 41</t>
  </si>
  <si>
    <t>Điều chỉnh giảm Doanh thu Dịch vụ quảng cáo và truyền thông theo Hợp đồng hợp tác sản xuất nội dung UGC ký ngày 30/09/2025 (Đợt 2) HĐ số 41</t>
  </si>
  <si>
    <t>Doanh thu Dịch vụ quảng cáo và truyền thông theo Hợp đồng số 22112025/HDDV-INNOYO MÁY SẤY TÓC/HOÀNG THẠCH-087 ký ngày 22/11/2025 (Đợt 2) HĐ số 49</t>
  </si>
  <si>
    <t>Điều chỉnh giảm Doanh thu Dịch vụ quảng cáo và truyền thông theo Hợp đồng số 22112025/HDDV-INNOYO MÁY SẤY TÓC/HOÀNG THẠCH-087 ký ngày 22/11/2025 (Đợt 2) HĐ số 49</t>
  </si>
  <si>
    <t>Doanh thu Dịch vụ quảng cáo và truyền thông theo Hợp đồng số VTCOSMETICS_Silicon2_03122025_hoangthachhh ký ngày 08/12/2025 HĐ số 54</t>
  </si>
  <si>
    <t>Điều chỉnh giảm Doanh thu Dịch vụ quảng cáo và truyền thông theo Hợp đồng số VTCOSMETICS_Silicon2_03122025_hoangthachhh ký ngày 08/12/2025 HĐ số 54</t>
  </si>
  <si>
    <t>Nhận Doanh thu Dịch vụ quảng cáo và truyền thông theo Hợp đồng hợp tác sản xuất nội dung UGC ký ngày 30/09/2025 (Đợt 1) HĐ số 23</t>
  </si>
  <si>
    <t>Nhận Doanh thu Dịch vụ quảng cáo và truyền thông theo Hợp đồng dịch vụ ký ngày 14/10/2025 HĐ số 37</t>
  </si>
  <si>
    <t>Nhận Doanh thu Dịch vụ quảng cáo và truyền thông theo Hợp đồng hợp tác sản xuất nội dung UGC ký ngày 30/09/2025 (Đợt 2) HĐ số 41</t>
  </si>
  <si>
    <t>Hoàn Doanh thu Dịch vụ quảng cáo và truyền thông theo Hợp đồng hợp tác sản xuất nội dung UGC ký ngày 30/09/2025 (Đợt 2) HĐ số 41</t>
  </si>
  <si>
    <t>Nhận Doanh thu Dịch vụ thực hiện sản xuất và đăng tải video review về sản phẩm mới - Nước tẩy trang sen Hậu Giang theo Hợp đồng số 14782025/HĐDV/Y&amp;B ký ngày 01/10/2025 (Đợt 2) HĐ số 38</t>
  </si>
  <si>
    <t>Nhận Doanh thu Dịch vụ tham dự Sự kiện ra mắt sản phẩm và thực hiện sản xuất và đăng tải video review về sản phẩm mới theo Hợp đồng số 14782025/HĐDV/Y&amp;B HĐ số 33</t>
  </si>
  <si>
    <t>Thu nhập khác</t>
  </si>
  <si>
    <t>Thanh toán Chi phí đồ dùng văn phòng HĐ số 241</t>
  </si>
  <si>
    <t>Thanh toán Chi phí đồ dùng văn phòng HĐ số 13176465</t>
  </si>
  <si>
    <t>Nhận Doanh thu Dịch vụ quảng cáo và truyền thông theo Hợp đồng số 20251117HDDV/TRENDIFY-HKD.TND ký ngày 17/11/2025 HĐ số 13</t>
  </si>
  <si>
    <t>Nhận Doanh thu Dịch vụ quảng cáo và truyền thông theo Hợp đồng số 2211/2025/HĐDV/BS-TND ký ngày 22/11/2025 và Biên bản nghiệm thu ký ngày 03/12/2025 HĐ số 12</t>
  </si>
  <si>
    <t>Nhận Doanh thu Dịch vụ quảng cáo và truyền thông theo Hợp đồng số MDA/20251212/2456 ngày 11/11/2025 kèm Biên bản nghiệm thu và thanh lý ngày 19/12/2025 HĐ số 16</t>
  </si>
  <si>
    <t>Nhận Doanh thu Dịch vụ quảng cáo và truyền thông theo Hợp đồng số 112025VULACI-TRUONGNHADINH ký ngày 15/11/2025 (Đợt 2) HĐ số 17</t>
  </si>
  <si>
    <t>Nhận Doanh thu Thanh toán 100% phí dịch vụ OAP - HA Campaign - Video - Scope 3 - 3011 - PO 4001524261 SOW số 28530/2025/WPP-BTL-LO ID Tiktok: tnhadinh HĐ số 15</t>
  </si>
  <si>
    <t>Nhận Doanh thu Thanh toán 100% phí dịch vụ OAP - UV AQUA - VIDEO - Scope 3 - 1012 - PO 4001523586 SOW số 30735/2025/WPP-BTL-LO ID Tiktok: tnhadinh HĐ số 14</t>
  </si>
  <si>
    <t>Nhận Doanh thu Dịch vụ quảng cáo và truyền thông theo Hợp đồng số 20250905HDDV/MEISHANG – TRUONGNHADINH ký ngày 05/09/2025 HĐ số 6</t>
  </si>
  <si>
    <t>Nhận Doanh thu Dịch vụ quảng cáo và truyền thông theo Hợp đồng số HKD TND_ GARNIER_ON_TOP_01102025 ký ngày 01/10/2025 (Đợt 1) HĐ số 7</t>
  </si>
  <si>
    <t>Nộp Thuế GTGT, TNCN phải nộp 2025/Q3</t>
  </si>
  <si>
    <t>Nhận Doanh thu Dịch vụ quảng cáo và truyền thông theo Hợp đồng số HKD TND_ GARNIER_ON_TOP_01102025 ký ngày 01/10/2025 (Đợt 2) và Biên bản nghiệm thu ký ngày 10/10/2025 HĐ số 8</t>
  </si>
  <si>
    <t>Nhận Doanh thu Dịch vụ quảng cáo và truyền thông theo Hợp đồng số 20251020HDDV/TRENDIFY – tnhadinh ký ngày 22/10/2025 HĐ số 9</t>
  </si>
  <si>
    <t>Doanh thu Doanh thu chia sẻ từ 04/2025 đến 09/2025 theo Thỏa thuận hợp tác ký ngày 23/04/2025 và Biên Bản nghiệm thu số 30102025/TND-WEISHIBO- VENUSREBORN ký ngày 30/10/2025 HĐ số 10</t>
  </si>
  <si>
    <t>Điều chỉnh giảm Doanh thu Doanh thu chia sẻ từ 04/2025 đến 09/2025 theo Thỏa thuận hợp tác ký ngày 23/04/2025 và Biên Bản nghiệm thu số 30102025/TND-WEISHIBO- VENUSREBORN HĐ số 10</t>
  </si>
  <si>
    <t>Nhận Doanh thu chia sẻ từ 04/2025 đến 09/2025 theo Thỏa thuận hợp tác ký ngày 23/04/2025 và Biên Bản nghiệm thu số 30102025/TND-WEISHIBO- VENUSREBORN ký ngày 30/10/2025 HĐ số 10</t>
  </si>
  <si>
    <t>Thanh toán Chi phí vận chuyển HĐ số 30609045</t>
  </si>
  <si>
    <t>Thanh toán Chi phí vận chuyển HĐ số 30718459</t>
  </si>
  <si>
    <t>Thanh toán Chi phí vận chuyển HĐ số 30755442</t>
  </si>
  <si>
    <t>Thanh toán Phí dịch vụ tư vấn tháng 09/2025 HĐ số 129</t>
  </si>
  <si>
    <t>Thanh toán Chi phí tiếp khách, ngoại giao HĐ số 520</t>
  </si>
  <si>
    <t>Thanh toán Chi phí tiếp khách, ngoại giao HĐ số 21998</t>
  </si>
  <si>
    <t>Thanh toán Chi phí vận chuyển HĐ số 31414629</t>
  </si>
  <si>
    <t>Thanh toán Chi phí vận chuyển HĐ số 31866755</t>
  </si>
  <si>
    <t>Thanh toán Chi phí vận chuyển HĐ số 31926338</t>
  </si>
  <si>
    <t>Thanh toán Chi phí vận chuyển HĐ số 32023308</t>
  </si>
  <si>
    <t>Thanh toán Chi phí vận chuyển HĐ số 32066810</t>
  </si>
  <si>
    <t>Thanh toán Chi phí vận chuyển HĐ số 32497032</t>
  </si>
  <si>
    <t>Thanh toán Chi phí đồ dùng văn phòng HĐ số 18129</t>
  </si>
  <si>
    <t>Thanh toán Chi phí vận chuyển HĐ số 33088480</t>
  </si>
  <si>
    <t>Thanh toán Chi phí vận chuyển HĐ số 33100652</t>
  </si>
  <si>
    <t>Thanh toán Chi phí vận chuyển HĐ số 33308038</t>
  </si>
  <si>
    <t>Thanh toán Chi phí vận chuyển HĐ số 33320886</t>
  </si>
  <si>
    <t>Thanh toán Chi phí vận chuyển HĐ số 33398674</t>
  </si>
  <si>
    <t>Thanh toán Chi phí vận chuyển HĐ số 15875009</t>
  </si>
  <si>
    <t>Thanh toán Chi phí vận chuyển HĐ số 33435763</t>
  </si>
  <si>
    <t>Thanh toán Chi phí vận chuyển HĐ số 33533575</t>
  </si>
  <si>
    <t>Thanh toán Chi phí vận chuyển HĐ số 33558883</t>
  </si>
  <si>
    <t>Thanh toán Chi phí tiếp khách, ngoại giao HĐ số 729</t>
  </si>
  <si>
    <t>Thanh toán Chi phí vận chuyển HĐ số 33784177</t>
  </si>
  <si>
    <t>Thanh toán Chi phí vận chuyển HĐ số 33806250</t>
  </si>
  <si>
    <t>Thanh toán Chi phí tiếp khách, ngoại giao HĐ số 392</t>
  </si>
  <si>
    <t>Thanh toán Chi phí vận chuyển HĐ số 33936597</t>
  </si>
  <si>
    <t>Thanh toán Chi phí vận chuyển HĐ số 34055275</t>
  </si>
  <si>
    <t>Thanh toán Chi phí vận chuyển HĐ số 34080431</t>
  </si>
  <si>
    <t>Thanh toán Chi phí vận chuyển HĐ số 34094036</t>
  </si>
  <si>
    <t>Thanh toán Chi phí vận chuyển HĐ số 34135843</t>
  </si>
  <si>
    <t>Thanh toán Chi phí vận chuyển HĐ số 34155452</t>
  </si>
  <si>
    <t>Thanh toán Chi phí vận chuyển HĐ số 34205734</t>
  </si>
  <si>
    <t>Thanh toán Chi phí vận chuyển HĐ số 34298057</t>
  </si>
  <si>
    <t>Thanh toán Chi phí vận chuyển HĐ số 34343393</t>
  </si>
  <si>
    <t>Thanh toán Chi phí vận chuyển HĐ số 16350062</t>
  </si>
  <si>
    <t>Thanh toán Chi phí vận chuyển HĐ số 34570875</t>
  </si>
  <si>
    <t>Thanh toán Chi phí vận chuyển HĐ số 34595046</t>
  </si>
  <si>
    <t>Thanh toán Chi phí vận chuyển HĐ số 34932144</t>
  </si>
  <si>
    <t>Thanh toán Chi phí vận chuyển HĐ số 34949323</t>
  </si>
  <si>
    <t>Thanh toán Chi phí vận chuyển HĐ số 35082605</t>
  </si>
  <si>
    <t>Thanh toán Chi phí vận chuyển HĐ số 35091464</t>
  </si>
  <si>
    <t>Thanh toán Chi phí vận chuyển HĐ số 35187497</t>
  </si>
  <si>
    <t>Thanh toán Chi phí tiếp khách, ngoại giao HĐ số 25358</t>
  </si>
  <si>
    <t>Thanh toán Chi phí vận chuyển HĐ số 93584</t>
  </si>
  <si>
    <t>Thanh toán Chi phí vận chuyển HĐ số 93586</t>
  </si>
  <si>
    <t>Thanh toán Chi phí vận chuyển HĐ số 35578821</t>
  </si>
  <si>
    <t>Thanh toán Chi phí vận chuyển HĐ số 35579902</t>
  </si>
  <si>
    <t>Thanh toán Chi phí vận chuyển HĐ số 93614</t>
  </si>
  <si>
    <t>Thanh toán Chi phí vận chuyển HĐ số 93615</t>
  </si>
  <si>
    <t>Thanh toán Chi phí vận chuyển HĐ số 93623</t>
  </si>
  <si>
    <t>Thanh toán Chi phí vận chuyển HĐ số 93627</t>
  </si>
  <si>
    <t>Thanh toán Chi phí vận chuyển HĐ số 35599636</t>
  </si>
  <si>
    <t>Thanh toán Chi phí vận chuyển HĐ số 35600877</t>
  </si>
  <si>
    <t>Thanh toán Chi phí vận chuyển HĐ số 35601087</t>
  </si>
  <si>
    <t>Thanh toán Chi phí vận chuyển HĐ số 35601837</t>
  </si>
  <si>
    <t>Thanh toán Chi phí vận chuyển HĐ số 35604563</t>
  </si>
  <si>
    <t>Thanh toán Chi phí vận chuyển HĐ số 35604742</t>
  </si>
  <si>
    <t>Thanh toán Chi phí vận chuyển HĐ số 35605546</t>
  </si>
  <si>
    <t>Thanh toán Chi phí vận chuyển HĐ số 35747959</t>
  </si>
  <si>
    <t>Thanh toán Chi phí tiếp khách, ngoại giao HĐ số 8797</t>
  </si>
  <si>
    <t>Thanh toán Chi phí đồ dùng văn phòng HĐ số 294446</t>
  </si>
  <si>
    <t>Thanh toán Chi phí vận chuyển HĐ số 35882800</t>
  </si>
  <si>
    <t>Thanh toán Chi phí vận chuyển HĐ số 35884712</t>
  </si>
  <si>
    <t>Thanh toán Chi phí vận chuyển HĐ số 35885403</t>
  </si>
  <si>
    <t>Thanh toán Chi phí vận chuyển HĐ số 35885956</t>
  </si>
  <si>
    <t>Thanh toán Chi phí tiếp khách, ngoại giao HĐ số 4952</t>
  </si>
  <si>
    <t>Thanh toán Chi phí tiếp khách, ngoại giao HĐ số 24049</t>
  </si>
  <si>
    <t>Thanh toán Chi phí vận chuyển HĐ số 35891601</t>
  </si>
  <si>
    <t>Thanh toán Chi phí vận chuyển HĐ số 35892620</t>
  </si>
  <si>
    <t>Thanh toán Chi phí vận chuyển HĐ số 35893759</t>
  </si>
  <si>
    <t>Thanh toán Chi phí vận chuyển HĐ số 35896607</t>
  </si>
  <si>
    <t>Thanh toán Chi phí vận chuyển HĐ số 35945063</t>
  </si>
  <si>
    <t>Thanh toán Chi phí vận chuyển HĐ số 35948546</t>
  </si>
  <si>
    <t>Thanh toán Chi phí tiếp khách, ngoại giao HĐ số 21971</t>
  </si>
  <si>
    <t>Thanh toán Chi phí đồ dùng văn phòng HĐ số 24668</t>
  </si>
  <si>
    <t>Thanh toán Chi phí đồ dùng văn phòng HĐ số 866508</t>
  </si>
  <si>
    <t>Thanh toán Chi phí vận chuyển HĐ số 17335711</t>
  </si>
  <si>
    <t>Thanh toán Chi phí vận chuyển HĐ số 36612647</t>
  </si>
  <si>
    <t>Thanh toán Chi phí vận chuyển HĐ số 36639460</t>
  </si>
  <si>
    <t>Thanh toán Chi phí vận chuyển HĐ số 36655289</t>
  </si>
  <si>
    <t>Thanh toán Chi phí vận chuyển HĐ số 36713451</t>
  </si>
  <si>
    <t>Thanh toán Chi phí vận chuyển HĐ số 36728595</t>
  </si>
  <si>
    <t>Thanh toán Chi phí vận chuyển HĐ số 36740861</t>
  </si>
  <si>
    <t>Thanh toán Chi phí vận chuyển HĐ số 36998213</t>
  </si>
  <si>
    <t>Thanh toán Chi phí vận chuyển HĐ số 37808460</t>
  </si>
  <si>
    <t>Thanh toán Chi phí vận chuyển HĐ số 38899162</t>
  </si>
  <si>
    <t>Thanh toán Chi phí vận chuyển HĐ số 38919516</t>
  </si>
  <si>
    <t>Thanh toán Chi phí vận chuyển HĐ số 38979411</t>
  </si>
  <si>
    <t>Thanh toán Chi phí vận chuyển HĐ số 39016356</t>
  </si>
  <si>
    <t>Thanh toán Chi phí vận chuyển HĐ số 39051750</t>
  </si>
  <si>
    <t>Thanh toán Chi phí vận chuyển HĐ số 39078881</t>
  </si>
  <si>
    <t>Thanh toán Chi phí vận chuyển HĐ số 39097548</t>
  </si>
  <si>
    <t>Thanh toán Chi phí đồ dùng văn phòng HĐ số 388</t>
  </si>
  <si>
    <t>Thanh toán Chi phí vận chuyển HĐ số 39626868</t>
  </si>
  <si>
    <t>Thanh toán Chi phí vận chuyển HĐ số 39779630</t>
  </si>
  <si>
    <t>Thanh toán Chi phí tiếp khách, ngoại giao HĐ số 30286</t>
  </si>
  <si>
    <t>Thanh toán Chi phí tiếp khách, ngoại giao HĐ số 3577314</t>
  </si>
  <si>
    <t>Thanh toán Chi phí vận chuyển HĐ số 41481658</t>
  </si>
  <si>
    <t>Thanh toán Chi phí vận chuyển HĐ số 19724974</t>
  </si>
  <si>
    <t>Thanh toán Chi phí vận chuyển HĐ số 41622007</t>
  </si>
  <si>
    <t>Thanh toán Chi phí vận chuyển HĐ số 41669535</t>
  </si>
  <si>
    <t>Thanh toán Chi phí vận chuyển HĐ số 41721536</t>
  </si>
  <si>
    <t>Thanh toán Chi phí tiếp khách, ngoại giao HĐ số 1910</t>
  </si>
  <si>
    <t>Thanh toán Chi phí vận chuyển HĐ số 41839431</t>
  </si>
  <si>
    <t>Thanh toán Chi phí tiếp khách, ngoại giao HĐ số 12867</t>
  </si>
  <si>
    <t>Thanh toán Chi phí tiếp khách, ngoại giao HĐ số 41262</t>
  </si>
  <si>
    <t>Thanh toán Chi phí vận chuyển HĐ số 42075566</t>
  </si>
  <si>
    <t>Thanh toán Chi phí vận chuyển HĐ số 42175014</t>
  </si>
  <si>
    <t>Thanh toán Chi phí tiếp khách, ngoại giao HĐ số 18414</t>
  </si>
  <si>
    <t>Thanh toán Chi phí vận chuyển HĐ số 42328243</t>
  </si>
  <si>
    <t>Thanh toán Chi phí vận chuyển HĐ số 42374019</t>
  </si>
  <si>
    <t>Thanh toán Chi phí vận chuyển HĐ số 42391066</t>
  </si>
  <si>
    <t>Thanh toán Chi phí vận chuyển HĐ số 42442168</t>
  </si>
  <si>
    <t>Thanh toán Chi phí tiếp khách, ngoại giao HĐ số 6005</t>
  </si>
  <si>
    <t>Thanh toán Phần mềm hóa đơn điện tử (1 năm) HĐ số 4145</t>
  </si>
  <si>
    <t>Thanh toán Chi phí vận chuyển HĐ số 985533</t>
  </si>
  <si>
    <t>Thanh toán Chi phí vận chuyển HĐ số 991561</t>
  </si>
  <si>
    <t>Thanh toán Chi phí vận chuyển HĐ số 1015725</t>
  </si>
  <si>
    <t>Thanh toán Chi phí vận chuyển HĐ số 1021398</t>
  </si>
  <si>
    <t>Thanh toán Chi phí vận chuyển HĐ số 1060117</t>
  </si>
  <si>
    <t>Thanh toán Chi phí vận chuyển HĐ số 1095218</t>
  </si>
  <si>
    <t>Thanh toán Chi phí vận chuyển HĐ số 42756646</t>
  </si>
  <si>
    <t>Thanh toán Chi phí vận chuyển HĐ số 42766879</t>
  </si>
  <si>
    <t>Thanh toán Chi phí vận chuyển HĐ số 42788403</t>
  </si>
  <si>
    <t>Thanh toán Chi phí vận chuyển HĐ số 42893125</t>
  </si>
  <si>
    <t>Thanh toán Chi phí vận chuyển HĐ số 1176610</t>
  </si>
  <si>
    <t>Thanh toán Chi phí vận chuyển HĐ số 1186995</t>
  </si>
  <si>
    <t>Thanh toán Chi phí vận chuyển HĐ số 1236698</t>
  </si>
  <si>
    <t>Thanh toán Chi phí vận chuyển HĐ số 1270795</t>
  </si>
  <si>
    <t>Thanh toán Chi phí vận chuyển HĐ số 1307961</t>
  </si>
  <si>
    <t>Thanh toán Chi phí vận chuyển HĐ số 1315853</t>
  </si>
  <si>
    <t>Thanh toán Chi phí vận chuyển HĐ số 1335673</t>
  </si>
  <si>
    <t>Thanh toán Chi phí vận chuyển HĐ số 1345908</t>
  </si>
  <si>
    <t>Thanh toán Chi phí vận chuyển HĐ số 1387753</t>
  </si>
  <si>
    <t>Thanh toán Chi phí vận chuyển HĐ số 1425467</t>
  </si>
  <si>
    <t>Thanh toán Chi phí vận chuyển HĐ số 1490070</t>
  </si>
  <si>
    <t>Thanh toán Chi phí vận chuyển HĐ số 1508106</t>
  </si>
  <si>
    <t>Thanh toán Chi phí vận chuyển HĐ số 1520956</t>
  </si>
  <si>
    <t>Thanh toán Chi phí vận chuyển HĐ số 425642</t>
  </si>
  <si>
    <t>Thanh toán Chi phí vận chuyển HĐ số 434035</t>
  </si>
  <si>
    <t>Thanh toán Chi phí vận chuyển HĐ số 475013</t>
  </si>
  <si>
    <t>Thanh toán Chi phí vận chuyển HĐ số 517655</t>
  </si>
  <si>
    <t>Thanh toán Phí thí nghiệm mẫu HĐ số 8327</t>
  </si>
  <si>
    <t>Thanh toán Chi phí vé máy bay HĐ số 59909</t>
  </si>
  <si>
    <t>Thanh toán Chi phí vé máy bay HĐ số 59910</t>
  </si>
  <si>
    <t>Thanh toán Chi phí vận chuyển HĐ số 633726</t>
  </si>
  <si>
    <t>Thanh toán Chi phí vận chuyển HĐ số 666274</t>
  </si>
  <si>
    <t>Thanh toán Chi phí vận chuyển HĐ số 390115</t>
  </si>
  <si>
    <t>Thanh toán Chi phí vận chuyển HĐ số 867386</t>
  </si>
  <si>
    <t>Thanh toán Chi phí vận chuyển HĐ số 933662</t>
  </si>
  <si>
    <t>Thanh toán Chi phí vận chuyển HĐ số 944246</t>
  </si>
  <si>
    <t>Thanh toán Chi phí vận chuyển HĐ số 1067882</t>
  </si>
  <si>
    <t>Thanh toán Chi phí vận chuyển HĐ số 1082516</t>
  </si>
  <si>
    <t>Thanh toán Chi phí vận chuyển HĐ số 1091594</t>
  </si>
  <si>
    <t>Thanh toán Chi phí vận chuyển HĐ số 1161255</t>
  </si>
  <si>
    <t>Thanh toán Chi phí vận chuyển HĐ số 1186584</t>
  </si>
  <si>
    <t>Thanh toán Chi phí vận chuyển HĐ số 1292624</t>
  </si>
  <si>
    <t>Thanh toán Chi phí vận chuyển HĐ số 1327572</t>
  </si>
  <si>
    <t>Thanh toán Chi phí vận chuyển HĐ số 1373824</t>
  </si>
  <si>
    <t>Thanh toán Chi phí vận chuyển HĐ số 1411423</t>
  </si>
  <si>
    <t>Thanh toán Chi phí tiếp khách, ngoại giao HĐ số 2215</t>
  </si>
  <si>
    <t>Thanh toán Chi phí đồ dùng văn phòng HĐ số 104655</t>
  </si>
  <si>
    <t>Thanh toán Chi phí vận chuyển HĐ số 1498942</t>
  </si>
  <si>
    <t>Thanh toán Chi phí vận chuyển HĐ số 1505594</t>
  </si>
  <si>
    <t>Thanh toán Chi phí vận chuyển HĐ số 1527383</t>
  </si>
  <si>
    <t>Thanh toán Chi phí vận chuyển HĐ số 1547107</t>
  </si>
  <si>
    <t>Thanh toán Chi phí vận chuyển HĐ số 1562838</t>
  </si>
  <si>
    <t>Thanh toán Chi phí vận chuyển HĐ số 1604153</t>
  </si>
  <si>
    <t>Thanh toán Chi phí tiếp khách, ngoại giao HĐ số 26337</t>
  </si>
  <si>
    <t>Thanh toán Chi phí tiếp khách, ngoại giao HĐ số 92497</t>
  </si>
  <si>
    <t>Thanh toán Phí dịch vụ tư vấn tháng 10/2025 HĐ số 185</t>
  </si>
  <si>
    <t>Thanh toán Chi phí vận chuyển HĐ số 1788510</t>
  </si>
  <si>
    <t>Thanh toán Chi phí vận chuyển HĐ số 1793376</t>
  </si>
  <si>
    <t>Thanh toán Phí dịch vụ tư vấn tháng 11/2025 HĐ số 189</t>
  </si>
  <si>
    <t>Thanh toán Chi phí vận chuyển HĐ số 2075284</t>
  </si>
  <si>
    <t>Thanh toán Chi phí vận chuyển HĐ số 2117998</t>
  </si>
  <si>
    <t>Thanh toán Chi phí vận chuyển HĐ số 2203012</t>
  </si>
  <si>
    <t>Thanh toán Chi phí vận chuyển HĐ số 2838067</t>
  </si>
  <si>
    <t>Thanh toán Chi phí vận chuyển HĐ số 2900292</t>
  </si>
  <si>
    <t>Thanh toán Chi phí vận chuyển HĐ số 2914566</t>
  </si>
  <si>
    <t>Thanh toán Chi phí vận chuyển HĐ số 2924075</t>
  </si>
  <si>
    <t>Thanh toán Chi phí vận chuyển HĐ số 2932485</t>
  </si>
  <si>
    <t>Thanh toán Chi phí vận chuyển HĐ số 3130492</t>
  </si>
  <si>
    <t>Thanh toán Chi phí vận chuyển HĐ số 3149199</t>
  </si>
  <si>
    <t>Thanh toán Chi phí vận chuyển HĐ số 3161729</t>
  </si>
  <si>
    <t>Thanh toán Chi phí vận chuyển HĐ số 3291164</t>
  </si>
  <si>
    <t>Thanh toán Chi phí vận chuyển HĐ số 3322741</t>
  </si>
  <si>
    <t>Thanh toán Chi phí vận chuyển HĐ số 3393094</t>
  </si>
  <si>
    <t>Thanh toán Chi phí vận chuyển HĐ số 3453115</t>
  </si>
  <si>
    <t>Thanh toán Chi phí vận chuyển HĐ số 3477794</t>
  </si>
  <si>
    <t>Thanh toán Chi phí vận chuyển HĐ số 3518388</t>
  </si>
  <si>
    <t>Thanh toán Chi phí tiếp khách, ngoại giao HĐ số 6985</t>
  </si>
  <si>
    <t>Thanh toán Chi phí vận chuyển HĐ số 3735810</t>
  </si>
  <si>
    <t>Thanh toán Chi phí vận chuyển HĐ số 3775058</t>
  </si>
  <si>
    <t>Thanh toán Chi phí tiếp khách, ngoại giao HĐ số 43254</t>
  </si>
  <si>
    <t>Thanh toán Chi phí đồ dùng văn phòng HĐ số 396216</t>
  </si>
  <si>
    <t>Thanh toán Chi phí vận chuyển HĐ số 3976350</t>
  </si>
  <si>
    <t>Thanh toán Chi phí tiếp khách, ngoại giao HĐ số 19801</t>
  </si>
  <si>
    <t>Thanh toán Chi phí vận chuyển HĐ số 4622014</t>
  </si>
  <si>
    <t>Thanh toán Chi phí vận chuyển HĐ số 4673014</t>
  </si>
  <si>
    <t>Thanh toán Chi phí vận chuyển HĐ số 5025095</t>
  </si>
  <si>
    <t>Thanh toán Chi phí vận chuyển HĐ số 5032468</t>
  </si>
  <si>
    <t>Thanh toán Chi phí vận chuyển HĐ số 5034170</t>
  </si>
  <si>
    <t>Thanh toán Chi phí vận chuyển HĐ số 5040941</t>
  </si>
  <si>
    <t>Thanh toán Chi phí vận chuyển HĐ số 5049420</t>
  </si>
  <si>
    <t>Thanh toán Chi phí vận chuyển HĐ số 5068646</t>
  </si>
  <si>
    <t>Thanh toán Chi phí vận chuyển HĐ số 5086641</t>
  </si>
  <si>
    <t>Thanh toán Chi phí vận chuyển HĐ số 5095733</t>
  </si>
  <si>
    <t>Thanh toán Chi phí vận chuyển HĐ số 5118552</t>
  </si>
  <si>
    <t>Thanh toán Chi phí vận chuyển HĐ số 44186896</t>
  </si>
  <si>
    <t>Thanh toán Chi phí vận chuyển HĐ số 44376338</t>
  </si>
  <si>
    <t>Thanh toán Chi phí vận chuyển HĐ số 44376339</t>
  </si>
  <si>
    <t>Thanh toán Chi phí vận chuyển HĐ số 44376340</t>
  </si>
  <si>
    <t>Thanh toán Chi phí vận chuyển HĐ số 44543586</t>
  </si>
  <si>
    <t>Thanh toán Chi phí vận chuyển HĐ số 44880484</t>
  </si>
  <si>
    <t>Thanh toán Chi phí vận chuyển HĐ số 44880485</t>
  </si>
  <si>
    <t>Thanh toán Chi phí vận chuyển HĐ số 44880486</t>
  </si>
  <si>
    <t>Thanh toán Chi phí vận chuyển HĐ số 44880487</t>
  </si>
  <si>
    <t>Thanh toán Chi phí vận chuyển HĐ số 44880488</t>
  </si>
  <si>
    <t>Thanh toán Chi phí vận chuyển HĐ số 44880489</t>
  </si>
  <si>
    <t>Thanh toán Chi phí vận chuyển HĐ số 44880490</t>
  </si>
  <si>
    <t>Thanh toán Chi phí vận chuyển HĐ số 44880491</t>
  </si>
  <si>
    <t>Thanh toán Chi phí vận chuyển HĐ số 45695704</t>
  </si>
  <si>
    <t>Thanh toán Chi phí vận chuyển HĐ số 7482855</t>
  </si>
  <si>
    <t>Thanh toán Chi phí vận chuyển HĐ số 46351375</t>
  </si>
  <si>
    <t>Thanh toán Chi phí vận chuyển HĐ số 46351376</t>
  </si>
  <si>
    <t>Thanh toán Chi phí vận chuyển HĐ số 46351377</t>
  </si>
  <si>
    <t>Thanh toán Chi phí vận chuyển HĐ số 46351378</t>
  </si>
  <si>
    <t>Thanh toán Chi phí vận chuyển HĐ số 46424127</t>
  </si>
  <si>
    <t>Thanh toán Chi phí vận chuyển HĐ số 46432053</t>
  </si>
  <si>
    <t>Thanh toán Chi phí vận chuyển HĐ số 7921025</t>
  </si>
  <si>
    <t>Thanh toán Chi phí vận chuyển HĐ số 8002917</t>
  </si>
  <si>
    <t>Thanh toán Chi phí vận chuyển HĐ số 8017843</t>
  </si>
  <si>
    <t>Thanh toán Chi phí đồ dùng văn phòng HĐ số 2789</t>
  </si>
  <si>
    <t>Thanh toán Chi phí vận chuyển HĐ số 8123666</t>
  </si>
  <si>
    <t>Thanh toán Chi phí vận chuyển HĐ số 8166384</t>
  </si>
  <si>
    <t>Thanh toán Chi phí vận chuyển HĐ số 8175633</t>
  </si>
  <si>
    <t>Thanh toán Chi phí vận chuyển HĐ số 8181928</t>
  </si>
  <si>
    <t>Thanh toán Chi phí vận chuyển HĐ số 8185989</t>
  </si>
  <si>
    <t>Thanh toán Chi phí vận chuyển HĐ số 8233976</t>
  </si>
  <si>
    <t>Thanh toán Chi phí vận chuyển HĐ số 8284783</t>
  </si>
  <si>
    <t>Thanh toán Chi phí vận chuyển HĐ số 3954267</t>
  </si>
  <si>
    <t>Thanh toán Chi phí vận chuyển HĐ số 8320921</t>
  </si>
  <si>
    <t>Thanh toán Chi phí vận chuyển HĐ số 8434191</t>
  </si>
  <si>
    <t>Thanh toán Chi phí vận chuyển HĐ số 8521770</t>
  </si>
  <si>
    <t>Thanh toán Chi phí vận chuyển HĐ số 8541459</t>
  </si>
  <si>
    <t>Thanh toán Chi phí tiếp khách, ngoại giao HĐ số 2948</t>
  </si>
  <si>
    <t>Thanh toán Chi phí đồ dùng văn phòng HĐ số 3303</t>
  </si>
  <si>
    <t>Thanh toán Chi phí đồ dùng văn phòng HĐ số 21520</t>
  </si>
  <si>
    <t>Thanh toán Chi phí vận chuyển HĐ số 8622046</t>
  </si>
  <si>
    <t>Thanh toán Chi phí vận chuyển HĐ số 8646490</t>
  </si>
  <si>
    <t>Thanh toán Chi phí vận chuyển HĐ số 8662250</t>
  </si>
  <si>
    <t>Thanh toán Chi phí vận chuyển HĐ số 8904144</t>
  </si>
  <si>
    <t>Thanh toán Chi phí vận chuyển HĐ số 8964309</t>
  </si>
  <si>
    <t>Thanh toán Chi phí vận chuyển HĐ số 8986440</t>
  </si>
  <si>
    <t>Thanh toán Chi phí vận chuyển HĐ số 9155503</t>
  </si>
  <si>
    <t>Thanh toán Chi phí vận chuyển HĐ số 9167222</t>
  </si>
  <si>
    <t>Thanh toán Chi phí vận chuyển HĐ số 9367188</t>
  </si>
  <si>
    <t>Thanh toán Chi phí vận chuyển HĐ số 9385267</t>
  </si>
  <si>
    <t>Thanh toán Chi phí vận chuyển HĐ số 9417863</t>
  </si>
  <si>
    <t>Nộp Chi phí bảo hiểm tháng 2025.07</t>
  </si>
  <si>
    <t>068199000053</t>
  </si>
  <si>
    <t>0317775768</t>
  </si>
  <si>
    <t>0318964447</t>
  </si>
  <si>
    <t>0317458913</t>
  </si>
  <si>
    <t>0303902751</t>
  </si>
  <si>
    <t>0318809272</t>
  </si>
  <si>
    <t>0305547132</t>
  </si>
  <si>
    <t>0104093672</t>
  </si>
  <si>
    <t>0312650437</t>
  </si>
  <si>
    <t>0306717450</t>
  </si>
  <si>
    <t>0306182043</t>
  </si>
  <si>
    <t>0317176186</t>
  </si>
  <si>
    <t>0301241545</t>
  </si>
  <si>
    <t>0313395684</t>
  </si>
  <si>
    <t>Tiền thuê văn phòng từ ngày 11/10/2025 đến ngày 10/12/2026 HĐ số 193</t>
  </si>
  <si>
    <t>Phí dịch vụ tư vấn tháng 10/2025 HĐ số 164</t>
  </si>
  <si>
    <t>Phí dịch vụ tư vấn tháng 11/2025 HĐ số 203</t>
  </si>
  <si>
    <t>0313522075</t>
  </si>
  <si>
    <t>0316037655</t>
  </si>
  <si>
    <t>0314001942</t>
  </si>
  <si>
    <t>0311168534</t>
  </si>
  <si>
    <t>0317257438</t>
  </si>
  <si>
    <t>0318154481</t>
  </si>
  <si>
    <t>Doanh thu Dịch vụ quảng cáo và truyền thông theo Hợp đồng số 1009/2025/HDDV-LEMONADE.MINHCHAU ký ngày 10/09/2025 và Biên bản nghiệm thu ký ngày 05/11/2025 HĐ số 2</t>
  </si>
  <si>
    <t>Doanh thu Dịch vụ quảng cáo cho nhãn hàng UNIQLO theo Hợp đồng số HĐ/2780/2025/METUB ký ngày 04/09/2025 kèm Biên bản nghiệm thu và thanh lý ký ngày 06/11/2025 HĐ số 3</t>
  </si>
  <si>
    <t>Doanh thu Dịch vụ quảng cáo và truyền thông theo Hợp đồng số 14102025/HDDV/TKMC-NT ký ngày 14/10/2025 và Biên bản nghiệm thu ký ngày 07/11/2025 HĐ số 4</t>
  </si>
  <si>
    <t>Doanh thu Dịch vụ quảng cáo và truyền thông theo Hợp đồng số HĐQC-2025 ký ngày 06/11/2025 (Đợt 1) HĐ số 5</t>
  </si>
  <si>
    <t>Doanh thu Dịch vụ quảng cáo và truyền thông theo Hợp đồng số 11102025.HDDV. SPARKLE.TKMC ký ngày 11/10/2025 và Biên bản nghiệm thu ký ngày 07/11/2025 HĐ số 6</t>
  </si>
  <si>
    <t>Doanh thu Thanh toán 100% phí dịch vụ MNY - FLEX POWDER - Video - Scope 3-10.11 - PO 4001492980 SOW số 28025/2025/WPP-BTL-LO ID Tiktok: chouchinchan HĐ số 7</t>
  </si>
  <si>
    <t>Doanh thu Dịch vụ quảng cáo và truyền thông theo Hợp đồng số 26102025.HDDV.SPARKLE.DOANNGOCMINHCHAU.Maybelline ký ngày 26/10/2025 và Biên bản nghiệm thu ký ngày 14/11/2025 HĐ số 8</t>
  </si>
  <si>
    <t>Doanh thu Dịch vụ quảng cáo và truyền thông theo Hợp đồng số 52/HĐDV/2025 ký ngày 13/10/2025 và Biên bản nghiệm thu ký ngày 18/11/2025 HĐ số 10</t>
  </si>
  <si>
    <t>Doanh thu Dịch vụ quảng cáo và truyền thông theo Hợp đồng số 27102025/HDDV/TKMC-NT ký ngày 27/10/2025 và Biên bản nghiệm thu ký ngày 19/11/2025 HĐ số 11</t>
  </si>
  <si>
    <t>Doanh thu Dịch vụ cung cấp mã code ads chạy quảng cáo theo Hợp đồng số 27102025/HDDV­-GSLAY.MINHCHAU ký ngày 20/10/2025 kèm Biên bản nghiệm thu và thanh lý hợp đồng ký ngày 24/11/2025 HĐ số 12</t>
  </si>
  <si>
    <t>Doanh thu Thanh toán 100% phí dịch vụ 3CE - KOC Hub Nov - Video - Scope 3 - 3011 SOW số 28667/2025/WPP-BTL-LO ID Tiktok: chouchinchan HĐ số 13</t>
  </si>
  <si>
    <t>Doanh thu Dịch vụ quảng cáo và truyền thông theo Hợp đồng số 191125/HĐDV/APERIRE-CHOU ký ngày 19/11/2025 và Biên bản nghiệm thu ký ngày 28/11/2025 HĐ số 14</t>
  </si>
  <si>
    <t>Doanh thu Dịch vụ quảng cáo và truyền thông theo Hợp đồng số 04-11/2025/HDDV/BO-KOLS ký ngày 24/10/2025 và Biên bản nghiệm thu ký ngày 28/11/2025 HĐ số 15</t>
  </si>
  <si>
    <t>Doanh thu Dịch vụ quảng cáo và truyền thông theo Hợp đồng số HĐQC-2025 ký ngày 06/11/2025 (Đợt 2) và Biên bản nghiệm thu ký ngày 01/12/2025 HĐ số 16</t>
  </si>
  <si>
    <t>Doanh thu Dịch vụ quảng cáo theo Hợp đồng số 06/09102025/HDDV/MS-TKMC ký ngày 09/10/2025 kèm Biên bản nghiệm thu và thanh lý Hợp đồng HĐ số 17</t>
  </si>
  <si>
    <t>Doanh thu Dịch vụ quảng cáo theo Hợp đồng số 06/30102025/HDDV/MS-TKMC ký ngày 30/10/2025 kèm Biên bản nghiệm thu và thanh lý Hợp đồng HĐ số 18</t>
  </si>
  <si>
    <t>Doanh thu Thanh toán 100% phí dịch vụ 3CE - KOC Hub Nov - Video - Scope 3 - 1011 SOW số 26806/2025/WPP-BTL-LO ID Tiktok: chouchinchan HĐ số 19</t>
  </si>
  <si>
    <t>Doanh thu Dịch vụ quảng cáo và truyền thông theo Hợp đồng số 006/12-2025/HĐMKT - BM ký ngày 01/12/2025 và Biên bản nghiệm thu ký ngày 05/12/2025 HĐ số 20</t>
  </si>
  <si>
    <t>Doanh thu Phí dịch vụ sử dụng hình ảnh theo Hợp đồng số 1011/2025/TTS/CHAULUOIMAKEUP/SHISEIDO ký ngày 10/11/2025 và Biên bản nghiệm thu ký ngày 05/12/2025 HĐ số 21</t>
  </si>
  <si>
    <t>Doanh thu Dịch vụ quảng cáo và truyền thông theo Hợp đồng số 28112025.HDDV. SPARKLE.MINHCHAU ký ngày 28/11/2025 và Biên bản nghiệm thu ký ngày 10/12/2025 HĐ số 22</t>
  </si>
  <si>
    <t>Doanh thu Thanh toán 100% phí dịch vụ 3CE - KOC Hub Dec - Video - Scope 3 - 3012 SOW số 32018/2025/WPP-BTL-LO ID Tiktok: chouchinchan HĐ số 23</t>
  </si>
  <si>
    <t>Doanh thu Dịch vụ quảng cáo và truyền thông theo Hợp đồng số CAFxELC-122025.02 ký ngày 20/12/2025 và Biên bản nghiệm thu ký ngày 22/12/2025 HĐ số 24</t>
  </si>
  <si>
    <t>Doanh thu Dịch vụ quảng cáo và truyền thông theo Hợp đồng số 08102025/HĐDV-ZEE-SENKA-CHOULUOIMAKEUP ký ngày 08/10/2025 và Biên bản nghiệm thu ký ngày 23/12/2025 HĐ số 25</t>
  </si>
  <si>
    <t>Doanh thu 100% dịch vụ quảng cáo dự án 25FW UNIQLO Bratop theo BBNTTL của hợp đồng số HĐ/3223/2025/METUB ký ngày 30/10/2025 HĐ số 26</t>
  </si>
  <si>
    <t>Doanh thu Dịch vụ quảng cáo và truyền thông theo Hợp đồng số 1411/2025/HĐDV/UNI_HKDTKMC ký ngày 10/11/2025 và Biên bản nghiệm thu số 1411/2025/BBNT/UNI_HKDTKMC ký ngày 24/12/2025 HĐ số 27</t>
  </si>
  <si>
    <t>Doanh thu Dịch vụ quảng cáo và truyền thông theo Hợp đồng số 130-25/HDDV/MS-MKT-[HCM]-CK ký ngày 11/12/2025 và Biên bản nghiệm thu ký ngày 24/12/2025 HĐ số 28</t>
  </si>
  <si>
    <t>Doanh thu Dịch vụ quảng cáo và truyền thông theo Hợp đồng số 111125/HDDV/BSTARS-TKMC ký ngày 11/11/2025 và Biên bản nghiệm thu ký ngày 24/12/2025 HĐ số 29</t>
  </si>
  <si>
    <t>Doanh thu Dịch vụ quảng cáo và truyền thông theo Hợp đồng số 112025/HDDV/TOOM/THIENKIMMINHCHAU ký ngày 03/11/2025 và Biên bản nghiệm thu ký ngày 26/12/2025 HĐ số 30</t>
  </si>
  <si>
    <t>Doanh thu Dịch vụ quảng cáo và truyền thông theo Hợp đồng số 18122025/HDDV/UPBASE-MISSSAIGON-CHOUCHINCHAN ký ngày 18/12/2025 và Biên bản nghiệm thu ký ngày 29/12/2025 HĐ số 31</t>
  </si>
  <si>
    <t>Doanh thu Dịch vụ quảng cáo và truyền thông theo Hợp đồng số 29122025.HDDV. SPARKLE.MINHCHAU ký ngày 29/12/2025 HĐ số 32</t>
  </si>
  <si>
    <t>Doanh thu Dịch vụ quảng cáo và truyền thông theo Bảng báo giá ký ngày 01/11/2025 của Hợp đồng số 11_2025_TPC0119/HDDV/TPC/2025 ký ngày 01/11/2025 HĐ số 33</t>
  </si>
  <si>
    <t>Doanh thu Phí sử dụng hình ảnh theo Hợp đồng số 31/12-2025/HĐMKT - BM/01 ký ngày 31/12/2025 HĐ số 34</t>
  </si>
  <si>
    <t>Điều chỉnh giảm Doanh thu Dịch vụ quảng cáo và truyền thông theo Hợp đồng số 1009/2025/HDDV-LEMONADE.MINHCHAU ký ngày 10/09/2025 và Biên bản nghiệm thu ký ngày 05/11/2025 HĐ số 2</t>
  </si>
  <si>
    <t>Điều chỉnh giảm Doanh thu Dịch vụ quảng cáo cho nhãn hàng UNIQLO theo Hợp đồng số HĐ/2780/2025/METUB ký ngày 04/09/2025 kèm Biên bản nghiệm thu và thanh lý ký ngày 06/11/2025 HĐ số 3</t>
  </si>
  <si>
    <t>Điều chỉnh giảm Doanh thu Dịch vụ quảng cáo và truyền thông theo Hợp đồng số 14102025/HDDV/TKMC-NT ký ngày 14/10/2025 và Biên bản nghiệm thu ký ngày 07/11/2025 HĐ số 4</t>
  </si>
  <si>
    <t>Điều chỉnh giảm Doanh thu Dịch vụ quảng cáo và truyền thông theo Hợp đồng số HĐQC-2025 ký ngày 06/11/2025 (Đợt 1) HĐ số 5</t>
  </si>
  <si>
    <t>Điều chỉnh giảm Doanh thu Dịch vụ quảng cáo và truyền thông theo Hợp đồng số 11102025.HDDV. SPARKLE.TKMC ký ngày 11/10/2025 và Biên bản nghiệm thu ký ngày 07/11/2025 HĐ số 6</t>
  </si>
  <si>
    <t>Điều chỉnh giảm Doanh thu Thanh toán 100% phí dịch vụ MNY - FLEX POWDER - Video - Scope 3-10.11 - PO 4001492980 SOW số 28025/2025/WPP-BTL-LO ID Tiktok: chouchinchan HĐ số 7</t>
  </si>
  <si>
    <t>Điều chỉnh giảm Doanh thu Dịch vụ quảng cáo và truyền thông theo Hợp đồng số 26102025.HDDV.SPARKLE.DOANNGOCMINHCHAU.Maybelline ký ngày 26/10/2025 và Biên bản nghiệm thu ký ngày 14/11/2025 HĐ số 8</t>
  </si>
  <si>
    <t>Điều chỉnh giảm Doanh thu Dịch vụ quảng cáo và truyền thông theo Hợp đồng số 52/HĐDV/2025 ký ngày 13/10/2025 và Biên bản nghiệm thu ký ngày 18/11/2025 HĐ số 10</t>
  </si>
  <si>
    <t>Điều chỉnh giảm Doanh thu Dịch vụ quảng cáo và truyền thông theo Hợp đồng số 27102025/HDDV/TKMC-NT ký ngày 27/10/2025 và Biên bản nghiệm thu ký ngày 19/11/2025 HĐ số 11</t>
  </si>
  <si>
    <t>Điều chỉnh giảm Doanh thu Thanh toán 100% phí dịch vụ 3CE - KOC Hub Nov - Video - Scope 3 - 3011 SOW số 28667/2025/WPP-BTL-LO ID Tiktok: chouchinchan HĐ số 13</t>
  </si>
  <si>
    <t>Điều chỉnh giảm Doanh thu Dịch vụ quảng cáo và truyền thông theo Hợp đồng số 191125/HĐDV/APERIRE-CHOU ký ngày 19/11/2025 và Biên bản nghiệm thu ký ngày 28/11/2025 HĐ số 14</t>
  </si>
  <si>
    <t>Điều chỉnh giảm Doanh thu Dịch vụ quảng cáo và truyền thông theo Hợp đồng số 04-11/2025/HDDV/BO-KOLS ký ngày 24/10/2025 và Biên bản nghiệm thu ký ngày 28/11/2025 HĐ số 15</t>
  </si>
  <si>
    <t>Điều chỉnh giảm Doanh thu Dịch vụ quảng cáo và truyền thông theo Hợp đồng số HĐQC-2025 ký ngày 06/11/2025 (Đợt 2) và Biên bản nghiệm thu ký ngày 01/12/2025 HĐ số 16</t>
  </si>
  <si>
    <t>Điều chỉnh giảm Doanh thu Dịch vụ quảng cáo theo Hợp đồng số 06/09102025/HDDV/MS-TKMC ký ngày 09/10/2025 kèm Biên bản nghiệm thu và thanh lý Hợp đồng HĐ số 17</t>
  </si>
  <si>
    <t>Điều chỉnh giảm Doanh thu Dịch vụ quảng cáo theo Hợp đồng số 06/30102025/HDDV/MS-TKMC ký ngày 30/10/2025 kèm Biên bản nghiệm thu và thanh lý Hợp đồng HĐ số 18</t>
  </si>
  <si>
    <t>Điều chỉnh giảm Doanh thu Thanh toán 100% phí dịch vụ 3CE - KOC Hub Nov - Video - Scope 3 - 1011 SOW số 26806/2025/WPP-BTL-LO ID Tiktok: chouchinchan HĐ số 19</t>
  </si>
  <si>
    <t>Điều chỉnh giảm Doanh thu Dịch vụ quảng cáo và truyền thông theo Hợp đồng số 006/12-2025/HĐMKT - BM ký ngày 01/12/2025 và Biên bản nghiệm thu ký ngày 05/12/2025 HĐ số 20</t>
  </si>
  <si>
    <t>Điều chỉnh giảm Doanh thu Phí dịch vụ sử dụng hình ảnh theo Hợp đồng số 1011/2025/TTS/CHAULUOIMAKEUP/SHISEIDO ký ngày 10/11/2025 và Biên bản nghiệm thu ký ngày 05/12/2025 HĐ số 21</t>
  </si>
  <si>
    <t>Điều chỉnh giảm Doanh thu Dịch vụ quảng cáo và truyền thông theo Hợp đồng số 28112025.HDDV. SPARKLE.MINHCHAU ký ngày 28/11/2025 và Biên bản nghiệm thu ký ngày 10/12/2025 HĐ số 22</t>
  </si>
  <si>
    <t>Điều chỉnh giảm Doanh thu Thanh toán 100% phí dịch vụ 3CE - KOC Hub Dec - Video - Scope 3 - 3012 SOW số 32018/2025/WPP-BTL-LO ID Tiktok: chouchinchan HĐ số 23</t>
  </si>
  <si>
    <t>Điều chỉnh giảm Doanh thu Dịch vụ quảng cáo và truyền thông theo Hợp đồng số CAFxELC-122025.02 ký ngày 20/12/2025 và Biên bản nghiệm thu ký ngày 22/12/2025 HĐ số 24</t>
  </si>
  <si>
    <t>Điều chỉnh giảm Doanh thu Dịch vụ quảng cáo và truyền thông theo Hợp đồng số 08102025/HĐDV-ZEE-SENKA-CHOULUOIMAKEUP ký ngày 08/10/2025 và Biên bản nghiệm thu ký ngày 23/12/2025 HĐ số 25</t>
  </si>
  <si>
    <t>Điều chỉnh giảm Doanh thu 100% dịch vụ quảng cáo dự án 25FW UNIQLO Bratop theo BBNTTL của hợp đồng số HĐ/3223/2025/METUB ký ngày 30/10/2025 HĐ số 26</t>
  </si>
  <si>
    <t>Điều chỉnh giảm Doanh thu Dịch vụ quảng cáo và truyền thông theo Hợp đồng số 130-25/HDDV/MS-MKT-[HCM]-CK ký ngày 11/12/2025 và Biên bản nghiệm thu ký ngày 24/12/2025 HĐ số 28</t>
  </si>
  <si>
    <t>Điều chỉnh giảm Doanh thu Dịch vụ quảng cáo và truyền thông theo Hợp đồng số 111125/HDDV/BSTARS-TKMC ký ngày 11/11/2025 và Biên bản nghiệm thu ký ngày 24/12/2025 HĐ số 29</t>
  </si>
  <si>
    <t>Điều chỉnh giảm Doanh thu Dịch vụ quảng cáo và truyền thông theo Hợp đồng số 112025/HDDV/TOOM/THIENKIMMINHCHAU ký ngày 03/11/2025 và Biên bản nghiệm thu ký ngày 26/12/2025 HĐ số 30</t>
  </si>
  <si>
    <t>Điều chỉnh giảm Doanh thu Dịch vụ quảng cáo và truyền thông theo Hợp đồng số 18122025/HDDV/UPBASE-MISSSAIGON-CHOUCHINCHAN ký ngày 18/12/2025 và Biên bản nghiệm thu ký ngày 29/12/2025 HĐ số 31</t>
  </si>
  <si>
    <t>Điều chỉnh giảm Doanh thu Dịch vụ quảng cáo và truyền thông theo Hợp đồng số 29122025.HDDV. SPARKLE.MINHCHAU ký ngày 29/12/2025 HĐ số 32</t>
  </si>
  <si>
    <t>Điều chỉnh giảm Doanh thu Dịch vụ quảng cáo và truyền thông theo Bảng báo giá ký ngày 01/11/2025 của Hợp đồng số 11_2025_TPC0119/HDDV/TPC/2025 ký ngày 01/11/2025 HĐ số 33</t>
  </si>
  <si>
    <t>Điều chỉnh giảm Doanh thu Phí sử dụng hình ảnh theo Hợp đồng số 31/12-2025/HĐMKT - BM/01 ký ngày 31/12/2025 HĐ số 34</t>
  </si>
  <si>
    <t>Phần mềm hóa đơn điện tử M-100 (1 năm) HĐ số 95142</t>
  </si>
  <si>
    <t>Chi phí dịch vụ duy trì hệ thống chứng thư số CA - Token-HKD-MBCA (1 năm) HĐ số 95537</t>
  </si>
  <si>
    <t>Chi phí tiếp khách, ngoại giao HĐ số 5081</t>
  </si>
  <si>
    <t>Chi phí tiếp khách, ngoại giao HĐ số 5082</t>
  </si>
  <si>
    <t>Chi phí tiếp khách, ngoại giao HĐ số 102</t>
  </si>
  <si>
    <t>Chi phí tiếp khách, ngoại giao HĐ số 645979</t>
  </si>
  <si>
    <t>Chi phí tiếp khách, ngoại giao HĐ số 803</t>
  </si>
  <si>
    <t>Chi phí tiếp khách, ngoại giao HĐ số 867</t>
  </si>
  <si>
    <t>Chi phí vận chuyển HĐ số 51136078</t>
  </si>
  <si>
    <t>Chi phí tiếp khách, ngoại giao HĐ số 40657</t>
  </si>
  <si>
    <t>Chi phí tiếp khách, ngoại giao HĐ số 540</t>
  </si>
  <si>
    <t>Chi phí tiếp khách, ngoại giao HĐ số 15452</t>
  </si>
  <si>
    <t>Chi phí tiếp khách, ngoại giao HĐ số 385312</t>
  </si>
  <si>
    <t>Chi phí tiếp khách, ngoại giao HĐ số 3706</t>
  </si>
  <si>
    <t>Chi phí vận chuyển HĐ số 30735</t>
  </si>
  <si>
    <t>Chi phí vận chuyển HĐ số 482291</t>
  </si>
  <si>
    <t>Chi phí đồ dùng văn phòng HĐ số 391826</t>
  </si>
  <si>
    <t>Chi phí vận chuyển HĐ số 484304</t>
  </si>
  <si>
    <t>Chi phí tiếp khách, ngoại giao HĐ số 3804431</t>
  </si>
  <si>
    <t>Chi phí vận chuyển HĐ số 665547</t>
  </si>
  <si>
    <t>Chi phí vận chuyển HĐ số 494528</t>
  </si>
  <si>
    <t>Chi phí tiếp khách, ngoại giao HĐ số 3880108</t>
  </si>
  <si>
    <t>Chi phí tiếp khách, ngoại giao HĐ số 34830</t>
  </si>
  <si>
    <t>Chi phí tiếp khách, ngoại giao HĐ số 20292</t>
  </si>
  <si>
    <t>Chi phí tiếp khách, ngoại giao HĐ số 961</t>
  </si>
  <si>
    <t>Chi phí tiếp khách, ngoại giao HĐ số 36452</t>
  </si>
  <si>
    <t>Chi phí đồ dùng văn phòng HĐ số 1414</t>
  </si>
  <si>
    <t>Chi phí đồ dùng văn phòng HĐ số 4106661</t>
  </si>
  <si>
    <t>Chi phí tiếp khách, ngoại giao HĐ số 19569275</t>
  </si>
  <si>
    <t>Chi phí tiếp khách, ngoại giao HĐ số 22238090</t>
  </si>
  <si>
    <t>Chi phí tiếp khách, ngoại giao HĐ số 1217</t>
  </si>
  <si>
    <t>Chi phí vận chuyển HĐ số 576269</t>
  </si>
  <si>
    <t>Chi phí vận chuyển HĐ số 576584</t>
  </si>
  <si>
    <t>Chi phí vận chuyển HĐ số 577008</t>
  </si>
  <si>
    <t>Chi phí tiếp khách, ngoại giao HĐ số 4132476</t>
  </si>
  <si>
    <t>Chi phí đồ dùng văn phòng HĐ số 343379</t>
  </si>
  <si>
    <t>Chi phí tiếp khách, ngoại giao HĐ số 3448</t>
  </si>
  <si>
    <t>Chi phí tiếp khách, ngoại giao HĐ số 14216</t>
  </si>
  <si>
    <t>Chi phí vận chuyển HĐ số 583903</t>
  </si>
  <si>
    <t>Chi phí vận chuyển HĐ số 584814</t>
  </si>
  <si>
    <t>Chi phí vận chuyển HĐ số 2017</t>
  </si>
  <si>
    <t>Chi phí vận chuyển HĐ số 587249</t>
  </si>
  <si>
    <t>Back to summary</t>
  </si>
  <si>
    <t>Column2</t>
  </si>
  <si>
    <t>092097002234</t>
  </si>
  <si>
    <t>ok</t>
  </si>
  <si>
    <t>Chưa phát sinh, 206 mới làm</t>
  </si>
  <si>
    <t>0100150619-207</t>
  </si>
  <si>
    <t>0312721085</t>
  </si>
  <si>
    <t>0316465442</t>
  </si>
  <si>
    <t>0309132354</t>
  </si>
  <si>
    <t>0317952262</t>
  </si>
  <si>
    <t>0100150619-124</t>
  </si>
  <si>
    <t>0316864750</t>
  </si>
  <si>
    <t>Dịch vụ ngân hàng HĐ số 32031</t>
  </si>
  <si>
    <t>Phần mềm hóa đơn điện tử M-100 092097002234.matbao.in (1 năm) HĐ số 90904</t>
  </si>
  <si>
    <t>Lệ phí Chứng thư CKS Token-HKD-MBCA (3 năm) USB Token-DN/HKD-MBCA Phí duy trì Chứng thư CKS Token-HKD-MBCA (3 năm) HĐ số 90933</t>
  </si>
  <si>
    <t>Chân Đế TV Khung Tranh 55 Inch 55LN7000G HĐ số 6269</t>
  </si>
  <si>
    <t>Sim dữ liệu mạng sử dụng tại Sing/Malay/Thai 10 ngày gói 2GB/ngày HĐ số 8163</t>
  </si>
  <si>
    <t>Miễn phí công lắp đặt Camera IP 360 Độ 3MP EZVIZ TY1 Trắng HĐ số 11983737</t>
  </si>
  <si>
    <t>Đồ chơi mô hình nhân vật THE MONSTER PIN FOR LOVE SERIES HĐ số 772980</t>
  </si>
  <si>
    <t>Móc khóa SKULLPANDA Tell Me What You Want Series HĐ số 772991</t>
  </si>
  <si>
    <t>Đồ chơi mô hình nhân vật THE MONSTERS Pin for Love Series HĐ số 773003</t>
  </si>
  <si>
    <t>Mô hình THE MONSTERS Classic Series-Sparkly Plush Pendant HĐ số 773014</t>
  </si>
  <si>
    <t>Cước phí vận chuyển mã 01KB7V6TB0NZZB2XJ2J9M91TJ9 Chiết khấu thương mại/ giảm giá mã 01KB7V6TB0NZZB2XJ2J9M91TJ9 Phí nền tảng mã 01KB7V6TB0NZZB2XJ2J9M91TJ9 HĐ số 57887812</t>
  </si>
  <si>
    <t>Cước phí vận chuyển mã 01KBA6DQMW6RAKZ86DJTG71WQM Chiết khấu thương mại/ giảm giá mã 01KBA6DQMW6RAKZ86DJTG71WQM HĐ số 58188228</t>
  </si>
  <si>
    <t>Set xiên nướng 5 loại Set sashimi cá hồi Set sashimi 10 loại Cơm cuộn California Cơm cuộn lươn Gà chiên Nanban Udon lạnh Udon trứng cá tuyết và trứng lòng đào Tôm nướng Gà nướng Teriyaki Nước ổi Nước vải 7 - Up Soda Nước đóng chai Trà xanh Chanh vàng Mực nướng nguyên con Cơm cuộn tôm chiên tempura Bánh bạch tuộc Takoyaki Phí dịch vụ HĐ số 16362</t>
  </si>
  <si>
    <t>Dịch vụ ngân hàng HĐ số 37767</t>
  </si>
  <si>
    <t>Sim điện tử ROAM dữ liệu mạng sử dụng tại Trung Quốc 10 ngày gói 5GB tổng HĐ số 8714</t>
  </si>
  <si>
    <t>Gà lát hương sả Thịt bò bông tuyết tươi thái lát Thịt bò cao cấp(Nửa phần) Bao tử giòn haidilao Thịt bò Haidilao Đậu phụ ky cuộn Chân gà rút xương（Nửa Phần） Sườn bò rút xương（Nữa phần） Lẩu Thái Lẩu Dầu Cay Mala Lẩu collagen đậm vị Lẩu rau củ chua cay ngũ sắc Thịt bắp bò tươi cắt lát Đậu phụ phô mai Đậu phụ cá Bún sợi nưa Mì ăn liền Cải thảo Món nấm rừng thượng hạng tổng hợp Nấm hương Coca-cola lon (Thường) Coca-cola lon (Thường) Đồ uống tự chọn Tôm Hồ Điệp Cá basa phi lê Haidilao（Nửa Phần) Gia vị tự chọn Không dùng gia vị Phục vụ coi bàn HĐ số 1230151</t>
  </si>
  <si>
    <t>dich vu quang cao HĐ số 37</t>
  </si>
  <si>
    <t>0317805437</t>
  </si>
  <si>
    <t>0318393803</t>
  </si>
  <si>
    <t>0313276581</t>
  </si>
  <si>
    <t>0316347431</t>
  </si>
  <si>
    <t>0111052042</t>
  </si>
  <si>
    <t>Doanh thu Dịch vụ quảng cáo và truyền thông theo Hợp đồng số HKD VUDUY_CROCS_01102025 ký ngày 01/10/2025 (Đợt 1) HĐ số 1</t>
  </si>
  <si>
    <t>Doanh thu Dịch vụ quảng cáo và truyền thông theo Hợp đồng số MDA/20251008/1857 ngày 28/09/2025 kèm Biên bản nghiệm thu và thanh lý ngày 17/10/2025 HĐ số 2</t>
  </si>
  <si>
    <t>Doanh thu Dịch vụ quảng cáo và truyền thông theo Hợp đồng số 20251001/LIVESTREAM/GS-GLAMRR Q ký ngày 07/10/2025 và Biên bản nghiệm thu số 20251001/LIVESTREAM/GS-GLAMRR Q/2025/BBNT/OQR ký ngày 21/10/2025 HĐ số 3</t>
  </si>
  <si>
    <t>Doanh thu Dịch vụ quảng cáo và truyền thông theo Thỏa thuận nguyên tắc về cung cấp dịch vụ ký ngày 02/10/2025 (Đợt 1) HĐ số 4</t>
  </si>
  <si>
    <t>Doanh thu Dịch vụ quảng cáo và truyền thông theo Thỏa thuận nguyên tắc về cung cấp dịch vụ ký ngày 02/10/2025 (Đợt 1) Advertising and communication services under the Principal Agreement On Service Supply signed on October 2, 2025 (Term 1) HĐ số 5</t>
  </si>
  <si>
    <t>Doanh thu Dịch vụ quảng cáo và truyền thông theo Hợp đồng số 0710/2025/ONPOINT/CALLMEDUY ký ngày 07/10/2025 và Biên bản nghiệm thu ký ngày 03/11/2025 HĐ số 6</t>
  </si>
  <si>
    <t>Doanh thu Dịch vụ quảng cáo và truyền thông theo Hợp đồng số 202511/JBP/GS-CHANDO ký ngày 31/10/2025 (Đợt 1) HĐ số 7</t>
  </si>
  <si>
    <t>Doanh thu Dịch vụ quảng cáo và truyền thông theo Hợp đồng số 092025/PHAITRA/BLIVEE-CMD-COOCAA ký ngày 23/09/2025 và Biên bản nghiệm thu ký ngày 10/11/2025 HĐ số 8</t>
  </si>
  <si>
    <t>Doanh thu Dịch vụ quảng cáo và truyền thông theo Hợp đồng số 092025/PHAITRA/BLIVEE-CMD-LIVESTREAM ký ngày 20/09/2025 và Biên bản nghiệm thu ký ngày 10/11/2025 HĐ số 9</t>
  </si>
  <si>
    <t>Doanh thu Dịch vụ quảng cáo và truyền thông theo Thỏa thuận nguyên tắc về cung cấp dịch vụ ký ngày 02/10/2025 (Đợt 2) và Biên bản nghiệm thu ký ngày 10/11/2025 HĐ số 10</t>
  </si>
  <si>
    <t>Doanh thu Điều chỉnh giảm &amp;quot;Dịch vụ quảng cáo và truyền thông theo Thỏa thuận nguyên tắc về cung cấp dịch vụ ký ngày 02/10/2025 (Đợt 1)&amp;quot; Adjust down&amp;quot; Advertising and communication services under the Principal Agreement On Service Supply signed on October 2, 2025 (Term 1)&amp;quot; HĐ số 11</t>
  </si>
  <si>
    <t>Doanh thu Dịch vụ quảng cáo và truyền thông theo Hợp đồng số 14102025/HDDV/DST-CALLMEDUY ký ngày 14/10/2025 và Biên bản nghiệm thu số 14102025/BBNT/DST-CALLMEDUY ký ngày 12/11/2025 HĐ số 12</t>
  </si>
  <si>
    <t>Doanh thu Dịch vụ quảng cáo và truyền thông theo Hợp đồng số 20251010/LIVESTREAM/VUDUY-AMORTALS ký ngày 10/10/2025 và Biên bản nghiệm thu ký ngày 19/11/2025 HĐ số 13</t>
  </si>
  <si>
    <t>Doanh thu Dịch vụ quảng cáo và truyền thông theo Hợp đồng số 20251002/LIVESTREAM/VUDUY-MIREI ký ngày 02/10/2025 và Biên bản nghiệm thu ký ngày 21/11/2025 HĐ số 14</t>
  </si>
  <si>
    <t>Doanh thu Dịch vụ quảng cáo và truyền thông theo Hợp đồng số 20251004/LIVESTREAM/VUDUY-IPPCARE ký ngày 04/10/2025 và Biên bản nghiệm thu ký ngày 21/11/2025 HĐ số 15</t>
  </si>
  <si>
    <t>Doanh thu Dịch vụ quảng cáo và truyền thông theo Hợp đồng số VN2025/PR/JUSTVUDUY16/27102025/HDDVQC ký ngày 27/10/2025 (Đợt 1) HĐ số 16</t>
  </si>
  <si>
    <t>Doanh thu Dịch vụ quảng cáo và truyền thông theo Hợp đồng số 2211/2025/HĐDV/BS-VDO ký ngày 22/11/2025 HĐ số 17</t>
  </si>
  <si>
    <t>Doanh thu Dịch vụ quảng cáo và truyền thông theo Hợp đồng số 202510/HDDV/VUDUY-OKCS ký ngày 24/10/2025 (Đợt 1) HĐ số 18</t>
  </si>
  <si>
    <t>Doanh thu Dịch vụ quảng cáo và truyền thông theo Hợp đồng số 20251029/LIVESTREAM/VUDUY-BONCEPT ký ngày 29/10/2025 và Biên bản nghiệm thu ký ngày 03/12/2025 HĐ số 19</t>
  </si>
  <si>
    <t>Doanh thu Dịch vụ quảng cáo và truyền thông theo Hợp đồng số 20251010/LIVESTREAM/VUDUY-AMORTALS ký ngày 10/10/2025 và Biên bản nghiệm thu ký ngày 19/11/2025 HĐ số 20</t>
  </si>
  <si>
    <t>Doanh thu Dịch vụ quảng cáo và truyền thông theo Hợp đồng số MDA/20251210/2436 ngày 11/11/2025 kèm Biên bản nghiệm thu và thanh lý ngày 11/12/2025 HĐ số 21</t>
  </si>
  <si>
    <t>Doanh thu Dịch vụ quảng cáo và truyền thông theo Hợp đồng số 20251203/LIVESTREAM/VUDUY-URIO ký ngày 03/12/2025 HĐ số 22</t>
  </si>
  <si>
    <t>Doanh thu Dịch vụ quảng cáo và truyền thông theo Hợp đồng số 2811/2025/TTS/CALLMEDUY/YAMAN ký ngày 28/11/2025 và Biên bản nghiệm thu ký ngày 12/12/2025 HĐ số 23</t>
  </si>
  <si>
    <t>Doanh thu Dịch vụ quảng cáo bằng hình thức Livestream Hợp đồng số 20251203/LIVESTREAM/VUDUY-EMB ký ngày 03/12/2025 HĐ số 24</t>
  </si>
  <si>
    <t>Doanh thu Dịch vụ quảng cáo và truyền thông theo Hợp đồng số 15122025/HĐDV-ZEE-YOUTUBE-CALLMEDUY ký ngày 15/12/2025 (Đợt 1) HĐ số 25</t>
  </si>
  <si>
    <t>Doanh thu Dịch vụ quảng cáo và truyền thông theo Hợp đồng số 2510/2025/TTS/CALLMEDUY/INOVA ký ngày 25/10/2025 và Biên bản nghiệm thu ký ngày 17/12/2025 HĐ số 26</t>
  </si>
  <si>
    <t>Doanh thu Thanh toán 100% phí dịch vụ chiến dịch OAP - Glyco Campaign P2 - PO4001432323 - Scope 3 - Video - 3007 SOW số 18433/2025/WPP-BTL-LO ID Tiktok: justvuduy16 HĐ số 27</t>
  </si>
  <si>
    <t>Doanh thu Dịch vụ quảng cáo và truyền thông theo Hợp đồng số 20251124/LIVESTREAM/CATRICE-VUDUY ký ngày 24/11/2025 và Biên bản nghiệm thu ký ngày 18/12/2025 HĐ số 28</t>
  </si>
  <si>
    <t>Doanh thu Dịch vụ quảng cáo và truyền thông theo Hợp đồng số 20251209/LIVESTREAM/VUDUY-BIORE ký ngày 09/12/2025 và Biên bản nghiệm thu ký ngày 18/12/2025 HĐ số 29</t>
  </si>
  <si>
    <t>Doanh thu Dịch vụ quảng cáo và truyền thông theo Hợp đồng số VN2025/PR/JUSTVUDUY16/27102025/HDDVQC ký ngày 27/10/2025 (Đợt 2) kèm Biên bản nghiệm thu và thanh lý ký ngày 19/12/2025 HĐ số 30</t>
  </si>
  <si>
    <t>Doanh thu Dịch vụ quảng cáo và truyền thông theo Hợp đồng số 16122025/HĐDV-ZEE-AVATAR-CALLMEDUY ký ngày 16/12/2025 và Biên bản nghiệm thu ký ngày 23/12/2025 HĐ số 31</t>
  </si>
  <si>
    <t>Doanh thu Dịch vụ quảng cáo và truyền thông theo Hợp đồng số 15122025/HĐDV-ZEE-YOUTUBE-CALLMEDUY ký ngày 15/12/2025 (Đợt 2) và Biên bản nghiệm thu ký ngày 23/12/2025 HĐ số 32</t>
  </si>
  <si>
    <t>Doanh thu Dịch vụ quảng cáo và truyền thông theo Hợp đồng số 102025/PHAITRA/BLIVEE-CMD-PANTENE ký ngày 27/10/2025 và Biên bản nghiệm thu ký ngày 24/12/2025 HĐ số 33</t>
  </si>
  <si>
    <t>Doanh thu Dịch vụ quảng cáo và truyền thông theo Hợp đồng số HDDV/OLAYxVĐxVUDUYOFFICIAL/011225 ký ngày 01/12/2025 và Biên bản nghiệm thu ký ngày 25/12/2025 HĐ số 34</t>
  </si>
  <si>
    <t>Doanh thu Dịch vụ quảng cáo và truyền thông theo Hợp đồng số 20251108/LIVESTREAM/VUDUY-AMORTALS ký ngày 08/11/2025 và Biên bản nghiệm thu ký ngày 26/12/2025 HĐ số 35</t>
  </si>
  <si>
    <t>Doanh thu Dịch vụ quảng cáo và truyền thông theo Hợp đồng số 20251118/LIVESTREAM/VUDUY-AMORTALS ký ngày 18/11/2025 và Biên bản nghiệm thu ký ngày 26/12/2025 HĐ số 36</t>
  </si>
  <si>
    <t>Doanh thu Dịch vụ quảng cáo và truyền thông theo Hợp đồng số 20251229/BRAINADSxCALLMEDUY ký ngày 29/12/2025 HĐ số 37</t>
  </si>
  <si>
    <t>Doanh thu Hoa hồng tiếp thị liên kết theo Hợp đồng số SSPb/01112025/HDDV/MDA-HKDVD ngày 01/11/2025 kèm Biên bản nghiệm thu và thanh lý ngày 31/12/2025 HĐ số 38</t>
  </si>
  <si>
    <t>Doanh thu Hoa hồng tiếp thị liên kết theo Hợp đồng số SSPb/01102025/HDDV/MDA-HKDVD ngày 01/10/2025 kèm Biên bản nghiệm thu và thanh lý ngày 31/12/2025 HĐ số 39</t>
  </si>
  <si>
    <t>Điều chỉnh giảm Doanh thu Dịch vụ quảng cáo và truyền thông theo Hợp đồng số HKD VUDUY_CROCS_01102025 ký ngày 01/10/2025 (Đợt 1) HĐ số 1</t>
  </si>
  <si>
    <t>Điều chỉnh giảm Doanh thu Dịch vụ quảng cáo và truyền thông theo Hợp đồng số MDA/20251008/1857 ngày 28/09/2025 kèm Biên bản nghiệm thu và thanh lý ngày 17/10/2025 HĐ số 2</t>
  </si>
  <si>
    <t>Điều chỉnh giảm Doanh thu Dịch vụ quảng cáo và truyền thông theo Hợp đồng số 20251001/LIVESTREAM/GS-GLAMRR Q ký ngày 07/10/2025 và Biên bản nghiệm thu số 20251001/LIVESTREAM/GS-GLAMRR Q/2025/BBNT/OQR ký ngày 21/10/2025 HĐ số 3</t>
  </si>
  <si>
    <t>Điều chỉnh giảm Doanh thu Dịch vụ quảng cáo và truyền thông theo Thỏa thuận nguyên tắc về cung cấp dịch vụ ký ngày 02/10/2025 (Đợt 1) HĐ số 4</t>
  </si>
  <si>
    <t>Điều chỉnh giảm Doanh thu Dịch vụ quảng cáo và truyền thông theo Thỏa thuận nguyên tắc về cung cấp dịch vụ ký ngày 02/10/2025 (Đợt 1) Advertising and communication services under the Principal Agreement On Service Supply signed on October 2, 2025 (Term 1) HĐ số 5</t>
  </si>
  <si>
    <t>Điều chỉnh giảm Doanh thu Dịch vụ quảng cáo và truyền thông theo Hợp đồng số 0710/2025/ONPOINT/CALLMEDUY ký ngày 07/10/2025 và Biên bản nghiệm thu ký ngày 03/11/2025 HĐ số 6</t>
  </si>
  <si>
    <t>Điều chỉnh giảm Doanh thu Dịch vụ quảng cáo và truyền thông theo Hợp đồng số 202511/JBP/GS-CHANDO ký ngày 31/10/2025 (Đợt 1) HĐ số 7</t>
  </si>
  <si>
    <t>Điều chỉnh giảm Doanh thu Dịch vụ quảng cáo và truyền thông theo Hợp đồng số 092025/PHAITRA/BLIVEE-CMD-COOCAA ký ngày 23/09/2025 và Biên bản nghiệm thu ký ngày 10/11/2025 HĐ số 8</t>
  </si>
  <si>
    <t>Điều chỉnh giảm Doanh thu Dịch vụ quảng cáo và truyền thông theo Hợp đồng số 092025/PHAITRA/BLIVEE-CMD-LIVESTREAM ký ngày 20/09/2025 và Biên bản nghiệm thu ký ngày 10/11/2025 HĐ số 9</t>
  </si>
  <si>
    <t>Điều chỉnh giảm Doanh thu Dịch vụ quảng cáo và truyền thông theo Thỏa thuận nguyên tắc về cung cấp dịch vụ ký ngày 02/10/2025 (Đợt 2) và Biên bản nghiệm thu ký ngày 10/11/2025 HĐ số 10</t>
  </si>
  <si>
    <t>Điều chỉnh giảm Doanh thu Điều chỉnh giảm &amp;quot;Dịch vụ quảng cáo và truyền thông theo Thỏa thuận nguyên tắc về cung cấp dịch vụ ký ngày 02/10/2025 (Đợt 1)&amp;quot; Adjust down&amp;quot; Advertising and communication services under the Principal Agreement On Service Supply signed on October 2, 2025 (Term 1)&amp;quot; HĐ số 11</t>
  </si>
  <si>
    <t>Điều chỉnh giảm Doanh thu Dịch vụ quảng cáo và truyền thông theo Hợp đồng số 14102025/HDDV/DST-CALLMEDUY ký ngày 14/10/2025 và Biên bản nghiệm thu số 14102025/BBNT/DST-CALLMEDUY ký ngày 12/11/2025 HĐ số 12</t>
  </si>
  <si>
    <t>Điều chỉnh giảm Doanh thu Dịch vụ quảng cáo và truyền thông theo Hợp đồng số 20251010/LIVESTREAM/VUDUY-AMORTALS ký ngày 10/10/2025 và Biên bản nghiệm thu ký ngày 19/11/2025 HĐ số 13</t>
  </si>
  <si>
    <t>Điều chỉnh giảm Doanh thu Dịch vụ quảng cáo và truyền thông theo Hợp đồng số 20251002/LIVESTREAM/VUDUY-MIREI ký ngày 02/10/2025 và Biên bản nghiệm thu ký ngày 21/11/2025 HĐ số 14</t>
  </si>
  <si>
    <t>Điều chỉnh giảm Doanh thu Dịch vụ quảng cáo và truyền thông theo Hợp đồng số 20251004/LIVESTREAM/VUDUY-IPPCARE ký ngày 04/10/2025 và Biên bản nghiệm thu ký ngày 21/11/2025 HĐ số 15</t>
  </si>
  <si>
    <t>Điều chỉnh giảm Doanh thu Dịch vụ quảng cáo và truyền thông theo Hợp đồng số VN2025/PR/JUSTVUDUY16/27102025/HDDVQC ký ngày 27/10/2025 (Đợt 1) HĐ số 16</t>
  </si>
  <si>
    <t>Điều chỉnh giảm Doanh thu Dịch vụ quảng cáo và truyền thông theo Hợp đồng số 2211/2025/HĐDV/BS-VDO ký ngày 22/11/2025 HĐ số 17</t>
  </si>
  <si>
    <t>Điều chỉnh giảm Doanh thu Dịch vụ quảng cáo và truyền thông theo Hợp đồng số 202510/HDDV/VUDUY-OKCS ký ngày 24/10/2025 (Đợt 1) HĐ số 18</t>
  </si>
  <si>
    <t>Điều chỉnh giảm Doanh thu Dịch vụ quảng cáo và truyền thông theo Hợp đồng số 20251029/LIVESTREAM/VUDUY-BONCEPT ký ngày 29/10/2025 và Biên bản nghiệm thu ký ngày 03/12/2025 HĐ số 19</t>
  </si>
  <si>
    <t>Điều chỉnh giảm Doanh thu Dịch vụ quảng cáo và truyền thông theo Hợp đồng số 20251010/LIVESTREAM/VUDUY-AMORTALS ký ngày 10/10/2025 và Biên bản nghiệm thu ký ngày 19/11/2025 HĐ số 20</t>
  </si>
  <si>
    <t>Điều chỉnh giảm Doanh thu Dịch vụ quảng cáo và truyền thông theo Hợp đồng số MDA/20251210/2436 ngày 11/11/2025 kèm Biên bản nghiệm thu và thanh lý ngày 11/12/2025 HĐ số 21</t>
  </si>
  <si>
    <t>Điều chỉnh giảm Doanh thu Dịch vụ quảng cáo và truyền thông theo Hợp đồng số 20251203/LIVESTREAM/VUDUY-URIO ký ngày 03/12/2025 HĐ số 22</t>
  </si>
  <si>
    <t>Điều chỉnh giảm Doanh thu Dịch vụ quảng cáo và truyền thông theo Hợp đồng số 2811/2025/TTS/CALLMEDUY/YAMAN ký ngày 28/11/2025 và Biên bản nghiệm thu ký ngày 12/12/2025 HĐ số 23</t>
  </si>
  <si>
    <t>Điều chỉnh giảm Doanh thu Dịch vụ quảng cáo bằng hình thức Livestream Hợp đồng số 20251203/LIVESTREAM/VUDUY-EMB ký ngày 03/12/2025 HĐ số 24</t>
  </si>
  <si>
    <t>Điều chỉnh giảm Doanh thu Dịch vụ quảng cáo và truyền thông theo Hợp đồng số 15122025/HĐDV-ZEE-YOUTUBE-CALLMEDUY ký ngày 15/12/2025 (Đợt 1) HĐ số 25</t>
  </si>
  <si>
    <t>Điều chỉnh giảm Doanh thu Dịch vụ quảng cáo và truyền thông theo Hợp đồng số 2510/2025/TTS/CALLMEDUY/INOVA ký ngày 25/10/2025 và Biên bản nghiệm thu ký ngày 17/12/2025 HĐ số 26</t>
  </si>
  <si>
    <t>Điều chỉnh giảm Doanh thu Thanh toán 100% phí dịch vụ chiến dịch OAP - Glyco Campaign P2 - PO4001432323 - Scope 3 - Video - 3007 SOW số 18433/2025/WPP-BTL-LO ID Tiktok: justvuduy16 HĐ số 27</t>
  </si>
  <si>
    <t>Điều chỉnh giảm Doanh thu Dịch vụ quảng cáo và truyền thông theo Hợp đồng số 20251124/LIVESTREAM/CATRICE-VUDUY ký ngày 24/11/2025 và Biên bản nghiệm thu ký ngày 18/12/2025 HĐ số 28</t>
  </si>
  <si>
    <t>Điều chỉnh giảm Doanh thu Dịch vụ quảng cáo và truyền thông theo Hợp đồng số 20251209/LIVESTREAM/VUDUY-BIORE ký ngày 09/12/2025 và Biên bản nghiệm thu ký ngày 18/12/2025 HĐ số 29</t>
  </si>
  <si>
    <t>Điều chỉnh giảm Doanh thu Dịch vụ quảng cáo và truyền thông theo Hợp đồng số VN2025/PR/JUSTVUDUY16/27102025/HDDVQC ký ngày 27/10/2025 (Đợt 2) kèm Biên bản nghiệm thu và thanh lý ký ngày 19/12/2025 HĐ số 30</t>
  </si>
  <si>
    <t>Điều chỉnh giảm Doanh thu Dịch vụ quảng cáo và truyền thông theo Hợp đồng số 16122025/HĐDV-ZEE-AVATAR-CALLMEDUY ký ngày 16/12/2025 và Biên bản nghiệm thu ký ngày 23/12/2025 HĐ số 31</t>
  </si>
  <si>
    <t>Điều chỉnh giảm Doanh thu Dịch vụ quảng cáo và truyền thông theo Hợp đồng số 15122025/HĐDV-ZEE-YOUTUBE-CALLMEDUY ký ngày 15/12/2025 (Đợt 2) và Biên bản nghiệm thu ký ngày 23/12/2025 HĐ số 32</t>
  </si>
  <si>
    <t>Điều chỉnh giảm Doanh thu Dịch vụ quảng cáo và truyền thông theo Hợp đồng số 102025/PHAITRA/BLIVEE-CMD-PANTENE ký ngày 27/10/2025 và Biên bản nghiệm thu ký ngày 24/12/2025 HĐ số 33</t>
  </si>
  <si>
    <t>Điều chỉnh giảm Doanh thu Dịch vụ quảng cáo và truyền thông theo Hợp đồng số HDDV/OLAYxVĐxVUDUYOFFICIAL/011225 ký ngày 01/12/2025 và Biên bản nghiệm thu ký ngày 25/12/2025 HĐ số 34</t>
  </si>
  <si>
    <t>Điều chỉnh giảm Doanh thu Dịch vụ quảng cáo và truyền thông theo Hợp đồng số 20251108/LIVESTREAM/VUDUY-AMORTALS ký ngày 08/11/2025 và Biên bản nghiệm thu ký ngày 26/12/2025 HĐ số 35</t>
  </si>
  <si>
    <t>Điều chỉnh giảm Doanh thu Dịch vụ quảng cáo và truyền thông theo Hợp đồng số 20251118/LIVESTREAM/VUDUY-AMORTALS ký ngày 18/11/2025 và Biên bản nghiệm thu ký ngày 26/12/2025 HĐ số 36</t>
  </si>
  <si>
    <t>Điều chỉnh giảm Doanh thu Dịch vụ quảng cáo và truyền thông theo Hợp đồng số 20251229/BRAINADSxCALLMEDUY ký ngày 29/12/2025 HĐ số 37</t>
  </si>
  <si>
    <t>Điều chỉnh giảm Doanh thu Hoa hồng tiếp thị liên kết theo Hợp đồng số SSPb/01112025/HDDV/MDA-HKDVD ngày 01/11/2025 kèm Biên bản nghiệm thu và thanh lý ngày 31/12/2025 HĐ số 38</t>
  </si>
  <si>
    <t>Điều chỉnh giảm Doanh thu Hoa hồng tiếp thị liên kết theo Hợp đồng số SSPb/01102025/HDDV/MDA-HKDVD ngày 01/10/2025 kèm Biên bản nghiệm thu và thanh lý ngày 31/12/2025 HĐ số 39</t>
  </si>
  <si>
    <t>082198013719</t>
  </si>
  <si>
    <t>031196005568</t>
  </si>
  <si>
    <t>0318868038</t>
  </si>
  <si>
    <t>Phần mềm hóa đơn điện tử M-100 082198013719.matbao.in (1 năm) HĐ số 91342</t>
  </si>
  <si>
    <t>Tiền thuê văn phòng theo hợp đồng số: 2010/2025/HĐVP/CYBER-ANVY ký ngày 01/10/2025 HĐ số 117</t>
  </si>
  <si>
    <t>Phí dịch vụ tư vấn tháng 10/2025 HĐ số 156</t>
  </si>
  <si>
    <t>Phí dịch vụ tư vấn tháng 11/2025 HĐ số 180</t>
  </si>
  <si>
    <t>0319100062</t>
  </si>
  <si>
    <t>0316609260</t>
  </si>
  <si>
    <t>0315812492</t>
  </si>
  <si>
    <t>0109922820</t>
  </si>
  <si>
    <t>Doanh thu Dịch vụ quảng cáo và truyền thông theo Hợp đồng số 0810/2025/HDDV ký ngày 08/10/2025 (Đợt 1) HĐ số 1</t>
  </si>
  <si>
    <t>Doanh thu Dịch vụ quảng cáo và truyền thông theo Hợp đồng số 006/HDCTV/BBHH-TV ký ngày 10/10/2025 HĐ số 2</t>
  </si>
  <si>
    <t>Doanh thu Dịch vụ quảng cáo và truyền thông theo Hợp đồng số 0810.67/HDDV/KOL/HKD.AV-NBN ký ngày 13/10/2025 và Biên bản nghiệm thu ký ngày 28/10/2025 HĐ số 3</t>
  </si>
  <si>
    <t>Doanh thu Dịch vụ quảng cáo và truyền thông theo Thỏa thuận cung ứng nghệ sĩ ký ngày 10/11/2025 HĐ số 4</t>
  </si>
  <si>
    <t>Doanh thu 100% dịch vụ quảng cáo dự án Johnson&amp;apos;s Baby Cream theo BBNTTL của hợp đồng số HĐ/2921/2025/METUB ký ngày 14/10/2025 HĐ số 5</t>
  </si>
  <si>
    <t>Doanh thu Dịch vụ quảng cáo và truyền thông theo Hợp đồng số 13112025/HDDV/VUANEM-ANVYOFFICIAL/DUNLOPILLOPOWERFUL ký ngày 13/11/2025 và Biên bản nghiệm thu ký ngày 23/11/2025 HĐ số 6</t>
  </si>
  <si>
    <t>Doanh thu Dịch vụ quảng cáo và truyền thông theo Hợp đồng số CTV-061025-WMM-An Vy ký ngày 06/10/2025 và Biên bản nghiệm thu ký ngày 26/11/2025 HĐ số 7</t>
  </si>
  <si>
    <t>Doanh thu Dịch vụ quảng cáo và truyền thông theo Hợp đồng số CTV-091025-WMM-An Vy ký ngày 09/10/2025 và Biên bản nghiệm thu ký ngày 26/11/2025 HĐ số 8</t>
  </si>
  <si>
    <t>Doanh thu Dịch vụ quảng cáo và truyền thông theo Hợp đồng số HKDANVY/20251201 ký ngày 29/11/2025 (Đợt 1) HĐ số 9</t>
  </si>
  <si>
    <t>Doanh thu Dịch vụ quảng cáo và truyền thông theo Hợp đồng số 14112025.79/HDDV/KOL/HKD.AV-NBN ký ngày 14/11/2025 và Biên bản nghiệm thu ký ngày 04/12/2025 HĐ số 10</t>
  </si>
  <si>
    <t>Điều chỉnh giảm Doanh thu Dịch vụ quảng cáo và truyền thông theo Hợp đồng số 0810/2025/HDDV ký ngày 08/10/2025 (Đợt 1) HĐ số 1</t>
  </si>
  <si>
    <t>Điều chỉnh giảm Doanh thu Dịch vụ quảng cáo và truyền thông theo Hợp đồng số 006/HDCTV/BBHH-TV ký ngày 10/10/2025 HĐ số 2</t>
  </si>
  <si>
    <t>Điều chỉnh giảm Doanh thu Dịch vụ quảng cáo và truyền thông theo Hợp đồng số 0810.67/HDDV/KOL/HKD.AV-NBN ký ngày 13/10/2025 và Biên bản nghiệm thu ký ngày 28/10/2025 HĐ số 3</t>
  </si>
  <si>
    <t>Điều chỉnh giảm Doanh thu Dịch vụ quảng cáo và truyền thông theo Thỏa thuận cung ứng nghệ sĩ ký ngày 10/11/2025 HĐ số 4</t>
  </si>
  <si>
    <t>Điều chỉnh giảm Doanh thu 100% dịch vụ quảng cáo dự án Johnson&amp;apos;s Baby Cream theo BBNTTL của hợp đồng số HĐ/2921/2025/METUB ký ngày 14/10/2025 HĐ số 5</t>
  </si>
  <si>
    <t>Điều chỉnh giảm Doanh thu Dịch vụ quảng cáo và truyền thông theo Hợp đồng số 13112025/HDDV/VUANEM-ANVYOFFICIAL/DUNLOPILLOPOWERFUL ký ngày 13/11/2025 và Biên bản nghiệm thu ký ngày 23/11/2025 HĐ số 6</t>
  </si>
  <si>
    <t>Điều chỉnh giảm Doanh thu Dịch vụ quảng cáo và truyền thông theo Hợp đồng số CTV-061025-WMM-An Vy ký ngày 06/10/2025 và Biên bản nghiệm thu ký ngày 26/11/2025 HĐ số 7</t>
  </si>
  <si>
    <t>Điều chỉnh giảm Doanh thu Dịch vụ quảng cáo và truyền thông theo Hợp đồng số CTV-091025-WMM-An Vy ký ngày 09/10/2025 và Biên bản nghiệm thu ký ngày 26/11/2025 HĐ số 8</t>
  </si>
  <si>
    <t>Điều chỉnh giảm Doanh thu Dịch vụ quảng cáo và truyền thông theo Hợp đồng số HKDANVY/20251201 ký ngày 29/11/2025 (Đợt 1) HĐ số 9</t>
  </si>
  <si>
    <t>Điều chỉnh giảm Doanh thu Dịch vụ quảng cáo và truyền thông theo Hợp đồng số 14112025.79/HDDV/KOL/HKD.AV-NBN ký ngày 14/11/2025 và Biên bản nghiệm thu ký ngày 04/12/2025 HĐ số 10</t>
  </si>
  <si>
    <t>0313684012</t>
  </si>
  <si>
    <t>3703093370</t>
  </si>
  <si>
    <t>3700303206</t>
  </si>
  <si>
    <t>0109722010</t>
  </si>
  <si>
    <t>0314071202</t>
  </si>
  <si>
    <t>0101628217-005</t>
  </si>
  <si>
    <t>2301241838</t>
  </si>
  <si>
    <t>1201518548</t>
  </si>
  <si>
    <t>Phí dịch vụ Affiliate 09/2025_17362030002 HĐ số 977144</t>
  </si>
  <si>
    <t>Phần mềm hóa đơn điện tử M-100 031196005568.matbao.in (1 năm) HĐ số 91910</t>
  </si>
  <si>
    <t>Phí dịch vụ tư vấn tháng 10/2025 HĐ số 155</t>
  </si>
  <si>
    <t>Phí dịch vụ Affiliate 10/2025_17362030002 HĐ số 1077898</t>
  </si>
  <si>
    <t>Phí dịch vụ tư vấn tháng 11/2025 HĐ số 181</t>
  </si>
  <si>
    <t>Phí dịch vụ Affiliate 11/2025_17362030002 HĐ số 1124534</t>
  </si>
  <si>
    <t>0102850165-001</t>
  </si>
  <si>
    <t>0315542327</t>
  </si>
  <si>
    <t>0111293859</t>
  </si>
  <si>
    <t>0601256327</t>
  </si>
  <si>
    <t>Doanh thu Phí dịch vụ theo Hợp đồng số 01120/HDDV – EZS X HKD VANPHAM ký ngày 08/10/2025, BBNT và TLHĐ số 01120/BBNT-EZS x HKD VANPHAM ngày 27/11/2025 HĐ số 1</t>
  </si>
  <si>
    <t>Doanh thu Dịch vụ quảng cáo và truyền thông theo Hợp đồng số 261025/HDDV/CELANO/ICON-VPCG-HKDVANPHAM ký ngày 26/10/2025 và Biên bản nghiệm thu ký ngày 27/11/2025 HĐ số 2</t>
  </si>
  <si>
    <t>Doanh thu Dịch vụ quảng cáo và truyền thông theo Phụ lục 01 ký ngày 14/10/2025 của Hợp đồng số 001/HD2025-GFM-KOLVANPHAM ký ngày 14/10/2025 và Biên bản nghiệm thu ký ngày 27/11/2025 HĐ số 3</t>
  </si>
  <si>
    <t>Doanh thu Dịch vụ quảng cáo và truyền thông theo Hợp đồng số 20251001HDDV/TRENDIFY – vanpham0719 ký ngày 01/10/2025 và Biên bản nghiệm thu ký ngày 27/11/2025 HĐ số 4</t>
  </si>
  <si>
    <t>Doanh thu Dịch vụ quảng cáo và truyền thông theo Hợp đồng số 27092025/HĐDV-SE-SIMPLE-VANPHAM ký ngày 27/09/2025 và Biên bản nghiệm thu ký ngày 27/11/2025 HĐ số 5</t>
  </si>
  <si>
    <t>Doanh thu Thanh toán 100% phí dịch vụ MNY - TEDDY TINT - Video - Scope 3 - 10.11 - PO 4001467856 SOW số 28091/2025/WPP-BTL-LO ID Tiktok: vanpham0719 HĐ số 6</t>
  </si>
  <si>
    <t>Doanh thu Dịch vụ quảng cáo và truyền thông theo Hợp đồng số 03/112025/HDDV-CAQC ký ngày 06/11/2025 và Biên bản nghiệm thu ký ngày 28/11/2025 HĐ số 7</t>
  </si>
  <si>
    <t>Doanh thu Dịch vụ quảng cáo và truyền thông theo Hợp đồng số GUARDIAN/I-DAC/VANPHAM/102025 ký ngày 04/10/2025 và Biên bản nghiệm thu ký ngày 28/11/2025 HĐ số 8</t>
  </si>
  <si>
    <t>Doanh thu Thanh toán 100% phí dịch vụ MNY - FLEX POWDER - Video - Scope 3 -10.11 - PO 4001492980 SOW số 27855/2025/WPP-BTL-LO ID Tiktok: vanpham0719 HĐ số 9</t>
  </si>
  <si>
    <t>Doanh thu Thanh toán 100% phí dịch vụ OAP - KOC Hub Sep&amp;apos;25 (1) - Video - Scope 3 - 3010 - PO 4001498150 SOW số 25652/2025/WPP-BTL-LO ID Tiktok: vanpham_chillgirl HĐ số 10</t>
  </si>
  <si>
    <t>Doanh thu Thanh toán 100% phí dịch vụ MNY - Teddy Tint - Video - Scope 3 - 1012 SOW số 30767/2025/WPP-BTL-LO ID Tiktok: vanpham0719 HĐ số 11</t>
  </si>
  <si>
    <t>Doanh thu Thanh toán 100% phí dịch vụ LAN - LUXE AFF PROJECT NOV 2025 - Scope 2 - 1012 SOW số 30480/2025/WPP-BTL-LO ID Tiktok: vanpham0719 HĐ số 12</t>
  </si>
  <si>
    <t>Doanh thu Dịch vụ quảng cáo và truyền thông theo Hợp đồng số 20251111HDDV/MEISHANG – VANPHAM ký ngày 11/11/2025 kèm Biên bản nghiệm thu và thanh lý ký ngày 15/12/2025 HĐ số 13</t>
  </si>
  <si>
    <t>Doanh thu Dịch vụ quảng cáo và truyền thông theo Hợp đồng số 271125/JEE-VANPHAM ký ngày 27/11/2025 kèm Biên bản nghiệm thu và thanh lý ký ngày 15/12/2025 HĐ số 14</t>
  </si>
  <si>
    <t>Doanh thu Dịch vụ quảng cáo và truyền thông theo Hợp đồng số MDA/20251202/2393 ngày 20/11/2025 và Biên bản nghiệm thu và thanh lý ngày 15/12/2025 HĐ số 15</t>
  </si>
  <si>
    <t>Doanh thu Dịch vụ quảng cáo và truyền thông theo Hợp đồng số 1212/RV/TC-VANPHAM/2025 ký ngày 12/12/2025 (Đợt 1) HĐ số 16</t>
  </si>
  <si>
    <t>Doanh thu Dịch vụ quảng cáo và truyền thông theo Hợp đồng số AME/VÂN PHẠM/CAM0075623/HeadShoulder_OND25/Service Contract/2025-0041P ký ngày 31/10/2025 và Biên bản nghiệm thu ký ngày 23/12/2025 HĐ số 17</t>
  </si>
  <si>
    <t>Doanh thu Dịch vụ quảng cáo và truyền thông theo Hợp đồng số 011225/HDDV/NIVEABODYP2/ICON-VPCG-HKDVANPHAM ký ngày 01/11/2025 kèm Biên bản nghiệm thu và thanh lý ký ngày 24/12/2025 HĐ số 18</t>
  </si>
  <si>
    <t>Doanh thu Thanh toán 100% phí dịch vụ Lan - Livestream - Scope 2 - 4001510886 SOW số 31006/2025/WPP-BTL-LO ID Tiktok: vanpham0719 HĐ số 19</t>
  </si>
  <si>
    <t>Doanh thu Dịch vụ quảng cáo và truyền thông theo Hợp đồng số LSVN122025001/HĐDV–KOLký ngày 22/12/2025 và Biên bản nghiệm thu ký ngày 26/12/2025 HĐ số 20</t>
  </si>
  <si>
    <t>Doanh thu Dịch vụ quảng cáo và truyền thông theo Hợp đồng số 21122025/HĐ-DVQC2025 ký ngày 15/12/2025 và Biên bản nghiệm thu ký ngày 31/12/2025 HĐ số 21</t>
  </si>
  <si>
    <t>Doanh thu Phí dịch vụ quảng cáo theo Hợp đồng số 412/HDDV-SE-VANPHAM-SSTYLE ký ngày 04/12/2025 HĐ số 22</t>
  </si>
  <si>
    <t>Điều chỉnh giảm Doanh thu Phí dịch vụ theo Hợp đồng số 01120/HDDV – EZS X HKD VANPHAM ký ngày 08/10/2025, BBNT và TLHĐ số 01120/BBNT-EZS x HKD VANPHAM ngày 27/11/2025 HĐ số 1</t>
  </si>
  <si>
    <t>Điều chỉnh giảm Doanh thu Dịch vụ quảng cáo và truyền thông theo Hợp đồng số 261025/HDDV/CELANO/ICON-VPCG-HKDVANPHAM ký ngày 26/10/2025 và Biên bản nghiệm thu ký ngày 27/11/2025 HĐ số 2</t>
  </si>
  <si>
    <t>Điều chỉnh giảm Doanh thu Dịch vụ quảng cáo và truyền thông theo Phụ lục 01 ký ngày 14/10/2025 của Hợp đồng số 001/HD2025-GFM-KOLVANPHAM ký ngày 14/10/2025 và Biên bản nghiệm thu ký ngày 27/11/2025 HĐ số 3</t>
  </si>
  <si>
    <t>Điều chỉnh giảm Doanh thu Dịch vụ quảng cáo và truyền thông theo Hợp đồng số 20251001HDDV/TRENDIFY – vanpham0719 ký ngày 01/10/2025 và Biên bản nghiệm thu ký ngày 27/11/2025 HĐ số 4</t>
  </si>
  <si>
    <t>Điều chỉnh giảm Doanh thu Dịch vụ quảng cáo và truyền thông theo Hợp đồng số 27092025/HĐDV-SE-SIMPLE-VANPHAM ký ngày 27/09/2025 và Biên bản nghiệm thu ký ngày 27/11/2025 HĐ số 5</t>
  </si>
  <si>
    <t>Điều chỉnh giảm Doanh thu Thanh toán 100% phí dịch vụ MNY - TEDDY TINT - Video - Scope 3 - 10.11 - PO 4001467856 SOW số 28091/2025/WPP-BTL-LO ID Tiktok: vanpham0719 HĐ số 6</t>
  </si>
  <si>
    <t>Điều chỉnh giảm Doanh thu Dịch vụ quảng cáo và truyền thông theo Hợp đồng số 03/112025/HDDV-CAQC ký ngày 06/11/2025 và Biên bản nghiệm thu ký ngày 28/11/2025 HĐ số 7</t>
  </si>
  <si>
    <t>Điều chỉnh giảm Doanh thu Dịch vụ quảng cáo và truyền thông theo Hợp đồng số GUARDIAN/I-DAC/VANPHAM/102025 ký ngày 04/10/2025 và Biên bản nghiệm thu ký ngày 28/11/2025 HĐ số 8</t>
  </si>
  <si>
    <t>Điều chỉnh giảm Doanh thu Thanh toán 100% phí dịch vụ MNY - FLEX POWDER - Video - Scope 3 -10.11 - PO 4001492980 SOW số 27855/2025/WPP-BTL-LO ID Tiktok: vanpham0719 HĐ số 9</t>
  </si>
  <si>
    <t>Điều chỉnh giảm Doanh thu Thanh toán 100% phí dịch vụ OAP - KOC Hub Sep&amp;apos;25 (1) - Video - Scope 3 - 3010 - PO 4001498150 SOW số 25652/2025/WPP-BTL-LO ID Tiktok: vanpham_chillgirl HĐ số 10</t>
  </si>
  <si>
    <t>Điều chỉnh giảm Doanh thu Thanh toán 100% phí dịch vụ MNY - Teddy Tint - Video - Scope 3 - 1012 SOW số 30767/2025/WPP-BTL-LO ID Tiktok: vanpham0719 HĐ số 11</t>
  </si>
  <si>
    <t>Điều chỉnh giảm Doanh thu Thanh toán 100% phí dịch vụ LAN - LUXE AFF PROJECT NOV 2025 - Scope 2 - 1012 SOW số 30480/2025/WPP-BTL-LO ID Tiktok: vanpham0719 HĐ số 12</t>
  </si>
  <si>
    <t>Điều chỉnh giảm Doanh thu Dịch vụ quảng cáo và truyền thông theo Hợp đồng số 20251111HDDV/MEISHANG – VANPHAM ký ngày 11/11/2025 kèm Biên bản nghiệm thu và thanh lý ký ngày 15/12/2025 HĐ số 13</t>
  </si>
  <si>
    <t>Điều chỉnh giảm Doanh thu Dịch vụ quảng cáo và truyền thông theo Hợp đồng số 271125/JEE-VANPHAM ký ngày 27/11/2025 kèm Biên bản nghiệm thu và thanh lý ký ngày 15/12/2025 HĐ số 14</t>
  </si>
  <si>
    <t>Điều chỉnh giảm Doanh thu Dịch vụ quảng cáo và truyền thông theo Hợp đồng số MDA/20251202/2393 ngày 20/11/2025 và Biên bản nghiệm thu và thanh lý ngày 15/12/2025 HĐ số 15</t>
  </si>
  <si>
    <t>Điều chỉnh giảm Doanh thu Dịch vụ quảng cáo và truyền thông theo Hợp đồng số 1212/RV/TC-VANPHAM/2025 ký ngày 12/12/2025 (Đợt 1) HĐ số 16</t>
  </si>
  <si>
    <t>Điều chỉnh giảm Doanh thu Dịch vụ quảng cáo và truyền thông theo Hợp đồng số AME/VÂN PHẠM/CAM0075623/HeadShoulder_OND25/Service Contract/2025-0041P ký ngày 31/10/2025 và Biên bản nghiệm thu ký ngày 23/12/2025 HĐ số 17</t>
  </si>
  <si>
    <t>Điều chỉnh giảm Doanh thu Dịch vụ quảng cáo và truyền thông theo Hợp đồng số 011225/HDDV/NIVEABODYP2/ICON-VPCG-HKDVANPHAM ký ngày 01/11/2025 kèm Biên bản nghiệm thu và thanh lý ký ngày 24/12/2025 HĐ số 18</t>
  </si>
  <si>
    <t>Điều chỉnh giảm Doanh thu Thanh toán 100% phí dịch vụ Lan - Livestream - Scope 2 - 4001510886 SOW số 31006/2025/WPP-BTL-LO ID Tiktok: vanpham0719 HĐ số 19</t>
  </si>
  <si>
    <t>Điều chỉnh giảm Doanh thu Dịch vụ quảng cáo và truyền thông theo Hợp đồng số LSVN122025001/HĐDV–KOLký ngày 22/12/2025 và Biên bản nghiệm thu ký ngày 26/12/2025 HĐ số 20</t>
  </si>
  <si>
    <t>Điều chỉnh giảm Doanh thu Dịch vụ quảng cáo và truyền thông theo Hợp đồng số 21122025/HĐ-DVQC2025 ký ngày 15/12/2025 và Biên bản nghiệm thu ký ngày 31/12/2025 HĐ số 21</t>
  </si>
  <si>
    <t>Điều chỉnh giảm Doanh thu Phí dịch vụ quảng cáo theo Hợp đồng số 412/HDDV-SE-VANPHAM-SSTYLE ký ngày 04/12/2025 HĐ số 22</t>
  </si>
  <si>
    <t>079195008785</t>
  </si>
  <si>
    <t>Phần mềm hóa đơn điện tử M-100 079195008785.matbao.in (1 năm) HĐ số 13247</t>
  </si>
  <si>
    <t>USB Token-DN/HKD-MBCA Phí duy trì Chứng thư CKS Token-HKD-MBCA (1 năm) HĐ số 13499</t>
  </si>
  <si>
    <t>X4 Bánh quẩy mè custard lá dứa  S4 Nước suối Lavie F3 TN.Thập cẩm Hải sản L2 Mì gà xé nước KV6 Hào sữa chiên trứng Chinatown MT 2 Xôi nếp COT1 Khăn lạnh HĐ số 29499</t>
  </si>
  <si>
    <t>0304041953-002</t>
  </si>
  <si>
    <t>Gỏi khô cá lóc - xoài bằm Mì Xào Hải Sản Gà Ta 2 món Sò Lông Nhung Bò Lúc Lắc - Khoai Tây  Giò Heo Muối Nam bộ  Ốc Hương  Đậu hủ nướng giấy bạc Nước Suối  Nước Ngọt  Đậu Phộng tỏi ớt Khăn Lạnh HĐ số 13591</t>
  </si>
  <si>
    <t>Chi phí đồ dùng văn phòng HĐ số 7132</t>
  </si>
  <si>
    <t>Chi phí đồ dùng văn phòng HĐ số 7133</t>
  </si>
  <si>
    <t>Nhận Doanh thu Dịch vu quảng cáo và truyền thông theo Hợp đồng số 1808.2025/HDDV/UPBASE-KEYSHU-BBSKINCARE1 ký ngày 19/08/2025 và Biên bản nghiệm thu ký ngày 13/09/2025 HĐ số 10</t>
  </si>
  <si>
    <t>Nhận Doanh thu Dịch vụ quảng cáo và truyền thông theo Hợp đồng số 29092025/HD/VUTHAIBINH-SYB ký ngày 29/09/2025 (Đợt 1) HĐ số 20</t>
  </si>
  <si>
    <t>Nhận Doanh thu Dịch vụ quảng cáo và truyền thông theo Hợp đồng số 15092025_HĐDV-HUNGTHINH-VUTHAIBINH ký ngày 15/09/2025 HĐ số 16</t>
  </si>
  <si>
    <t>Thanh toán Chi phí đồ dùng văn phòng HĐ số 16840</t>
  </si>
  <si>
    <t>Nhận Doanh thu Phí sử dụng hình ảnh theo Hợp đồng số 3009/2025/HDDV/FAINVN-VUTHAIBINH ký ngày 30/09/2025 HĐ số 15</t>
  </si>
  <si>
    <t>Nhận Doanh thu Dịch vụ quảng cáo và truyền thông theo Hợp đồng số HKD VTB_GARNIER_TRI_ACID_01092025 ký ngày 01/09/2025 và Biên bản nghiệm thu ký ngày 06/10/2025 HĐ số 18</t>
  </si>
  <si>
    <t>Nhận Doanh thu Dịch vụ quảng cáo và truyền thông theo Hợp đồng số HKD VTB_ GARNIER_TRI_ACID_EVENT_15092025 ký ngày 15/09/2025 và Biên bản nghiệm thu ký ngày 06/10/2025 HĐ số 19</t>
  </si>
  <si>
    <t>Nhận Doanh thu Dịch vụ quảng cáo và truyền thông theo Hợp đồng số 26082025/HDDV/MINCER-VTB ký ngày 26/08/2025 kèm Biên bản nghiệm thu và thanh lý hợp đồng ký ngày 28/10/2025 HĐ số 30</t>
  </si>
  <si>
    <t>Nhận Doanh thu Phí dịch vụ hợp đồng số 13882025/HĐDV/Y&amp;B ký ngày 23/09/2025 và Biên bản nghiệm thu số 13882025/BBNT-TT/Y&amp;B ký ngày 27/10/2025 HĐ số 28</t>
  </si>
  <si>
    <t>Nhận Doanh thu Dịch vụ quảng cáo và truyền thông theo Hợp đồng số 250915/HDDV/MIZUMI-BBSKINCARE1-250915MIZUMI ký ngày 15/09/2025 HĐ số 12</t>
  </si>
  <si>
    <t>Nhận Doanh thu Dịch vụ quảng cáo và truyền thông theo Hợp đồng số CRE/Vũ Thái Bình/Biore/2025-HDDV-71 ký ngày 10/08/2025 và Biên bản nghiệm thu ký ngày 15/10/2025 HĐ số 21</t>
  </si>
  <si>
    <t>Nhận Doanh thu Dịch vụ quảng cáo và truyền thông theo Phụ lục 01 ký ngày 15/09/2025 của Hợp đồng nguyên tắc số 15092025/HDHT/LL_VTB ký ngày 15/09/2025 và Biên bản nghiệm thu ký ngày 23/09/2025 HĐ số 13</t>
  </si>
  <si>
    <t>Nhận Doanh thu Dịch vụ quảng cáo và truyền thông theo Hợp đồng số HKD VTB_ANUA_01092025 ký ngày 01/09/2025 và Biên bản nghiệm thu ký ngày 23/10/2025 HĐ số 22</t>
  </si>
  <si>
    <t>Nhận Doanh thu Phí sử dụng hình ảnh theo Hợp đồng số HKD VTB_ ANUA_08082025 ký ngày 08/08/2025 HĐ số 25</t>
  </si>
  <si>
    <t>Nhận Doanh thu Phí sử dụng hình ảnh theo Hợp đồng số HKD VTB_ ANUA_03092025 ký ngày 03/09/2025 HĐ số 27</t>
  </si>
  <si>
    <t>Nhận Doanh thu Dịch vụ quảng cáo và truyền thông theo Hợp đồng số HKD VTB_ JUMISO_01082025 ký ngày 01/08/2025 và Biên bản nghiệm thu ký ngày 27/10/2025 HĐ số 26</t>
  </si>
  <si>
    <t>Nhận Doanh thu Dịch vụ quảng cáo và truyền thông theo Hợp đồng số 2409/HDDV/UPBASENUCOS-VUTHAIBINH/2025 ký ngày 24/09/2025 HĐ số 17</t>
  </si>
  <si>
    <t>Nhận Doanh thu Dịch vụ quảng cáo và truyền thông theo Hợp đồng số 0110/2025/HDDV-BOVN-VTB ký ngày 01/10/2025 kèm Biên bản nghiệm thu thanh lý ký ngày 28/10/2025 HĐ số 29</t>
  </si>
  <si>
    <t>0315601406</t>
  </si>
  <si>
    <t>Nhận Doanh thu Dịch vụ quảng cáo và truyền thông theo Hợp đồng số 0908/2025 ký ngày 09/08/2025 HĐ số 6</t>
  </si>
  <si>
    <t>Nhận Doanh thu Thanh toán đợt 1: 50% chi phí dịch vụ theo hợp đồng số 29092025_HĐDV-HUNGTHINH-VUTHAIBINH ký ngày 29/09/2025 HĐ số 24</t>
  </si>
  <si>
    <t>Nhận Doanh thu Dịch vụ quảng cáo và truyền thông theo Hợp đồng số 061125/HDDV/VTB ký ngày 06/11/2025 HĐ số 40</t>
  </si>
  <si>
    <t>Nhận tiền khách trả trước</t>
  </si>
  <si>
    <t>Nhận Doanh thu Phí thực hiện sản xuất và đăng tải video review về sản phẩm Sữa rửa mặt sen Hậu Giang theo hợp đồng số 15742025/HĐDV/Y&amp;B ký ngày 01/10/2025 và Biên bản nghiệm thu số 15742025/BBNT-TT/Y&amp;B ký ngày 14/11/2025 HĐ số 41</t>
  </si>
  <si>
    <t>Nhận Doanh thu Dịch vụ quảng cáo và truyền thông theo hợp đồng số T21C25HDDV-0135- 0169 VUTHAIBINH ký ngày 20/08/2025 và Biên bản nghiệm thu ký ngày 12/09/2025 HĐ số 8</t>
  </si>
  <si>
    <t>Nhận Doanh thu Dịch vụ quảng cáo và truyền thông theo Hợp đồng số HKD VTB_ LOREAL UV AQUA_01102025 ký ngày 01/10/2025 và Biên bản nghiệm thu ký ngày 30/10/2025 HĐ số 31</t>
  </si>
  <si>
    <t>Nhận Doanh thu Dịch vụ quảng cáo và truyền thông theo Hợp đồng số 29092025/HD/VUTHAIBINH-SYB ký ngày 29/09/2025 (Đợt 2) và Biên bản nghiệm thu ký ngày 03/11/2025 HĐ số 34</t>
  </si>
  <si>
    <t>Nhận Doanh thu Phí dịch vụ quảng cáo theo hợp đồng số HĐ/1516/2025/VNNL ký ngày 25/08/2025 kèm Biên bản nghiệm thu dịch vụ và thanh lý hợp đồng ký ngày 15/09/2025 HĐ số 11</t>
  </si>
  <si>
    <t>Nhận Doanh thu Dịch vụ quảng cáo và truyền thông theo Hợp đồng số HĐ/1818/2025/VNNL ký ngày 16/09/2025 kèm Biên bản nghiệm thu và thanh lý hợp đồng ký ngày 03/11/2025 HĐ số 33</t>
  </si>
  <si>
    <t>Nhận Doanh thu Dịch vụ quảng cáo và truyền thông theo Hợp đồng số 01112025HDDVVUTHAIBINHCELIMAX ký ngày 01/11/2025 và Biên bản nghiệm thu ký ngày 02/12/2025 HĐ số 44</t>
  </si>
  <si>
    <t>Thanh toán Chi phí đồ dùng văn phòng HĐ số 7132</t>
  </si>
  <si>
    <t>Thanh toán Chi phí đồ dùng văn phòng HĐ số 7133</t>
  </si>
  <si>
    <t>Nhận Doanh thu Thanh toán 100% Chi phí dịch vụ theo hợp đồng số 14102025_HĐDV-HUNGTHINH-VUTHAIBINH ký ngày 14/10/2025 HĐ số 46</t>
  </si>
  <si>
    <t>Nhận Doanh thu Dịch vụ quảng cáo và truyền thông theo Hợp đồng dịch vụ ký ngày 18/08/2025 và Biên bản nghiệm thu ký ngày 11/11/2025 HĐ số 37</t>
  </si>
  <si>
    <t>Nhận Doanh thu Dịch vụ quảng cáo và truyền thông theo Hợp đồng số 20102025/HĐDV-SE-SIMPLE-VUTHAIBINH ký ngày 20/10/2025 và Biên bản nghiệm thu ký ngày 11/11/2025 HĐ số 38</t>
  </si>
  <si>
    <t>Nhận Doanh thu Phí cung cấp dịch vụ quảng cáo theo hợp đồng số HĐ/1958/2025/VNNL ký ngày 07/10/2025 kèm biên bản nghiệm thu và thanh lý ký ngày 02/12/2025 HĐ số 45</t>
  </si>
  <si>
    <t>Nhận Doanh thu DỊch vụ quảng cáo và truyền thông theo Hợp đồng số 09102025/HĐDV-SE-VUTHAIBINH-LIVEADDIN0910 ký ngày 09/10/2025 và Biên bản nghiệm thu ký ngày 31/10/2025 HĐ số 32</t>
  </si>
  <si>
    <t>Thanh toán Phí dịch vụ tư vấn tháng 09/2025 HĐ số 134</t>
  </si>
  <si>
    <t>Thanh toán Chi phí đồ dùng văn phòng HĐ số 2585</t>
  </si>
  <si>
    <t>Thanh toán Chi phí đồ dùng văn phòng HĐ số 23073</t>
  </si>
  <si>
    <t>Thanh toán Chi phí thuê văn phòng HĐ số 273</t>
  </si>
  <si>
    <t>Thanh toán Chi phí đồ dùng văn phòng HĐ số 23798</t>
  </si>
  <si>
    <t>Thanh toán Chi phí đồ dùng văn phòng HĐ số 17505</t>
  </si>
  <si>
    <t>Thanh toán Chi phí di chuyển HĐ số 311269</t>
  </si>
  <si>
    <t>Thanh toán Chi phí tiếp khách, ngoại giao HĐ số 915476</t>
  </si>
  <si>
    <t>Thanh toán Phí dịch vụ tư vấn tháng 10/2025 HĐ số 153</t>
  </si>
  <si>
    <t>Thanh toán Chi phí đồ dùng văn phòng HĐ số 274</t>
  </si>
  <si>
    <t>Thanh toán Chi phí di chuyển HĐ số 196073</t>
  </si>
  <si>
    <t>Thanh toán Chi phí đồ dùng văn phòng HĐ số 937823</t>
  </si>
  <si>
    <t>Thanh toán Chi phí tiếp khách, ngoại giao HĐ số 937824</t>
  </si>
  <si>
    <t>Thanh toán Chi phí di chuyển HĐ số 1199705</t>
  </si>
  <si>
    <t>Thanh toán Chi phí tiếp khách, ngoại giao HĐ số 1229589</t>
  </si>
  <si>
    <t>Thanh toán Chi phí tiếp khách, ngoại giao HĐ số 5464</t>
  </si>
  <si>
    <t>Thanh toán Chi phí tiếp khách, ngoại giao HĐ số 33465</t>
  </si>
  <si>
    <t>Thanh toán Chi phí di chuyển HĐ số 1275161</t>
  </si>
  <si>
    <t>Thanh toán Chi phí đồ dùng văn phòng HĐ số 406</t>
  </si>
  <si>
    <t>Thanh toán Chi phí tiếp khách, ngoại giao HĐ số 1016363</t>
  </si>
  <si>
    <t>Thanh toán Phí dịch vụ tư vấn tháng 11/2025 HĐ số 184</t>
  </si>
  <si>
    <t>Thanh toán Chi phí tiếp khách, ngoại giao HĐ số 17112</t>
  </si>
  <si>
    <t>Thanh toán Chi phí tiếp khách, ngoại giao HĐ số 17575</t>
  </si>
  <si>
    <t>Thanh toán Chi phí dịch vụ đăng tin tuyển dụng HĐ số 9962</t>
  </si>
  <si>
    <t>Thanh toán Chi phí di chuyển HĐ số 1416335</t>
  </si>
  <si>
    <t>Thanh toán Chi phí tiếp khách, ngoại giao HĐ số 1046189</t>
  </si>
  <si>
    <t>Thanh toán Chi phí đồ dùng văn phòng HĐ số 1074311</t>
  </si>
  <si>
    <t>Thanh toán Chi phí tiếp khách, ngoại giao HĐ số 1074327</t>
  </si>
  <si>
    <t>Thanh toán Chi phí di chuyển HĐ số 1547563</t>
  </si>
  <si>
    <t>Thanh toán Chi phí tiếp khách, ngoại giao HĐ số 1095658</t>
  </si>
  <si>
    <t>Thanh toán Chi phí tiếp khách, ngoại giao HĐ số 1107697</t>
  </si>
  <si>
    <t>Thanh toán Chi phí tiếp khách, ngoại giao HĐ số 4216</t>
  </si>
  <si>
    <t>0105816148</t>
  </si>
  <si>
    <t>Phí chuyển tiền HĐ số 2372394</t>
  </si>
  <si>
    <t>Nhận Doanh thu Thanh toán 100% phí dịch vụ GRN - KOC HUB Skin - Video - Scope 3 - 3009 - Add SOW số 22162/2025/WPP-BTL-LO ID Tiktok: im.lukedo HĐ số 2</t>
  </si>
  <si>
    <t>Nhận Doanh thu Cung cấp dịch vụ 100% theo Biên bản nghiệm thu ký ngày 18/09/2025 của Hợp đồng số HĐ/2390/2025/METUB ký ngày 19/08/2025 HĐ số 1</t>
  </si>
  <si>
    <t>Chi phí bảo hiểm nhân viên tháng 2025.12</t>
  </si>
  <si>
    <t>Nhận Doanh thu Dịch vụ quảng cáo và truyền thông theo Hợp đồng số 14962025/HĐDV/Y&amp;B ký ngày 30/9/2025 và Biên bản nghiệm thu số 14962025/BBNT-TT/Y&amp;B ký ngày 10/10/2025 HĐ số 5</t>
  </si>
  <si>
    <t>5300138174-001</t>
  </si>
  <si>
    <t>Nhận Doanh thu Phí dịch vụ quảng cáo theo Hợp đồng dịch vụ số MDA/20250824/1398 ngày 10/08/2025 kèm Biên bản nghiệm thu và thanh lý ngày 27/08/2025 HĐ số 36</t>
  </si>
  <si>
    <t>Nhận Doanh thu Dịch vụ quảng cáo và truyền thông theo Hợp đồng số T03T25HDDV-0030-0283 LUONGDO ký ngày 25/09/2025 và Biên bản nghiệm thu ký ngày 09/10/2025 HĐ số 4</t>
  </si>
  <si>
    <t>Nhận Doanh thu Thanh toán 100% phí dịch vụ LRP - EFFACLAR ADVOCACY Q4&amp;apos;25 - Video - Scope 1 - 1010 SOW số 24213/2025/WPP-BTL-LO ID Tiktok: im.lukedo HĐ số 7</t>
  </si>
  <si>
    <t>Nhận Doanh thu Dịch vụ quảng cáo và truyền thông theo Hợp đồng số 79-0925/HDDV/VIGO-LUONGDO ký ngày 10/09/2025 và Biên bản nghiệm thu ký ngày 24/10/2025 HĐ số 9</t>
  </si>
  <si>
    <t>Nhận Doanh thu Dịch vụ quảng cáo và truyền thông theo Hợp đồng số 1808KT/TTLAPO2025-HV ký ngày 18/08/2025 (Đợt 2) và Biên bản nghiệm thu ký ngày 16/10/2025 HĐ số 6</t>
  </si>
  <si>
    <t>Nhận Doanh thu Thanh toán 100% phí dịch vụ OAP - UV AQUA 10.25 - Video - Scope 3 - 3010 - PO 4001511251 SOW số 25673/2025/WPP-BTL-LO ID Tiktok: im.lukedo HĐ số 11</t>
  </si>
  <si>
    <t>Nhận Doanh thu Dịch vụ quảng cáo và truyền thông theo Hợp đồng dịch vụ ký ngày 13/11/2025 Advertising and communication services under the Service Contract signed on November 13, 2025 HĐ số 14</t>
  </si>
  <si>
    <t>Nhận Doanh thu Dịch vụ quảng cáo và truyền thông theo Hợp đồng số MDA/20251013/1903 ngày 26/09/2025 và Biên bản nghiệm thu và thanh lý ngày 31/10/2025 HĐ số 10</t>
  </si>
  <si>
    <t>Nhận Doanh thu Dịch vụ quảng cáo và truyền thông theo Hợp đồng số HKD ĐTL_CLEAR_09102025 ký ngày 09/10/2025 và Biên bản nghiệm thu ký ngày 12/11/2025 HĐ số 12</t>
  </si>
  <si>
    <t>Nhận Doanh thu Dịch vụ quảng cáo và truyền thông theo Hợp đồng số 16102025/HĐDV-SE-LUONGDO ký ngày 16/10/2025 kèm Biên bản nghiệm thu và thanh lý ký ngày 17/11/2025 HĐ số 13</t>
  </si>
  <si>
    <t>Nộp Thuế GTGT, TNCN sàn TMĐT 09/2025</t>
  </si>
  <si>
    <t>Nộp Thuế GTGT, TNCN sàn TMĐT 10/2025</t>
  </si>
  <si>
    <t>Nhận Doanh thu Dịch vụ quảng cáo và truyền thông theo Hợp đồng số HDDV/OLAYSCARLETxVĐxLĐ/231025 ký ngày 23/10/2025 và Biên bản nghiệm thu ký ngày 22/12/2025 HĐ số 15</t>
  </si>
  <si>
    <t>Thanh toán Chi phí di chuyển đi lại HĐ số 14073517</t>
  </si>
  <si>
    <t>Thanh toán Chi phí di chuyển đi lại HĐ số 30597668</t>
  </si>
  <si>
    <t>Thanh toán Chi phí di chuyển đi lại HĐ số 31430688</t>
  </si>
  <si>
    <t>Thanh toán Chi phí di chuyển đi lại HĐ số 31607007</t>
  </si>
  <si>
    <t>Thanh toán Chi phí di chuyển đi lại HĐ số 15145605</t>
  </si>
  <si>
    <t>Thanh toán Chi phí di chuyển đi lại HĐ số 31840513</t>
  </si>
  <si>
    <t>Thanh toán Chi phí di chuyển đi lại HĐ số 31852220</t>
  </si>
  <si>
    <t>Thanh toán Chi phí di chuyển đi lại HĐ số 31929065</t>
  </si>
  <si>
    <t>Thanh toán Chi phí di chuyển đi lại HĐ số 31947926</t>
  </si>
  <si>
    <t>Thanh toán Chi phí di chuyển đi lại HĐ số 32069429</t>
  </si>
  <si>
    <t>Thanh toán Phí dịch vụ tư vấn tháng 09/2025 HĐ số 145</t>
  </si>
  <si>
    <t>Thanh toán Chi phí di chuyển đi lại HĐ số 15382025</t>
  </si>
  <si>
    <t>Thanh toán Chi phí di chuyển đi lại HĐ số 15755037</t>
  </si>
  <si>
    <t>Thanh toán Chi phí di chuyển đi lại HĐ số 33382211</t>
  </si>
  <si>
    <t>Thanh toán Chi phí di chuyển đi lại HĐ số 16000779</t>
  </si>
  <si>
    <t>Thanh toán Chi phí di chuyển đi lại HĐ số 16043225</t>
  </si>
  <si>
    <t>Thanh toán Chi phí di chuyển đi lại HĐ số 16200761</t>
  </si>
  <si>
    <t>Thanh toán Chi phí di chuyển đi lại HĐ số 16351001</t>
  </si>
  <si>
    <t>Thanh toán Chi phí di chuyển đi lại HĐ số 16567398</t>
  </si>
  <si>
    <t>Thanh toán Chi phí di chuyển đi lại HĐ số 16896634</t>
  </si>
  <si>
    <t>Thanh toán Chi phí di chuyển đi lại HĐ số 35592236</t>
  </si>
  <si>
    <t>Thanh toán Chi phí di chuyển đi lại HĐ số 35872651</t>
  </si>
  <si>
    <t>Thanh toán Chi phí di chuyển đi lại HĐ số 35883582</t>
  </si>
  <si>
    <t>Thanh toán Phí chuyển tiền HĐ số 1950900</t>
  </si>
  <si>
    <t>Thanh toán Chi phí di chuyển đi lại HĐ số 38060420</t>
  </si>
  <si>
    <t>Thanh toán Chi phí tiếp khách ngoại giao HĐ số 7120</t>
  </si>
  <si>
    <t>Thanh toán Chi phí di chuyển đi lại HĐ số 18478881</t>
  </si>
  <si>
    <t>Thanh toán Chi phí di chuyển đi lại HĐ số 816607</t>
  </si>
  <si>
    <t>Thanh toán Chi phí tiếp khách ngoại giao HĐ số 1895</t>
  </si>
  <si>
    <t>Thanh toán Phí dịch vụ tư vấn tháng 10/2025 HĐ số 174</t>
  </si>
  <si>
    <t>Thanh toán Chi phí di chuyển đi lại HĐ số 19395281</t>
  </si>
  <si>
    <t>Thanh toán Chi phí di chuyển đi lại HĐ số 41904031</t>
  </si>
  <si>
    <t>Thanh toán Chi phí di chuyển đi lại HĐ số 41966280</t>
  </si>
  <si>
    <t>Thanh toán Chi phí tiếp khách ngoại giao HĐ số 4459</t>
  </si>
  <si>
    <t>Thanh toán Chi phí di chuyển đi lại HĐ số 33961</t>
  </si>
  <si>
    <t>Thanh toán Chi phí di chuyển đi lại HĐ số 113062</t>
  </si>
  <si>
    <t>Thanh toán Phí chuyển tiền HĐ số 2109940</t>
  </si>
  <si>
    <t>Thanh toán Chi phí di chuyển đi lại HĐ số 990015</t>
  </si>
  <si>
    <t>Thanh toán Chi phí tiếp khách ngoại giao HĐ số 1748</t>
  </si>
  <si>
    <t>Thanh toán Chi phí di chuyển đi lại HĐ số 2984514</t>
  </si>
  <si>
    <t>Thanh toán Chi phí tiếp khách ngoại giao HĐ số 3732</t>
  </si>
  <si>
    <t>Thanh toán Phí dịch vụ tư vấn tháng 11/2025 HĐ số 205</t>
  </si>
  <si>
    <t>Thanh toán Chi phí di chuyển đi lại HĐ số 22810136</t>
  </si>
  <si>
    <t>Thanh toán Chi phí di chuyển đi lại HĐ số 45962918</t>
  </si>
  <si>
    <t>Thanh toán Chi phí di chuyển đi lại HĐ số 46205545</t>
  </si>
  <si>
    <t>Thanh toán Chi phí di chuyển đi lại HĐ số 46205546</t>
  </si>
  <si>
    <t>Thanh toán Chi phí di chuyển đi lại HĐ số 46205547</t>
  </si>
  <si>
    <t>Thanh toán Chi phí di chuyển đi lại HĐ số 46205548</t>
  </si>
  <si>
    <t>Thanh toán Chi phí di chuyển đi lại HĐ số 46205549</t>
  </si>
  <si>
    <t>Thanh toán Chi phí di chuyển đi lại HĐ số 46205550</t>
  </si>
  <si>
    <t>Thanh toán Chi phí tiếp khách ngoại giao HĐ số 7451</t>
  </si>
  <si>
    <t>Thanh toán Chi phí di chuyển đi lại HĐ số 7671006</t>
  </si>
  <si>
    <t>Thanh toán Chi phí di chuyển đi lại HĐ số 22917627</t>
  </si>
  <si>
    <t>Thanh toán Chi phí di chuyển đi lại HĐ số 22917628</t>
  </si>
  <si>
    <t>Thanh toán Chi phí di chuyển đi lại HĐ số 22917629</t>
  </si>
  <si>
    <t>Thanh toán Chi phí tiếp khách ngoại giao HĐ số 6429</t>
  </si>
  <si>
    <t>Thanh toán Chi phí di chuyển đi lại HĐ số 7918530</t>
  </si>
  <si>
    <t>Thanh toán Chi phí di chuyển đi lại HĐ số 7934153</t>
  </si>
  <si>
    <t>Thanh toán Chi phí di chuyển đi lại HĐ số 8399045</t>
  </si>
  <si>
    <t>Thanh toán Chi phí di chuyển đi lại HĐ số 9145721</t>
  </si>
  <si>
    <t>Thanh toán Phí chuyển tiền HĐ số 2372394</t>
  </si>
  <si>
    <t>Chi phí bảo hiểm chủ HKD tháng 2025.10</t>
  </si>
  <si>
    <t>Chi phí bảo hiểm chủ HKD tháng 2025.11</t>
  </si>
  <si>
    <t>Chi phí bảo hiểm chủ HKD tháng 2025.12</t>
  </si>
  <si>
    <t>Chi phí bảo hiểm nhân viên tháng 2025.10</t>
  </si>
  <si>
    <t>Chi phí bảo hiểm nhân viên tháng 2025.11</t>
  </si>
  <si>
    <t>Nộp Chi phí bảo hiểm nhân viên tháng 2025.09</t>
  </si>
  <si>
    <t>Nộp Chi phí bảo hiểm nhân viên tháng 2025.10-12</t>
  </si>
  <si>
    <t>Hoàn Chi phí bảo hiểm nhân viên tháng 2025.10-12</t>
  </si>
  <si>
    <t>Nộp Chi phí bảo hiểm chủ HKD tháng 2025.10-12</t>
  </si>
  <si>
    <t>Nộp Chi phí bảo hiểm chủ HKD tháng 2025.09</t>
  </si>
  <si>
    <t>Thanh toán Chi phí lương nhân viên tháng 2025.09</t>
  </si>
  <si>
    <t>Thanh toán Chi phí lương nhân viên tháng 2025.10</t>
  </si>
  <si>
    <t>Thanh toán Chi phí lương nhân viên tháng 2025.11</t>
  </si>
  <si>
    <t>Thanh toán Chi phí lương nhân viên tháng 2025.12</t>
  </si>
  <si>
    <t>Chi phí lương nhân viên tháng 2025.10</t>
  </si>
  <si>
    <t>Nhận trước Doanh thu</t>
  </si>
  <si>
    <t>Sao kê không đúng</t>
  </si>
  <si>
    <t>Nhận Doanh thu Dịch vụ quảng cáo và truyền thông theo Hợp đồng số 20250828/UNICORN x HAIDANGOFFICIAL ký ngày 28/08/2025 và Biên bản nghiệm thu ký ngày 25/09/2025 HĐ số 1</t>
  </si>
  <si>
    <t>Nhận Doanh thu Dịch vụ quảng bá và tiếp thị cho sản phẩm theo Hợp đồng số 1009/2025/HDDV/WEI-THD ký ngày 10/09/2025 và Biên bản nghiệm thu ký ngày 21/10/2025 HĐ số 4</t>
  </si>
  <si>
    <t>Nhận Doanh thu Dịch vụ quảng cáo và truyền thông theo Hợp đồng số 20250929/UNICORN x HAIDANGOFFICIAL ký ngày 29/09/2025 và Biên bản nghiệm thu ký ngày 27/10/2025 HĐ số 6</t>
  </si>
  <si>
    <t>Nhận Doanh thu Dịch vụ quảng cáo và truyền thông theo Hợp đồng số 250903/HDDV/BRAINAD-HAIDANG ký ngày 03/09/2025 và Biên bản nghiệm thu ký ngày 17/10/2025 HĐ số 2</t>
  </si>
  <si>
    <t>Nhận Doanh thu Dịch vụ quảng cáo và truyền thông theo Hợp đồng số 001-2025/HDDV/DS-BEDANG x JUDYDOLL ký ngày 05/10/2025 và Biên bản nghiệm thu ký ngày 11/11/2025 HĐ số 8</t>
  </si>
  <si>
    <t>Nhận Doanh thu Dịch vu quảng cáo và truyền thông theo Hợp đồng số HKD HAIDANG_GARNIER_15092025 ký ngày 15/09/2025 và Biên bản nghiệm thu ký ngày 27/10/2025 HĐ số 5</t>
  </si>
  <si>
    <t>Nhận Doanh thu Dịch vụ quảng cáo và truyền thông theo Hợp đồng số HKD HAIDANG_TOCOBO_09102025 ký ngày 09/10/2025 và Biên bản nghiệm thu ký ngày 13/11/2025 HĐ số 10</t>
  </si>
  <si>
    <t>Nhận Doanh thu Dịch vu quảng cáo và truyền thông theo Hợp đồng số 011-25/HDDV/MS-MKT-[HCM]-LUSH ký ngày 10/10/2025 và Biên bản nghiệm thu ký ngày 21/10/2025 HĐ số 3</t>
  </si>
  <si>
    <t>Nhận Doanh thu Thanh toán 100% phí dịch vụ 3CE - KOC Hub Oct - Video - Scope 3 - 3010 SOW số 25511/2025/WPP-BTL-LO ID Tiktok: bedangbae HĐ số 12</t>
  </si>
  <si>
    <t>Nhận Doanh thu Chi phí cung cấp dịch vụ theo theo Hợp đồng số PR25055/11112025/AESTURA-UNO-BEDANG ký ngày 11/11/2025 và Biên bản nghiệm thu ký ngày 03/12/2025 HĐ số 14</t>
  </si>
  <si>
    <t>Nhận Doanh thu Phí dịch vụ quảng cáo theo Hợp đồng dịch vụ số MDA/20251118/2289 ngày 06/11/2025 và Biên bản nghiệm thu và thanh lý ngày 01/12/2025 HĐ số 13</t>
  </si>
  <si>
    <t>Nhận Doanh thu Dịch vụ quảng cáo và truyền thông theo Hợp đồng số EX-BLUME-BEDANG-07 ký ngày 02/12/2025 và Biên bản nghiệm thu ký ngày 25/12/2025 HĐ số 19</t>
  </si>
  <si>
    <t>Nhận Doanh thu Dịch vụ quảng cáo và truyền thông theo Hợp đồng số 20250311/UNICORN x HAIDANGOFFICIAL ký ngày 03/11/2025 và Biên bản nghiệm thu ký ngày 22/12/2025 HĐ số 17</t>
  </si>
  <si>
    <t>Nhận Doanh thu Dịch vụ quảng cáo và truyền thông theo Hợp đồng số 0029/2025/HĐDV ký ngày 31/10/2025 và Biên bản nghiệm thu ký ngày 26/12/2025 HĐ số 21</t>
  </si>
  <si>
    <t>Nhận Doanh thu Dịch vụ quảng cáo và truyền thông theo Hợp đồng số 13842025/HĐDV/Y&amp;B ký ngày 26/09/2025 kèm Biên bản nghiệm thu và thanh toán số 13842025/BBNT-TT/Y&amp;B ký ngày 19/12/2025 HĐ số 16</t>
  </si>
  <si>
    <t>Nhận Doanh thu Chi phí thực hiện dịch vụ theo biên bản nghiệm thu của hợp đồng dịch vụ số 2025/PMAX/HKDHAIDANG ký ngày 01/11/2025 HĐ số 22</t>
  </si>
  <si>
    <t>Nhận Doanh thu Dịch vụ quảng cáo và truyền thông theo Hợp đồng số 3283-2511-HDDV-SALE-1BRAND-HAIDANG ký ngày 25/11/2025 kèm Biên bản nghiệm thu và thanh lý ký ngày 26/12/2025 HĐ số 20</t>
  </si>
  <si>
    <t>Nhận Doanh thu Dịch vụ quảng cáo và truyền thông theo Hợp đồng số 22122025_HĐDV-HUNGTHINH-BEDANG ký ngày 22/12/2025 HĐ số 25</t>
  </si>
  <si>
    <t>Thanh toán Chi phí tiếp khách, ngoại giao HĐ số 23713</t>
  </si>
  <si>
    <t>Thanh toán Phí dịch vụ tư vấn tháng 09/2025 HĐ số 146</t>
  </si>
  <si>
    <t>Thanh toán Chi phí tiếp khách, ngoại giao HĐ số 4543</t>
  </si>
  <si>
    <t>Thanh toán Chi phí tiếp khách, ngoại giao HĐ số 7326</t>
  </si>
  <si>
    <t>Thanh toán Chi phí dịch vụ mua ngoài HĐ số 69367</t>
  </si>
  <si>
    <t>Thanh toán Chi phí đồ dùng văn phòng HĐ số 659</t>
  </si>
  <si>
    <t>Thanh toán Chi phí tiếp khách, ngoại giao HĐ số 3661</t>
  </si>
  <si>
    <t>Thanh toán Chi phí đồ dùng văn phòng HĐ số 289562</t>
  </si>
  <si>
    <t>Thanh toán Chi phí tiếp khách, ngoại giao HĐ số 50732</t>
  </si>
  <si>
    <t>Thanh toán Chi phí tiếp khách, ngoại giao HĐ số 17683</t>
  </si>
  <si>
    <t>Thanh toán Chi phí tiếp khách, ngoại giao HĐ số 15242</t>
  </si>
  <si>
    <t>Thanh toán Chi phí tiếp khách, ngoại giao HĐ số 16688</t>
  </si>
  <si>
    <t>Thanh toán Chi phí tiếp khách, ngoại giao HĐ số 14338</t>
  </si>
  <si>
    <t>Thanh toán Chi phí tiếp khách, ngoại giao HĐ số 491510</t>
  </si>
  <si>
    <t>Thanh toán Phí dịch vụ tư vấn tháng 10/2025 HĐ số 175</t>
  </si>
  <si>
    <t>Thanh toán Chi phí tiếp khách, ngoại giao HĐ số 16974</t>
  </si>
  <si>
    <t>Thanh toán Chi phí tiếp khách, ngoại giao HĐ số 9211</t>
  </si>
  <si>
    <t>Thanh toán Chi phí tiếp khách, ngoại giao HĐ số 13781</t>
  </si>
  <si>
    <t>Thanh toán Chi phí tiếp khách, ngoại giao HĐ số 1146749</t>
  </si>
  <si>
    <t>Thanh toán Phí dịch vụ tư vấn tháng 11/2025 HĐ số 197</t>
  </si>
  <si>
    <t>Thanh toán Chi phí tiếp khách, ngoại giao HĐ số 1178637</t>
  </si>
  <si>
    <t>Thanh toán Chi phí đồ dùng văn phòng HĐ số 9978</t>
  </si>
  <si>
    <t>Thanh toán Chi phí đồ dùng văn phòng HĐ số 11450</t>
  </si>
  <si>
    <t>Thanh toán Chi phí tiếp khách, ngoại giao HĐ số 1254875</t>
  </si>
  <si>
    <t>Nhận Doanh thu Doanh thu Dịch vụ quảng cáo và truyền thông theo Hợp đồng số 27102025.HDDV. SPARKLE.HDO ký ngày 27/10/2025 và Biên bản nghiệm thu ký ngày 11/11/2025 HĐ số 7</t>
  </si>
  <si>
    <t>Nhận Doanh thu Dịch vụ quảng cáo và truyền thông theo Hợp đồng số VT/HDQC/25110401 ký ngày 04/11/2025 Advertising and communication services under Contract No. VT/HDQC/25110401 signed on November 4, 2025 HĐ số 11</t>
  </si>
  <si>
    <t>Phí ngân hàng HĐ số 2168587</t>
  </si>
  <si>
    <t>Nhận Doanh thu Dịch vụ quảng cáo và truyền thông theo Hợp đồng dịch vụ ký ngày 03/10/2025 và Biên bản nghiệm thu ký ngày 06/10/2025 HĐ số 10</t>
  </si>
  <si>
    <t>Nhận Doanh thu Dịch vụ quảng cáo và truyền thông theo Hợp đồng số 1009.2025/HDDV/UPBASE-KEYSHU-LUONGLEE1404 ký ngày 10/09/2025 HĐ số 7</t>
  </si>
  <si>
    <t>Nhận Doanh thu Dịch vụ quảng cáo và truyền thông theo Hợp đồng số 250818/HDDV/BRAINAD-LUONGLEE ký ngày 18/08/2025 và Biên bản nghiệm thu ký ngày 08/09/2025 HĐ số 4</t>
  </si>
  <si>
    <t>Nhận Doanh thu Dịch vụ quảng cáo và truyền thông theo Hợp đồng số 20250908/AHOHWA x LUONGLEE ký ngày 08/09/2025 và Biên bản nghiệm thu ký ngày 08/11/2025 HĐ số 16</t>
  </si>
  <si>
    <t>Nhận Doanh thu Dịch vụ quảng cáo và truyền thông theo Hợp đồng số HKD LUONGLEE_ GARNIER_TRI_ACID_01092025 ký ngày 01/09/2025 và Biên bản nghiệm thu ký ngày 22/09/2025 HĐ số 8</t>
  </si>
  <si>
    <t>Nhận Doanh thu Dịch vụ quảng cáo và truyền thông theo Hợp đồng số 0725/VULACIxluonglee1404/UNILEVER ký ngày 27/07/2025 và Biên bản nghiệm thu ký ngày 22/10/2025 HĐ số 14</t>
  </si>
  <si>
    <t>Nhận Doanh thu Dịch vụ quảng cáo và truyền thông theo Hợp đồng số 2309/HDDV/TCELL-LUONGLEE ký ngày 23/09/2025 và Biên bản nghiệm thu ký ngày 22/10/2025 HĐ số 15</t>
  </si>
  <si>
    <t>Nhận Doanh thu Dịch vụ quảng cáo và truyền thông theo Hợp đồng số 17112025/HDDV/MDCARE - LeThiLuong ký ngày 17/11/2025 và Biên bản nghiệm thu ký ngày 19/11/2025 HĐ số 19</t>
  </si>
  <si>
    <t>Nhận Doanh thu Dịch vụ quảng cáo và truyền thông theo Hợp đồng số 250916/HDDV/BRAINAD-LUONGLEE/TTH ký ngày 16/09/2025 và Biên bản nghiệm thu ký ngày 07/10/2025 HĐ số 11</t>
  </si>
  <si>
    <t>Nhận Doanh thu Dịch vụ quảng cáo và truyền thông theo Hợp đồng số 251001/HDDV/BRAINAD-LUONGLEE ký ngày 01/10/2025 và Biên bản nghiệm thu ký ngày 21/10/2025 HĐ số 13</t>
  </si>
  <si>
    <t>Nhận Doanh thu Dịch vụ quảng cáo và truyền thông theo Hợp đồng số 1025/VULACIxluonglee1404/BlancNature ký ngày 29/10/2025 và Biên bản nghiệm thu ký ngày 19/12/2025 HĐ số 24</t>
  </si>
  <si>
    <t>Thanh toán Phí ngân hàng HĐ số 888041</t>
  </si>
  <si>
    <t>Thanh toán Phí ngân hàng HĐ số 888047</t>
  </si>
  <si>
    <t>Thanh toán Phí ngân hàng HĐ số 316148</t>
  </si>
  <si>
    <t>Thanh toán Phí ngân hàng HĐ số 316149</t>
  </si>
  <si>
    <t>Thanh toán Phí dịch vụ tư vấn tháng 09/2025 HĐ số 170</t>
  </si>
  <si>
    <t>Thanh toán Phí dịch vụ tư vấn tháng 10/2025 HĐ số 171</t>
  </si>
  <si>
    <t>Thanh toán Phí ngân hàng HĐ số 721350</t>
  </si>
  <si>
    <t>Thanh toán Phí dịch vụ tư vấn tháng 11/2025 HĐ số 206</t>
  </si>
  <si>
    <t>Thanh toán Chi phí tiếp khách, ngoại giao HĐ số 5565</t>
  </si>
  <si>
    <t>Thanh toán Phí ngân hàng HĐ số 2168587</t>
  </si>
  <si>
    <t>Thanh toán Chi phí tiếp khách, ngoại giao HĐ số 9900</t>
  </si>
  <si>
    <t>Nhận Doanh thu Dịch vụ quảng cáo và truyền thông theo Hợp đồng số 01112025HDDVLUONGLEECELIMAX ký ngày 01/11/2025 và Biên bản nghiệm thu ký ngày 20/11/2025 HĐ số 20</t>
  </si>
  <si>
    <t>Nhận Doanh thu Dịch vụ quảng cáo và truyền thông theo Hợp đồng số HDDV/PANTENExVĐxHKDLL/171025 ký ngày 17/10/2025 và Biên bản nghiệm thu ký ngày 10/11/2025 HĐ số 17</t>
  </si>
  <si>
    <t>Nhận Doanh thu Dịch vụ quảng cáo và truyền thông theo Hợp đồng số 2710/HDDV/TCELL-LUONGLEE ký ngày 27/10/2025 và Biên bản nghiệm thu ký ngày 27/11/2025 HĐ số 21</t>
  </si>
  <si>
    <t>Nhận Doanh thu Dịch vụ quảng cáo và truyền thông theo Hợp đồng số T06MPD25HDDV-0071-1919 LUONGLEE ký ngày 07/11/2025 và Biên bản nghiệm thu ký ngày 27/11/2025 HĐ số 22</t>
  </si>
  <si>
    <t>Nhận Doanh thu Dịch vụ quảng cáo và truyền thông theo Hợp đồng số 01- 1211/2025/HĐDV/MKG-LUONGLEE ký ngày 12/11/2025 và Biên bản nghiệm thu ký ngày 25/12/2025 HĐ số 27</t>
  </si>
  <si>
    <t>3502384588</t>
  </si>
  <si>
    <t>Doanh thu Dịch vụ quảng cáo và truyền thông theo Hợp đồng số HD0610/2025/HDDV/PMB-BK ký ngày 06/10/2025 và Biên bản nghiệm thu ký ngày 11/11/2025 HĐ số 5</t>
  </si>
  <si>
    <t>Điều chỉnh giảm Doanh thu Dịch vụ quảng cáo và truyền thông theo Hợp đồng số HD0610/2025/HDDV/PMB-BK ký ngày 06/10/2025 và Biên bản nghiệm thu ký ngày 11/11/2025 HĐ số 5</t>
  </si>
  <si>
    <t>Doanh thu Dịch vụ quảng cáo và truyền thông theo Hợp đồng số PAP-KOLPUPHAM/JOYGROUP/T10/0110 ký ngày 01/10/2025 và Biên bản nghiệm thu ký ngày 04/11/2025 HĐ số 4</t>
  </si>
  <si>
    <t>Điều chỉnh giảm Doanh thu Dịch vụ quảng cáo và truyền thông theo Hợp đồng số PAP-KOLPUPHAM/JOYGROUP/T10/0110 ký ngày 01/10/2025 và Biên bản nghiệm thu ký ngày 04/11/2025 HĐ số 4</t>
  </si>
  <si>
    <t>Nhận Doanh thu Dịch vụ quảng cáo và truyền thông theo Hợp đồng số HD01102024/d’Alba_BAASIACONSULTING_its.pupham ký ngày 20/09/2025 và Biên bản nghiệm thu ký ngày 29/09/2025 HĐ số 2</t>
  </si>
  <si>
    <t>Nhận Doanh thu Dịch vụ quảng cáo và truyền thông theo Hợp đồng số HD0509/2025/HDDV/PMB-BK ký ngày 05/09/2025 và Biên bản nghiệm thu ký ngày 07/10/2025 HĐ số 3</t>
  </si>
  <si>
    <t>Nhận Doanh thu Dịch vụ quảng cáo và truyền thông theo Hợp đồng số PAP-KOLPUPHAM/JOYGROUP/T10/0110 ký ngày 01/10/2025 và Biên bản nghiệm thu ký ngày 04/11/2025 HĐ số 4</t>
  </si>
  <si>
    <t>Nhận Doanh thu Dịch vụ quảng cáo và truyền thông theo Hợp đồng số HD0610/2025/HDDV/PMB-BK ký ngày 06/10/2025 và Biên bản nghiệm thu ký ngày 11/11/2025 HĐ số 5</t>
  </si>
  <si>
    <t>Nộp Thuế GTGT, TNCN Q3/2025</t>
  </si>
  <si>
    <t>Nhận Doanh thu Dịch vụ quảng cáo và truyền thông theo Hợp đồng số HD0511/2025/HDDV/PMB-BK ký ngày 05/11/2025 và Biên bản nghiệm thu ký ngày 09/12/2025 HĐ số 8</t>
  </si>
  <si>
    <t>Nhận Doanh thu Dịch vụ quảng cáo và truyền thông theo Hợp đồng số 20251204/NEWFACExPUMETBAY ký ngày 04/12/2025 và Biên bản nghiệm thu ký ngày 09/12/2025 HĐ số 7</t>
  </si>
  <si>
    <t>Chi phí không hóa đơn</t>
  </si>
  <si>
    <t>Rút tiền mặt nộp vào tiền gửi ngân hàng</t>
  </si>
  <si>
    <t>Thanh toán Phí dịch vụ tư vấn tháng 08/2025 HĐ số 151</t>
  </si>
  <si>
    <t>Thanh toán Chi phí tiếp khách ngoại giao HĐ số 3639</t>
  </si>
  <si>
    <t>Thanh toán Chi phí tiếp khách ngoại giao HĐ số 7375</t>
  </si>
  <si>
    <t>Thanh toán Chi phí vé máy bay HĐ số 58969</t>
  </si>
  <si>
    <t>Thanh toán Phí dịch vụ tư vấn tháng 09-10/2025 HĐ số 178</t>
  </si>
  <si>
    <t>Thanh toán Chi phí dịch vụ mua ngoài HĐ số 896377</t>
  </si>
  <si>
    <t>Thanh toán Chi phí dịch vụ mua ngoài HĐ số 896378</t>
  </si>
  <si>
    <t>Thanh toán Phần mềm hóa đơn điện tử M-100 8307704000-002.matbao.in (1 năm) HĐ số 8806</t>
  </si>
  <si>
    <t>Thanh toán Phí dịch vụ tư vấn tháng 11/2025 HĐ số 207</t>
  </si>
  <si>
    <t>0301103908</t>
  </si>
  <si>
    <t>Nhận Doanh thu Dịch vụ quảng cáo và truyền thông theo Hợp đồng số ATV/HỌC NHÂN/CETPHIL SA/2025-HDDV-1839P ký ngày 24/07/2025 và Biên bản nghiệm thu ký ngày 01/10/2025 HĐ số 5</t>
  </si>
  <si>
    <t>Nhận Doanh thu Dịch vụ quảng cáo và truyền thông theo Hợp đồng số 17072025/HDDV-ZEE-HOCNHAN ký ngày 17/07/2025 và Biên bản nghiệm thu ký ngày 22/07/2025 HĐ số 24</t>
  </si>
  <si>
    <t>Nhận Doanh thu Dịch vụ quảng cáo và truyền thông theo Hợp đồng số 01-1709/2025/HĐDV/MK-HT ký ngày 17/09/2025 HĐ số 10</t>
  </si>
  <si>
    <t>Hoàn tiền nhận chuyển khoản nhầm</t>
  </si>
  <si>
    <t>Nhận Doanh thu Dịch vụ quảng cáo và truyền thông theo Hợp đồng số HKD HN_ GARNIER_TRI_ACID_01092025 ký ngày 01/09/2025 HĐ số 3</t>
  </si>
  <si>
    <t>Nhận Doanh thu Dịch vụ quảng cáo và truyền thông theo Hợp đồng số 16/2025/HĐCTV-HNS ký ngày 10/09/2025 và Biên bản nghiệm thu ký ngày 15/10/2025 HĐ số 11</t>
  </si>
  <si>
    <t>Nhận Doanh thu Dịch vụ quảng cáo và truyền thông theo Hợp đồng số 09/10/2025/HDDV/ZAKKA- HỌC NHÂN ký ngày 09/10/2025 và Biên bản nghiệm thu ký ngày 21/10/2025 HĐ số 13</t>
  </si>
  <si>
    <t>Hoàn Doanh thu Dịch vụ quảng cáo và truyền thông theo Hợp đồng số 072025/MKT-KOL ký ngày 18/07/2025 HĐ số 9</t>
  </si>
  <si>
    <t>Nhận Doanh thu Dịch vụ quảng cáo và truyền thông theo Hợp đồng số 0910.25/HNSK-VL ký ngày 09/10/2025 (Đợt 1) HĐ số 8</t>
  </si>
  <si>
    <t>Nhận Doanh thu Dịch vụ quảng cáo và truyền thông theo Hợp đồng số 072025/MKT-KOL ký ngày 18/07/2025 HĐ số 9</t>
  </si>
  <si>
    <t>Hoàn Doanh thu Dịch vụ quảng cáo và truyền thông theo Hợp đồng số 01-1709/2025/HĐDV/MK-HT ký ngày 17/09/2025 HĐ số 10</t>
  </si>
  <si>
    <t>Nhận Doanh thu Dịch vụ quảng cáo và truyền thông theo Hợp đồng số 10/09/2025/HDDV/ZAKKA- HỌC NHÂN ký ngày 10/09/2025 và Biên bản nghiệm thu ký ngày 06/10/2025 HĐ số 7</t>
  </si>
  <si>
    <t>Hoàn Doanh thu Dịch vụ quảng cáo và truyền thông theo Hợp đồng số 10/09/2025/HDDV/ZAKKA- HỌC NHÂN ký ngày 10/09/2025 và Biên bản nghiệm thu ký ngày 06/10/2025 HĐ số 7</t>
  </si>
  <si>
    <t>Nhận Doanh thu Dịch vụ quảng cáo và truyền thông theo Hợp đồng số 1009/2025/WEI-HN ký ngày 10/09/2025 và Biên bản nghiệm thu ký ngày 21/10/2025 HĐ số 12</t>
  </si>
  <si>
    <t>Nhận Doanh thu Dịch vụ quảng cáo và truyền thông theo Hợp đồng số 131025/HDDV/UNICORN-HOCNHAN ký ngày 13/10/2025 và Biên bản nghiệm thu ký ngày 24/10/2025 HĐ số 15</t>
  </si>
  <si>
    <t>Nhận Doanh thu Dịch vụ quảng cáo và truyền thông theo Hợp đồng số T03T25HDDV-0012-0793 HOCNHANSKINCARE ký ngày 15/08/2025 và Biên bản nghiệm thu ký ngày 30/09/2025 HĐ số 4</t>
  </si>
  <si>
    <t>Nhận Doanh thu Dịch vụ quảng cáo và truyền thông theo Hợp đồng số 0210/HDDV/TCELL-HOCNHAN ký ngày 02/10/2025 và Biên bản nghiệm thu ký ngày 24/10/2025 HĐ số 14</t>
  </si>
  <si>
    <t>Nhận Doanh thu Dịch vụ quảng cáo và truyền thông theo Hợp đồng số 31102025/HDDV/UPBASE-KEYSHU-HOCNHAN.SKINCARE ký ngày 10/11/2025 và Biên bản nghiệm thu ký ngày 22/12/2025 HĐ số 35</t>
  </si>
  <si>
    <t>Nhận Doanh thu Dịch vụ quảng cáo và truyền thông theo Hợp đồng số 16/HĐMGDV ký ngày 21/10/2025 và Biên bản nghiệm thu ký ngày 04/11/2025 HĐ số 19</t>
  </si>
  <si>
    <t>Nhận Doanh thu Chi phí cung cấp dịch vụ quảng cáo và truyền thông theo Hợp đồng số PR25048/11082025/82X-UNO-HOCNHAN ký ngày 11/08/2025 và Biên bản nghiệm thu ký ngày 30/10/2025 HĐ số 17</t>
  </si>
  <si>
    <t>Nhận Doanh thu Dịch vụ quảng cáo và truyền thông theo hợp đồng số HKD HN_GARNIER BOX_01082025 ký ngày 15/08/2025 và Biên bản nghiệm thu ký ngày 19/08/2025 HĐ số 35</t>
  </si>
  <si>
    <t>Nhận Doanh thu Dịch vụ quảng cáo và truyền thông theo Hợp đồng số HKD HOCNHAN_BIORE_06082025 ký ngày 06/08/2025 HĐ số 2</t>
  </si>
  <si>
    <t>Nhận Doanh thu Dịch vụ quảng cáo và truyền thông theo Hợp đồng số HKD HN_ GARNIER_TRI_ACID_EVENT_15092025 ký ngày 15/09/2025 và Biên bản nghiệm thu ký ngày 02/10/2025 HĐ số 6</t>
  </si>
  <si>
    <t>Nhận Doanh thu Dịch vụ quảng cáo và truyền thông theo Hợp đồng số HKD HN_ SIMPLE _01102025 ký ngày 01/10/2025 HĐ số 16</t>
  </si>
  <si>
    <t>Nhận Doanh thu Dịch vụ tư vấn, phát triển sản phẩm theo Hợp đồng số 2510/2025/HĐTVSP ký ngày 25/10/2025 (Đợt 1) HĐ số 18</t>
  </si>
  <si>
    <t>Nhận Doanh thu Dịch vụ quảng cáo và truyền thông theo Hợp đồng số 0910.25/HNSK-VL ký ngày 09/10/2025 (Đợt 2) và Biên bản nghiệm thu ký ngày 07/11/2025 HĐ số 22</t>
  </si>
  <si>
    <t>0301452948</t>
  </si>
  <si>
    <t>Nhận Doanh thu Dịch vụ quảng cáo và truyền thông theo Hợp đồng số 11.25/HNSK-VL ký ngày 10/10/2025 và Biên bản nghiệm thu ký ngày 14/11/2025 HĐ số 24</t>
  </si>
  <si>
    <t>Nhận Doanh thu Dịch vụ quảng cáo và truyền thông theo Hợp đồng số 20251021/HEIDILAND x HKD HỌC NHÂN SKINCARE ký ngày 21/10/2025 và Biên bản nghiệm thu ký ngày 02/12/2025 HĐ số 29</t>
  </si>
  <si>
    <t>Nhận Doanh thu Dịch vụ quảng cáo và truyền thông theo Hợp đồng số CLC/2025/033 ký ngày 04/06/2025 và Biên bản nghiệm thu ký ngày 12/11/2025 HĐ số 23</t>
  </si>
  <si>
    <t>Nhận Doanh thu Dịch vụ quảng cáo và truyền thông theo Hợp đồng số 251112/HDDV/BRAINAD-HOCNHAN ký ngày 12/11/2025 (Đợt 1) HĐ số 34</t>
  </si>
  <si>
    <t>Nhận Doanh thu Dịch vụ quảng cáo và truyền thông theo Hợp đồng số CRE/Học Nhân/BIORE/2025-HDDV-62 ký ngày 25/08/2025 và Biên bản nghiệm thu ký ngày 01/12/2025 HĐ số 28</t>
  </si>
  <si>
    <t>Nhận Doanh thu Dịch vụ quảng cáo và truyền thông theo Hợp đồng số T03T25HDDV-0097-0793 HOCNHANSKINCARE ký ngày 06/11/2025 và Biên bản nghiệm thu ký ngày 25/11/2025 HĐ số 27</t>
  </si>
  <si>
    <t>Nhận Doanh thu Dịch vụ quảng cáo và truyền thông theo Hợp đồng số T06T25HDDV-0056-0793 HOCNHANSKINCARE ký ngày 13/10/2025 và Biên bản nghiệm thu ký ngày 17/11/2025 HĐ số 25</t>
  </si>
  <si>
    <t>Nhận Doanh thu Dịch vụ quảng cáo và truyền thông theo Hợp đồng số HKD HN_ CLEAR _09102025 ký ngày 09/10/2025 HĐ số 20</t>
  </si>
  <si>
    <t>Nhận Doanh thu Dịch vụ quảng cáo và truyền thông theo Hợp đồng số 12112025/HDDV/DST-HOCNHANSKINCARE ký ngày 12/11/2025 và Biên bản nghiệm thu ký ngày 22/12/2025 HĐ số 36</t>
  </si>
  <si>
    <t>Thanh toán Phí dịch vụ tư vấn tháng 09/2025 HĐ số 143</t>
  </si>
  <si>
    <t>Thanh toán Chi phí đồ dùng văn phòng HĐ số 953</t>
  </si>
  <si>
    <t>Thanh toán Chi phí đồ dùng văn phòng HĐ số 954</t>
  </si>
  <si>
    <t>Thanh toán Chi phí đồ dùng văn phòng HĐ số 1013</t>
  </si>
  <si>
    <t>Thanh toán Chi phí đồ dùng văn phòng HĐ số 1014</t>
  </si>
  <si>
    <t>Thanh toán Phí dịch vụ tư vấn tháng 10/2025 HĐ số 165</t>
  </si>
  <si>
    <t>Thanh toán Chi phí đồ dùng văn phòng HĐ số 1090</t>
  </si>
  <si>
    <t>Thanh toán Chi phí tiếp khách, ngoại giao HĐ số 1106894</t>
  </si>
  <si>
    <t>Thanh toán Phí dịch vụ tư vấn tháng 11/2025 HĐ số 186</t>
  </si>
  <si>
    <t>Len</t>
  </si>
  <si>
    <t>Doanh thu Dịch vụ quảng cáo và truyền thông theo Hợp đồng số 9101112/2025/HĐHTQC ký ngày 21/06/2025 (Đợt 1) HĐ số 21</t>
  </si>
  <si>
    <t>Điều chỉnh giảm Doanh thu Dịch vụ quảng cáo và truyền thông theo Hợp đồng số 9101112/2025/HĐHTQC ký ngày 21/06/2025 (Đợt 1) HĐ số 21</t>
  </si>
  <si>
    <t>Doanh thu Dịch vụ quảng cáo và truyền thông theo Phụ lục 02 ký ngày 04/09/2025 của Hợp đồng số 05.2025/HĐDV_HỘ KINH DOANH HỌC NHÂN SKINCARE_BIBALA ký ngày 10/05/2025 HĐ số 26</t>
  </si>
  <si>
    <t>Điều chỉnh giảm Doanh thu Dịch vụ quảng cáo và truyền thông theo Phụ lục 02 ký ngày 04/09/2025 của Hợp đồng số 05.2025/HĐDV_HỘ KINH DOANH HỌC NHÂN SKINCARE_BIBALA ký ngày 10/05/2025 HĐ số 26</t>
  </si>
  <si>
    <t>Doanh thu Chi phí tham dự sự kiện ra mắt sản phẩm và sản xuất, đăng tải video review Tẩy da chết da đầu bồ kết theo hợp đồng số 16932025/HĐDV/Y&amp;B – ký ngày 01/11/2025 HĐ số 31</t>
  </si>
  <si>
    <t>Điều chỉnh giảm Doanh thu Chi phí tham dự sự kiện ra mắt sản phẩm và sản xuất, đăng tải video review Tẩy da chết da đầu bồ kết theo hợp đồng số 16932025/HĐDV/Y&amp;B – ký ngày 01/11/2025 HĐ số 31</t>
  </si>
  <si>
    <t>Doanh thu Chi phí tham dự Sự kiện ra mắt sản phẩm và sản xuất, đăng tải video review Nước tẩy trang sen Hậu Giang theo Hợp đồng số 14322025/HĐDV/Y&amp;B ký ngày 02/10/2025 HĐ số 32</t>
  </si>
  <si>
    <t>Điều chỉnh giảm Doanh thu Chi phí tham dự Sự kiện ra mắt sản phẩm và sản xuất, đăng tải video review Nước tẩy trang sen Hậu Giang theo Hợp đồng số 14322025/HĐDV/Y&amp;B ký ngày 02/10/2025 HĐ số 32</t>
  </si>
  <si>
    <t>Nhận Doanh thu Dịch vụ quảng cáo và truyền thông theo Hợp đồng số 9101112/2025/HĐHTQC ký ngày 21/06/2025 (Đợt 1) HĐ số 21</t>
  </si>
  <si>
    <t>Nhận Doanh thu Chi phí tham dự Sự kiện ra mắt sản phẩm và sản xuất, đăng tải video review Nước tẩy trang sen Hậu Giang theo Hợp đồng số 14322025/HĐDV/Y&amp;B ký ngày 02/10/2025 HĐ số 32</t>
  </si>
  <si>
    <t>Nhận Doanh thu Chi phí tham dự sự kiện ra mắt sản phẩm và sản xuất, đăng tải video review Tẩy da chết da đầu bồ kết theo hợp đồng số 16932025/HĐDV/Y&amp;B – ký ngày 01/11/2025 HĐ số 31</t>
  </si>
  <si>
    <t>Nhận Doanh thu</t>
  </si>
  <si>
    <t>Chi phí mạng viễn thông HĐ số 5047862</t>
  </si>
  <si>
    <t>16/11/2025</t>
  </si>
  <si>
    <t>Nhận Doanh thu Dịch vụ quảng cáo và truyền thông theo Hợp đồng số 16082025/trangtrankoc- INTOYOU ký ngày 13/08/2025 và Biên bản nghiệm thu ký ngày 16/09/2025 HĐ số 10</t>
  </si>
  <si>
    <t>Nộp Chi phí bảo hiểm nhân viên tháng 2025.10</t>
  </si>
  <si>
    <t>Nộp Chi phí bảo hiểm chủ HKD tháng 2025.10</t>
  </si>
  <si>
    <t>Nhận Doanh thu Dịch vụ quảng cáo và truyền thông theo Hợp đồng số 2808/2025/TTS/TRANGTRAN/WIPRO ký ngày 28/08/2025 và Biên bản nghiệm thu ký ngày 09/09/2025 HĐ số 8</t>
  </si>
  <si>
    <t>Thanh toán Phí dịch vụ tư vấn tháng 10/2025 HĐ số 159</t>
  </si>
  <si>
    <t>Nhận Doanh thu Dịch vụ quảng cáo và truyền thông theo Phụ lục 01 ký ngày 20/08/2025 của Hợp đồng nguyên tắc số 20082025/HDHT/LL_TTKOC ký ngày 20/08/2025 và Biên bản nghiệm thu ký ngày 17/10/2025 HĐ số 14</t>
  </si>
  <si>
    <t>Nhận Doanh thu Dịch vụ quảng cáo và truyền thông theo Hợp đồng số 2007/2025/TTS/TRANGTRAN/CETAPHIL HĐ số 00000006</t>
  </si>
  <si>
    <t>Nhận Doanh thu Dịch vụ quảng cáo và truyền thông theo hợp đồng số 141025/HDDV/TRANGTRAN-IBP ký ngày 14/10/2025 và Biên bản nghiệm thu ký ngày 27/10/2025 HĐ số 15</t>
  </si>
  <si>
    <t>Nhận Doanh thu Dịch vụ quảng cáo và truyền thông theo Hợp đồng số 3110.2025/HDDV/UPBASE-trangtrankoc ký ngày 31/10/2025 và Biên bản nghiệm thu ký ngày 03/11/2025 HĐ số 17</t>
  </si>
  <si>
    <t>Thanh toán Phí dịch vụ tư vấn tháng 09/2025 HĐ số 130</t>
  </si>
  <si>
    <t>Nộp Chi phí bảo hiểm nhân viên tháng 2025.12</t>
  </si>
  <si>
    <t>Nộp Chi phí bảo hiểm chủ HKD tháng 2025.12</t>
  </si>
  <si>
    <t>Nộp Chi phí bảo hiểm nhân viên tháng 2025.11</t>
  </si>
  <si>
    <t>Nộp Chi phí bảo hiểm chủ HKD tháng 2025.11</t>
  </si>
  <si>
    <t>Nhận Doanh thu Dịch vụ quảng cáo và truyền thông theo Hợp đồng số LIXIBOX_TTS/TTKOC/17112025 ký ngày 07/11/2025 HĐ số 21</t>
  </si>
  <si>
    <t>Hoàn Nộp Chi phí bảo hiểm chủ HKD tháng 2025.11</t>
  </si>
  <si>
    <t>Nhận Doanh thu Dịch vụ quảng cáo và truyền thông theo Hợp đồng số SMD20251012/AMT-TRANGTRANKOC ký ngày 12/10/2025 và Biên bản nghiệm thu ký ngày 06/11/2025 HĐ số 19</t>
  </si>
  <si>
    <t>Nhận Doanh thu Dịch vụ quảng cáo và truyền thông theo Hợp đồng số LIXIBOX_TTS/TTKOC/03112025 ký ngày 22/10/2025 HĐ số 20</t>
  </si>
  <si>
    <t>Nhận Doanh thu Dịch vụ quảng cáo và truyền thông theo Hợp đồng số 2611/2025/HDDV-BOVN-TRANGTRANKOC ký ngày 17/12/2025 kèm Biên bản nghiệm thu và thanh lý ký ngày 18/12/2025 HĐ số 23</t>
  </si>
  <si>
    <t>Nhận Doanh thu Dịch vụ quảng cáo và truyền thông theo Hợp đồng số 201125/HDDV/TRANGTRAN-IBP ký ngày 20/11/2025 và Biên bản nghiệm thu ký ngày 26/11/2025 HĐ số 22</t>
  </si>
  <si>
    <t>Nhận Doanh thu Dịch vụ quảng cáo và truyền thông theo Hợp đồng số LIXIBOX_TTS/TTKOC/01122025 ký ngày 28/11/2025 HĐ số 25</t>
  </si>
  <si>
    <t>Nhận Doanh thu Dịch vụ quảng cáo và truyền thông theo Đơn đặt hàng số 271025 ký ngày 27/10/2025 và Biên bản nghiệm thu ký ngày 30/10/2025 HĐ số 16</t>
  </si>
  <si>
    <t>Nhận Doanh thu Dịch vụ quảng cáo và truyền thông theo Hợp đồng số LIXIBOX_TTS/TTKOC/18122025 ký ngày 09/12/2025 HĐ số 24</t>
  </si>
  <si>
    <t>Thanh toán Chi phí tiếp khách, ngoại giao HĐ số 6188</t>
  </si>
  <si>
    <t>Thanh toán Chi phí mạng viễn thông HĐ số 4077989</t>
  </si>
  <si>
    <t>Thanh toán Chi phí dịch vụ mua ngoài HĐ số 511</t>
  </si>
  <si>
    <t>Thanh toán Chi phí mạng viễn thông HĐ số 4593229</t>
  </si>
  <si>
    <t>Thanh toán Chi phí mạng viễn thông HĐ số 5047862</t>
  </si>
  <si>
    <t>Nhận Doanh thu THN thanh toán Sunplay</t>
  </si>
  <si>
    <t>Nộp Chi phí BHXH tháng 11.2025</t>
  </si>
  <si>
    <t>Doanh thu Điều chỉnh nội dung dịch vụ từ &amp;quot;Dịch vụ quảng cáo và truyền thông theo Hợp đồng số 26092025/DRCEUTICS-THUYNGAOFFICIAL ký ngày 26/09/2025 HĐ số 3</t>
  </si>
  <si>
    <t>Điều chỉnh giảm Doanh thu Điều chỉnh nội dung dịch vụ từ &amp;quot;Dịch vụ quảng cáo và truyền thông theo Hợp đồng số 26092025/DRCEUTICS-THUYNGAOFFICIAL ký ngày 26/09/2025 HĐ số 3</t>
  </si>
  <si>
    <t>Doanh thu Dịch vụ tham dự Sự kiện ra mắt sản phẩm và thực hiện sản xuất và đăng tải video review về sản phẩm mới - Nước tẩy trang sen Hậu Giang theo Hợp đồng số 15112025/HĐDV/Y&amp;B ký ngày 01/10/2025 HĐ số 4</t>
  </si>
  <si>
    <t>Điều chỉnh giảm Doanh thu Dịch vụ tham dự Sự kiện ra mắt sản phẩm và thực hiện sản xuất và đăng tải video review về sản phẩm mới theo Hợp đồng số 15112025/HĐDV/Y&amp;B ký ngày 01/10/2025 HĐ số 4</t>
  </si>
  <si>
    <t>Điều chỉnh giảm Doanh thu Dịch vụ quảng cáo và truyền thông theo Hợp đồng số 09.2025/HĐDV_HKD THÚY NGA OFFICIAL_CÔNG TY TNHH HOÀI THU TH ký ngày 10/09/2025 HĐ số 5</t>
  </si>
  <si>
    <t>Doanh thu Dịch vụ quảng cáo và truyền thông theo Hợp đồng số 03122025/HDDV/DRCEUTICS-THUYNGAOFFICIAL ký ngày 03/12/2025 HĐ số 15</t>
  </si>
  <si>
    <t>Điều chỉnh giảm Doanh thu Dịch vụ quảng cáo và truyền thông theo Hợp đồng số 03122025/HDDV/DRCEUTICS-THUYNGAOFFICIAL ký ngày 03/12/2025 HĐ số 15</t>
  </si>
  <si>
    <t>Nhận Doanh thu Dịch vụ tham dự Sự kiện ra mắt sản phẩm và thực hiện sản xuất và đăng tải video review về sản phẩm mới theo Hợp đồng số 15112025/HĐDV/Y&amp;B ký ngày 01/10/2025 HĐ số 4</t>
  </si>
  <si>
    <t>Nhận Doanh thu Dịch vụ quảng cáo và truyền thông theo Hợp đồng số 20251027/HEIDILAND x HKD THUYNGA ký ngày 27/10/2025 và Biên bản nghiệm thu ký ngày 13/11/2025 HĐ số 6</t>
  </si>
  <si>
    <t>Nhận Doanh thu Dịch vụ quảng cáo và truyền thông theo Hợp đồng số 101125/HDDV/NN ký ngày 04/11/2025 và Biên bản nghiệm thu ký ngày 20/11/2025 HĐ số 9</t>
  </si>
  <si>
    <t>Nhận Doanh thu Dịch vụ quảng cáo và truyền thông theo Hợp đồng số 2610/HDDV/VINBEAUTY-HKD THUYNGA ký ngày 26/09/2025 và Biên bản nghiệm thu ký ngày 21/11/2025 HĐ số 10</t>
  </si>
  <si>
    <t>Nhận Doanh thu Dịch vụ quảng cáo và truyền thông theo Hợp đồng số 13/11/2025/HDDV/ZAKKA-THÚY NGA REVIEW ký ngày 13/11/2025 và Biên bản nghiệm thu ký ngày 17/11/2025 HĐ số 7</t>
  </si>
  <si>
    <t>Nhận Doanh thu Dịch vụ quảng cáo và truyền thông theo Hợp đồng số 74/HĐDV/DE-2025/11 ký ngày 28/11/2025 HĐ số 11</t>
  </si>
  <si>
    <t>Nhận Doanh thu Dịch vụ quảng cáo và truyền thông theo Hợp đồng số 20251022/CAYVANGxHKDTHUYNGA ký ngày 22/10/2025 và Biên bản nghiệm thu ký ngày 08/12/2025 HĐ số 12</t>
  </si>
  <si>
    <t>Nhận Doanh thu Dịch vụ quảng cáo và truyền thông theo Hợp đồng số 26/11/2025/HDDV/ZAKKA-THÚY NGA REVIEW ký ngày 26/11/2025 và Biên bản nghiệm thu ký ngày 09/12/2025 HĐ số 14</t>
  </si>
  <si>
    <t>Nhận Doanh thu Dịch vụ quảng cáo và truyền thông theo Hợp đồng số 03_UMNGA/HDDV/2025 kí ngày 05/11/2025 và Biên bản nghiệm thu ký ngày 08/12/2025 HĐ số 13</t>
  </si>
  <si>
    <t>Nhận Doanh thu Dịch vụ quảng cáo và truyền thông theo Hợp đồng số 03122025/HDDV/DRCEUTICS-THUYNGAOFFICIAL ký ngày 03/12/2025 HĐ số 15</t>
  </si>
  <si>
    <t>Thanh toán Phí dịch vụ tư vấn tháng 10/2025 HĐ số 161</t>
  </si>
  <si>
    <t>Thanh toán Phí dịch vụ tư vấn tháng 10/2025 HĐ số 199</t>
  </si>
  <si>
    <t>089200016993</t>
  </si>
  <si>
    <t>Chi phí CKS Token-HKD-MBCA (3 năm) HĐ số 92428</t>
  </si>
  <si>
    <t>Nhận Doanh thu Dịch vụ quảng cáo và truyền thông theo Hợp đồng số 0810/2025/HDDV ký ngày 08/10/2025 (Đợt 1) HĐ số 1</t>
  </si>
  <si>
    <t>Nhận Doanh thu Dịch vụ quảng cáo và truyền thông theo Hợp đồng số 006/HDCTV/BBHH-TV ký ngày 10/10/2025 HĐ số 2</t>
  </si>
  <si>
    <t>Nhận Doanh thu 100% dịch vụ quảng cáo dự án Johnson&amp;apos;s Baby Cream theo BBNTTL của hợp đồng số HĐ/2921/2025/METUB ký ngày 14/10/2025 HĐ số 5</t>
  </si>
  <si>
    <t>Nhận Doanh thu Dịch vụ quảng cáo và truyền thông theo Thỏa thuận cung ứng nghệ sĩ ký ngày 10/11/2025 HĐ số 4</t>
  </si>
  <si>
    <t>Nhận Doanh thu Dịch vụ quảng cáo và truyền thông theo Hợp đồng số CTV-061025-WMM-An Vy ký ngày 06/10/2025 và Biên bản nghiệm thu ký ngày 26/11/2025 HĐ số 7</t>
  </si>
  <si>
    <t>Nhận Doanh thu Dịch vụ quảng cáo và truyền thông theo Hợp đồng số 0810.67/HDDV/KOL/HKD.AV-NBN ký ngày 13/10/2025 và Biên bản nghiệm thu ký ngày 28/10/2025 HĐ số 3</t>
  </si>
  <si>
    <t>Nhận Doanh thu Dịch vụ quảng cáo và truyền thông theo Hợp đồng số CTV-091025-WMM-An Vy ký ngày 09/10/2025 và Biên bản nghiệm thu ký ngày 26/11/2025 HĐ số 8</t>
  </si>
  <si>
    <t>Nhận Doanh thu Dịch vụ quảng cáo và truyền thông theo Hợp đồng số 13112025/HDDV/VUANEM-ANVYOFFICIAL/DUNLOPILLOPOWERFUL ký ngày 13/11/2025 và Biên bản nghiệm thu ký ngày 23/11/2025 HĐ số 6</t>
  </si>
  <si>
    <t>Thanh toán Phần mềm hóa đơn điện tử M-100 082198013719.matbao.in (1 năm) HĐ số 91342</t>
  </si>
  <si>
    <t>Thanh toán Chi phí CKS Token-HKD-MBCA (3 năm) HĐ số 92428</t>
  </si>
  <si>
    <t>Thanh toán Tiền thuê văn phòng theo hợp đồng số: 2010/2025/HĐVP/CYBER-ANVY ký ngày 01/10/2025 HĐ số 117</t>
  </si>
  <si>
    <t>Thanh toán Phí dịch vụ tư vấn tháng 10/2025 HĐ số 156</t>
  </si>
  <si>
    <t>Thanh toán Phí dịch vụ tư vấn tháng 11/2025 HĐ số 180</t>
  </si>
  <si>
    <t>Chi phí bảo hiểm tháng 11.2025</t>
  </si>
  <si>
    <t>Chi phí bảo hiểm tháng 12.2025</t>
  </si>
  <si>
    <t>Nộp Chi phí bảo hiểm tháng 11.2025</t>
  </si>
  <si>
    <t>Nộp Chi phí bảo hiểm tháng 12.2025</t>
  </si>
  <si>
    <t>Chi phí chứng thư số CA - Token-HKD-MBCA (3 năm) HĐ số 93402</t>
  </si>
  <si>
    <t>Chi phí đăng tin tuyển nhanh (vieclam24h.vn) 1 tuần HĐ số 23720</t>
  </si>
  <si>
    <t>Chi phí khác HĐ số 1447137</t>
  </si>
  <si>
    <t>Chi phí di chuyển, đi lại HĐ số 744350</t>
  </si>
  <si>
    <t>Chi phí di chuyển, đi lại HĐ số 42868995</t>
  </si>
  <si>
    <t>Chi phí di chuyển, đi lại HĐ số 42922960</t>
  </si>
  <si>
    <t>Chi phí đồ dùng văn phòng HĐ số 75641</t>
  </si>
  <si>
    <t>Chi phí tiếp khách, ngoại giao HĐ số 21993</t>
  </si>
  <si>
    <t>Chi phí di chuyển, đi lại HĐ số 43741754</t>
  </si>
  <si>
    <t>Chi phí di chuyển, đi lại HĐ số 43814537</t>
  </si>
  <si>
    <t>Chi phí di chuyển, đi lại HĐ số 43964898</t>
  </si>
  <si>
    <t>Chi phí di chuyển, đi lại HĐ số 43974945</t>
  </si>
  <si>
    <t>Chi phí di chuyển, đi lại HĐ số 44018195</t>
  </si>
  <si>
    <t>Chi phí di chuyển, đi lại HĐ số 44079824</t>
  </si>
  <si>
    <t>Chi phí di chuyển, đi lại HĐ số 927424</t>
  </si>
  <si>
    <t>Chi phí di chuyển, đi lại HĐ số 41776076</t>
  </si>
  <si>
    <t>Chi phí di chuyển, đi lại HĐ số 44573524</t>
  </si>
  <si>
    <t>Chi phí di chuyển, đi lại HĐ số 44594370</t>
  </si>
  <si>
    <t>Chi phí di chuyển, đi lại HĐ số 44690231</t>
  </si>
  <si>
    <t>Chi phí di chuyển, đi lại HĐ số 44959316</t>
  </si>
  <si>
    <t>Chi phí di chuyển, đi lại HĐ số 44967261</t>
  </si>
  <si>
    <t>Chi phí di chuyển, đi lại HĐ số 44975687</t>
  </si>
  <si>
    <t>Chi phí di chuyển, đi lại HĐ số 45047514</t>
  </si>
  <si>
    <t>Chi phí đồ dùng văn phòng HĐ số 396</t>
  </si>
  <si>
    <t>Chi phí di chuyển, đi lại HĐ số 45611911</t>
  </si>
  <si>
    <t>Chi phí di chuyển, đi lại HĐ số 45626469</t>
  </si>
  <si>
    <t>Chi phí di chuyển, đi lại HĐ số 46006528</t>
  </si>
  <si>
    <t>Chi phí di chuyển, đi lại HĐ số 46056832</t>
  </si>
  <si>
    <t>Chi phí tiếp khách, ngoại giao HĐ số 442387</t>
  </si>
  <si>
    <t>Chi phí di chuyển, đi lại HĐ số 46245223</t>
  </si>
  <si>
    <t>Chi phí di chuyển, đi lại HĐ số 46284276</t>
  </si>
  <si>
    <t>Chi phí di chuyển, đi lại HĐ số 46358963</t>
  </si>
  <si>
    <t>Chi phí di chuyển, đi lại HĐ số 46579378</t>
  </si>
  <si>
    <t>Chi phí di chuyển, đi lại HĐ số 47007459</t>
  </si>
  <si>
    <t>Chi phí di chuyển, đi lại HĐ số 47175297</t>
  </si>
  <si>
    <t>Chi phí di chuyển, đi lại HĐ số 47190669</t>
  </si>
  <si>
    <t>Chi phí di chuyển, đi lại HĐ số 47209525</t>
  </si>
  <si>
    <t>Chi phí đồ dùng văn phòng HĐ số 14127</t>
  </si>
  <si>
    <t>Chi phí di chuyển, đi lại HĐ số 45304454</t>
  </si>
  <si>
    <t>Chi phí di chuyển, đi lại HĐ số 48843272</t>
  </si>
  <si>
    <t>Chi phí di chuyển, đi lại HĐ số 48859359</t>
  </si>
  <si>
    <t>Chi phí tiếp khách, ngoại giao HĐ số 51914</t>
  </si>
  <si>
    <t>Chi phí tiếp khách, ngoại giao HĐ số 708</t>
  </si>
  <si>
    <t>Chi phí tiếp khách, ngoại giao HĐ số 1086741</t>
  </si>
  <si>
    <t>Chi phí tiếp khách, ngoại giao HĐ số 288</t>
  </si>
  <si>
    <t>Chi phí tiếp khách, ngoại giao HĐ số 21821</t>
  </si>
  <si>
    <t>Chi phí đồ dùng văn phòng HĐ số 421665</t>
  </si>
  <si>
    <t>Chi phí đồ dùng văn phòng HĐ số 37736</t>
  </si>
  <si>
    <t>Chi phí tiếp khách, ngoại giao HĐ số 37737</t>
  </si>
  <si>
    <t>Chi phí tiếp khách, ngoại giao HĐ số 3150075</t>
  </si>
  <si>
    <t>Chi phí tiếp khách, ngoại giao HĐ số 26962</t>
  </si>
  <si>
    <t>Chi phí tiếp khách, ngoại giao HĐ số 26987</t>
  </si>
  <si>
    <t>Chi phí đồ dùng văn phòng HĐ số 44613</t>
  </si>
  <si>
    <t>Chi phí tiếp khách, ngoại giao HĐ số 17951</t>
  </si>
  <si>
    <t>Chi phí khác HĐ số 3150075</t>
  </si>
  <si>
    <t>Nhận Doanh thu Phí dịch vụ theo Hợp đồng số 01120/HDDV – EZS X HKD VANPHAM ký ngày 08/10/2025, BBNT và TLHĐ số 01120/BBNT-EZS x HKD VANPHAM ngày 27/11/2025 HĐ số 1</t>
  </si>
  <si>
    <t>Nhận Doanh thu Dịch vụ quảng cáo và truyền thông theo Hợp đồng số 271125/JEE-VANPHAM ký ngày 27/11/2025 kèm Biên bản nghiệm thu và thanh lý ký ngày 15/12/2025 HĐ số 14</t>
  </si>
  <si>
    <t>Nhận Doanh thu Dịch vụ quảng cáo và truyền thông theo Hợp đồng số 03/112025/HDDV-CAQC ký ngày 06/11/2025 và Biên bản nghiệm thu ký ngày 28/11/2025 HĐ số 7</t>
  </si>
  <si>
    <t>Nhận Doanh thu Thanh toán 100% phí dịch vụ MNY - TEDDY TINT - Video - Scope 3 - 10.11 - PO 4001467856 SOW số 28091/2025/WPP-BTL-LO ID Tiktok: vanpham0719 HĐ số 6</t>
  </si>
  <si>
    <t>Nhận Doanh thu Dịch vụ quảng cáo và truyền thông theo Hợp đồng số GUARDIAN/I-DAC/VANPHAM/102025 ký ngày 04/10/2025 và Biên bản nghiệm thu ký ngày 28/11/2025 HĐ số 8</t>
  </si>
  <si>
    <t>Nhận Doanh thu Dịch vụ quảng cáo và truyền thông theo Hợp đồng số 27092025/HĐDV-SE-SIMPLE-VANPHAM ký ngày 27/09/2025 và Biên bản nghiệm thu ký ngày 27/11/2025 HĐ số 5</t>
  </si>
  <si>
    <t>Nhận Doanh thu Dịch vụ quảng cáo và truyền thông theo Hợp đồng số 20251001HDDV/TRENDIFY – vanpham0719 ký ngày 01/10/2025 và Biên bản nghiệm thu ký ngày 27/11/2025 HĐ số 4</t>
  </si>
  <si>
    <t>Nhận Doanh thu Dịch vụ quảng cáo và truyền thông theo Phụ lục 01 ký ngày 14/10/2025 của Hợp đồng số 001/HD2025-GFM-KOLVANPHAM ký ngày 14/10/2025 và Biên bản nghiệm thu ký ngày 27/11/2025 HĐ số 3</t>
  </si>
  <si>
    <t>Nhận Doanh thu Dịch vụ quảng cáo và truyền thông theo Hợp đồng số 20251111HDDV/MEISHANG – VANPHAM ký ngày 11/11/2025 kèm Biên bản nghiệm thu và thanh lý ký ngày 15/12/2025 HĐ số 13</t>
  </si>
  <si>
    <t>Nhận Doanh thu Thanh toán 100% phí dịch vụ MNY - FLEX POWDER - Video - Scope 3 -10.11 - PO 4001492980 SOW số 27855/2025/WPP-BTL-LO ID Tiktok: vanpham0719 HĐ số 9</t>
  </si>
  <si>
    <t>Nhận Doanh thu Thanh toán 100% phí dịch vụ OAP - KOC Hub Sep&amp;apos;25 (1) - Video - Scope 3 - 3010 - PO 4001498150 SOW số 25652/2025/WPP-BTL-LO ID Tiktok: vanpham_chillgirl HĐ số 10</t>
  </si>
  <si>
    <t>Nhận Doanh thu Dịch vụ quảng cáo và truyền thông theo Hợp đồng số 261025/HDDV/CELANO/ICON-VPCG-HKDVANPHAM ký ngày 26/10/2025 và Biên bản nghiệm thu ký ngày 27/11/2025 HĐ số 2</t>
  </si>
  <si>
    <t>Nhận Doanh thu Dịch vụ quảng cáo và truyền thông theo Hợp đồng số MDA/20251202/2393 ngày 20/11/2025 và Biên bản nghiệm thu và thanh lý ngày 15/12/2025 HĐ số 15</t>
  </si>
  <si>
    <t>Nhận Doanh thu Dịch vụ quảng cáo và truyền thông theo Hợp đồng số 1212/RV/TC-VANPHAM/2025 ký ngày 12/12/2025 (Đợt 1) HĐ số 16</t>
  </si>
  <si>
    <t>Nhận Doanh thu Dịch vụ quảng cáo và truyền thông theo Hợp đồng số LSVN122025001/HĐDV–KOLký ngày 22/12/2025 và Biên bản nghiệm thu ký ngày 26/12/2025 HĐ số 20</t>
  </si>
  <si>
    <t>Nhận tiền chưa rõ nguyên nhân</t>
  </si>
  <si>
    <t>Nhận doanh thu chưa rõ đối tượng</t>
  </si>
  <si>
    <t>Thanh toán Phí dịch vụ Affiliate 09/2025_17362030002 HĐ số 977144</t>
  </si>
  <si>
    <t>Thanh toán Phần mềm hóa đơn điện tử M-100 031196005568.matbao.in (1 năm) HĐ số 91910</t>
  </si>
  <si>
    <t>Thanh toán Chi phí di chuyển, đi lại HĐ số 744350</t>
  </si>
  <si>
    <t>Thanh toán Chi phí di chuyển, đi lại HĐ số 42868995</t>
  </si>
  <si>
    <t>Thanh toán Chi phí di chuyển, đi lại HĐ số 42922960</t>
  </si>
  <si>
    <t>Thanh toán Chi phí đồ dùng văn phòng HĐ số 75641</t>
  </si>
  <si>
    <t>Thanh toán Chi phí chứng thư số CA - Token-HKD-MBCA (3 năm) HĐ số 93402</t>
  </si>
  <si>
    <t>Thanh toán Chi phí khác HĐ số 1447137</t>
  </si>
  <si>
    <t>Thanh toán Chi phí tiếp khách, ngoại giao HĐ số 21993</t>
  </si>
  <si>
    <t>Thanh toán Chi phí di chuyển, đi lại HĐ số 43741754</t>
  </si>
  <si>
    <t>Thanh toán Chi phí di chuyển, đi lại HĐ số 43814537</t>
  </si>
  <si>
    <t>Thanh toán Chi phí di chuyển, đi lại HĐ số 43964898</t>
  </si>
  <si>
    <t>Thanh toán Chi phí di chuyển, đi lại HĐ số 43974945</t>
  </si>
  <si>
    <t>Thanh toán Chi phí di chuyển, đi lại HĐ số 44018195</t>
  </si>
  <si>
    <t>Thanh toán Chi phí di chuyển, đi lại HĐ số 44079824</t>
  </si>
  <si>
    <t>Thanh toán Chi phí di chuyển, đi lại HĐ số 927424</t>
  </si>
  <si>
    <t>Thanh toán Chi phí di chuyển, đi lại HĐ số 41776076</t>
  </si>
  <si>
    <t>Thanh toán Chi phí di chuyển, đi lại HĐ số 44573524</t>
  </si>
  <si>
    <t>Thanh toán Chi phí di chuyển, đi lại HĐ số 44594370</t>
  </si>
  <si>
    <t>Thanh toán Chi phí di chuyển, đi lại HĐ số 44690231</t>
  </si>
  <si>
    <t>Thanh toán Chi phí di chuyển, đi lại HĐ số 44959316</t>
  </si>
  <si>
    <t>Thanh toán Chi phí di chuyển, đi lại HĐ số 44967261</t>
  </si>
  <si>
    <t>Thanh toán Chi phí di chuyển, đi lại HĐ số 44975687</t>
  </si>
  <si>
    <t>Thanh toán Chi phí di chuyển, đi lại HĐ số 45047514</t>
  </si>
  <si>
    <t>Thanh toán Chi phí đồ dùng văn phòng HĐ số 396</t>
  </si>
  <si>
    <t>Thanh toán Chi phí di chuyển, đi lại HĐ số 45611911</t>
  </si>
  <si>
    <t>Thanh toán Chi phí di chuyển, đi lại HĐ số 45626469</t>
  </si>
  <si>
    <t>Thanh toán Chi phí di chuyển, đi lại HĐ số 46006528</t>
  </si>
  <si>
    <t>Thanh toán Chi phí di chuyển, đi lại HĐ số 46056832</t>
  </si>
  <si>
    <t>Thanh toán Chi phí tiếp khách, ngoại giao HĐ số 442387</t>
  </si>
  <si>
    <t>Thanh toán Chi phí di chuyển, đi lại HĐ số 46245223</t>
  </si>
  <si>
    <t>Thanh toán Chi phí di chuyển, đi lại HĐ số 46284276</t>
  </si>
  <si>
    <t>Thanh toán Chi phí di chuyển, đi lại HĐ số 46358963</t>
  </si>
  <si>
    <t>Thanh toán Chi phí di chuyển, đi lại HĐ số 46579378</t>
  </si>
  <si>
    <t>Thanh toán Chi phí di chuyển, đi lại HĐ số 47007459</t>
  </si>
  <si>
    <t>Thanh toán Chi phí di chuyển, đi lại HĐ số 47175297</t>
  </si>
  <si>
    <t>Thanh toán Chi phí di chuyển, đi lại HĐ số 47190669</t>
  </si>
  <si>
    <t>Thanh toán Chi phí di chuyển, đi lại HĐ số 47209525</t>
  </si>
  <si>
    <t>Thanh toán Chi phí đồ dùng văn phòng HĐ số 14127</t>
  </si>
  <si>
    <t>Thanh toán Chi phí di chuyển, đi lại HĐ số 45304454</t>
  </si>
  <si>
    <t>Thanh toán Phí dịch vụ tư vấn tháng 10/2025 HĐ số 155</t>
  </si>
  <si>
    <t>Thanh toán Chi phí di chuyển, đi lại HĐ số 48843272</t>
  </si>
  <si>
    <t>Thanh toán Chi phí di chuyển, đi lại HĐ số 48859359</t>
  </si>
  <si>
    <t>Thanh toán Chi phí tiếp khách, ngoại giao HĐ số 51914</t>
  </si>
  <si>
    <t>Thanh toán Chi phí đăng tin tuyển nhanh (vieclam24h.vn) 1 tuần HĐ số 23720</t>
  </si>
  <si>
    <t>Thanh toán Phí dịch vụ Affiliate 10/2025_17362030002 HĐ số 1077898</t>
  </si>
  <si>
    <t>Thanh toán Chi phí tiếp khách, ngoại giao HĐ số 708</t>
  </si>
  <si>
    <t>Thanh toán Chi phí tiếp khách, ngoại giao HĐ số 1086741</t>
  </si>
  <si>
    <t>Thanh toán Chi phí tiếp khách, ngoại giao HĐ số 288</t>
  </si>
  <si>
    <t>Thanh toán Phí dịch vụ tư vấn tháng 11/2025 HĐ số 181</t>
  </si>
  <si>
    <t>Thanh toán Chi phí tiếp khách, ngoại giao HĐ số 21821</t>
  </si>
  <si>
    <t>Thanh toán Chi phí đồ dùng văn phòng HĐ số 421665</t>
  </si>
  <si>
    <t>Thanh toán Phí dịch vụ Affiliate 11/2025_17362030002 HĐ số 1124534</t>
  </si>
  <si>
    <t>Thanh toán Chi phí đồ dùng văn phòng HĐ số 37736</t>
  </si>
  <si>
    <t>Thanh toán Chi phí tiếp khách, ngoại giao HĐ số 37737</t>
  </si>
  <si>
    <t>Thanh toán Chi phí tiếp khách, ngoại giao HĐ số 3150075</t>
  </si>
  <si>
    <t>Thanh toán Chi phí tiếp khách, ngoại giao HĐ số 26962</t>
  </si>
  <si>
    <t>Thanh toán Chi phí tiếp khách, ngoại giao HĐ số 26987</t>
  </si>
  <si>
    <t>Thanh toán Chi phí đồ dùng văn phòng HĐ số 44613</t>
  </si>
  <si>
    <t>Thanh toán Chi phí tiếp khách, ngoại giao HĐ số 17951</t>
  </si>
  <si>
    <t>Thanh toán Chi phí khác HĐ số 3150075</t>
  </si>
  <si>
    <t>1600589438</t>
  </si>
  <si>
    <t>0316973615</t>
  </si>
  <si>
    <t>0315974616</t>
  </si>
  <si>
    <t>0303217354-006</t>
  </si>
  <si>
    <t>Phí dịch vụ Affiliate 09/2025_17300510255 HĐ số 897011</t>
  </si>
  <si>
    <t>Phí dịch vụ Affiliate 10/2025_17300510255 HĐ số 1073724</t>
  </si>
  <si>
    <t>Phần mềm hóa đơn điện tử M-100 089200016993.matbao.in (1 năm) HĐ số 6789</t>
  </si>
  <si>
    <t>Phí dịch vụ Affiliate 11/2025_17300510255 HĐ số 1776960</t>
  </si>
  <si>
    <t>0317172618</t>
  </si>
  <si>
    <t>Doanh thu Thanh toán theo Hợp đồng dịch vụ số HD01112025/D’ALBA_ASIACONSULTING_NGHIAMOTLITSON ký ngày 01/11/2025 kèm Biên bản nghiệm thu và thanh lý hợp đồng ký ngày 08/12/2025 HĐ số 1</t>
  </si>
  <si>
    <t>Doanh thu Dịch vụ quảng cáo và truyền thông theo Hợp đồng số 0112/2025/HDDV-LEMONADE.MINHNGHIA ký ngày 01/12/2025 và Biên bản nghiệm thu ký ngày 12/12/2025 HĐ số 2</t>
  </si>
  <si>
    <t>Doanh thu Dịch vụ quảng cáo và truyền thông theo Hợp đồng số 011225/HDDV – EZS X HKD MINH NGHĨA OFFICIAL ký ngày 01/12/2025 HĐ số 3</t>
  </si>
  <si>
    <t>Doanh thu Dịch vụ quảng cáo và truyền thông theo Hợp đồng số 1712/HDDVTT/2025/SEAMAKEUP ký ngày 17/12/2025 và Biên bản nghiệm thu ký ngày 29/12/2025 HĐ số 4</t>
  </si>
  <si>
    <t>Doanh thu Dịch vụ quảng cáo và truyền thông theo Hợp đồng số 27112025/HDDV/ES_MK-N1L ký ngày 27/11/2025 và Biên bản nghiệm thu ký ngày 29/12/2025 HĐ số 5</t>
  </si>
  <si>
    <t>Doanh thu Dịch vụ quảng cáo và truyền thông theo Hợp đồng số 11122025.HDDV.SPARKLE.MNO ký ngày 11/12/2025 và Biên bản nghiệm thu ký ngày 30/12/2025 HĐ số 6</t>
  </si>
  <si>
    <t>Điều chỉnh giảm Doanh thu Thanh toán theo Hợp đồng dịch vụ số HD01112025/D’ALBA_ASIACONSULTING_NGHIAMOTLITSON ký ngày 01/11/2025 kèm Biên bản nghiệm thu và thanh lý hợp đồng ký ngày 08/12/2025 HĐ số 1</t>
  </si>
  <si>
    <t>Điều chỉnh giảm Doanh thu Dịch vụ quảng cáo và truyền thông theo Hợp đồng số 0112/2025/HDDV-LEMONADE.MINHNGHIA ký ngày 01/12/2025 và Biên bản nghiệm thu ký ngày 12/12/2025 HĐ số 2</t>
  </si>
  <si>
    <t>Điều chỉnh giảm Doanh thu Dịch vụ quảng cáo và truyền thông theo Hợp đồng số 011225/HDDV – EZS X HKD MINH NGHĨA OFFICIAL ký ngày 01/12/2025 HĐ số 3</t>
  </si>
  <si>
    <t>Điều chỉnh giảm Doanh thu Dịch vụ quảng cáo và truyền thông theo Hợp đồng số 1712/HDDVTT/2025/SEAMAKEUP ký ngày 17/12/2025 và Biên bản nghiệm thu ký ngày 29/12/2025 HĐ số 4</t>
  </si>
  <si>
    <t>Điều chỉnh giảm Doanh thu Dịch vụ quảng cáo và truyền thông theo Hợp đồng số 27112025/HDDV/ES_MK-N1L ký ngày 27/11/2025 và Biên bản nghiệm thu ký ngày 29/12/2025 HĐ số 5</t>
  </si>
  <si>
    <t>Điều chỉnh giảm Doanh thu Dịch vụ quảng cáo và truyền thông theo Hợp đồng số 11122025.HDDV.SPARKLE.MNO ký ngày 11/12/2025 và Biên bản nghiệm thu ký ngày 30/12/2025 HĐ số 6</t>
  </si>
  <si>
    <t>Chi phí Chứng thư CKS Token-HKD-MBCA (2 năm) HĐ số 9293</t>
  </si>
  <si>
    <t>Chi phí mạng viễn thông HĐ số 3514324</t>
  </si>
  <si>
    <t>Chi phí mạng viễn thông HĐ số 3914235</t>
  </si>
  <si>
    <t>Chi phí di chuyển, đi lại HĐ số 57953716</t>
  </si>
  <si>
    <t>Chi phí di chuyển, đi lại HĐ số 59725383</t>
  </si>
  <si>
    <t>Chi phí di chuyển, đi lại HĐ số 59726582</t>
  </si>
  <si>
    <t>Chi phí tiếp khách, ngoại giao HĐ số 10664423</t>
  </si>
  <si>
    <t>Chi phí di chuyển, đi lại HĐ số 58510830</t>
  </si>
  <si>
    <t>Chi phí di chuyển, đi lại HĐ số 58523573</t>
  </si>
  <si>
    <t>Chi phí di chuyển, đi lại HĐ số 58534695</t>
  </si>
  <si>
    <t>Chi phí di chuyển, đi lại HĐ số 59846840</t>
  </si>
  <si>
    <t>Chi phí di chuyển, đi lại HĐ số 59889537</t>
  </si>
  <si>
    <t>Chi phí di chuyển, đi lại HĐ số 59937867</t>
  </si>
  <si>
    <t>Chi phí dịch vụ mua ngoài HĐ số 398423</t>
  </si>
  <si>
    <t>Chi phí đồ dùng văn phòng HĐ số 132961</t>
  </si>
  <si>
    <t>Chi phí di chuyển, đi lại HĐ số 65795570</t>
  </si>
  <si>
    <t>Chi phí di chuyển, đi lại HĐ số 65948800</t>
  </si>
  <si>
    <t>Chi phí di chuyển, đi lại HĐ số 65973563</t>
  </si>
  <si>
    <t>Chi phí đồ dùng văn phòng HĐ số 593</t>
  </si>
  <si>
    <t>Chi phí di chuyển, đi lại HĐ số 66142656</t>
  </si>
  <si>
    <t>Chi phí di chuyển, đi lại HĐ số 66226835</t>
  </si>
  <si>
    <t>Chi phí di chuyển, đi lại HĐ số 66242628</t>
  </si>
  <si>
    <t>Chi phí di chuyển, đi lại HĐ số 66276699</t>
  </si>
  <si>
    <t>Chi phí di chuyển, đi lại HĐ số 66298785</t>
  </si>
  <si>
    <t>Chi phí di chuyển, đi lại HĐ số 66312778</t>
  </si>
  <si>
    <t>Chi phí di chuyển, đi lại HĐ số 66329097</t>
  </si>
  <si>
    <t>Chi phí di chuyển, đi lại HĐ số 66338579</t>
  </si>
  <si>
    <t>Chi phí di chuyển, đi lại HĐ số 66378916</t>
  </si>
  <si>
    <t>Chi phí di chuyển, đi lại HĐ số 66457103</t>
  </si>
  <si>
    <t>Chi phí tiếp khách, ngoại giao HĐ số 15269</t>
  </si>
  <si>
    <t>Chi phí di chuyển, đi lại HĐ số 66675924</t>
  </si>
  <si>
    <t>Chi phí đồ dùng văn phòng HĐ số 1172349</t>
  </si>
  <si>
    <t>Chi phí mạng viễn thông HĐ số 4316727</t>
  </si>
  <si>
    <t>Thanh toán Chi phí đồ dùng văn phòng HĐ số 1172349</t>
  </si>
  <si>
    <t>Nhận Doanh thu Dịch vụ quảng cáo và truyền thông theo Hợp đồng số 0112/2025/HDDV-LEMONADE.MINHNGHIA ký ngày 01/12/2025 và Biên bản nghiệm thu ký ngày 12/12/2025 HĐ số 2</t>
  </si>
  <si>
    <t>Nhận Doanh thu Thanh toán theo Hợp đồng dịch vụ số HD01112025/D’ALBA_ASIACONSULTING_NGHIAMOTLITSON ký ngày 01/11/2025 kèm Biên bản nghiệm thu và thanh lý hợp đồng ký ngày 08/12/2025 HĐ số 1</t>
  </si>
  <si>
    <t>Lãi chậm nộp thuế</t>
  </si>
  <si>
    <t>Điều chỉnh giảm Doanh thu Dịch vụ quảng cáo và truyền thông theo Phạm vi công việc số 01 ký ngày 20/11/2025 của Hợp đồng dịch vụ khung ký ngày 24/10/2025 HĐ số 12</t>
  </si>
  <si>
    <t>Nhận Doanh thu Dịch vụ quảng cáo và truyền thông theo Hợp đồng số AMV/HKD HA BANH QUY/CANESBALANCE/2025-HDDV-1968P ký ngày 01/08/2025 và Biên bản nghiệm thu ký ngày 29/08/2025  HĐ số 00000099</t>
  </si>
  <si>
    <t>Nhận Doanh thu Dịch vụ quảng cáo và truyền thông theo Hợp đồng số 20250901HDDV/TRENDIFY – hacookie__ ký ngày 01/09/2025 (Đợt 2) và Biên bản nghiệm thu ký ngày 29/09/2025 HĐ số 00000005</t>
  </si>
  <si>
    <t>Nhận Doanh thu Dịch vụ quảng cáo và truyền thông theo Hợp đồng số 22092025/HD/ HABANHQUY -SYB ký ngày 22/09/2025 HĐ số 9</t>
  </si>
  <si>
    <t>Nhận Doanh thu Dịch vụ quảng cáo và truyền thông theo Hợp đồng số TP0925-HanFias/hacookie__01 ký ngày 03/09/2025 HĐ số 00000006</t>
  </si>
  <si>
    <t>Nhận Doanh thu Dịch vụ quảng cáo và truyền thông theo Hợp đồng số 22092025/HDDV/HBQ-NT ký ngày 22/09/2025 và Biên bản nghiệm thu ký ngày 03/10/2025 HĐ số 10</t>
  </si>
  <si>
    <t>Nhận Doanh thu Dịch vụ quảng cáo và truyền thông theo Hợp đồng số GUARDIAN/I-DAC/HACOOKIE/102025 ký ngày 04/10/2025 (Đợt 1) HĐ số 12</t>
  </si>
  <si>
    <t>Nhận Doanh thu Dịch vụ quảng cáo và truyền thông theo Hợp đồng số FINTVN-KAO5-2025-58 ký ngày 20/09/2025 và Biên bản nghiệm thu ký ngày 06/10/2025 HĐ số 11</t>
  </si>
  <si>
    <t>Nhận Doanh thu Dịch vụ quảng cáo và truyền thông theo Hợp đồng số 0710/2025 ký ngày 07/10/2025 HĐ số 14</t>
  </si>
  <si>
    <t>Nhận Doanh thu Dịch vụ quảng cáo và truyền thông theo Hợp đồng Nguyên tắc Số 2908/HĐNT/ADPIA-2025 ký ngày 29/08/2025 và Biên bản nghiệm thu ký ngày 30/09/2025 HĐ số 00000007</t>
  </si>
  <si>
    <t>0100283873</t>
  </si>
  <si>
    <t>Nhận Doanh thu Dịch vụ quảng cáo và truyền thông theo Hợp đồng số GUARDIAN/I-DAC/HACOOKIE/102025 ký ngày 04/10/2025 (Đợt 2) và Biên bản nghiệm thu ký ngày 14/10/2025 HĐ số 13</t>
  </si>
  <si>
    <t>Rút tiền mặt gửi tiền ngân hàng</t>
  </si>
  <si>
    <t>Nhận Doanh thu Dịch vụ quảng cáo và truyền thông theo Hợp đồng số 22102025/HDDV/MQNY/COOKIEHOANG_ ký ngày 22/10/2025 HĐ số 19</t>
  </si>
  <si>
    <t>Nhận Doanh thu Phí dịch vụ quảng cáo cho nhãn hàng DOVE theo Hợp đồng số HĐ/559/2025/MMUSIC ký ngày 16/09/2025 và Biên bản nghiệm thu ký ngày 02/10/2025 HĐ số 8</t>
  </si>
  <si>
    <t>Nhận Doanh thu Dịch vụ quảng cáo và truyền thông theo Hợp đồng số 23102025/HDDV/SUISKIN/COOKIEHOANG_ ký ngày 23/10/2025 HĐ số 17</t>
  </si>
  <si>
    <t>Nhận Doanh thu Dịch vụ quảng cáo và truyền thông theo Hợp đồng số 23102025/HDDV/TIAM/OOKIEHOANG_ ký ngày 23/10/2025 HĐ số 18</t>
  </si>
  <si>
    <t>Nhận Doanh thu Dịch vụ quảng cáo và truyền thông theo Hợp đồng số 860910202504/HDDV/RV/KOL ký ngày 09/10/2025 và Biên bản nghiệm thu ký ngày 27/10/2025 HĐ số 15</t>
  </si>
  <si>
    <t>Nhận Doanh thu Dịch vụ quảng cáo và truyền thông theo Hợp đồng số 10102025_HĐCTV - ACNES VITAMIN - HA COOKIE ký ngày 10/10/2025 HĐ số 23</t>
  </si>
  <si>
    <t>Nhận Doanh thu Chi phí dịch vụ quảng cáo cho nhãn hàng DERMARIUM theo Hợp đồng 1003/2025/HDDV-DER 1/TAL-HBQ số ký ngày 17/03/2025 và Biên bản nghiệm thu ký ngày 11/11/2025 HĐ số 22</t>
  </si>
  <si>
    <t>Nhận Doanh thu Phí cung cấp dịch vụ theo biên bản nghiệm thu của hợp đồng số 28102025/HDDV/PMAX-HKDHABANHQUY ký ngày 28/10/2025 HĐ số 25</t>
  </si>
  <si>
    <t>Nhận Doanh thu Dịch vụ quảng cáo và truyền thông cho nhãn hàng JE ROSSO theo Hợp đồng số 681211202502/HDDV/RV/KOL ký ngày 12/11/2025 và Biên bản nghiệm thu ký ngày 18/11/2025 HĐ số 24</t>
  </si>
  <si>
    <t>Nhận Doanh thu Dịch vụ quảng cáo và truyền thông theo Hợp đồng số 18602025/HĐDV/Y&amp;B – ký ngày 01/11/2025 kèm Biên bản nghiệm thu và thanh toán số 18602025/BBNT-TT/Y&amp;B ký ngày 24/12/2025 HĐ số 36</t>
  </si>
  <si>
    <t>Nhận Doanh thu Dịch vụ quảng cáo và truyền thông theo Hợp đồng số 20172025/HĐDV/Y&amp;B ký ngày 01/12/2025 kèm Biên bản nghiệm thu và thanh toán số 20172025/BBNT-TT/Y&amp;B ký ngày 24/12/2025 HĐ số 37</t>
  </si>
  <si>
    <t>Thanh toán Phí dịch vụ tháng 10.2025 HĐ số 46897</t>
  </si>
  <si>
    <t>Thanh toán Chi phí tiếp khách ngoại giao HĐ số 1855</t>
  </si>
  <si>
    <t>Thanh toán Phí dịch vụ tư vấn tháng 09/2025 HĐ số 133</t>
  </si>
  <si>
    <t>Thanh toán Chi phí tiếp khách ngoại giao HĐ số 2206</t>
  </si>
  <si>
    <t>Thanh toán Chi phí tiếp khách ngoại giao HĐ số 14631</t>
  </si>
  <si>
    <t>Thanh toán Chi phí đồ dùng văn phòng HĐ số 1372</t>
  </si>
  <si>
    <t>Thanh toán Chi phí tiếp khách ngoại giao HĐ số 2021</t>
  </si>
  <si>
    <t>Thanh toán Phí dịch vụ tư vấn tháng 10/2025 HĐ số 158</t>
  </si>
  <si>
    <t>Thanh toán Chi phí tiếp khách ngoại giao HĐ số 17165</t>
  </si>
  <si>
    <t>Thanh toán Dịch vụ lưu trú HĐ số 29</t>
  </si>
  <si>
    <t>Thanh toán Chi phí tiếp khách ngoại giao HĐ số 741</t>
  </si>
  <si>
    <t>Thanh toán Phí dịch vụ tư vấn tháng 11/2025 HĐ số 190</t>
  </si>
  <si>
    <t>Thanh toán Chi phí tiếp khách ngoại giao HĐ số 5</t>
  </si>
  <si>
    <t>Thanh toán Chi phí đồ dùng văn phòng HĐ số 409264</t>
  </si>
  <si>
    <t>Thanh toán Chi phí tiếp khách ngoại giao HĐ số 8669</t>
  </si>
  <si>
    <t>Thanh toán Chi phí tiếp khách ngoại giao HĐ số 8803</t>
  </si>
  <si>
    <t>Thanh toán Chi phí tiếp khách ngoại giao HĐ số 9265</t>
  </si>
  <si>
    <t>Thanh toán Chi phí tiếp khách ngoại giao HĐ số 9756</t>
  </si>
  <si>
    <t>Thanh toán Chứng thư CKS (2 năm) HĐ số 15944</t>
  </si>
  <si>
    <t>Thanh toán Chi phí tiếp khách ngoại giao HĐ số 132</t>
  </si>
  <si>
    <t>295</t>
  </si>
  <si>
    <t>Nhận Doanh thu Thanh toán theo Hợp đồng dịch vụ số HD29102025/D’ALBA_ASIACONSULTING_HACOOKIE ký ngày 29/10/2025 HĐ số 16</t>
  </si>
  <si>
    <t>Nhận Doanh thu Dịch vụ quảng cáo và truyền thông theo hợp đồng số 02_UMHBQ/HDDV/2025 HĐ số 00000054</t>
  </si>
  <si>
    <t>Nhận Doanh thu Dịch vụ quảng cáo và truyền thông đợt 2 theo hợp đồng số MKT-KOL/HABANHQUY-06-2025 HĐ số 00000062</t>
  </si>
  <si>
    <t>Điều chỉnh giảm Doanh thu Dịch vụ quảng cáo và truyền thông theo Thỏa thuận hơp tác với KOL ký ngày 27/08/2025 (Đợt 3) HĐ số 34</t>
  </si>
  <si>
    <t>Điều chỉnh giảm Doanh thu Dịch vụ quảng cáo và truyền thông theo Hợp đồng tiếp thị kỹ thuật số ký ngày 16/10/2025 HĐ số 38</t>
  </si>
  <si>
    <t>Chi phí đồ dùng văn phòng HĐ số 342279</t>
  </si>
  <si>
    <t>Phí ngân hàng HĐ số 2039953</t>
  </si>
  <si>
    <t>Nhận Doanh thu Dịch vụ quảng cáo và truyền thông theo Hợp đồng số 20250918/UNICORN x NGUYENHUE ký ngày 18/09/2025 và Biên bản nghiệm thu ký ngày 30/09/2025 HĐ số 4</t>
  </si>
  <si>
    <t>Nhận Doanh thu Dịch vụ quảng cáo và truyền thông theo Hợp đồng số 15092025/HDDV/UPBASE-KEYSHU-HUE.UII ký ngày 15/09/2025 HĐ số 2</t>
  </si>
  <si>
    <t>Nhận Doanh thu Dịch vụ quảng cáo và truyền thông theo Hợp đồng số 490/2025/HDDV/OQR ký ngày 29/08/2025 và Biên bản nghiệm thu ký ngày 07/10/2025 HĐ số 6</t>
  </si>
  <si>
    <t>Rút tiền mặt nhập tiền gửi ngân hàng</t>
  </si>
  <si>
    <t>Nhận Doanh thu Dịch vụ quảng cáo và truyền thông theo Hợp đồng số 1008/2025/HDDV-LEMONADE.NGUYENHUE ký ngày 10/08/2025 và Biên bản nghiệm thu ký ngày 09/09/2025 HĐ số 79</t>
  </si>
  <si>
    <t>Nhận Doanh thu Dịch vụ quảng cáo và truyền thông theo Hợp đồng số 0109/2025/HDDV-LEMONADE.NGUYENHUE ký ngày 01/09/2025 và Biên bản nghiệm thu ký ngày 10/09/2025 HĐ số 81</t>
  </si>
  <si>
    <t>Nhận Doanh thu Dịch vụ quảng cao và truyền thông theo Hợp đồng số 226KOC/09.25/HĐDV ký ngày 01/09/2025 và Biên bản nghiệm thu ký ngày 11/10/2025 HĐ số 8</t>
  </si>
  <si>
    <t>Nhận Doanh thu Dịch vụ quảng cáo và truyền thông theo Hợp đồng số 061025/HĐDV/ENTROPY-NGUYENHUE ký ngày 06/10/2025 và Biên bản nghiệm thu ký ngày 16/10/2025 HĐ số 10</t>
  </si>
  <si>
    <t>Nhận Doanh thu Dịch vụ quảng cáo và truyền thông theo Hợp đồng số 323KOC/11.25/HĐDV ký ngày 20/10/2025 và Biên bản nghiệm thu ký ngày 28/10/2025 HĐ số 12</t>
  </si>
  <si>
    <t>Nhận Doanh thu Thanh toán theo Hợp đồng dịch vụ số HD29092025/TIRTIR_ASIACONSULTING_NGUYENHUE ký ngày 29/09/2025 và Biên bản nghiệm thu ký ngày 14/10/2025 HĐ số 9</t>
  </si>
  <si>
    <t>Nhận Doanh thu Dịch vụ quảng cáo và truyền thông theo Hợp đồng số VN2025/10/HKD/MAG/195 ký ngày 27/10/2025 và Biên bản nghiệm thu ký ngày 10/11/2025 HĐ số 17</t>
  </si>
  <si>
    <t>Thuế GTGT, TNCN sàn TMĐT</t>
  </si>
  <si>
    <t>Thanh toán Chi phí đóng ngân hàng</t>
  </si>
  <si>
    <t>Doanh thu Phí dịch vụ tham dự Sự kiện ra mắt sản phẩm và sản xuất đăng tải video review về sản phẩm Nước tẩy trang sen Hậu Giang theo hợp đồng số 14722025/HĐDV/Y&amp;B ký ngày 03/10/2025 HĐ số 15</t>
  </si>
  <si>
    <t>Điều chỉnh giảm Doanh thu Phí dịch vụ tham dự Sự kiện ra mắt sản phẩm và sản xuất đăng tải video review về sản phẩm Nước tẩy trang sen Hậu Giang theo hợp đồng số 14722025/HĐDV/Y&amp;B ký ngày 03/10/2025 HĐ số 15</t>
  </si>
  <si>
    <t>Nhận Doanh thu Phí dịch vụ tham dự Sự kiện ra mắt sản phẩm và sản xuất, đăng tải video review về sản phẩm Nước tẩy trang sen Hậu Giang theo hợp đồng số 14722025/HĐDV/Y&amp;B ký ngày 03/10/2025 HĐ số 15</t>
  </si>
  <si>
    <t>Nhận Doanh thu Dịch vụ quảng cáo và truyền thông theo Hợp đồng số HKD NGUYENHUE_ LOREAL UV AQUA_15102025 ký ngày 15/10/2025 và Biên bản nghiệm thu ký ngày 30/10/2025 HĐ số 13</t>
  </si>
  <si>
    <t>Nhận Doanh thu Thanh toán theo Hợp đồng dịch vụ số HD01112025/TIRTIR_ASIACONSULTING_NGUYENHUE ký ngày 01/11/2025 và Biên bản nghiệm thu ký ngày 12/11/2025 HĐ số 18</t>
  </si>
  <si>
    <t>Nhận Doanh thu Dịch vụ quảng cáo và truyền thông theo Phụ lục 02 ký ngày 21/10/2025 của Hợp đồng nguyên tắc số 02-200825-HUEUII/WV ký ngày 20/08/2025 và Biên bản nghiệm thu ký ngày 07/11/2025 HĐ số 14</t>
  </si>
  <si>
    <t>Nhận Doanh thu Dịch vụ quảng cáo và truyền thông theo Hợp đồng số HKD NGUYENHUE_ LOREAL KEM DƯỠNG_15112025 ký ngày 15/11/2025 và Biên bản nghiệm thu ký ngày 26/11/2025 HĐ số 22</t>
  </si>
  <si>
    <t>Nhận Doanh thu Dịch vụ quảng cáo và truyền thông theo Hợp đồng số 092025.HDDV.SPARKLE.NGUYENHUEMAKEUP ký ngày 09/09/2025 và Biên bản nghiệm thu ký ngày 03/10/2025 HĐ số 5</t>
  </si>
  <si>
    <t>Nhận Doanh thu Dịch vụ quảng cáo và truyền thông theo Hợp đồng số 2310.25/NHM-VL ký ngày 23/10/2025 và Biên bản nghiệm thu ký ngày 21/11/2025 HĐ số 20</t>
  </si>
  <si>
    <t>Nhận Doanh thu Dịch vụ quảng cáo và truyền thông theo Hợp đồng số 28102025/HDDV/ nguyenhuemakeup1996 ký ngày 28/10/2025 và Biên bản nghiệm thu ký ngày 04/12/2025 HĐ số 24</t>
  </si>
  <si>
    <t>Nhận Doanh thu Dịch vụ quảng cáo và truyền thông theo Hợp đồng số 20251001/CHICVIE x NGUYENHUE ký ngày 01/10/2025 và Biên bản nghiệm thu ký ngày 21/10/2025 HĐ số 11</t>
  </si>
  <si>
    <t>Nhận Doanh thu Dịch vụ quảng cáo và truyền thông theo Hợp đồng số 01-11/2025/HDDV/SNVN-HUE.UII ký ngày 01/11/2025 và Biên bản nghiệm thu ký ngày 10/11/2025 HĐ số 16</t>
  </si>
  <si>
    <t>Nhận Doanh thu Dịch vụ quảng cáo và truyền thông theo Hợp đồng số 455KOC/11.25/HĐDV ký ngày 01/11/2025 và Biên bản nghiệm thu ký ngày 21/11/2025 HĐ số 21</t>
  </si>
  <si>
    <t>Nhận Doanh thu Dịch vụ quảng cáo và truyền thông theo Hợp đồng số HĐ/1672/2025/VNNL ký ngày 08/10/2025 HĐ số 7</t>
  </si>
  <si>
    <t>Nhận Doanh thu Dịch vụ quảng cáo theo Hợp đồng số 08/23102025/HDDV/MS-NTH ký ngày 23/10/2025 kèm Biên bản nghiệm thu và thanh lý Hợp đồng HĐ số 23</t>
  </si>
  <si>
    <t>Nhận Doanh thu trả trước</t>
  </si>
  <si>
    <t>Thanh toán Phí dịch vụ tư vấn tháng 09/2025 HĐ số 128</t>
  </si>
  <si>
    <t>Thanh toán Phí ngân hàng HĐ số 2231896</t>
  </si>
  <si>
    <t>Thanh toán Phí ngân hàng HĐ số 1607515</t>
  </si>
  <si>
    <t>Thanh toán Phí ngân hàng HĐ số 3504169</t>
  </si>
  <si>
    <t>Thanh toán Phí dịch vụ tư vấn tháng 10/2025 HĐ số 172</t>
  </si>
  <si>
    <t>Thanh toán Phí ngân hàng HĐ số 6776413</t>
  </si>
  <si>
    <t>Thanh toán Chi phí tiếp khách, ngoại giao HĐ số 1149798</t>
  </si>
  <si>
    <t>Thanh toán Phí dịch vụ tư vấn tháng 11/2025 HĐ số 204</t>
  </si>
  <si>
    <t>Thanh toán Chi phí đồ dùng văn phòng HĐ số 1059423</t>
  </si>
  <si>
    <t>Thanh toán Chi phí tiếp khách, ngoại giao HĐ số 1203437</t>
  </si>
  <si>
    <t>Thanh toán Phí ngân hàng HĐ số 2039953</t>
  </si>
  <si>
    <t>Điều chỉnh giảm Doanh thu Dịch vụ quảng cáo và truyền thông theo Phụ lục 02 ký ngày 21/10/2025 của Hợp đồng nguyên tắc số 02-200825-HUEUII/WV ký ngày 20/08/2025 HĐ số 14</t>
  </si>
  <si>
    <t>Nộp Thuế GTGT, TNCN sàn TMĐT 30/09/2025</t>
  </si>
  <si>
    <t>0312139582</t>
  </si>
  <si>
    <t>Nhận Doanh thu Dịch vụ quảng cáo và truyền thông theo Hợp đồng số eHD/2508211109 ngày 10/08/2025 HĐ số 16</t>
  </si>
  <si>
    <t>Nhận Doanh thu Dịch vụ quảng cáo và truyền thông theo Hợp đồng số 2209/2025/HDDV/WEL-KL ký ngày 22/09/2025 và Biên bản nghiệm thu ký ngày 26/09/2025 HĐ số 3</t>
  </si>
  <si>
    <t>Nhận Doanh thu Dịch vụ quảng cáo và truyền thông theo hợp đống số 0109/2025/TTS/KIEULANBEAUTY/YAMAN ký ngày 01/09/2025 và Biên bản nghiệm thu ký ngày 12/09/2025 HĐ số 19</t>
  </si>
  <si>
    <t>2601041117</t>
  </si>
  <si>
    <t>Nhận Thanh toán 100% phí dịch vụ LRP - ANTHELIOS AWO - CONTENT CREATION - SCOPE 1 - 3007 SOW số 19347/2025/WPP-BTL-LO ID Tiktok: beautytips4.0 HĐ số 7</t>
  </si>
  <si>
    <t>Nhận Doanh thu Dịch vụ quảng cáo và truyền thông theo Phụ lục 01 ký ngày 03/09/2025 của Hợp đồng nguyên tắc số 0309/HĐNT/ADPIA-2025 ký ngày 03/09/2025 và Biên bản nghiệm thu ký ngày 07/10/2025 HĐ số 5</t>
  </si>
  <si>
    <t>Nhận Doanh thu Dịch vụ quảng cáo và truyền thông theo Hợp đồng số HKD KNL_GOWON_05082025 ký ngày 05/08/2025 HĐ số 20</t>
  </si>
  <si>
    <t>Nhận Doanh thu Dịch vụ quảng cáo và truyền thông theo Hợp đồng số HKD KNL_GARNIER_TRI_ACID_01092025 ký ngày 01/09/2025 và Biên bản nghiệm thu ký ngày 23/09/2025 HĐ số 2</t>
  </si>
  <si>
    <t>Nhận Doanh thu Dịch vụ quảng cáo và truyền thông theo Hợp đồng số 12/09/2025/HĐDV-SE-ANESSA-KIEULANBEAUTY ký ngày 12/09/2025 và Biên bản nghiệm thu ký ngày 27/10/2025 HĐ số 10</t>
  </si>
  <si>
    <t>Nhận Doanh thu Dịch vụ quảng cáo và truyền thông theo Hợp đồng số HKD KNL_SIMPLE_01102025 ký ngày 01/10/2025 HĐ số 6</t>
  </si>
  <si>
    <t>Nhận Doanh thu Dịch vụ quảng cáo và truyền thông theo Hợp đồng số HKD KNL_ JUDYDOLL_05102025 ký ngày 05/10/2025 HĐ số 16</t>
  </si>
  <si>
    <t>Nhận Doanh thu Dịch vụ quảng cáo và truyền thông theo Hợp đồng số 1510/2025/TTS/KIEULANBEAUTY/YAMAN ký ngày 15/10/2025 và Biên bản nghiệm thu ký ngày 23/10/2025 HĐ số 9</t>
  </si>
  <si>
    <t>Nhận Doanh thu Chi phí cung cấp dịch vụ quảng cáo và truyền thông theo Hợp đồng số PR25048/03092025/82X-UNO-KIEULANBEAUTY ký ngày 03/09/2025 và Biên bản nghiệm thu ký ngày 31/10/2025 HĐ số 12</t>
  </si>
  <si>
    <t>Nhận Doanh thu Dịch vụ quảng cáo và truyền thông theo Hợp đồng số số HKD KNL_ ACNES_01092025 ký ngày 01/09/2025 và Biên bản nghiệm thu ký ngày 18/11/2025 HĐ số 18</t>
  </si>
  <si>
    <t>Nhận Doanh thu Dịch vụ quảng cáo và truyền thông theo Hợp đồng số HKD KNL_ GARNIER_HAIR_CAMP T12_01122025 ký ngày 01/12/2025 HĐ số 24</t>
  </si>
  <si>
    <t>Nhận Doanh thu Dịch vụ quảng cáo và truyền thông theo Hợp đồng số I04375Q_HDDV/HIIP-2025-16015 ký ngày 20/08/2025 và Biên bản nghiệm thu ký ngày 07/11/2025 HĐ số 14</t>
  </si>
  <si>
    <t>Nhận Doanh thu Dịch vụ quảng cáo và truyền thông theo Hợp đồng số 251020/HDDV/BRAINAD-KNL ký ngày 20/10/2025 và Biên bản nghiệm thu ký ngày 10/12/2025 HĐ số 27</t>
  </si>
  <si>
    <t>Nộp Chi phí bảo hiểm tháng 2025.10, 11, 12</t>
  </si>
  <si>
    <t>Nhận Doanh thu Chi phí cung cấp dịch vụ cho nhãn hàng Ôliv theo Hợp đồng số 0210/2025/HĐDV - OLIV 4/ TAL - KNL ký ngày 02/10/2025 HĐ số 11</t>
  </si>
  <si>
    <t>Nhận Doanh thu Dịch vụ quảng cáo và truyền thông theo Hợp đồng số T03T25HDDV-0039-0057 KIEULANBEAUTY ký ngày 09/10/2025 và Biên bản nghiệm thu ký ngày 20/10/2025 HĐ số 8</t>
  </si>
  <si>
    <t>Nhận Doanh thu Dịch vụ quảng cáo và truyền thông theo Hợp đồng số 06102025/HĐDV-SE-SENKA-KIEUNGOCLAN ký ngày 06/10/2025 và Biên bản nghiệm thu ký ngày 25/12/2025 HĐ số 32</t>
  </si>
  <si>
    <t>Nhận Doanh thu Dịch vụ quảng cáo và truyền thông theo Hợp đồng số 251001/HDDV/BRAINAD-KNL ký ngày 01/10/2025 và Biên bản nghiệm thu ký ngày 14/11/2025 HĐ số 17</t>
  </si>
  <si>
    <t>Nhận Doanh thu Dịch vụ quảng cáo và truyền thông theo Hợp đồng số 08/2025/HĐDV-DOSATA ký ngày 08/10/2025 và Biên bản nghiệm thu ký ngày 25/12/2025 HĐ số 33</t>
  </si>
  <si>
    <t>Nhận Doanh thu Dịch vụ quảng cáo và truyền thông theo Hợp đồng số HKD KNL_ CLEAR_09102025 ký ngày 09/10/2025 HĐ số 13</t>
  </si>
  <si>
    <t>Nhận Doanh thu Dịch vụ quảng cáo và truyền thông theo Hợp đồng số 428112025-SSMB/KOL ký ngày 28/11/2025 HĐ số 29</t>
  </si>
  <si>
    <t>Nhận Doanh thu Dịch vụ quảng cáo và truyền thông theo Hợp đồng số HKD KNL_ INTERSPACE_12092025 ký ngày 12/09/2025 và Biên bản nghiệm thu ký ngày 07/11/2025 HĐ số 15</t>
  </si>
  <si>
    <t>Nhận Doanh thu Dịch vụ quảng cáo và truyền thông theo Hợp đồng số 03112025/HĐ-BEAUTYTIPS4.0/STYLEKOREANVN ký ngày 03/11/2025 và Biên bản nghiệm thu ký ngày 18/11/2025 HĐ số 19</t>
  </si>
  <si>
    <t>Hoàn Doanh thu Dịch vụ quảng cáo và truyền thông theo Hợp đồng số I04375Q_HDDV/HIIP-2025-16015 ký ngày 20/08/2025 và Biên bản nghiệm thu ký ngày 07/11/2025 HĐ số 14</t>
  </si>
  <si>
    <t>Nhận Doanh thu Dịch vụ quảng cáo và truyền thông theo Hợp đồng số 2511/25//HDDV/MIALALA - KNL ký ngày 25/11/2025 và Biên bản nghiệm thu ký ngày 09/12/2025 HĐ số 25</t>
  </si>
  <si>
    <t>Nhận Doanh thu Dịch vụ quảng cáo và truyền thông theo Hợp đồng số HDDV/PANTENExVĐxKNL/280725 ký ngày 28/07/2025 và Biên bản nghiệm thu ký ngày 22/08/2025 HĐ số 15</t>
  </si>
  <si>
    <t>Nhận Doanh thu Dịch vụ quảng cáo và truyền thông theo Hợp đồng số 1108/2025/TTS/KIEULAN/DUOCHAUGIANG ký ngày 11/08/2025 và Biên bản nghiệm thu ký ngày 02/10/2025 HĐ số 4</t>
  </si>
  <si>
    <t>Nhận Doanh thu Dịch vụ quảng cáo và truyền thông theo Hợp đồng số 17112025/HDDV/MDCARE - KieuNgocLan ký ngày 17/11/2025 kèm theo biên bản nghiệm thu ngày 19/11/2025 HĐ số 21</t>
  </si>
  <si>
    <t>Nhận Doanh thu Dịch vụ quảng cáo và truyền thông theo Hợp đồng số T03MPD25HDDV-0105-0057 KIEUNGOCLAN ký ngày 22/11/2025 và Biên bản nghiệm thu ký ngày 28/11/2025 HĐ số 22</t>
  </si>
  <si>
    <t>Nhận Doanh thu Dịch vụ quảng cáo và truyền thông theo Hợp đồng số 0511/2025/HDDV/FAIN-HOKINHDOANHKIEUNGOCLAN ký ngày 24/10/2025 và Biên bản nghiệm thu ký ngày 10/12/2025 HĐ số 28</t>
  </si>
  <si>
    <t>Nhận Doanh thu Dịch vụ quảng cáo và truyền thông theo Hợp đồng số 12112025/HDDV ký ngày 11/12/2025 và Biên bản nghiệm thu ký ngày 25/12/2025 HĐ số 31</t>
  </si>
  <si>
    <t>Nhận Doanh thu Dịch vụ quảng cáo và truyền thông theo Hợp đồng số 2710/HDDV/TCELL-KIEULAN ký ngày 27/10/2025 và Biên bản nghiệm thu ký ngày 02/12/2025 HĐ số 23</t>
  </si>
  <si>
    <t>Nhận Doanh thu chưa rõ đối tượng</t>
  </si>
  <si>
    <t>Thanh toán Chi phí di chuyển đi lại HĐ số 36977120</t>
  </si>
  <si>
    <t>Thanh toán Chi phí di chuyển đi lại HĐ số 37040626</t>
  </si>
  <si>
    <t>Thanh toán Phí dịch vụ tư vấn tháng 09/2025 HĐ số 132</t>
  </si>
  <si>
    <t>Thanh toán Chi phí đồ dùng văn phòng HĐ số 303911</t>
  </si>
  <si>
    <t>Thanh toán Chi phí di chuyển đi lại HĐ số 41827082</t>
  </si>
  <si>
    <t>Thanh toán Chi phí di chuyển đi lại HĐ số 44030739</t>
  </si>
  <si>
    <t>Thanh toán Chi phí di chuyển đi lại HĐ số 47384608</t>
  </si>
  <si>
    <t>Thanh toán Chi phí đồ dùng văn phòng HĐ số 14362</t>
  </si>
  <si>
    <t>Thanh toán Phí dịch vụ tư vấn tháng 10/2025 HĐ số 152</t>
  </si>
  <si>
    <t>Thanh toán Chi phí di chuyển đi lại HĐ số 45989120</t>
  </si>
  <si>
    <t>Thanh toán Chi phí di chuyển đi lại HĐ số 46019205</t>
  </si>
  <si>
    <t>Thanh toán Chi phí di chuyển đi lại HĐ số 49055428</t>
  </si>
  <si>
    <t>Thanh toán Chi phí di chuyển đi lại HĐ số 49117346</t>
  </si>
  <si>
    <t>Thanh toán Chi phí tiếp khách ngoại giao HĐ số 3367</t>
  </si>
  <si>
    <t>Thanh toán Chi phí di chuyển đi lại HĐ số 53370289</t>
  </si>
  <si>
    <t>Thanh toán Chi phí di chuyển đi lại HĐ số 54913566</t>
  </si>
  <si>
    <t>Thanh toán Phí dịch vụ tư vấn tháng 11/2025 HĐ số 187</t>
  </si>
  <si>
    <t>Thanh toán Chi phí di chuyển đi lại HĐ số 59101638</t>
  </si>
  <si>
    <t>Thanh toán Chi phí di chuyển đi lại HĐ số 59146100</t>
  </si>
  <si>
    <t>Thanh toán Chi phí di chuyển đi lại HĐ số 62835360</t>
  </si>
  <si>
    <t>Thanh toán Chi phí di chuyển đi lại HĐ số 63750873</t>
  </si>
  <si>
    <t>Thanh toán Chi phí đồ dùng văn phòng HĐ số 170859</t>
  </si>
  <si>
    <t>Lỗi số dư sao kê đầu kỳ không khớp</t>
  </si>
  <si>
    <t>Nhận Doanh thu Dịch vụ quảng cáo và truyền thông theo Hợp đồng số HDDV/FAROSONTTP/09/2025 ký ngày 12/09/2025 (Đợt 2) và Biên bản nghiệm thu ký ngày 25/09/2025 HĐ số 22</t>
  </si>
  <si>
    <t>Nhận Doanh thu Thanh toán 100% phí dịch vụ 3CE - KOC Hub Sep - Video - Scope 3 - 1009 SOW số 21490/2025/WPP-BTL-LO ID Tiktok: tranhongphuc107 HĐ số 11</t>
  </si>
  <si>
    <t>Nhận Doanh thu Dịch vụ quảng cáo và truyền thông theo Hợp đồng số 2907/2025/TTS/TRANHONGPHUC/OBAGIký ngày 29/07/2025 và Biên bản nghiệm thu ký ngày 28/08/2025 HĐ số 3</t>
  </si>
  <si>
    <t>Nhận Doanh thu Dịch vụ quảng cáo và truyền thông theo Hợp đồng số HKD THP_ GARNIER_01092025 ký ngày 01/09/2025 và Biên bản nghiệm thu ký ngày 16/09/2025 HĐ số 16</t>
  </si>
  <si>
    <t>Nhận Doanh thu Dịch vụ quảng cáo và truyền thông theo Hợp đồng số 20251006/SKAUVDUOSERUM-UNICORNxTRANHONGPHUC ký ngày 06/10/2025 và Biên bản nghiệm thu ký ngày 03/11/2025 HĐ số 33</t>
  </si>
  <si>
    <t>Nhận Doanh thu Dịch vụ quảng cáo và truyền thông theo Hợp đồng số HKD THP_ GARNIER_TRI_ACID_01092025 ký ngày 01/09/2025 và Biên bản nghiệm thu ký ngày 22/09/2025 HĐ số 19</t>
  </si>
  <si>
    <t>Nhận Doanh thu Dịch vụ quảng cáo và truyền thông theo Hợp đồng số heimishSKVN_31102025_tranhongphuc107 ký ngày 04/11/2025 và Biên bản nghiệm thu và thanh lý ký ngày 18/11/2025 HĐ số 35</t>
  </si>
  <si>
    <t>Nhận Doanh thu Dịch vụ quảng cáo và truyền thông theo Hợp đồng số 2710/HDDV/TCELL-THP ký ngày 27/10/2025 và Biên bản nghiệm thu ký ngày 24/11/2025 HĐ số 37</t>
  </si>
  <si>
    <t>0100786940-006</t>
  </si>
  <si>
    <t>Doanh thu Dịch vụ quảng cáo và truyền thông theo Thỏa thuận hơp tác với KOL ký ngày 27/08/2025 (Đợt 3) HĐ số 34</t>
  </si>
  <si>
    <t>Doanh thu Dịch vụ quảng cáo và truyền thông theo Hợp đồng tiếp thị kỹ thuật số ký ngày 16/10/2025 HĐ số 38</t>
  </si>
  <si>
    <t>Nhận Doanh thu Dịch vụ quảng cáo và truyền thông theo Thỏa thuận hơp tác với KOL ký ngày 27/08/2025 (Đợt 3) HĐ số 34</t>
  </si>
  <si>
    <t>Nhận Doanh thu Dịch vụ quảng cáo và truyền thông theo Hợp đồng số Abib_SKVN_191125_tranhongphuc107 ký ngày 26/11/2025 và Biên bản nghiệm thu và thanh lý ký ngày 11/12/2025 HĐ số 40</t>
  </si>
  <si>
    <t>Nhận Doanh thu Dịch vụ quảng cáo và truyền thông theo Hợp đồng tiếp thị kỹ thuật số ký ngày 16/10/2025 HĐ số 38</t>
  </si>
  <si>
    <t>Nhận Doanh thu Dịch vụ quảng cáo và truyền thông theo Hợp đồng số 0711T7/25/HĐDV – LBN ký ngày 07/11/2025 và Biên bản nghiệm thu ký ngày 04/12/2025 HĐ số 39</t>
  </si>
  <si>
    <t>Nhận Doanh thu Dịch vụ quảng cáo và truyền thông theo Hợp đồng số I04378Q_HDDV/HIIP-2025-16015 ký ngày 15/09/2025 và Biên bản nghiệm thu ký ngày 31/10/2025 HĐ số 32</t>
  </si>
  <si>
    <t>Nhận Doanh thu Dịch vụ quảng cáo và truyền thông theo Hợp đồng số 24082025/HĐ-DVQC2025 ký ngày 27/08/2025 (Đợt 2) và Biên bản nghiệm thu ký ngày 24/09/2025 HĐ số 20</t>
  </si>
  <si>
    <t>Nhận Doanh thu Dịch vụ quảng cáo và truyền thông theo Hợp đồng số 25082025/HĐ-DVQC2025 ký ngày 27/08/2025 (Đợt 2) và Biên bản nghiệm thu ký ngày 24/09/2025 HĐ số 21</t>
  </si>
  <si>
    <t>Nhận Doanh thu Dịch vụ quảng cáo và truyền thông theo Hợp đồng số FINTVN-ATTENIR2-2025-12 ký ngày 25/09/2025 và Biên bản nghiệm thu ký ngày 10/10/2025 HĐ số 24</t>
  </si>
  <si>
    <t>Nhận Doanh thu Dịch vụ quảng cáo và truyền thông theo Hợp đồng số 18092025/HD/TRANHONGPHUC-SYB ký ngày 18/09/2025 và Biên bản nghiệm thu ký ngày 14/10/2025 HĐ số 25</t>
  </si>
  <si>
    <t>Nhận Doanh thu Dịch vụ quảng cáo và truyền thông theo Hợp đồng số 20251001HDDV/TRENDIFY-tranhongphuc107 ký ngày 01/10/2025 và Biên bản nghiệm thu ký ngày 29/10/2025 HĐ số 30</t>
  </si>
  <si>
    <t>Nhận Doanh thu Dịch vụ quảng cáo và truyền thông theo Hợp đồng số SG-THP-HDDV-180925 ký ngày 01/10/2025 và Biên bản nghiệm thu ký ngày 31/10/2025 HĐ số 31</t>
  </si>
  <si>
    <t>Nhận Doanh thu Dịch vụ quảng cáo và truyền thông theo Hợp đồng số 2709/2025/HDBK/TGO-CTT ký ngày 27/09/2025 và Biên bản nghiệm thu và thanh lý ký ngày 18/11/2025 HĐ số 36</t>
  </si>
  <si>
    <t>Nhận Doanh thu Dịch vụ quảng cáo và truyền thông theo Hợp đồng số T03T25HDDV-0034-0207 TRANHONGPHUC ký ngày 08/10/2025 và Biên bản nghiệm thu ký ngày 14/10/2025 HĐ số 26</t>
  </si>
  <si>
    <t>Nhận Doanh thu Dịch vụ quảng cáo và truyền thông theo Hợp đồng số 02 -122501 /HDDV-TTH ký ngày 02/12/2025 và Biên bản nghiệm thu ký ngày 19/12/2025 HĐ số 42</t>
  </si>
  <si>
    <t>Nhận Doanh thu Dịch vụ quảng cáo và truyền thông theo Hợp đồng số 20251114/HADALABO-UNICORNxTRANHONGPHUC ký ngày 14/11/2025 và Biên bản nghiệm thu ký ngày 22/12/2025 HĐ số 43</t>
  </si>
  <si>
    <t>Chi phí khác không hóa đơn</t>
  </si>
  <si>
    <t>Thanh toán Chi phí tiếp khách, ngoại giao HĐ số 2</t>
  </si>
  <si>
    <t>Thanh toán Phí dịch vụ tư vấn tháng 09/2025 HĐ số 135</t>
  </si>
  <si>
    <t>Thanh toán Chi phí tiếp khách, ngoại giao HĐ số 14091135</t>
  </si>
  <si>
    <t>Thanh toán Chi phí đồ dùng văn phòng HĐ số 939</t>
  </si>
  <si>
    <t>Thanh toán Chi phí đồ dùng văn phòng HĐ số 342279</t>
  </si>
  <si>
    <t>Thanh toán Chi phí đồ dùng văn phòng HĐ số 5480</t>
  </si>
  <si>
    <t>Thanh toán Chi phí đồ dùng văn phòng HĐ số 10805219</t>
  </si>
  <si>
    <t>Thanh toán Chi phí đồ dùng văn phòng HĐ số 10805693</t>
  </si>
  <si>
    <t>Thanh toán Phí dịch vụ tư vấn tháng 10/2025 HĐ số 169</t>
  </si>
  <si>
    <t>Thanh toán Chi phí tiếp khách, ngoại giao HĐ số 552</t>
  </si>
  <si>
    <t>Thanh toán Chi phí tiếp khách, ngoại giao HĐ số 1077632</t>
  </si>
  <si>
    <t>Thanh toán Chi phí đồ dùng văn phòng HĐ số 2150</t>
  </si>
  <si>
    <t>Thanh toán Chi phí tiếp khách, ngoại giao HĐ số 35488</t>
  </si>
  <si>
    <t>Thanh toán Chi phí Dịch vụ lưu trú phòng từ ngày 15/11/2025 đến 17/11/2025 HĐ số 199</t>
  </si>
  <si>
    <t>Thanh toán Chi phí đồ dùng văn phòng HĐ số 341737</t>
  </si>
  <si>
    <t>Thanh toán Chi phí tiếp khách, ngoại giao HĐ số 17414505</t>
  </si>
  <si>
    <t>Thanh toán Phí dịch vụ tư vấn tháng 11/2025 HĐ số 188</t>
  </si>
  <si>
    <t>Thanh toán Chi phí đồ dùng văn phòng HĐ số 326842</t>
  </si>
  <si>
    <t>Thanh toán Điều chỉnh giảm chi phí đồ dùng văn phòng HĐ số 341737 HĐ số 389711</t>
  </si>
  <si>
    <t>Thanh toán Chi phí tiếp khách, ngoại giao HĐ số 1062</t>
  </si>
  <si>
    <t>Thanh toán Chi phí đồ dùng văn phòng HĐ số 5516</t>
  </si>
  <si>
    <t>Thanh toán Chi phí tiếp khách, ngoại giao HĐ số 27587</t>
  </si>
  <si>
    <t>Thanh toán Chi phí tiếp khách, ngoại giao HĐ số 34466</t>
  </si>
  <si>
    <t>Thanh toán Chi phí đồ dùng văn phòng HĐ số 59837</t>
  </si>
  <si>
    <t>Thanh toán Chi phí tiếp khách, ngoại giao HĐ số 1250960</t>
  </si>
  <si>
    <t>0100112437</t>
  </si>
  <si>
    <t>NGÂN HÀNG THƯƠNG MẠI CỔ PHẦN NGOẠI THƯƠNG VIỆT NAM</t>
  </si>
  <si>
    <t>Tên đối tượng</t>
  </si>
  <si>
    <t>CÔNG TY TNHH ACTSONE VIỆT NAM</t>
  </si>
  <si>
    <t>CÔNG TY CỔ PHẦN GENA THÁI BÌNH DƯƠNG</t>
  </si>
  <si>
    <t>CÔNG TY CỔ PHẦN METUB VIỆT NAM</t>
  </si>
  <si>
    <t>CÔNG TY TNHH NÀNG THƠM COMMUNICATION</t>
  </si>
  <si>
    <t>VĂN PHÒNG ĐẠI DIỆN BELECO CO.,LTD. TẠI THÀNH PHỐ HỒ CHÍ MINH</t>
  </si>
  <si>
    <t>CÔNG TY TNHH SPARKLE MEDIA</t>
  </si>
  <si>
    <t>CÔNG TY TNHH MINDO SOLUTIONS</t>
  </si>
  <si>
    <t>CÔNG TY CỔ PHẦN Y&amp;B</t>
  </si>
  <si>
    <t>CÔNG TY TNHH KARMARTS VIỆT NAM</t>
  </si>
  <si>
    <t>CÔNG TY CP ĐẦU TƯ BULSAN GROUP</t>
  </si>
  <si>
    <t>CÔNG TY TNHH MTV THƯƠNG MẠI DỊCH VỤ BLUE OCEAN</t>
  </si>
  <si>
    <t>CÔNG TY TNHH DỊCH VỤ TRUYỀN THÔNG MAKE SENSE</t>
  </si>
  <si>
    <t>CÔNG TY TNHH ĐẦU TƯ XUẤT NHẬP KHẨU TÍN VIỆT</t>
  </si>
  <si>
    <t>CÔNG TY TNHH ONPOINT</t>
  </si>
  <si>
    <t>CÔNG TY TNHH CAF VIỆT NAM</t>
  </si>
  <si>
    <t>CÔNG TY TNHH ZEE</t>
  </si>
  <si>
    <t>CÔNG TY CỔ PHẦN THƯƠNG MẠI DỊCH VỤ UNICORN</t>
  </si>
  <si>
    <t>CÔNG TY CỔ PHẦN MAISON RETAIL MANAGEMENT INTERNATIONAL</t>
  </si>
  <si>
    <t>CÔNG TY TNHH DỊCH VỤ TRUYỀN THÔNG VÀ GIẢI TRÍ SỰ KIỆN BSTARS</t>
  </si>
  <si>
    <t>CÔNG TY TNHH TOOM MEDIA</t>
  </si>
  <si>
    <t>CÔNG TY CỔ PHẦN CÔNG NGHỆ UPBASE</t>
  </si>
  <si>
    <t>CÔNG TY TNHH TƯ VẤN GIẢI PHÁP DOANH NGHIỆP TPC</t>
  </si>
  <si>
    <t>Nhận Doanh thu Dịch vụ quảng cáo và truyền thông theo Hợp đồng số HDDV23092025 ký ngày 23/09/2025 HĐ số 1</t>
  </si>
  <si>
    <t>Nhận Doanh thu Dịch vụ quảng cáo và truyền thông theo Hợp đồng số HĐQC-2025 ký ngày 06/11/2025 (Đợt 1) HĐ số 5</t>
  </si>
  <si>
    <t>Nhận Doanh thu Dịch vụ quảng cáo và truyền thông theo Hợp đồng số 1009/2025/HDDV-LEMONADE.MINHCHAU ký ngày 10/09/2025 và Biên bản nghiệm thu ký ngày 05/11/2025 HĐ số 2</t>
  </si>
  <si>
    <t>Nhận Doanh thu Dịch vụ quảng cáo cho nhãn hàng UNIQLO theo Hợp đồng số HĐ/2780/2025/METUB ký ngày 04/09/2025 kèm Biên bản nghiệm thu và thanh lý ký ngày 06/11/2025 HĐ số 3</t>
  </si>
  <si>
    <t>Nhận Doanh thu Dịch vụ quảng cáo và truyền thông theo Hợp đồng số 14102025/HDDV/TKMC-NT ký ngày 14/10/2025 và Biên bản nghiệm thu ký ngày 07/11/2025 HĐ số 4</t>
  </si>
  <si>
    <t>Nhận Doanh thu Dịch vụ quảng cáo và truyền thông theo Hợp đồng số 52/HĐDV/2025 ký ngày 13/10/2025 và Biên bản nghiệm thu ký ngày 18/11/2025 HĐ số 10</t>
  </si>
  <si>
    <t>Nhận Doanh thu Thanh toán 100% phí dịch vụ MNY - FLEX POWDER - Video - Scope 3-10.11 - PO 4001492980 SOW số 28025/2025/WPP-BTL-LO ID Tiktok: chouchinchan HĐ số 7</t>
  </si>
  <si>
    <t>Nhận Doanh thu Dịch vụ quảng cáo và truyền thông theo Hợp đồng số 27102025/HDDV/TKMC-NT ký ngày 27/10/2025 và Biên bản nghiệm thu ký ngày 19/11/2025 HĐ số 11</t>
  </si>
  <si>
    <t>Nhận Doanh thu Dịch vụ quảng cáo và truyền thông theo Hợp đồng số 26102025.HDDV.SPARKLE.DOANNGOCMINHCHAU.Maybelline ký ngày 26/10/2025 và Biên bản nghiệm thu ký ngày 14/11/2025 HĐ số 8</t>
  </si>
  <si>
    <t>Nhận Doanh thu Dịch vụ quảng cáo và truyền thông theo Hợp đồng số 111125/HDDV/BSTARS-TKMC ký ngày 11/11/2025 và Biên bản nghiệm thu ký ngày 24/12/2025 HĐ số 29</t>
  </si>
  <si>
    <t>Nhận Doanh thu Dịch vụ quảng cáo và truyền thông theo Hợp đồng số 191125/HĐDV/APERIRE-CHOU ký ngày 19/11/2025 và Biên bản nghiệm thu ký ngày 28/11/2025 HĐ số 14</t>
  </si>
  <si>
    <t>Nhận Doanh thu Thanh toán 100% phí dịch vụ 3CE - KOC Hub Nov - Video - Scope 3 - 1011 SOW số 26806/2025/WPP-BTL-LO ID Tiktok: chouchinchan HĐ số 19</t>
  </si>
  <si>
    <t>Nhận Doanh thu Thanh toán 100% phí dịch vụ 3CE - KOC Hub Nov - Video - Scope 3 - 3011 SOW số 28667/2025/WPP-BTL-LO ID Tiktok: chouchinchan HĐ số 13</t>
  </si>
  <si>
    <t>Nhận Doanh thu Dịch vụ quảng cáo và truyền thông theo Hợp đồng số HĐQC-2025 ký ngày 06/11/2025 (Đợt 2) và Biên bản nghiệm thu ký ngày 01/12/2025 HĐ số 16</t>
  </si>
  <si>
    <t>Nhận Doanh thu Dịch vụ quảng cáo và truyền thông theo Hợp đồng số 006/12-2025/HĐMKT - BM ký ngày 01/12/2025 và Biên bản nghiệm thu ký ngày 05/12/2025 HĐ số 20</t>
  </si>
  <si>
    <t>TIKTOK PTE. LTD.</t>
  </si>
  <si>
    <t>Nhận Doanh thu Dịch vụ cung cấp mã code ads chạy quảng cáo theo Hợp đồng số 27102025/HDDV­-GSLAY.MINHCHAU ký ngày 20/10/2025 kèm Biên bản nghiệm thu và thanh lý hợp đồng ký ngày 24/11/2025 HĐ số 12</t>
  </si>
  <si>
    <t>Nhận Doanh thu Dịch vụ quảng cáo theo Hợp đồng số 06/09102025/HDDV/MS-TKMC ký ngày 09/10/2025 kèm Biên bản nghiệm thu và thanh lý Hợp đồng HĐ số 17</t>
  </si>
  <si>
    <t>CÔNG TY TNHH TƯ VẤN DỊCH VỤ CHỒI XANH</t>
  </si>
  <si>
    <t>CÔNG TY CỔ PHẦN YESHI</t>
  </si>
  <si>
    <t>Công ty Cổ phần Mắt Bão</t>
  </si>
  <si>
    <t>CÔNG TY TNHH THƯƠNG MẠI DỊCH VỤ THE NOON</t>
  </si>
  <si>
    <t>CÔNG TY TRÁCH NHIỆM HỮU HẠN PIZZA VIỆT NAM</t>
  </si>
  <si>
    <t>CÔNG TY TNHH THƯƠNG MẠI DỊCH VỤ MẠCH KIM CHÂU</t>
  </si>
  <si>
    <t>CÔNG TY TNHH TƯ VẤN VÀ KẾ TOÁN T&amp;C</t>
  </si>
  <si>
    <t>CHI NHÁNH THÀNH PHỐ HỒ CHÍ MINH - CÔNG TY CỔ PHẦN DI CHUYỂN XANH VÀ THÔNG MINH GSM</t>
  </si>
  <si>
    <t>CÔNG TY CỔ PHẦN SOM TUM THAI</t>
  </si>
  <si>
    <t>CÔNG TY TNHH GODMOTHER VIỆT NAM</t>
  </si>
  <si>
    <t>CÔNG TY TNHH MTV THƯƠNG MẠI DỊCH VỤ BÌNH ĐÔNG</t>
  </si>
  <si>
    <t>CÔNG TY CỔ PHẦN AKA HOUSE</t>
  </si>
  <si>
    <t>CÔNG TY TNHH GRAB</t>
  </si>
  <si>
    <t>TỔNG CÔNG TY CỔ PHẦN BƯU CHÍNH VIETTEL</t>
  </si>
  <si>
    <t>CÔNG TY CỔ PHẦN TẬP ĐOÀN GOLDEN GATE - CHI NHÁNH MIỀN NAM</t>
  </si>
  <si>
    <t>CÔNG TY TNHH CRHCMC</t>
  </si>
  <si>
    <t>CHI NHÁNH CÔNG TY CỔ PHẦN PIZZA 4PS - NHÀ HÀNG PIZZA 4PS HAI BÀ TRƯNG</t>
  </si>
  <si>
    <t>CÔNG TY CỔ PHẦN EVERY HALF BEAN</t>
  </si>
  <si>
    <t>CÔNG TY TNHH TBS VIỆT NAM</t>
  </si>
  <si>
    <t>CÔNG TY CỔ PHẦN KING FOOD MARKET</t>
  </si>
  <si>
    <t>CÔNG TY TNHH VÒNG TRÒN ĐỎ</t>
  </si>
  <si>
    <t>CÔNG TY TNHH CHADA THÁI</t>
  </si>
  <si>
    <t>CÔNG TY TNHH MAY THÊU GIÀY AN PHƯỚC</t>
  </si>
  <si>
    <t>CÔNG TY TNHH GF CAPITAL (VIỆT NAM)</t>
  </si>
  <si>
    <t>CÔNG TY TNHH MỘC F&amp;B</t>
  </si>
  <si>
    <t>Thanh toán Tiền thuê văn phòng từ ngày 11/10/2025 đến ngày 10/12/2026 HĐ số 193</t>
  </si>
  <si>
    <t>Thanh toán Chi phí tiếp khách, ngoại giao HĐ số 5081</t>
  </si>
  <si>
    <t>Thanh toán Chi phí tiếp khách, ngoại giao HĐ số 5082</t>
  </si>
  <si>
    <t>Thanh toán Phần mềm hóa đơn điện tử M-100 (1 năm) HĐ số 95142</t>
  </si>
  <si>
    <t>Thanh toán Chi phí dịch vụ duy trì hệ thống chứng thư số CA - Token-HKD-MBCA (1 năm) HĐ số 95537</t>
  </si>
  <si>
    <t>Thanh toán Chi phí tiếp khách, ngoại giao HĐ số 102</t>
  </si>
  <si>
    <t>Thanh toán Chi phí tiếp khách, ngoại giao HĐ số 645979</t>
  </si>
  <si>
    <t>Thanh toán Chi phí tiếp khách, ngoại giao HĐ số 803</t>
  </si>
  <si>
    <t>Thanh toán Phí dịch vụ tư vấn tháng 10/2025 HĐ số 164</t>
  </si>
  <si>
    <t>Thanh toán Chi phí tiếp khách, ngoại giao HĐ số 867</t>
  </si>
  <si>
    <t>Thanh toán Chi phí vận chuyển HĐ số 51136078</t>
  </si>
  <si>
    <t>Thanh toán Chi phí tiếp khách, ngoại giao HĐ số 40657</t>
  </si>
  <si>
    <t>Thanh toán Chi phí tiếp khách, ngoại giao HĐ số 540</t>
  </si>
  <si>
    <t>Thanh toán Chi phí tiếp khách, ngoại giao HĐ số 15452</t>
  </si>
  <si>
    <t>Thanh toán Chi phí tiếp khách, ngoại giao HĐ số 385312</t>
  </si>
  <si>
    <t>Thanh toán Chi phí tiếp khách, ngoại giao HĐ số 3706</t>
  </si>
  <si>
    <t>Thanh toán Chi phí vận chuyển HĐ số 30735</t>
  </si>
  <si>
    <t>Thanh toán Chi phí vận chuyển HĐ số 482291</t>
  </si>
  <si>
    <t>Thanh toán Chi phí đồ dùng văn phòng HĐ số 391826</t>
  </si>
  <si>
    <t>Thanh toán Chi phí vận chuyển HĐ số 484304</t>
  </si>
  <si>
    <t>Thanh toán Chi phí tiếp khách, ngoại giao HĐ số 3804431</t>
  </si>
  <si>
    <t>Thanh toán Chi phí vận chuyển HĐ số 665547</t>
  </si>
  <si>
    <t>Thanh toán Chi phí vận chuyển HĐ số 494528</t>
  </si>
  <si>
    <t>Thanh toán Chi phí tiếp khách, ngoại giao HĐ số 3880108</t>
  </si>
  <si>
    <t>Thanh toán Phí dịch vụ tư vấn tháng 11/2025 HĐ số 203</t>
  </si>
  <si>
    <t>Thanh toán Chi phí tiếp khách, ngoại giao HĐ số 34830</t>
  </si>
  <si>
    <t>Thanh toán Chi phí tiếp khách, ngoại giao HĐ số 20292</t>
  </si>
  <si>
    <t>Thanh toán Chi phí tiếp khách, ngoại giao HĐ số 961</t>
  </si>
  <si>
    <t>Thanh toán Chi phí tiếp khách, ngoại giao HĐ số 36452</t>
  </si>
  <si>
    <t>Thanh toán Chi phí đồ dùng văn phòng HĐ số 1414</t>
  </si>
  <si>
    <t>Thanh toán Chi phí đồ dùng văn phòng HĐ số 4106661</t>
  </si>
  <si>
    <t>Thanh toán Chi phí tiếp khách, ngoại giao HĐ số 19569275</t>
  </si>
  <si>
    <t>Thanh toán Chi phí tiếp khách, ngoại giao HĐ số 22238090</t>
  </si>
  <si>
    <t>Thanh toán Chi phí tiếp khách, ngoại giao HĐ số 1217</t>
  </si>
  <si>
    <t>Thanh toán Chi phí vận chuyển HĐ số 576269</t>
  </si>
  <si>
    <t>Thanh toán Chi phí vận chuyển HĐ số 576584</t>
  </si>
  <si>
    <t>Thanh toán Chi phí vận chuyển HĐ số 577008</t>
  </si>
  <si>
    <t>Thanh toán Chi phí tiếp khách, ngoại giao HĐ số 4132476</t>
  </si>
  <si>
    <t>Thanh toán Chi phí đồ dùng văn phòng HĐ số 343379</t>
  </si>
  <si>
    <t>Thanh toán Chi phí tiếp khách, ngoại giao HĐ số 3448</t>
  </si>
  <si>
    <t>Thanh toán Chi phí tiếp khách, ngoại giao HĐ số 14216</t>
  </si>
  <si>
    <t>Thanh toán Chi phí vận chuyển HĐ số 583903</t>
  </si>
  <si>
    <t>Thanh toán Chi phí vận chuyển HĐ số 584814</t>
  </si>
  <si>
    <t>Thanh toán Chi phí vận chuyển HĐ số 2017</t>
  </si>
  <si>
    <t>Thanh toán Chi phí vận chuyển HĐ số 587249</t>
  </si>
  <si>
    <t>Doanh thu Dịch vụ quảng cáo và truyền thông theo Hợp đồng số HDDV23092025 ký ngày 23/09/2025 HĐ số 1</t>
  </si>
  <si>
    <t>Điều chỉnh giảm Doanh thu Dịch vụ quảng cáo và truyền thông theo Hợp đồng số HDDV23092025 ký ngày 23/09/2025 HĐ số 1</t>
  </si>
  <si>
    <t>Doanh thu Dịch vụ Tham dự Sự kiện ra mắt sản phẩm Nước tẩy trang sen Hậu Giang và thực hiện đăng tải 01 video về buổi sự kiện theo Hợp đồng số 14772025/HĐDV/Y&amp;B ký ngày 03/10/2025 HĐ số 9</t>
  </si>
  <si>
    <t>Điều chỉnh giảm Doanh thu Dịch vụ cung cấp mã code ads chạy quảng cáo theo Hợp đồng số 27102025/HDDV­-GSLAY.MINHCHAU ký ngày 20/10/2025 HĐ số 12</t>
  </si>
  <si>
    <t>Điều chỉnh giảm Doanh thu Dịch vụ Tham dự Sự kiện ra mắt sản phẩm Nước tẩy trang sen Hậu Giang và thực hiện đăng tải video sự kiện theo Hợp đồng số 14772025/HĐDV/Y&amp;B ký ngày 03/10/2025 HĐ số 9</t>
  </si>
  <si>
    <t>Điều chỉnh giảm Doanh thu Dịch vụ quảng cáo và truyền thông theo Hợp đồng số 1411/2025/HĐDV/UNI_HKDTKMC ký ngày 10/11/2025 HĐ số 27</t>
  </si>
  <si>
    <t>Nhận Doanh thu Dịch vụ Tham dự Sự kiện ra mắt sản phẩm Nước tẩy trang sen Hậu Giang và thực hiện đăng tải 01 video về buổi sự kiện theo Hợp đồng số 14772025/HĐDV/Y&amp;B ký ngày 03/10/2025 HĐ số 9</t>
  </si>
  <si>
    <t>Nhận Doanh thu Dịch vụ quảng cáo và truyền thông theo Hợp đồng số 04-11/2025/HDDV/BO-KOLS ký ngày 24/10/2025 và Biên bản nghiệm thu ký ngày 28/11/2025 HĐ số 15</t>
  </si>
  <si>
    <t>Nhận Doanh thu Dịch vụ quảng cáo và truyền thông theo Hợp đồng số CAFxELC-122025.02 ký ngày 20/12/2025 và Biên bản nghiệm thu ký ngày 22/12/2025 HĐ số 24</t>
  </si>
  <si>
    <t>Nhận Doanh thu Dịch vụ quảng cáo và truyền thông theo Hợp đồng số 130-25/HDDV/MS-MKT-[HCM]-CK ký ngày 11/12/2025 và Biên bản nghiệm thu ký ngày 24/12/2025 HĐ số 28</t>
  </si>
  <si>
    <t>Nhận Doanh thu 100% dịch vụ quảng cáo dự án 25FW UNIQLO Bratop theo BBNTTL của hợp đồng số HĐ/3223/2025/METUB ký ngày 30/10/2025 HĐ số 26</t>
  </si>
  <si>
    <t>Nhận Doanh thu Dịch vụ quảng cáo theo Hợp đồng số 06/30102025/HDDV/MS-TKMC ký ngày 30/10/2025 kèm Biên bản nghiệm thu và thanh lý Hợp đồng HĐ số 18</t>
  </si>
  <si>
    <t>Nhận Doanh thu Dịch vụ quảng cáo và truyền thông theo Hợp đồng số 112025/HDDV/TOOM/THIENKIMMINHCHAU ký ngày 03/11/2025 và Biên bản nghiệm thu ký ngày 26/12/2025 HĐ số 30</t>
  </si>
  <si>
    <t>KHÁC</t>
  </si>
  <si>
    <t>BẢO HIỂM XÃ HỘI</t>
  </si>
  <si>
    <t>Nhận Doanh thu Dịch vụ quảng cáo và truyền thông theo Hợp đồng số 20250901HDDV/TRENDIFY – hoangthachhh ký ngày 01/10/2025 HĐ số 17</t>
  </si>
  <si>
    <t>Hoàn Doanh thu Dịch vụ quảng cáo và truyền thông theo Hợp đồng số 20250901HDDV/TRENDIFY – hoangthachhh ký ngày 01/10/2025 HĐ số 17</t>
  </si>
  <si>
    <t>Nhận Doanh thu Dịch vụ quảng cáo và truyền thông theo Hợp đồng số 13542025/HĐDV/Y&amp;B ký ngày 22/09/2025 (Đợt 1) HĐ số 18</t>
  </si>
  <si>
    <t>Nhận Doanh thu Dịch vụ quảng cáo và truyền thông theo Hợp đồng số VN2025/7/HKD/MAG/001 ký ngày 20/07/2025 (Đợt 2) và Biên bản nghiệm thu ký ngày 25/09/2025 HĐ số 00000010</t>
  </si>
  <si>
    <t>Nhận Doanh thu Dịch vụ quảng cáo và truyền thông theo Hợp đồng số 0510-1/HDDV/CER-HT ký ngày 05/10/2025 (Đợt 2) HĐ số 45</t>
  </si>
  <si>
    <t>Nhận Doanh thu Dịch vụ quảng cáo và truyền thông theo Hợp đồng số EX-BLUME-HOANGTHACH-04 ký ngày 02/12/2025 (Đợt 1) HĐ số 46</t>
  </si>
  <si>
    <t>Nhận Doanh thu Dịch vụ quảng cáo và truyền thông theo Hợp đồng số EX-BLUME-HOANGTHACH-04 ký ngày 02/12/2025 (Đợt 2) HĐ số 60</t>
  </si>
  <si>
    <t>Hoàn Doanh thu Dịch vụ quảng cáo và truyền thông theo Hợp đồng số EX-BLUME-HOANGTHACH-04 ký ngày 02/12/2025 (Đợt 2) HĐ số 60</t>
  </si>
  <si>
    <t>Nhận Doanh thu Dịch vụ quảng cáo và truyền thông theo Hợp đồng số HKD HOANGTHACH_ THE SAEM_05122025 ký ngày 05/12/2025 (Đợt 1) HĐ số 52</t>
  </si>
  <si>
    <t>Nhận Doanh thu Dịch vụ quảng cáo và truyền thông theo Hợp đồng số FINTVN-ATTENIR3-2025-52 ký ngày 10/11/2025 (Đợt 1) HĐ số 48</t>
  </si>
  <si>
    <t>Nhận Doanh thu Dịch vụ quảng cáo và truyền thông theo Hợp đồng số 22112025/HDDV-INNOYO MÁY SẤY TÓC/HOÀNG THẠCH-087 ký ngày 22/11/2025 (Đợt 1) HĐ số 44</t>
  </si>
  <si>
    <t>Nhận Doanh thu Dịch vụ quảng cáo và truyền thông theo Hợp đồng số 22112025/HDDV-INNOYO MÁY SẤY TÓC/HOÀNG THẠCH-087 ký ngày 22/11/2025 (Đợt 2) HĐ số 49</t>
  </si>
  <si>
    <t>Nhận Doanh thu Dịch vụ quảng cáo và truyền thông thông theo Hợp đồng số 24112025/HDDV/ES-MK-HT ký ngày 24/11/2025 (Đợt 1) HĐ số 56</t>
  </si>
  <si>
    <t>Nhận Doanh thu Dịch vụ quảng cáo và truyền thông theo Hợp đồng số 2811-2025-RxHOANGTHACH ký ngày 28/11/2025 (Đợt 1) HĐ số 53</t>
  </si>
  <si>
    <t>Nhận Doanh thu Dịch vụ quảng cáo và truyền thông theo Hợp đồng số FINTVN-KAO7-2025-197 ký ngày 12/12/2025 (Đợt 1) HĐ số 61</t>
  </si>
  <si>
    <t>Nhận Doanh thu Dịch vụ quảng cáo và truyền thông theo Hợp đồng số HTKM- NTDTT/2025/HĐHTKD ký ngày 10/12/2025 (Đợt 1) HĐ số 55</t>
  </si>
  <si>
    <t>Nhận Doanh thu Dịch vụ quảng cáo và truyền thông theo Hợp đồng số VTCOSMETICS_Silicon2_03122025_hoangthachhh ký ngày 08/12/2025 HĐ số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</si>
</sst>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 _₫_-;\-* #,##0\ _₫_-;_-* &quot;-&quot;\ _₫_-;_-@_-"/>
    <numFmt numFmtId="165" formatCode="[$-1010000]d/m/yyyy;@"/>
  </numFmts>
  <fonts count="28" x14ac:knownFonts="1">
    <font>
      <sz val="11"/>
      <color theme="1"/>
      <name val="Calibri"/>
      <family val="2"/>
      <charset val="163"/>
      <scheme val="minor"/>
    </font>
    <font>
      <sz val="10"/>
      <name val="Arial"/>
      <family val="2"/>
    </font>
    <font>
      <b/>
      <sz val="10"/>
      <color rgb="FFFF0000"/>
      <name val="Times New Roman"/>
      <family val="1"/>
    </font>
    <font>
      <b/>
      <sz val="10"/>
      <color theme="1"/>
      <name val="Times New Roman"/>
      <family val="1"/>
    </font>
    <font>
      <sz val="10"/>
      <color theme="1"/>
      <name val="Times New Roman"/>
      <family val="1"/>
    </font>
    <font>
      <b/>
      <sz val="10"/>
      <color indexed="10"/>
      <name val="Times New Roman"/>
      <family val="1"/>
    </font>
    <font>
      <b/>
      <sz val="10"/>
      <name val="Times New Roman"/>
      <family val="1"/>
    </font>
    <font>
      <b/>
      <sz val="10"/>
      <color rgb="FFFF0000"/>
      <name val="Times New Roman"/>
      <family val="1"/>
      <charset val="163"/>
    </font>
    <font>
      <b/>
      <sz val="10"/>
      <color theme="1"/>
      <name val="Times New Roman"/>
      <family val="1"/>
      <charset val="163"/>
    </font>
    <font>
      <sz val="10"/>
      <color theme="1"/>
      <name val="Times New Roman"/>
      <family val="1"/>
      <charset val="163"/>
    </font>
    <font>
      <b/>
      <sz val="10"/>
      <color indexed="10"/>
      <name val="Times New Roman"/>
      <family val="1"/>
      <charset val="163"/>
    </font>
    <font>
      <b/>
      <sz val="10"/>
      <name val="Times New Roman"/>
      <family val="1"/>
      <charset val="163"/>
    </font>
    <font>
      <sz val="10"/>
      <color rgb="FF000000"/>
      <name val="Times New Roman"/>
      <family val="1"/>
      <charset val="163"/>
    </font>
    <font>
      <sz val="10"/>
      <color rgb="FF000000"/>
      <name val="Times New Roman"/>
      <family val="1"/>
    </font>
    <font>
      <b/>
      <sz val="10"/>
      <color rgb="FF000000"/>
      <name val="Times New Roman"/>
      <family val="1"/>
      <charset val="163"/>
    </font>
    <font>
      <b/>
      <sz val="10"/>
      <color rgb="FF000000"/>
      <name val="Times New Roman"/>
      <family val="1"/>
    </font>
    <font>
      <sz val="11"/>
      <color theme="1"/>
      <name val="Times New Roman"/>
      <family val="1"/>
      <charset val="163"/>
    </font>
    <font>
      <b/>
      <sz val="11"/>
      <color theme="1"/>
      <name val="Times New Roman"/>
      <family val="1"/>
      <charset val="163"/>
    </font>
    <font>
      <sz val="11"/>
      <color theme="1"/>
      <name val="Aptos Narrow"/>
      <family val="2"/>
    </font>
    <font>
      <u/>
      <sz val="11"/>
      <color rgb="FF467886"/>
      <name val="Times New Roman"/>
      <family val="1"/>
      <charset val="163"/>
    </font>
    <font>
      <u/>
      <sz val="11"/>
      <color theme="10"/>
      <name val="Calibri"/>
      <family val="2"/>
      <charset val="163"/>
      <scheme val="minor"/>
    </font>
    <font>
      <sz val="11"/>
      <color theme="1"/>
      <name val="Times New Roman"/>
      <family val="1"/>
    </font>
    <font>
      <sz val="11"/>
      <color theme="1"/>
      <name val="Aptos Narrow"/>
    </font>
    <font>
      <b/>
      <sz val="11"/>
      <color theme="1"/>
      <name val="Times New Roman"/>
      <family val="1"/>
    </font>
    <font>
      <u/>
      <sz val="11"/>
      <color theme="10"/>
      <name val="Times New Roman"/>
      <family val="1"/>
    </font>
    <font>
      <u/>
      <sz val="10"/>
      <color theme="10"/>
      <name val="Times New Roman"/>
      <family val="1"/>
    </font>
    <font>
      <sz val="8"/>
      <name val="Calibri"/>
      <family val="2"/>
      <charset val="163"/>
      <scheme val="minor"/>
    </font>
    <font>
      <b/>
      <sz val="11"/>
      <color theme="1"/>
      <name val="Times New Roman"/>
    </font>
  </fonts>
  <fills count="3">
    <fill>
      <patternFill patternType="none"/>
    </fill>
    <fill>
      <patternFill patternType="gray125"/>
    </fill>
    <fill>
      <patternFill patternType="solid">
        <fgColor rgb="FF92D050"/>
        <bgColor indexed="64"/>
      </patternFill>
    </fill>
  </fills>
  <borders count="12">
    <border>
      <left/>
      <right/>
      <top/>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rgb="FFCCCCCC"/>
      </right>
      <top/>
      <bottom style="medium">
        <color rgb="FF000000"/>
      </bottom>
      <diagonal/>
    </border>
    <border>
      <left style="medium">
        <color rgb="FFCCCCCC"/>
      </left>
      <right/>
      <top style="medium">
        <color rgb="FFCCCCCC"/>
      </top>
      <bottom/>
      <diagonal/>
    </border>
    <border>
      <left style="medium">
        <color rgb="FFCCCCCC"/>
      </left>
      <right/>
      <top/>
      <bottom/>
      <diagonal/>
    </border>
    <border>
      <left/>
      <right/>
      <top style="medium">
        <color rgb="FFCCCCCC"/>
      </top>
      <bottom style="medium">
        <color rgb="FFCCCCCC"/>
      </bottom>
      <diagonal/>
    </border>
    <border>
      <left/>
      <right/>
      <top style="medium">
        <color rgb="FFCCCCCC"/>
      </top>
      <bottom/>
      <diagonal/>
    </border>
    <border>
      <left/>
      <right style="medium">
        <color rgb="FFCCCCCC"/>
      </right>
      <top/>
      <bottom style="medium">
        <color rgb="FFCCCCCC"/>
      </bottom>
      <diagonal/>
    </border>
  </borders>
  <cellStyleXfs count="4">
    <xf numFmtId="0" fontId="0" fillId="0" borderId="0"/>
    <xf numFmtId="0" fontId="1" fillId="0" borderId="0"/>
    <xf numFmtId="43" fontId="1" fillId="0" borderId="0" applyFont="0" applyFill="0" applyBorder="0" applyAlignment="0" applyProtection="0"/>
    <xf numFmtId="0" fontId="20" fillId="0" borderId="0" applyNumberFormat="0" applyFill="0" applyBorder="0" applyAlignment="0" applyProtection="0"/>
  </cellStyleXfs>
  <cellXfs count="249">
    <xf numFmtId="0" fontId="0" fillId="0" borderId="0" xfId="0"/>
    <xf numFmtId="0" fontId="4" fillId="0" borderId="7" xfId="0" applyFont="1" applyBorder="1"/>
    <xf numFmtId="0" fontId="2" fillId="0" borderId="4" xfId="0" applyFont="1" applyBorder="1" applyAlignment="1">
      <alignment horizontal="center" wrapText="1"/>
    </xf>
    <xf numFmtId="0" fontId="4" fillId="0" borderId="8" xfId="0" applyFont="1" applyBorder="1"/>
    <xf numFmtId="49" fontId="5" fillId="0" borderId="0" xfId="1" applyNumberFormat="1" applyFont="1" applyAlignment="1">
      <alignment horizontal="center" vertical="center" wrapText="1"/>
    </xf>
    <xf numFmtId="14" fontId="5" fillId="0" borderId="0" xfId="1" applyNumberFormat="1" applyFont="1" applyAlignment="1">
      <alignment horizontal="center" vertical="center" wrapText="1"/>
    </xf>
    <xf numFmtId="49" fontId="6" fillId="0" borderId="0" xfId="1" applyNumberFormat="1" applyFont="1" applyAlignment="1">
      <alignment horizontal="center" vertical="center" wrapText="1"/>
    </xf>
    <xf numFmtId="49" fontId="5" fillId="0" borderId="0" xfId="1" applyNumberFormat="1" applyFont="1" applyAlignment="1">
      <alignment horizontal="center" vertical="center"/>
    </xf>
    <xf numFmtId="49" fontId="5" fillId="0" borderId="0" xfId="1" applyNumberFormat="1" applyFont="1" applyAlignment="1">
      <alignment horizontal="right"/>
    </xf>
    <xf numFmtId="0" fontId="5" fillId="0" borderId="0" xfId="1" applyFont="1" applyAlignment="1">
      <alignment horizontal="center" vertical="center" wrapText="1"/>
    </xf>
    <xf numFmtId="3" fontId="5" fillId="0" borderId="0" xfId="1" applyNumberFormat="1" applyFont="1" applyAlignment="1">
      <alignment horizontal="center" vertical="center" wrapText="1"/>
    </xf>
    <xf numFmtId="164" fontId="5" fillId="0" borderId="0" xfId="2" applyNumberFormat="1" applyFont="1" applyAlignment="1">
      <alignment horizontal="center" vertical="center" wrapText="1"/>
    </xf>
    <xf numFmtId="0" fontId="4" fillId="0" borderId="0" xfId="0" applyFont="1"/>
    <xf numFmtId="14" fontId="4" fillId="0" borderId="0" xfId="0" applyNumberFormat="1" applyFont="1"/>
    <xf numFmtId="49" fontId="4" fillId="0" borderId="0" xfId="0" applyNumberFormat="1" applyFont="1"/>
    <xf numFmtId="0" fontId="2" fillId="0" borderId="4" xfId="0" applyFont="1" applyBorder="1" applyAlignment="1">
      <alignment horizontal="center"/>
    </xf>
    <xf numFmtId="41" fontId="5" fillId="0" borderId="0" xfId="2" applyNumberFormat="1" applyFont="1" applyAlignment="1">
      <alignment horizontal="center" vertical="center" wrapText="1"/>
    </xf>
    <xf numFmtId="41" fontId="4" fillId="0" borderId="0" xfId="0" applyNumberFormat="1" applyFont="1"/>
    <xf numFmtId="0" fontId="4" fillId="0" borderId="0" xfId="0" applyFont="1" applyAlignment="1">
      <alignment vertical="center" wrapText="1"/>
    </xf>
    <xf numFmtId="0" fontId="9" fillId="0" borderId="7" xfId="0" applyFont="1" applyBorder="1"/>
    <xf numFmtId="0" fontId="9" fillId="0" borderId="0" xfId="0" applyFont="1"/>
    <xf numFmtId="0" fontId="7" fillId="0" borderId="4" xfId="0" applyFont="1" applyBorder="1" applyAlignment="1">
      <alignment horizontal="center"/>
    </xf>
    <xf numFmtId="0" fontId="7" fillId="0" borderId="4" xfId="0" applyFont="1" applyBorder="1" applyAlignment="1">
      <alignment horizontal="center" wrapText="1"/>
    </xf>
    <xf numFmtId="0" fontId="9" fillId="0" borderId="8" xfId="0" applyFont="1" applyBorder="1"/>
    <xf numFmtId="49" fontId="10" fillId="0" borderId="0" xfId="1" applyNumberFormat="1" applyFont="1" applyAlignment="1">
      <alignment horizontal="center" vertical="center" wrapText="1"/>
    </xf>
    <xf numFmtId="14" fontId="10" fillId="0" borderId="0" xfId="1" applyNumberFormat="1" applyFont="1" applyAlignment="1">
      <alignment horizontal="center" vertical="center" wrapText="1"/>
    </xf>
    <xf numFmtId="49" fontId="11" fillId="0" borderId="0" xfId="1" applyNumberFormat="1" applyFont="1" applyAlignment="1">
      <alignment horizontal="center" vertical="center" wrapText="1"/>
    </xf>
    <xf numFmtId="49" fontId="10" fillId="0" borderId="0" xfId="1" applyNumberFormat="1" applyFont="1" applyAlignment="1">
      <alignment horizontal="center" vertical="center"/>
    </xf>
    <xf numFmtId="49" fontId="10" fillId="0" borderId="0" xfId="1" applyNumberFormat="1" applyFont="1" applyAlignment="1">
      <alignment horizontal="right"/>
    </xf>
    <xf numFmtId="0" fontId="10" fillId="0" borderId="0" xfId="1" applyFont="1" applyAlignment="1">
      <alignment horizontal="center" vertical="center" wrapText="1"/>
    </xf>
    <xf numFmtId="3" fontId="10" fillId="0" borderId="0" xfId="1" applyNumberFormat="1" applyFont="1" applyAlignment="1">
      <alignment horizontal="center" vertical="center" wrapText="1"/>
    </xf>
    <xf numFmtId="164" fontId="10" fillId="0" borderId="0" xfId="2" applyNumberFormat="1" applyFont="1" applyAlignment="1">
      <alignment horizontal="center" vertical="center" wrapText="1"/>
    </xf>
    <xf numFmtId="49" fontId="9" fillId="0" borderId="0" xfId="0" applyNumberFormat="1" applyFont="1"/>
    <xf numFmtId="164" fontId="9" fillId="0" borderId="0" xfId="0" applyNumberFormat="1" applyFont="1"/>
    <xf numFmtId="164" fontId="9" fillId="0" borderId="0" xfId="0" applyNumberFormat="1" applyFont="1" applyAlignment="1">
      <alignment horizontal="right" wrapText="1"/>
    </xf>
    <xf numFmtId="164" fontId="10" fillId="0" borderId="0" xfId="2" applyNumberFormat="1" applyFont="1" applyAlignment="1">
      <alignment horizontal="right" vertical="center" wrapText="1"/>
    </xf>
    <xf numFmtId="14" fontId="4" fillId="0" borderId="0" xfId="0" applyNumberFormat="1" applyFont="1" applyAlignment="1">
      <alignment horizontal="center"/>
    </xf>
    <xf numFmtId="0" fontId="12" fillId="0" borderId="0" xfId="0" applyFont="1"/>
    <xf numFmtId="0" fontId="13" fillId="0" borderId="0" xfId="0" applyFont="1"/>
    <xf numFmtId="0" fontId="12" fillId="0" borderId="10" xfId="0" applyFont="1" applyBorder="1"/>
    <xf numFmtId="0" fontId="7" fillId="0" borderId="11" xfId="0" applyFont="1" applyBorder="1"/>
    <xf numFmtId="0" fontId="7" fillId="0" borderId="11" xfId="0" applyFont="1" applyBorder="1" applyAlignment="1">
      <alignment wrapText="1"/>
    </xf>
    <xf numFmtId="0" fontId="7" fillId="0" borderId="0" xfId="0" applyFont="1" applyAlignment="1">
      <alignment wrapText="1"/>
    </xf>
    <xf numFmtId="0" fontId="11" fillId="0" borderId="0" xfId="0" applyFont="1" applyAlignment="1">
      <alignment wrapText="1"/>
    </xf>
    <xf numFmtId="0" fontId="7" fillId="0" borderId="0" xfId="0" applyFont="1"/>
    <xf numFmtId="0" fontId="13" fillId="0" borderId="10" xfId="0" applyFont="1" applyBorder="1"/>
    <xf numFmtId="0" fontId="2" fillId="0" borderId="11" xfId="0" applyFont="1" applyBorder="1"/>
    <xf numFmtId="0" fontId="2" fillId="0" borderId="11" xfId="0" applyFont="1" applyBorder="1" applyAlignment="1">
      <alignment wrapText="1"/>
    </xf>
    <xf numFmtId="0" fontId="2" fillId="0" borderId="0" xfId="0" applyFont="1" applyAlignment="1">
      <alignment wrapText="1"/>
    </xf>
    <xf numFmtId="0" fontId="6" fillId="0" borderId="0" xfId="0" applyFont="1" applyAlignment="1">
      <alignment wrapText="1"/>
    </xf>
    <xf numFmtId="49" fontId="6" fillId="0" borderId="0" xfId="0" applyNumberFormat="1" applyFont="1" applyAlignment="1">
      <alignment wrapText="1"/>
    </xf>
    <xf numFmtId="49" fontId="2" fillId="0" borderId="0" xfId="0" applyNumberFormat="1" applyFont="1" applyAlignment="1">
      <alignment wrapText="1"/>
    </xf>
    <xf numFmtId="0" fontId="2" fillId="0" borderId="0" xfId="0" applyFont="1"/>
    <xf numFmtId="41" fontId="2" fillId="0" borderId="0" xfId="0" applyNumberFormat="1" applyFont="1" applyAlignment="1">
      <alignment wrapText="1"/>
    </xf>
    <xf numFmtId="14" fontId="2" fillId="0" borderId="0" xfId="0" applyNumberFormat="1" applyFont="1" applyAlignment="1">
      <alignment horizontal="center" wrapText="1"/>
    </xf>
    <xf numFmtId="49" fontId="13" fillId="0" borderId="0" xfId="0" applyNumberFormat="1" applyFont="1"/>
    <xf numFmtId="41" fontId="13" fillId="0" borderId="0" xfId="0" applyNumberFormat="1" applyFont="1" applyAlignment="1">
      <alignment wrapText="1"/>
    </xf>
    <xf numFmtId="41" fontId="13" fillId="0" borderId="0" xfId="0" applyNumberFormat="1" applyFont="1"/>
    <xf numFmtId="49" fontId="7" fillId="0" borderId="0" xfId="0" applyNumberFormat="1" applyFont="1" applyAlignment="1">
      <alignment wrapText="1"/>
    </xf>
    <xf numFmtId="49" fontId="12" fillId="0" borderId="0" xfId="0" applyNumberFormat="1" applyFont="1"/>
    <xf numFmtId="49" fontId="0" fillId="0" borderId="0" xfId="0" applyNumberFormat="1"/>
    <xf numFmtId="164" fontId="7" fillId="0" borderId="0" xfId="0" applyNumberFormat="1" applyFont="1" applyAlignment="1">
      <alignment wrapText="1"/>
    </xf>
    <xf numFmtId="164" fontId="9" fillId="0" borderId="0" xfId="0" applyNumberFormat="1" applyFont="1" applyAlignment="1">
      <alignment wrapText="1"/>
    </xf>
    <xf numFmtId="14" fontId="9" fillId="0" borderId="0" xfId="0" applyNumberFormat="1" applyFont="1" applyAlignment="1">
      <alignment horizontal="center"/>
    </xf>
    <xf numFmtId="14" fontId="13" fillId="0" borderId="0" xfId="0" applyNumberFormat="1" applyFont="1" applyAlignment="1">
      <alignment horizontal="center"/>
    </xf>
    <xf numFmtId="14" fontId="7" fillId="0" borderId="0" xfId="0" applyNumberFormat="1" applyFont="1" applyAlignment="1">
      <alignment horizontal="center" wrapText="1"/>
    </xf>
    <xf numFmtId="164" fontId="7" fillId="0" borderId="0" xfId="0" applyNumberFormat="1" applyFont="1" applyAlignment="1">
      <alignment horizontal="right" wrapText="1"/>
    </xf>
    <xf numFmtId="164" fontId="13" fillId="0" borderId="0" xfId="0" applyNumberFormat="1" applyFont="1" applyAlignment="1">
      <alignment horizontal="right" wrapText="1"/>
    </xf>
    <xf numFmtId="14" fontId="7" fillId="0" borderId="0" xfId="0" applyNumberFormat="1" applyFont="1" applyAlignment="1">
      <alignment horizontal="center" vertical="center" wrapText="1"/>
    </xf>
    <xf numFmtId="14" fontId="13" fillId="0" borderId="0" xfId="0" applyNumberFormat="1" applyFont="1" applyAlignment="1">
      <alignment horizontal="center" vertical="center"/>
    </xf>
    <xf numFmtId="0" fontId="9" fillId="0" borderId="0" xfId="0" applyFont="1" applyAlignment="1">
      <alignment horizontal="center" vertical="center"/>
    </xf>
    <xf numFmtId="14" fontId="9" fillId="0" borderId="0" xfId="0" applyNumberFormat="1" applyFont="1" applyAlignment="1">
      <alignment horizontal="center" vertical="center"/>
    </xf>
    <xf numFmtId="0" fontId="17" fillId="2" borderId="0" xfId="0" applyFont="1" applyFill="1" applyAlignment="1">
      <alignment horizontal="center" vertical="center"/>
    </xf>
    <xf numFmtId="0" fontId="16" fillId="0" borderId="0" xfId="0" applyFont="1" applyAlignment="1">
      <alignment horizontal="center"/>
    </xf>
    <xf numFmtId="0" fontId="16" fillId="0" borderId="0" xfId="0" applyFont="1"/>
    <xf numFmtId="0" fontId="20" fillId="0" borderId="0" xfId="3" applyFill="1" applyBorder="1" applyAlignment="1"/>
    <xf numFmtId="0" fontId="18" fillId="0" borderId="0" xfId="0" applyFont="1"/>
    <xf numFmtId="3" fontId="16" fillId="0" borderId="0" xfId="0" applyNumberFormat="1" applyFont="1" applyAlignment="1">
      <alignment horizontal="right"/>
    </xf>
    <xf numFmtId="14" fontId="16" fillId="0" borderId="0" xfId="0" applyNumberFormat="1" applyFont="1" applyAlignment="1">
      <alignment horizontal="right"/>
    </xf>
    <xf numFmtId="0" fontId="16" fillId="0" borderId="0" xfId="0" applyFont="1" applyAlignment="1">
      <alignment horizontal="right"/>
    </xf>
    <xf numFmtId="0" fontId="19" fillId="0" borderId="0" xfId="0" applyFont="1"/>
    <xf numFmtId="10" fontId="0" fillId="0" borderId="0" xfId="0" applyNumberFormat="1" applyAlignment="1">
      <alignment horizontal="center"/>
    </xf>
    <xf numFmtId="164" fontId="0" fillId="0" borderId="0" xfId="0" applyNumberFormat="1" applyAlignment="1">
      <alignment horizontal="right" wrapText="1"/>
    </xf>
    <xf numFmtId="14" fontId="2" fillId="0" borderId="0" xfId="0" applyNumberFormat="1" applyFont="1" applyAlignment="1">
      <alignment horizontal="center" vertical="center" wrapText="1"/>
    </xf>
    <xf numFmtId="41" fontId="2" fillId="0" borderId="0" xfId="0" applyNumberFormat="1" applyFont="1" applyAlignment="1">
      <alignment horizontal="right" wrapText="1"/>
    </xf>
    <xf numFmtId="49" fontId="16" fillId="0" borderId="0" xfId="0" applyNumberFormat="1" applyFont="1" applyAlignment="1">
      <alignment horizontal="center"/>
    </xf>
    <xf numFmtId="165" fontId="2" fillId="0" borderId="0" xfId="0" applyNumberFormat="1" applyFont="1" applyAlignment="1">
      <alignment horizontal="center" vertical="center" wrapText="1"/>
    </xf>
    <xf numFmtId="3" fontId="4" fillId="0" borderId="0" xfId="0" applyNumberFormat="1" applyFont="1"/>
    <xf numFmtId="14" fontId="0" fillId="0" borderId="0" xfId="0" applyNumberFormat="1" applyAlignment="1">
      <alignment horizontal="center"/>
    </xf>
    <xf numFmtId="41" fontId="0" fillId="0" borderId="0" xfId="0" applyNumberFormat="1"/>
    <xf numFmtId="0" fontId="4" fillId="0" borderId="0" xfId="0" applyFont="1" applyAlignment="1">
      <alignment horizontal="center"/>
    </xf>
    <xf numFmtId="0" fontId="12" fillId="0" borderId="10" xfId="0" applyFont="1" applyBorder="1" applyAlignment="1">
      <alignment vertical="center"/>
    </xf>
    <xf numFmtId="0" fontId="12" fillId="0" borderId="0" xfId="0" applyFont="1" applyAlignment="1">
      <alignment vertical="center"/>
    </xf>
    <xf numFmtId="0" fontId="9" fillId="0" borderId="0" xfId="0" applyFont="1" applyAlignment="1">
      <alignment vertical="center"/>
    </xf>
    <xf numFmtId="49" fontId="9" fillId="0" borderId="0" xfId="0" applyNumberFormat="1" applyFont="1" applyAlignment="1">
      <alignment vertical="center"/>
    </xf>
    <xf numFmtId="41" fontId="9" fillId="0" borderId="0" xfId="0" applyNumberFormat="1" applyFont="1" applyAlignment="1">
      <alignment vertical="center"/>
    </xf>
    <xf numFmtId="0" fontId="7" fillId="0" borderId="11" xfId="0" applyFont="1" applyBorder="1" applyAlignment="1">
      <alignment vertical="center"/>
    </xf>
    <xf numFmtId="0" fontId="7" fillId="0" borderId="11" xfId="0" applyFont="1" applyBorder="1" applyAlignment="1">
      <alignment vertical="center" wrapText="1"/>
    </xf>
    <xf numFmtId="0" fontId="7" fillId="0" borderId="0" xfId="0" applyFont="1" applyAlignment="1">
      <alignment vertical="center" wrapText="1"/>
    </xf>
    <xf numFmtId="0" fontId="11" fillId="0" borderId="0" xfId="0" applyFont="1"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xf>
    <xf numFmtId="164" fontId="7" fillId="0" borderId="0" xfId="0" applyNumberFormat="1" applyFont="1" applyAlignment="1">
      <alignment horizontal="right" vertical="center" wrapText="1"/>
    </xf>
    <xf numFmtId="164" fontId="9" fillId="0" borderId="0" xfId="0" applyNumberFormat="1" applyFont="1" applyAlignment="1">
      <alignment horizontal="right" vertical="center" wrapText="1"/>
    </xf>
    <xf numFmtId="164" fontId="9" fillId="0" borderId="0" xfId="0" applyNumberFormat="1" applyFont="1" applyAlignment="1">
      <alignment vertical="center"/>
    </xf>
    <xf numFmtId="41" fontId="12" fillId="0" borderId="0" xfId="0" applyNumberFormat="1" applyFont="1" applyAlignment="1">
      <alignment wrapText="1"/>
    </xf>
    <xf numFmtId="0" fontId="7" fillId="0" borderId="0" xfId="0" applyFont="1" applyAlignment="1">
      <alignment horizontal="center" wrapText="1"/>
    </xf>
    <xf numFmtId="14" fontId="12" fillId="0" borderId="0" xfId="0" applyNumberFormat="1" applyFont="1" applyAlignment="1">
      <alignment horizontal="center"/>
    </xf>
    <xf numFmtId="0" fontId="0" fillId="0" borderId="0" xfId="0" applyAlignment="1">
      <alignment horizontal="center"/>
    </xf>
    <xf numFmtId="0" fontId="9" fillId="0" borderId="0" xfId="0" applyFont="1" applyAlignment="1">
      <alignment horizontal="center"/>
    </xf>
    <xf numFmtId="0" fontId="4" fillId="0" borderId="7" xfId="0" applyFont="1" applyBorder="1" applyAlignment="1">
      <alignment vertical="center"/>
    </xf>
    <xf numFmtId="0" fontId="4" fillId="0" borderId="0" xfId="0" applyFont="1" applyAlignment="1">
      <alignment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8" xfId="0" applyFont="1" applyBorder="1" applyAlignment="1">
      <alignment vertical="center"/>
    </xf>
    <xf numFmtId="49" fontId="5" fillId="0" borderId="0" xfId="1" applyNumberFormat="1" applyFont="1" applyAlignment="1">
      <alignment horizontal="right" vertical="center"/>
    </xf>
    <xf numFmtId="49" fontId="4" fillId="0" borderId="0" xfId="0" applyNumberFormat="1" applyFont="1" applyAlignment="1">
      <alignment vertical="center"/>
    </xf>
    <xf numFmtId="41" fontId="4" fillId="0" borderId="0" xfId="0" applyNumberFormat="1" applyFont="1" applyAlignment="1">
      <alignment vertical="center"/>
    </xf>
    <xf numFmtId="164" fontId="4" fillId="0" borderId="0" xfId="0" applyNumberFormat="1" applyFont="1" applyAlignment="1">
      <alignment horizontal="right" vertical="center" wrapText="1"/>
    </xf>
    <xf numFmtId="41" fontId="4" fillId="0" borderId="0" xfId="0" applyNumberFormat="1" applyFont="1" applyAlignment="1">
      <alignment horizontal="right" vertical="center"/>
    </xf>
    <xf numFmtId="14" fontId="4" fillId="0" borderId="0" xfId="0" applyNumberFormat="1" applyFont="1" applyAlignment="1">
      <alignment horizontal="center" vertical="center"/>
    </xf>
    <xf numFmtId="0" fontId="4" fillId="0" borderId="0" xfId="0" applyFont="1" applyAlignment="1">
      <alignment horizontal="center" vertical="center"/>
    </xf>
    <xf numFmtId="41" fontId="9" fillId="0" borderId="0" xfId="0" applyNumberFormat="1" applyFont="1" applyAlignment="1">
      <alignment wrapText="1"/>
    </xf>
    <xf numFmtId="49" fontId="4" fillId="0" borderId="0" xfId="0" applyNumberFormat="1" applyFont="1" applyAlignment="1">
      <alignment horizontal="center"/>
    </xf>
    <xf numFmtId="0" fontId="2" fillId="0" borderId="0" xfId="0" applyFont="1" applyAlignment="1">
      <alignment horizontal="center" wrapText="1"/>
    </xf>
    <xf numFmtId="0" fontId="6" fillId="0" borderId="0" xfId="0" applyFont="1" applyAlignment="1">
      <alignment horizontal="center" wrapText="1"/>
    </xf>
    <xf numFmtId="0" fontId="0" fillId="0" borderId="0" xfId="0" applyAlignment="1">
      <alignment vertical="center"/>
    </xf>
    <xf numFmtId="41" fontId="9" fillId="0" borderId="0" xfId="0" applyNumberFormat="1" applyFont="1" applyAlignment="1">
      <alignment horizontal="right" vertical="center" wrapText="1"/>
    </xf>
    <xf numFmtId="164" fontId="0" fillId="0" borderId="0" xfId="0" applyNumberFormat="1" applyAlignment="1">
      <alignment vertical="center"/>
    </xf>
    <xf numFmtId="0" fontId="13" fillId="0" borderId="0" xfId="0" applyFont="1" applyAlignment="1">
      <alignment vertical="center"/>
    </xf>
    <xf numFmtId="49" fontId="12" fillId="0" borderId="0" xfId="0" applyNumberFormat="1" applyFont="1" applyAlignment="1">
      <alignment vertical="center"/>
    </xf>
    <xf numFmtId="41" fontId="13" fillId="0" borderId="0" xfId="0" applyNumberFormat="1" applyFont="1" applyAlignment="1">
      <alignment horizontal="right" vertical="center" wrapText="1"/>
    </xf>
    <xf numFmtId="14" fontId="9" fillId="0" borderId="0" xfId="0" applyNumberFormat="1" applyFont="1" applyAlignment="1">
      <alignment vertical="center"/>
    </xf>
    <xf numFmtId="164" fontId="13" fillId="0" borderId="0" xfId="0" applyNumberFormat="1" applyFont="1" applyAlignment="1">
      <alignment horizontal="right" vertical="center" wrapText="1"/>
    </xf>
    <xf numFmtId="41" fontId="9" fillId="0" borderId="0" xfId="0" applyNumberFormat="1" applyFont="1" applyAlignment="1">
      <alignment horizontal="right" wrapText="1"/>
    </xf>
    <xf numFmtId="165" fontId="4" fillId="0" borderId="0" xfId="0" applyNumberFormat="1" applyFont="1" applyAlignment="1">
      <alignment horizontal="center"/>
    </xf>
    <xf numFmtId="0" fontId="4" fillId="0" borderId="0" xfId="0" quotePrefix="1" applyFont="1"/>
    <xf numFmtId="3" fontId="4" fillId="0" borderId="0" xfId="0" applyNumberFormat="1" applyFont="1" applyAlignment="1">
      <alignment vertical="center"/>
    </xf>
    <xf numFmtId="14" fontId="4" fillId="0" borderId="0" xfId="0" applyNumberFormat="1" applyFont="1" applyAlignment="1">
      <alignment vertical="center"/>
    </xf>
    <xf numFmtId="164" fontId="4" fillId="0" borderId="0" xfId="0" applyNumberFormat="1" applyFont="1" applyAlignment="1">
      <alignment vertical="center"/>
    </xf>
    <xf numFmtId="0" fontId="21" fillId="0" borderId="0" xfId="0" applyFont="1" applyAlignment="1">
      <alignment horizontal="center"/>
    </xf>
    <xf numFmtId="0" fontId="21" fillId="0" borderId="0" xfId="0" applyFont="1"/>
    <xf numFmtId="0" fontId="20" fillId="0" borderId="0" xfId="3" applyFill="1" applyAlignment="1"/>
    <xf numFmtId="49" fontId="21" fillId="0" borderId="0" xfId="0" applyNumberFormat="1" applyFont="1" applyAlignment="1">
      <alignment horizontal="center"/>
    </xf>
    <xf numFmtId="3" fontId="21" fillId="0" borderId="0" xfId="0" applyNumberFormat="1" applyFont="1" applyAlignment="1">
      <alignment horizontal="right"/>
    </xf>
    <xf numFmtId="14" fontId="21" fillId="0" borderId="0" xfId="0" applyNumberFormat="1" applyFont="1" applyAlignment="1">
      <alignment horizontal="right"/>
    </xf>
    <xf numFmtId="0" fontId="21" fillId="0" borderId="0" xfId="0" applyFont="1" applyAlignment="1">
      <alignment horizontal="right"/>
    </xf>
    <xf numFmtId="0" fontId="22" fillId="0" borderId="0" xfId="0" applyFont="1"/>
    <xf numFmtId="164" fontId="0" fillId="0" borderId="0" xfId="0" applyNumberFormat="1"/>
    <xf numFmtId="0" fontId="23" fillId="2" borderId="0" xfId="0" applyFont="1" applyFill="1" applyAlignment="1">
      <alignment horizontal="center" vertical="center"/>
    </xf>
    <xf numFmtId="49" fontId="21" fillId="0" borderId="0" xfId="0" quotePrefix="1" applyNumberFormat="1" applyFont="1" applyAlignment="1">
      <alignment horizontal="center"/>
    </xf>
    <xf numFmtId="0" fontId="24" fillId="0" borderId="0" xfId="3" applyFont="1"/>
    <xf numFmtId="0" fontId="25" fillId="0" borderId="0" xfId="3" applyFont="1"/>
    <xf numFmtId="0" fontId="27" fillId="2" borderId="0" xfId="0" applyFont="1" applyFill="1" applyAlignment="1">
      <alignment horizontal="center" vertical="center"/>
    </xf>
    <xf numFmtId="14" fontId="0" fillId="0" borderId="0" xfId="0" applyNumberFormat="1"/>
    <xf numFmtId="3" fontId="0" fillId="0" borderId="0" xfId="0" applyNumberFormat="1"/>
    <xf numFmtId="41" fontId="13" fillId="0" borderId="0" xfId="0" applyNumberFormat="1" applyFont="1" applyAlignment="1">
      <alignment vertical="center"/>
    </xf>
    <xf numFmtId="164" fontId="7" fillId="0" borderId="1" xfId="0" applyNumberFormat="1" applyFont="1" applyBorder="1" applyAlignment="1">
      <alignment horizontal="right" wrapText="1"/>
    </xf>
    <xf numFmtId="164" fontId="7" fillId="0" borderId="5" xfId="0" applyNumberFormat="1" applyFont="1" applyBorder="1" applyAlignment="1">
      <alignment horizontal="right" wrapText="1"/>
    </xf>
    <xf numFmtId="49" fontId="7" fillId="0" borderId="1" xfId="0" applyNumberFormat="1" applyFont="1" applyBorder="1" applyAlignment="1">
      <alignment wrapText="1"/>
    </xf>
    <xf numFmtId="49" fontId="7" fillId="0" borderId="5" xfId="0" applyNumberFormat="1" applyFont="1" applyBorder="1" applyAlignment="1">
      <alignment wrapText="1"/>
    </xf>
    <xf numFmtId="0" fontId="7" fillId="0" borderId="1" xfId="0" applyFont="1" applyBorder="1"/>
    <xf numFmtId="0" fontId="7" fillId="0" borderId="5" xfId="0" applyFont="1" applyBorder="1"/>
    <xf numFmtId="0" fontId="14" fillId="0" borderId="9" xfId="0" applyFont="1" applyBorder="1" applyAlignment="1">
      <alignment wrapText="1"/>
    </xf>
    <xf numFmtId="0" fontId="14" fillId="0" borderId="3" xfId="0" applyFont="1" applyBorder="1" applyAlignment="1">
      <alignment wrapText="1"/>
    </xf>
    <xf numFmtId="0" fontId="7" fillId="0" borderId="1" xfId="0" applyFont="1" applyBorder="1" applyAlignment="1">
      <alignment wrapText="1"/>
    </xf>
    <xf numFmtId="0" fontId="7" fillId="0" borderId="5" xfId="0" applyFont="1" applyBorder="1" applyAlignment="1">
      <alignment wrapText="1"/>
    </xf>
    <xf numFmtId="0" fontId="14" fillId="0" borderId="1" xfId="0" applyFont="1" applyBorder="1" applyAlignment="1">
      <alignment wrapText="1"/>
    </xf>
    <xf numFmtId="0" fontId="14" fillId="0" borderId="5" xfId="0" applyFont="1" applyBorder="1" applyAlignment="1">
      <alignment wrapText="1"/>
    </xf>
    <xf numFmtId="14" fontId="7" fillId="0" borderId="1" xfId="0" applyNumberFormat="1" applyFont="1" applyBorder="1" applyAlignment="1">
      <alignment horizontal="center" vertical="center" wrapText="1"/>
    </xf>
    <xf numFmtId="14" fontId="7" fillId="0" borderId="5" xfId="0" applyNumberFormat="1" applyFont="1" applyBorder="1" applyAlignment="1">
      <alignment horizontal="center" vertical="center" wrapText="1"/>
    </xf>
    <xf numFmtId="0" fontId="14" fillId="0" borderId="6" xfId="0" applyFont="1" applyBorder="1" applyAlignment="1">
      <alignment wrapText="1"/>
    </xf>
    <xf numFmtId="49" fontId="3" fillId="0" borderId="1"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49" fontId="3" fillId="0" borderId="6" xfId="0" applyNumberFormat="1" applyFont="1" applyBorder="1" applyAlignment="1">
      <alignment horizontal="center" vertical="center" wrapText="1"/>
    </xf>
    <xf numFmtId="41" fontId="2" fillId="0" borderId="1" xfId="0" applyNumberFormat="1" applyFont="1" applyBorder="1" applyAlignment="1">
      <alignment horizontal="center" vertical="center" wrapText="1"/>
    </xf>
    <xf numFmtId="41" fontId="2" fillId="0" borderId="5"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4" fillId="0" borderId="1" xfId="0" applyFont="1" applyBorder="1" applyAlignment="1">
      <alignment vertical="center" wrapText="1"/>
    </xf>
    <xf numFmtId="0" fontId="14" fillId="0" borderId="5" xfId="0" applyFont="1" applyBorder="1" applyAlignment="1">
      <alignment vertical="center" wrapText="1"/>
    </xf>
    <xf numFmtId="0" fontId="7" fillId="0" borderId="1" xfId="0" applyFont="1" applyBorder="1" applyAlignment="1">
      <alignment vertical="center" wrapText="1"/>
    </xf>
    <xf numFmtId="0" fontId="7" fillId="0" borderId="5" xfId="0" applyFont="1" applyBorder="1" applyAlignment="1">
      <alignment vertical="center" wrapText="1"/>
    </xf>
    <xf numFmtId="0" fontId="14" fillId="0" borderId="6" xfId="0" applyFont="1" applyBorder="1" applyAlignment="1">
      <alignment vertical="center" wrapText="1"/>
    </xf>
    <xf numFmtId="164" fontId="7" fillId="0" borderId="1" xfId="0" applyNumberFormat="1" applyFont="1" applyBorder="1" applyAlignment="1">
      <alignment horizontal="right" vertical="center" wrapText="1"/>
    </xf>
    <xf numFmtId="164" fontId="7" fillId="0" borderId="5" xfId="0" applyNumberFormat="1" applyFont="1" applyBorder="1" applyAlignment="1">
      <alignment horizontal="right" vertical="center" wrapText="1"/>
    </xf>
    <xf numFmtId="49" fontId="7" fillId="0" borderId="1" xfId="0" applyNumberFormat="1" applyFont="1" applyBorder="1" applyAlignment="1">
      <alignment vertical="center" wrapText="1"/>
    </xf>
    <xf numFmtId="49" fontId="7" fillId="0" borderId="5" xfId="0" applyNumberFormat="1" applyFont="1" applyBorder="1" applyAlignment="1">
      <alignment vertical="center" wrapText="1"/>
    </xf>
    <xf numFmtId="0" fontId="7" fillId="0" borderId="1" xfId="0" applyFont="1" applyBorder="1" applyAlignment="1">
      <alignment vertical="center"/>
    </xf>
    <xf numFmtId="0" fontId="7" fillId="0" borderId="5" xfId="0" applyFont="1" applyBorder="1" applyAlignment="1">
      <alignment vertical="center"/>
    </xf>
    <xf numFmtId="0" fontId="14" fillId="0" borderId="9" xfId="0" applyFont="1" applyBorder="1" applyAlignment="1">
      <alignment vertical="center" wrapText="1"/>
    </xf>
    <xf numFmtId="0" fontId="14" fillId="0" borderId="3" xfId="0" applyFont="1" applyBorder="1" applyAlignment="1">
      <alignment vertical="center" wrapText="1"/>
    </xf>
    <xf numFmtId="0" fontId="7" fillId="0" borderId="1" xfId="0" applyFont="1" applyBorder="1" applyAlignment="1">
      <alignment horizontal="center" wrapText="1"/>
    </xf>
    <xf numFmtId="0" fontId="7" fillId="0" borderId="5" xfId="0" applyFont="1" applyBorder="1" applyAlignment="1">
      <alignment horizontal="center" wrapText="1"/>
    </xf>
    <xf numFmtId="0" fontId="15" fillId="0" borderId="1" xfId="0" applyFont="1" applyBorder="1" applyAlignment="1">
      <alignment wrapText="1"/>
    </xf>
    <xf numFmtId="0" fontId="15" fillId="0" borderId="5" xfId="0" applyFont="1" applyBorder="1" applyAlignment="1">
      <alignment wrapText="1"/>
    </xf>
    <xf numFmtId="0" fontId="2" fillId="0" borderId="1" xfId="0" applyFont="1" applyBorder="1" applyAlignment="1">
      <alignment wrapText="1"/>
    </xf>
    <xf numFmtId="0" fontId="2" fillId="0" borderId="5" xfId="0" applyFont="1" applyBorder="1" applyAlignment="1">
      <alignment wrapText="1"/>
    </xf>
    <xf numFmtId="14" fontId="2" fillId="0" borderId="1" xfId="0" applyNumberFormat="1" applyFont="1" applyBorder="1" applyAlignment="1">
      <alignment horizontal="center" wrapText="1"/>
    </xf>
    <xf numFmtId="14" fontId="2" fillId="0" borderId="5" xfId="0" applyNumberFormat="1" applyFont="1" applyBorder="1" applyAlignment="1">
      <alignment horizontal="center" wrapText="1"/>
    </xf>
    <xf numFmtId="0" fontId="15" fillId="0" borderId="6" xfId="0" applyFont="1" applyBorder="1" applyAlignment="1">
      <alignment wrapText="1"/>
    </xf>
    <xf numFmtId="41" fontId="2" fillId="0" borderId="1" xfId="0" applyNumberFormat="1" applyFont="1" applyBorder="1" applyAlignment="1">
      <alignment wrapText="1"/>
    </xf>
    <xf numFmtId="41" fontId="2" fillId="0" borderId="5" xfId="0" applyNumberFormat="1" applyFont="1" applyBorder="1" applyAlignment="1">
      <alignment wrapText="1"/>
    </xf>
    <xf numFmtId="49" fontId="2" fillId="0" borderId="1" xfId="0" applyNumberFormat="1" applyFont="1" applyBorder="1" applyAlignment="1">
      <alignment wrapText="1"/>
    </xf>
    <xf numFmtId="49" fontId="2" fillId="0" borderId="5" xfId="0" applyNumberFormat="1" applyFont="1" applyBorder="1" applyAlignment="1">
      <alignment wrapText="1"/>
    </xf>
    <xf numFmtId="0" fontId="2" fillId="0" borderId="1" xfId="0" applyFont="1" applyBorder="1"/>
    <xf numFmtId="0" fontId="2" fillId="0" borderId="5" xfId="0" applyFont="1" applyBorder="1"/>
    <xf numFmtId="0" fontId="15" fillId="0" borderId="9" xfId="0" applyFont="1" applyBorder="1" applyAlignment="1">
      <alignment wrapText="1"/>
    </xf>
    <xf numFmtId="0" fontId="15" fillId="0" borderId="3" xfId="0" applyFont="1" applyBorder="1" applyAlignment="1">
      <alignment wrapText="1"/>
    </xf>
    <xf numFmtId="41" fontId="2" fillId="0" borderId="1" xfId="0" applyNumberFormat="1" applyFont="1" applyBorder="1" applyAlignment="1">
      <alignment horizontal="right" wrapText="1"/>
    </xf>
    <xf numFmtId="41" fontId="2" fillId="0" borderId="5" xfId="0" applyNumberFormat="1" applyFont="1" applyBorder="1" applyAlignment="1">
      <alignment horizontal="right" wrapText="1"/>
    </xf>
    <xf numFmtId="14" fontId="2" fillId="0" borderId="1" xfId="0" applyNumberFormat="1" applyFont="1" applyBorder="1" applyAlignment="1">
      <alignment horizontal="center" vertical="center" wrapText="1"/>
    </xf>
    <xf numFmtId="14" fontId="2" fillId="0" borderId="5" xfId="0" applyNumberFormat="1" applyFont="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3" fillId="0" borderId="5" xfId="0" applyFont="1" applyBorder="1" applyAlignment="1">
      <alignment horizontal="center" vertical="center" wrapText="1"/>
    </xf>
    <xf numFmtId="164" fontId="7" fillId="0" borderId="1" xfId="0" applyNumberFormat="1" applyFont="1" applyBorder="1" applyAlignment="1">
      <alignment wrapText="1"/>
    </xf>
    <xf numFmtId="164" fontId="7" fillId="0" borderId="5" xfId="0" applyNumberFormat="1" applyFont="1" applyBorder="1" applyAlignment="1">
      <alignment wrapText="1"/>
    </xf>
    <xf numFmtId="14" fontId="7" fillId="0" borderId="1" xfId="0" applyNumberFormat="1" applyFont="1" applyBorder="1" applyAlignment="1">
      <alignment horizontal="center" wrapText="1"/>
    </xf>
    <xf numFmtId="14" fontId="7" fillId="0" borderId="5" xfId="0" applyNumberFormat="1" applyFont="1" applyBorder="1" applyAlignment="1">
      <alignment horizontal="center" wrapText="1"/>
    </xf>
    <xf numFmtId="164" fontId="2" fillId="0" borderId="1"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0" fontId="8" fillId="0" borderId="1" xfId="0" applyFont="1" applyBorder="1" applyAlignment="1">
      <alignment horizontal="center" vertical="center" wrapText="1"/>
    </xf>
    <xf numFmtId="0" fontId="8" fillId="0" borderId="6" xfId="0" applyFont="1" applyBorder="1" applyAlignment="1">
      <alignment horizontal="center" vertical="center" wrapText="1"/>
    </xf>
    <xf numFmtId="49" fontId="8" fillId="0" borderId="6"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64" fontId="7" fillId="0" borderId="5"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1" xfId="0" applyNumberFormat="1" applyFont="1" applyBorder="1" applyAlignment="1">
      <alignment horizontal="center" vertical="center"/>
    </xf>
    <xf numFmtId="49" fontId="7" fillId="0" borderId="5" xfId="0" applyNumberFormat="1"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49" fontId="15" fillId="0" borderId="1" xfId="0" applyNumberFormat="1" applyFont="1" applyBorder="1" applyAlignment="1">
      <alignment wrapText="1"/>
    </xf>
    <xf numFmtId="49" fontId="15" fillId="0" borderId="5" xfId="0" applyNumberFormat="1" applyFont="1" applyBorder="1" applyAlignment="1">
      <alignment wrapText="1"/>
    </xf>
    <xf numFmtId="165" fontId="2" fillId="0" borderId="1" xfId="0" applyNumberFormat="1" applyFont="1" applyBorder="1" applyAlignment="1">
      <alignment horizontal="center" vertical="center" wrapText="1"/>
    </xf>
    <xf numFmtId="165" fontId="2" fillId="0" borderId="5" xfId="0" applyNumberFormat="1" applyFont="1" applyBorder="1" applyAlignment="1">
      <alignment horizontal="center" vertical="center" wrapText="1"/>
    </xf>
  </cellXfs>
  <cellStyles count="4">
    <cellStyle name="Comma 2" xfId="2" xr:uid="{00000000-0005-0000-0000-000000000000}"/>
    <cellStyle name="Hyperlink" xfId="3" builtinId="8"/>
    <cellStyle name="Normal" xfId="0" builtinId="0"/>
    <cellStyle name="Normal 2" xfId="1" xr:uid="{00000000-0005-0000-0000-000003000000}"/>
  </cellStyles>
  <dxfs count="27">
    <dxf>
      <font>
        <color rgb="FF9C0006"/>
      </font>
      <fill>
        <patternFill>
          <bgColor rgb="FFFFC7CE"/>
        </patternFill>
      </fill>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theme="1"/>
        <name val="Times New Roman"/>
        <scheme val="none"/>
      </font>
      <fill>
        <patternFill patternType="solid">
          <fgColor indexed="64"/>
          <bgColor rgb="FF92D05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X31" totalsRowShown="0" headerRowDxfId="26" dataDxfId="25">
  <autoFilter ref="A2:X31" xr:uid="{00000000-0009-0000-0100-000001000000}"/>
  <tableColumns count="24">
    <tableColumn id="1" xr3:uid="{00000000-0010-0000-0000-000001000000}" name="STT" dataDxfId="24"/>
    <tableColumn id="22" xr3:uid="{00000000-0010-0000-0000-000016000000}" name="Done hạch toán" dataDxfId="23"/>
    <tableColumn id="2" xr3:uid="{00000000-0010-0000-0000-000002000000}" name="Tên HKD" dataDxfId="22"/>
    <tableColumn id="3" xr3:uid="{00000000-0010-0000-0000-000003000000}" name="Trang hóa đơn đầu ra" dataDxfId="21" dataCellStyle="Hyperlink"/>
    <tableColumn id="4" xr3:uid="{00000000-0010-0000-0000-000004000000}" name="ID" dataDxfId="20"/>
    <tableColumn id="5" xr3:uid="{00000000-0010-0000-0000-000005000000}" name="Mật khẩu" dataDxfId="19"/>
    <tableColumn id="6" xr3:uid="{00000000-0010-0000-0000-000006000000}" name="Trang hóa đơn đầu vào" dataDxfId="18"/>
    <tableColumn id="7" xr3:uid="{00000000-0010-0000-0000-000007000000}" name="ID2" dataDxfId="17"/>
    <tableColumn id="8" xr3:uid="{00000000-0010-0000-0000-000008000000}" name="Mật khẩu3" dataDxfId="16"/>
    <tableColumn id="9" xr3:uid="{00000000-0010-0000-0000-000009000000}" name="Bảo hiểm" dataDxfId="15"/>
    <tableColumn id="10" xr3:uid="{00000000-0010-0000-0000-00000A000000}" name="ID4" dataDxfId="14"/>
    <tableColumn id="11" xr3:uid="{00000000-0010-0000-0000-00000B000000}" name="Mật khẩu5" dataDxfId="13"/>
    <tableColumn id="12" xr3:uid="{00000000-0010-0000-0000-00000C000000}" name="Số Chủ HKD đóng BHXH" dataDxfId="12"/>
    <tableColumn id="13" xr3:uid="{00000000-0010-0000-0000-00000D000000}" name="Mức đóng BHXH chủ hộ" dataDxfId="11"/>
    <tableColumn id="14" xr3:uid="{00000000-0010-0000-0000-00000E000000}" name="Thời gian đóng BHXH" dataDxfId="10"/>
    <tableColumn id="15" xr3:uid="{00000000-0010-0000-0000-00000F000000}" name="Số Nhân viên đóng BHXH" dataDxfId="9"/>
    <tableColumn id="16" xr3:uid="{00000000-0010-0000-0000-000010000000}" name="Thời gian đóng BHXH6" dataDxfId="8"/>
    <tableColumn id="17" xr3:uid="{00000000-0010-0000-0000-000011000000}" name="Mức lương (NET)" dataDxfId="7"/>
    <tableColumn id="18" xr3:uid="{00000000-0010-0000-0000-000012000000}" name="Bảo hiểm (NET)" dataDxfId="6"/>
    <tableColumn id="19" xr3:uid="{00000000-0010-0000-0000-000013000000}" name="Link sever" dataDxfId="5" dataCellStyle="Hyperlink"/>
    <tableColumn id="20" xr3:uid="{00000000-0010-0000-0000-000014000000}" name="Mật khẩu 3TSOFT" dataDxfId="4"/>
    <tableColumn id="21" xr3:uid="{00000000-0010-0000-0000-000015000000}" name="Sao kê ngân hàng" dataDxfId="3"/>
    <tableColumn id="23" xr3:uid="{00000000-0010-0000-0000-000017000000}" name="Column1" dataDxfId="2"/>
    <tableColumn id="25" xr3:uid="{00000000-0010-0000-0000-000019000000}" name="Column2"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1"/>
  <sheetViews>
    <sheetView zoomScale="85" zoomScaleNormal="85" workbookViewId="0">
      <pane xSplit="3" ySplit="4" topLeftCell="D5" activePane="bottomRight" state="frozen"/>
      <selection pane="topRight" activeCell="D1" sqref="D1"/>
      <selection pane="bottomLeft" activeCell="A5" sqref="A5"/>
      <selection pane="bottomRight" activeCell="C17" sqref="C17"/>
    </sheetView>
  </sheetViews>
  <sheetFormatPr defaultRowHeight="15" x14ac:dyDescent="0.25"/>
  <cols>
    <col min="2" max="2" width="17.85546875" customWidth="1"/>
    <col min="3" max="3" width="47.5703125" customWidth="1"/>
    <col min="4" max="4" width="9.140625" customWidth="1"/>
    <col min="5" max="5" width="12.140625" customWidth="1"/>
    <col min="6" max="6" width="24.28515625" customWidth="1"/>
    <col min="7" max="7" width="14.85546875" bestFit="1" customWidth="1"/>
    <col min="8" max="8" width="15.7109375" bestFit="1" customWidth="1"/>
    <col min="9" max="9" width="39.42578125" bestFit="1" customWidth="1"/>
    <col min="11" max="11" width="13.28515625" customWidth="1"/>
    <col min="12" max="12" width="16" customWidth="1"/>
    <col min="13" max="13" width="26.42578125" customWidth="1"/>
    <col min="14" max="14" width="24" customWidth="1"/>
    <col min="15" max="15" width="27.5703125" customWidth="1"/>
    <col min="16" max="16" width="25.140625" customWidth="1"/>
    <col min="17" max="17" width="19.85546875" customWidth="1"/>
    <col min="18" max="18" width="18.42578125" customWidth="1"/>
    <col min="19" max="19" width="13.42578125" customWidth="1"/>
    <col min="20" max="20" width="20.85546875" customWidth="1"/>
    <col min="21" max="21" width="19.42578125" customWidth="1"/>
  </cols>
  <sheetData>
    <row r="1" spans="1:24" x14ac:dyDescent="0.25">
      <c r="A1" t="s">
        <v>273</v>
      </c>
      <c r="B1" s="81">
        <f>COUNTIF(Table1[Done hạch toán],"v")/MAX(Table1[STT])</f>
        <v>1</v>
      </c>
      <c r="C1">
        <f>COUNTIF(Table1[Done hạch toán],"v")</f>
        <v>29</v>
      </c>
    </row>
    <row r="2" spans="1:24" x14ac:dyDescent="0.25">
      <c r="A2" s="72" t="s">
        <v>17</v>
      </c>
      <c r="B2" s="72" t="s">
        <v>271</v>
      </c>
      <c r="C2" s="72" t="s">
        <v>153</v>
      </c>
      <c r="D2" s="72" t="s">
        <v>154</v>
      </c>
      <c r="E2" s="72" t="s">
        <v>155</v>
      </c>
      <c r="F2" s="72" t="s">
        <v>156</v>
      </c>
      <c r="G2" s="72" t="s">
        <v>157</v>
      </c>
      <c r="H2" s="72" t="s">
        <v>266</v>
      </c>
      <c r="I2" s="72" t="s">
        <v>267</v>
      </c>
      <c r="J2" s="72" t="s">
        <v>158</v>
      </c>
      <c r="K2" s="72" t="s">
        <v>268</v>
      </c>
      <c r="L2" s="72" t="s">
        <v>269</v>
      </c>
      <c r="M2" s="72" t="s">
        <v>159</v>
      </c>
      <c r="N2" s="72" t="s">
        <v>160</v>
      </c>
      <c r="O2" s="72" t="s">
        <v>161</v>
      </c>
      <c r="P2" s="72" t="s">
        <v>162</v>
      </c>
      <c r="Q2" s="72" t="s">
        <v>270</v>
      </c>
      <c r="R2" s="72" t="s">
        <v>163</v>
      </c>
      <c r="S2" s="72" t="s">
        <v>164</v>
      </c>
      <c r="T2" s="72" t="s">
        <v>165</v>
      </c>
      <c r="U2" s="72" t="s">
        <v>166</v>
      </c>
      <c r="V2" s="72" t="s">
        <v>167</v>
      </c>
      <c r="W2" s="149" t="s">
        <v>3262</v>
      </c>
      <c r="X2" s="153" t="s">
        <v>3992</v>
      </c>
    </row>
    <row r="3" spans="1:24" x14ac:dyDescent="0.25">
      <c r="A3" s="73">
        <v>1</v>
      </c>
      <c r="B3" s="73" t="s">
        <v>272</v>
      </c>
      <c r="C3" s="151" t="s">
        <v>168</v>
      </c>
      <c r="D3" s="75" t="s">
        <v>169</v>
      </c>
      <c r="E3" s="73" t="s">
        <v>170</v>
      </c>
      <c r="F3" s="73" t="s">
        <v>171</v>
      </c>
      <c r="G3" s="74" t="s">
        <v>172</v>
      </c>
      <c r="H3" s="85" t="s">
        <v>146</v>
      </c>
      <c r="I3" s="74" t="s">
        <v>171</v>
      </c>
      <c r="J3" s="75" t="s">
        <v>173</v>
      </c>
      <c r="K3" s="76">
        <v>1300021652</v>
      </c>
      <c r="L3" s="76" t="s">
        <v>171</v>
      </c>
      <c r="M3" s="74">
        <v>1</v>
      </c>
      <c r="N3" s="77">
        <v>690300</v>
      </c>
      <c r="O3" s="78">
        <v>45839</v>
      </c>
      <c r="P3" s="79">
        <v>0</v>
      </c>
      <c r="Q3" s="76"/>
      <c r="R3" s="76"/>
      <c r="S3" s="76"/>
      <c r="T3" s="75" t="s">
        <v>174</v>
      </c>
      <c r="U3" s="74" t="s">
        <v>175</v>
      </c>
      <c r="V3" s="74" t="s">
        <v>21</v>
      </c>
      <c r="W3" s="76"/>
      <c r="X3" s="147" t="s">
        <v>3994</v>
      </c>
    </row>
    <row r="4" spans="1:24" x14ac:dyDescent="0.25">
      <c r="A4" s="73">
        <f>A3+1</f>
        <v>2</v>
      </c>
      <c r="B4" s="73" t="s">
        <v>272</v>
      </c>
      <c r="C4" s="151" t="s">
        <v>176</v>
      </c>
      <c r="D4" s="75" t="s">
        <v>177</v>
      </c>
      <c r="E4" s="73" t="s">
        <v>170</v>
      </c>
      <c r="F4" s="73" t="s">
        <v>171</v>
      </c>
      <c r="G4" s="74" t="s">
        <v>172</v>
      </c>
      <c r="H4" s="85" t="s">
        <v>73</v>
      </c>
      <c r="I4" s="74" t="s">
        <v>171</v>
      </c>
      <c r="J4" s="74" t="s">
        <v>173</v>
      </c>
      <c r="K4" s="76">
        <v>1303027720</v>
      </c>
      <c r="L4" s="76" t="s">
        <v>171</v>
      </c>
      <c r="M4" s="74">
        <v>1</v>
      </c>
      <c r="N4" s="77">
        <v>690300</v>
      </c>
      <c r="O4" s="78">
        <v>45839</v>
      </c>
      <c r="P4" s="79">
        <v>0</v>
      </c>
      <c r="Q4" s="76"/>
      <c r="R4" s="76"/>
      <c r="S4" s="76"/>
      <c r="T4" s="75" t="s">
        <v>178</v>
      </c>
      <c r="U4" s="74" t="s">
        <v>179</v>
      </c>
      <c r="V4" s="74" t="s">
        <v>21</v>
      </c>
      <c r="W4" s="76"/>
      <c r="X4" s="147" t="s">
        <v>3994</v>
      </c>
    </row>
    <row r="5" spans="1:24" x14ac:dyDescent="0.25">
      <c r="A5" s="73">
        <f t="shared" ref="A5:A31" si="0">A4+1</f>
        <v>3</v>
      </c>
      <c r="B5" s="73" t="s">
        <v>272</v>
      </c>
      <c r="C5" s="151" t="s">
        <v>180</v>
      </c>
      <c r="D5" s="75" t="s">
        <v>181</v>
      </c>
      <c r="E5" s="73" t="s">
        <v>170</v>
      </c>
      <c r="F5" s="73" t="s">
        <v>171</v>
      </c>
      <c r="G5" s="74" t="s">
        <v>172</v>
      </c>
      <c r="H5" s="85" t="s">
        <v>182</v>
      </c>
      <c r="I5" s="74" t="s">
        <v>171</v>
      </c>
      <c r="J5" s="74" t="s">
        <v>173</v>
      </c>
      <c r="K5" s="76">
        <v>10096002728</v>
      </c>
      <c r="L5" s="76" t="s">
        <v>171</v>
      </c>
      <c r="M5" s="74">
        <v>1</v>
      </c>
      <c r="N5" s="77">
        <v>690300</v>
      </c>
      <c r="O5" s="78">
        <v>45839</v>
      </c>
      <c r="P5" s="79">
        <v>1</v>
      </c>
      <c r="Q5" s="78">
        <v>45666</v>
      </c>
      <c r="R5" s="76"/>
      <c r="S5" s="77" t="s">
        <v>3139</v>
      </c>
      <c r="T5" s="75" t="s">
        <v>183</v>
      </c>
      <c r="U5" s="74" t="s">
        <v>184</v>
      </c>
      <c r="V5" s="74" t="s">
        <v>21</v>
      </c>
      <c r="W5" s="76"/>
      <c r="X5" s="147" t="s">
        <v>3994</v>
      </c>
    </row>
    <row r="6" spans="1:24" x14ac:dyDescent="0.25">
      <c r="A6" s="73">
        <f t="shared" si="0"/>
        <v>4</v>
      </c>
      <c r="B6" s="73" t="s">
        <v>272</v>
      </c>
      <c r="C6" s="151" t="s">
        <v>185</v>
      </c>
      <c r="D6" s="75" t="s">
        <v>186</v>
      </c>
      <c r="E6" s="73" t="s">
        <v>170</v>
      </c>
      <c r="F6" s="73" t="s">
        <v>171</v>
      </c>
      <c r="G6" s="74" t="s">
        <v>172</v>
      </c>
      <c r="H6" s="85" t="s">
        <v>138</v>
      </c>
      <c r="I6" s="74" t="s">
        <v>171</v>
      </c>
      <c r="J6" s="74" t="s">
        <v>173</v>
      </c>
      <c r="K6" s="76">
        <v>25300006441</v>
      </c>
      <c r="L6" s="76" t="s">
        <v>171</v>
      </c>
      <c r="M6" s="74">
        <v>1</v>
      </c>
      <c r="N6" s="77">
        <v>690300</v>
      </c>
      <c r="O6" s="78">
        <v>45839</v>
      </c>
      <c r="P6" s="79">
        <v>0</v>
      </c>
      <c r="Q6" s="76"/>
      <c r="R6" s="76"/>
      <c r="S6" s="76"/>
      <c r="T6" s="75" t="s">
        <v>187</v>
      </c>
      <c r="U6" s="74" t="s">
        <v>188</v>
      </c>
      <c r="V6" s="74" t="s">
        <v>21</v>
      </c>
      <c r="W6" s="76" t="s">
        <v>4940</v>
      </c>
      <c r="X6" s="147" t="s">
        <v>3994</v>
      </c>
    </row>
    <row r="7" spans="1:24" x14ac:dyDescent="0.25">
      <c r="A7" s="73">
        <f t="shared" si="0"/>
        <v>5</v>
      </c>
      <c r="B7" s="73" t="s">
        <v>272</v>
      </c>
      <c r="C7" s="151" t="s">
        <v>189</v>
      </c>
      <c r="D7" s="75" t="s">
        <v>190</v>
      </c>
      <c r="E7" s="73" t="s">
        <v>170</v>
      </c>
      <c r="F7" s="73" t="s">
        <v>171</v>
      </c>
      <c r="G7" s="74" t="s">
        <v>172</v>
      </c>
      <c r="H7" s="85" t="s">
        <v>191</v>
      </c>
      <c r="I7" s="74" t="s">
        <v>171</v>
      </c>
      <c r="J7" s="74" t="s">
        <v>173</v>
      </c>
      <c r="K7" s="76">
        <v>34192000639</v>
      </c>
      <c r="L7" s="76" t="s">
        <v>171</v>
      </c>
      <c r="M7" s="74">
        <v>1</v>
      </c>
      <c r="N7" s="77">
        <v>2950000</v>
      </c>
      <c r="O7" s="78">
        <v>45839</v>
      </c>
      <c r="P7" s="79">
        <v>0</v>
      </c>
      <c r="Q7" s="76"/>
      <c r="R7" s="76"/>
      <c r="S7" s="76"/>
      <c r="T7" s="75" t="s">
        <v>192</v>
      </c>
      <c r="U7" s="74" t="s">
        <v>193</v>
      </c>
      <c r="V7" s="74" t="s">
        <v>21</v>
      </c>
      <c r="W7" s="76"/>
      <c r="X7" s="147" t="s">
        <v>3994</v>
      </c>
    </row>
    <row r="8" spans="1:24" x14ac:dyDescent="0.25">
      <c r="A8" s="73">
        <f t="shared" si="0"/>
        <v>6</v>
      </c>
      <c r="B8" s="73" t="s">
        <v>272</v>
      </c>
      <c r="C8" s="151" t="s">
        <v>194</v>
      </c>
      <c r="D8" s="75" t="s">
        <v>195</v>
      </c>
      <c r="E8" s="73" t="s">
        <v>170</v>
      </c>
      <c r="F8" s="73" t="s">
        <v>171</v>
      </c>
      <c r="G8" s="74" t="s">
        <v>172</v>
      </c>
      <c r="H8" s="85" t="s">
        <v>196</v>
      </c>
      <c r="I8" s="74" t="s">
        <v>171</v>
      </c>
      <c r="J8" s="74" t="s">
        <v>173</v>
      </c>
      <c r="K8" s="76">
        <v>38192002704</v>
      </c>
      <c r="L8" s="76" t="s">
        <v>171</v>
      </c>
      <c r="M8" s="74">
        <v>1</v>
      </c>
      <c r="N8" s="77">
        <v>690300</v>
      </c>
      <c r="O8" s="78">
        <v>45839</v>
      </c>
      <c r="P8" s="79">
        <v>0</v>
      </c>
      <c r="Q8" s="76"/>
      <c r="R8" s="76"/>
      <c r="S8" s="76"/>
      <c r="T8" s="75" t="s">
        <v>197</v>
      </c>
      <c r="U8" s="74" t="s">
        <v>198</v>
      </c>
      <c r="V8" s="76" t="s">
        <v>21</v>
      </c>
      <c r="W8" s="76"/>
      <c r="X8" s="147" t="s">
        <v>3994</v>
      </c>
    </row>
    <row r="9" spans="1:24" x14ac:dyDescent="0.25">
      <c r="A9" s="73">
        <f t="shared" si="0"/>
        <v>7</v>
      </c>
      <c r="B9" s="73" t="s">
        <v>272</v>
      </c>
      <c r="C9" s="151" t="s">
        <v>133</v>
      </c>
      <c r="D9" s="75" t="s">
        <v>199</v>
      </c>
      <c r="E9" s="73" t="s">
        <v>170</v>
      </c>
      <c r="F9" s="73" t="s">
        <v>171</v>
      </c>
      <c r="G9" s="74" t="s">
        <v>172</v>
      </c>
      <c r="H9" s="85" t="s">
        <v>101</v>
      </c>
      <c r="I9" s="74" t="s">
        <v>171</v>
      </c>
      <c r="J9" s="74" t="s">
        <v>173</v>
      </c>
      <c r="K9" s="76"/>
      <c r="L9" s="76"/>
      <c r="M9" s="74"/>
      <c r="N9" s="77"/>
      <c r="O9" s="78"/>
      <c r="P9" s="79">
        <v>0</v>
      </c>
      <c r="Q9" s="76"/>
      <c r="R9" s="76"/>
      <c r="S9" s="76"/>
      <c r="T9" s="75" t="s">
        <v>200</v>
      </c>
      <c r="U9" s="74" t="s">
        <v>201</v>
      </c>
      <c r="V9" s="74" t="s">
        <v>21</v>
      </c>
      <c r="W9" s="76" t="s">
        <v>3261</v>
      </c>
      <c r="X9" s="147" t="s">
        <v>3994</v>
      </c>
    </row>
    <row r="10" spans="1:24" x14ac:dyDescent="0.25">
      <c r="A10" s="73">
        <f t="shared" si="0"/>
        <v>8</v>
      </c>
      <c r="B10" s="73" t="s">
        <v>272</v>
      </c>
      <c r="C10" s="151" t="s">
        <v>202</v>
      </c>
      <c r="D10" s="75" t="s">
        <v>203</v>
      </c>
      <c r="E10" s="73" t="s">
        <v>170</v>
      </c>
      <c r="F10" s="73" t="s">
        <v>171</v>
      </c>
      <c r="G10" s="74" t="s">
        <v>172</v>
      </c>
      <c r="H10" s="85" t="s">
        <v>204</v>
      </c>
      <c r="I10" s="74" t="s">
        <v>171</v>
      </c>
      <c r="J10" s="74" t="s">
        <v>173</v>
      </c>
      <c r="K10" s="76">
        <v>56194006883</v>
      </c>
      <c r="L10" s="76" t="s">
        <v>171</v>
      </c>
      <c r="M10" s="74">
        <v>1</v>
      </c>
      <c r="N10" s="77">
        <v>690300</v>
      </c>
      <c r="O10" s="78">
        <v>45839</v>
      </c>
      <c r="P10" s="79">
        <v>0</v>
      </c>
      <c r="Q10" s="76"/>
      <c r="R10" s="76"/>
      <c r="S10" s="76"/>
      <c r="T10" s="75" t="s">
        <v>205</v>
      </c>
      <c r="U10" s="74" t="s">
        <v>206</v>
      </c>
      <c r="V10" s="76" t="s">
        <v>21</v>
      </c>
      <c r="W10" s="76"/>
      <c r="X10" s="147" t="s">
        <v>3994</v>
      </c>
    </row>
    <row r="11" spans="1:24" x14ac:dyDescent="0.25">
      <c r="A11" s="73">
        <f t="shared" si="0"/>
        <v>9</v>
      </c>
      <c r="B11" s="73" t="s">
        <v>272</v>
      </c>
      <c r="C11" s="151" t="s">
        <v>207</v>
      </c>
      <c r="D11" s="75" t="s">
        <v>208</v>
      </c>
      <c r="E11" s="73" t="s">
        <v>170</v>
      </c>
      <c r="F11" s="73" t="s">
        <v>171</v>
      </c>
      <c r="G11" s="74" t="s">
        <v>172</v>
      </c>
      <c r="H11" s="85" t="s">
        <v>56</v>
      </c>
      <c r="I11" s="74" t="s">
        <v>171</v>
      </c>
      <c r="J11" s="74" t="s">
        <v>173</v>
      </c>
      <c r="K11" s="76">
        <v>56195009149</v>
      </c>
      <c r="L11" s="76" t="s">
        <v>171</v>
      </c>
      <c r="M11" s="74">
        <v>1</v>
      </c>
      <c r="N11" s="77">
        <v>690300</v>
      </c>
      <c r="O11" s="78">
        <v>45839</v>
      </c>
      <c r="P11" s="79">
        <v>0</v>
      </c>
      <c r="Q11" s="76"/>
      <c r="R11" s="76"/>
      <c r="S11" s="76"/>
      <c r="T11" s="75" t="s">
        <v>209</v>
      </c>
      <c r="U11" s="74" t="s">
        <v>210</v>
      </c>
      <c r="V11" s="74" t="s">
        <v>21</v>
      </c>
      <c r="W11" s="76"/>
      <c r="X11" s="147" t="s">
        <v>3994</v>
      </c>
    </row>
    <row r="12" spans="1:24" x14ac:dyDescent="0.25">
      <c r="A12" s="73">
        <f t="shared" si="0"/>
        <v>10</v>
      </c>
      <c r="B12" s="73" t="s">
        <v>272</v>
      </c>
      <c r="C12" s="151" t="s">
        <v>135</v>
      </c>
      <c r="D12" s="75" t="s">
        <v>211</v>
      </c>
      <c r="E12" s="73" t="s">
        <v>170</v>
      </c>
      <c r="F12" s="73" t="s">
        <v>171</v>
      </c>
      <c r="G12" s="74" t="s">
        <v>172</v>
      </c>
      <c r="H12" s="85" t="s">
        <v>134</v>
      </c>
      <c r="I12" s="74" t="s">
        <v>171</v>
      </c>
      <c r="J12" s="74" t="s">
        <v>173</v>
      </c>
      <c r="K12" s="76">
        <v>68196002329</v>
      </c>
      <c r="L12" s="76" t="s">
        <v>171</v>
      </c>
      <c r="M12" s="74">
        <v>1</v>
      </c>
      <c r="N12" s="77">
        <v>690300</v>
      </c>
      <c r="O12" s="78">
        <v>45839</v>
      </c>
      <c r="P12" s="79">
        <v>0</v>
      </c>
      <c r="Q12" s="76"/>
      <c r="R12" s="76"/>
      <c r="S12" s="76"/>
      <c r="T12" s="75" t="s">
        <v>212</v>
      </c>
      <c r="U12" s="74" t="s">
        <v>213</v>
      </c>
      <c r="V12" s="74" t="s">
        <v>21</v>
      </c>
      <c r="W12" s="76"/>
      <c r="X12" s="147" t="s">
        <v>3994</v>
      </c>
    </row>
    <row r="13" spans="1:24" x14ac:dyDescent="0.25">
      <c r="A13" s="73">
        <f t="shared" si="0"/>
        <v>11</v>
      </c>
      <c r="B13" s="73" t="s">
        <v>272</v>
      </c>
      <c r="C13" s="151" t="s">
        <v>214</v>
      </c>
      <c r="D13" s="75" t="s">
        <v>215</v>
      </c>
      <c r="E13" s="73" t="s">
        <v>170</v>
      </c>
      <c r="F13" s="73" t="s">
        <v>171</v>
      </c>
      <c r="G13" s="74" t="s">
        <v>172</v>
      </c>
      <c r="H13" s="85" t="s">
        <v>216</v>
      </c>
      <c r="I13" s="74" t="s">
        <v>171</v>
      </c>
      <c r="J13" s="74" t="s">
        <v>173</v>
      </c>
      <c r="K13" s="76">
        <v>79194032715</v>
      </c>
      <c r="L13" s="76" t="s">
        <v>171</v>
      </c>
      <c r="M13" s="74">
        <v>1</v>
      </c>
      <c r="N13" s="77">
        <v>690300</v>
      </c>
      <c r="O13" s="78">
        <v>45839</v>
      </c>
      <c r="P13" s="79">
        <v>0</v>
      </c>
      <c r="Q13" s="76"/>
      <c r="R13" s="76"/>
      <c r="S13" s="76"/>
      <c r="T13" s="75" t="s">
        <v>217</v>
      </c>
      <c r="U13" s="74" t="s">
        <v>218</v>
      </c>
      <c r="V13" s="74" t="s">
        <v>21</v>
      </c>
      <c r="W13" s="76"/>
      <c r="X13" s="147" t="s">
        <v>3994</v>
      </c>
    </row>
    <row r="14" spans="1:24" x14ac:dyDescent="0.25">
      <c r="A14" s="73">
        <f t="shared" si="0"/>
        <v>12</v>
      </c>
      <c r="B14" s="73" t="s">
        <v>272</v>
      </c>
      <c r="C14" s="151" t="s">
        <v>219</v>
      </c>
      <c r="D14" s="75" t="s">
        <v>220</v>
      </c>
      <c r="E14" s="73" t="s">
        <v>170</v>
      </c>
      <c r="F14" s="73" t="s">
        <v>171</v>
      </c>
      <c r="G14" s="74" t="s">
        <v>172</v>
      </c>
      <c r="H14" s="85" t="s">
        <v>149</v>
      </c>
      <c r="I14" s="74" t="s">
        <v>171</v>
      </c>
      <c r="J14" s="74" t="s">
        <v>173</v>
      </c>
      <c r="K14" s="76">
        <v>79195001626</v>
      </c>
      <c r="L14" s="76" t="s">
        <v>171</v>
      </c>
      <c r="M14" s="74">
        <v>1</v>
      </c>
      <c r="N14" s="77">
        <v>690300</v>
      </c>
      <c r="O14" s="78">
        <v>45839</v>
      </c>
      <c r="P14" s="79">
        <v>0</v>
      </c>
      <c r="Q14" s="76"/>
      <c r="R14" s="76"/>
      <c r="S14" s="76"/>
      <c r="T14" s="75" t="s">
        <v>221</v>
      </c>
      <c r="U14" s="74" t="s">
        <v>222</v>
      </c>
      <c r="V14" s="74" t="s">
        <v>21</v>
      </c>
      <c r="W14" s="76"/>
      <c r="X14" s="147" t="s">
        <v>3994</v>
      </c>
    </row>
    <row r="15" spans="1:24" x14ac:dyDescent="0.25">
      <c r="A15" s="73">
        <f t="shared" si="0"/>
        <v>13</v>
      </c>
      <c r="B15" s="73" t="s">
        <v>272</v>
      </c>
      <c r="C15" s="151" t="s">
        <v>223</v>
      </c>
      <c r="D15" s="75" t="s">
        <v>224</v>
      </c>
      <c r="E15" s="73" t="s">
        <v>170</v>
      </c>
      <c r="F15" s="73" t="s">
        <v>171</v>
      </c>
      <c r="G15" s="74" t="s">
        <v>172</v>
      </c>
      <c r="H15" s="85" t="s">
        <v>143</v>
      </c>
      <c r="I15" s="74" t="s">
        <v>171</v>
      </c>
      <c r="J15" s="74" t="s">
        <v>173</v>
      </c>
      <c r="K15" s="76">
        <v>79195003024</v>
      </c>
      <c r="L15" s="76" t="s">
        <v>171</v>
      </c>
      <c r="M15" s="74">
        <v>1</v>
      </c>
      <c r="N15" s="77">
        <v>690300</v>
      </c>
      <c r="O15" s="78">
        <v>45839</v>
      </c>
      <c r="P15" s="79">
        <v>0</v>
      </c>
      <c r="Q15" s="76"/>
      <c r="R15" s="76"/>
      <c r="S15" s="76"/>
      <c r="T15" s="75" t="s">
        <v>225</v>
      </c>
      <c r="U15" s="74" t="s">
        <v>226</v>
      </c>
      <c r="V15" s="74" t="s">
        <v>21</v>
      </c>
      <c r="W15" s="76"/>
      <c r="X15" s="147" t="s">
        <v>3994</v>
      </c>
    </row>
    <row r="16" spans="1:24" x14ac:dyDescent="0.25">
      <c r="A16" s="73">
        <f t="shared" si="0"/>
        <v>14</v>
      </c>
      <c r="B16" s="73" t="s">
        <v>272</v>
      </c>
      <c r="C16" s="151" t="s">
        <v>227</v>
      </c>
      <c r="D16" s="75" t="s">
        <v>228</v>
      </c>
      <c r="E16" s="73" t="s">
        <v>170</v>
      </c>
      <c r="F16" s="73" t="s">
        <v>171</v>
      </c>
      <c r="G16" s="74" t="s">
        <v>172</v>
      </c>
      <c r="H16" s="85" t="s">
        <v>92</v>
      </c>
      <c r="I16" s="74" t="s">
        <v>171</v>
      </c>
      <c r="J16" s="74" t="s">
        <v>173</v>
      </c>
      <c r="K16" s="76">
        <v>87099001146</v>
      </c>
      <c r="L16" s="76" t="s">
        <v>171</v>
      </c>
      <c r="M16" s="74">
        <v>1</v>
      </c>
      <c r="N16" s="77">
        <v>690300</v>
      </c>
      <c r="O16" s="78">
        <v>45839</v>
      </c>
      <c r="P16" s="79">
        <v>0</v>
      </c>
      <c r="Q16" s="76"/>
      <c r="R16" s="76"/>
      <c r="S16" s="76"/>
      <c r="T16" s="75" t="s">
        <v>229</v>
      </c>
      <c r="U16" s="74" t="s">
        <v>230</v>
      </c>
      <c r="V16" s="76" t="s">
        <v>21</v>
      </c>
      <c r="W16" s="76"/>
      <c r="X16" s="147" t="s">
        <v>3994</v>
      </c>
    </row>
    <row r="17" spans="1:24" x14ac:dyDescent="0.25">
      <c r="A17" s="73">
        <f t="shared" si="0"/>
        <v>15</v>
      </c>
      <c r="B17" s="73" t="s">
        <v>272</v>
      </c>
      <c r="C17" s="151" t="s">
        <v>136</v>
      </c>
      <c r="D17" s="75" t="s">
        <v>231</v>
      </c>
      <c r="E17" s="73" t="s">
        <v>170</v>
      </c>
      <c r="F17" s="73" t="s">
        <v>171</v>
      </c>
      <c r="G17" s="74" t="s">
        <v>172</v>
      </c>
      <c r="H17" s="85" t="s">
        <v>84</v>
      </c>
      <c r="I17" s="74" t="s">
        <v>171</v>
      </c>
      <c r="J17" s="74" t="s">
        <v>173</v>
      </c>
      <c r="K17" s="76">
        <v>91098010465</v>
      </c>
      <c r="L17" s="76" t="s">
        <v>171</v>
      </c>
      <c r="M17" s="74">
        <v>1</v>
      </c>
      <c r="N17" s="77">
        <v>690300</v>
      </c>
      <c r="O17" s="78">
        <v>45839</v>
      </c>
      <c r="P17" s="79">
        <v>0</v>
      </c>
      <c r="Q17" s="76"/>
      <c r="R17" s="76"/>
      <c r="S17" s="76"/>
      <c r="T17" s="75" t="s">
        <v>232</v>
      </c>
      <c r="U17" s="74" t="s">
        <v>233</v>
      </c>
      <c r="V17" s="74" t="s">
        <v>21</v>
      </c>
      <c r="W17" s="76" t="s">
        <v>3261</v>
      </c>
      <c r="X17" s="147" t="s">
        <v>3994</v>
      </c>
    </row>
    <row r="18" spans="1:24" x14ac:dyDescent="0.25">
      <c r="A18" s="73">
        <f t="shared" si="0"/>
        <v>16</v>
      </c>
      <c r="B18" s="73" t="s">
        <v>272</v>
      </c>
      <c r="C18" s="151" t="s">
        <v>234</v>
      </c>
      <c r="D18" s="75" t="s">
        <v>235</v>
      </c>
      <c r="E18" s="73" t="s">
        <v>170</v>
      </c>
      <c r="F18" s="73" t="s">
        <v>171</v>
      </c>
      <c r="G18" s="74" t="s">
        <v>172</v>
      </c>
      <c r="H18" s="85" t="s">
        <v>236</v>
      </c>
      <c r="I18" s="74" t="s">
        <v>171</v>
      </c>
      <c r="J18" s="74" t="s">
        <v>173</v>
      </c>
      <c r="K18" s="76">
        <v>34300000255</v>
      </c>
      <c r="L18" s="76" t="s">
        <v>171</v>
      </c>
      <c r="M18" s="74">
        <v>1</v>
      </c>
      <c r="N18" s="77">
        <v>690300</v>
      </c>
      <c r="O18" s="78">
        <v>45839</v>
      </c>
      <c r="P18" s="79">
        <v>4</v>
      </c>
      <c r="Q18" s="78">
        <v>45664</v>
      </c>
      <c r="R18" s="77" t="s">
        <v>3140</v>
      </c>
      <c r="S18" s="77" t="s">
        <v>3141</v>
      </c>
      <c r="T18" s="75" t="s">
        <v>237</v>
      </c>
      <c r="U18" s="74" t="s">
        <v>238</v>
      </c>
      <c r="V18" s="76" t="s">
        <v>21</v>
      </c>
      <c r="W18" s="76"/>
      <c r="X18" s="147" t="s">
        <v>3994</v>
      </c>
    </row>
    <row r="19" spans="1:24" x14ac:dyDescent="0.25">
      <c r="A19" s="73">
        <f t="shared" si="0"/>
        <v>17</v>
      </c>
      <c r="B19" s="73" t="s">
        <v>272</v>
      </c>
      <c r="C19" s="151" t="s">
        <v>239</v>
      </c>
      <c r="D19" s="75" t="s">
        <v>240</v>
      </c>
      <c r="E19" s="73" t="s">
        <v>170</v>
      </c>
      <c r="F19" s="73" t="s">
        <v>171</v>
      </c>
      <c r="G19" s="74" t="s">
        <v>172</v>
      </c>
      <c r="H19" s="85" t="s">
        <v>152</v>
      </c>
      <c r="I19" s="74" t="s">
        <v>171</v>
      </c>
      <c r="J19" s="74" t="s">
        <v>173</v>
      </c>
      <c r="K19" s="74">
        <v>70095006110</v>
      </c>
      <c r="L19" s="74" t="s">
        <v>171</v>
      </c>
      <c r="M19" s="74">
        <v>1</v>
      </c>
      <c r="N19" s="77">
        <v>690300</v>
      </c>
      <c r="O19" s="78">
        <v>45870</v>
      </c>
      <c r="P19" s="79">
        <v>0</v>
      </c>
      <c r="Q19" s="76"/>
      <c r="R19" s="76"/>
      <c r="S19" s="76"/>
      <c r="T19" s="75" t="s">
        <v>241</v>
      </c>
      <c r="U19" s="74" t="s">
        <v>242</v>
      </c>
      <c r="V19" s="74" t="s">
        <v>21</v>
      </c>
      <c r="W19" s="76" t="s">
        <v>4370</v>
      </c>
      <c r="X19" s="147" t="s">
        <v>3994</v>
      </c>
    </row>
    <row r="20" spans="1:24" x14ac:dyDescent="0.25">
      <c r="A20" s="73">
        <f t="shared" si="0"/>
        <v>18</v>
      </c>
      <c r="B20" s="73" t="s">
        <v>272</v>
      </c>
      <c r="C20" s="151" t="s">
        <v>243</v>
      </c>
      <c r="D20" s="75" t="s">
        <v>244</v>
      </c>
      <c r="E20" s="73" t="s">
        <v>170</v>
      </c>
      <c r="F20" s="73" t="s">
        <v>171</v>
      </c>
      <c r="G20" s="74" t="s">
        <v>172</v>
      </c>
      <c r="H20" s="85" t="s">
        <v>112</v>
      </c>
      <c r="I20" s="74" t="s">
        <v>171</v>
      </c>
      <c r="J20" s="74" t="s">
        <v>173</v>
      </c>
      <c r="K20" s="74">
        <v>79200020738</v>
      </c>
      <c r="L20" s="74" t="s">
        <v>171</v>
      </c>
      <c r="M20" s="74">
        <v>1</v>
      </c>
      <c r="N20" s="77">
        <v>690300</v>
      </c>
      <c r="O20" s="78">
        <v>45870</v>
      </c>
      <c r="P20" s="79">
        <v>0</v>
      </c>
      <c r="Q20" s="76"/>
      <c r="R20" s="76"/>
      <c r="S20" s="76"/>
      <c r="T20" s="80" t="s">
        <v>245</v>
      </c>
      <c r="U20" s="74" t="s">
        <v>246</v>
      </c>
      <c r="V20" s="74" t="s">
        <v>21</v>
      </c>
      <c r="W20" s="76"/>
      <c r="X20" s="147" t="s">
        <v>3994</v>
      </c>
    </row>
    <row r="21" spans="1:24" x14ac:dyDescent="0.25">
      <c r="A21" s="73">
        <f t="shared" si="0"/>
        <v>19</v>
      </c>
      <c r="B21" s="73" t="s">
        <v>272</v>
      </c>
      <c r="C21" s="151" t="s">
        <v>247</v>
      </c>
      <c r="D21" s="75" t="s">
        <v>248</v>
      </c>
      <c r="E21" s="73" t="s">
        <v>170</v>
      </c>
      <c r="F21" s="73" t="s">
        <v>171</v>
      </c>
      <c r="G21" s="74" t="s">
        <v>172</v>
      </c>
      <c r="H21" s="85" t="s">
        <v>275</v>
      </c>
      <c r="I21" s="74" t="s">
        <v>171</v>
      </c>
      <c r="J21" s="74" t="s">
        <v>173</v>
      </c>
      <c r="K21" s="74">
        <v>72098001948</v>
      </c>
      <c r="L21" s="74" t="s">
        <v>171</v>
      </c>
      <c r="M21" s="74">
        <v>1</v>
      </c>
      <c r="N21" s="77">
        <v>690300</v>
      </c>
      <c r="O21" s="78">
        <v>45870</v>
      </c>
      <c r="P21" s="79">
        <v>0</v>
      </c>
      <c r="Q21" s="76"/>
      <c r="R21" s="76"/>
      <c r="S21" s="76"/>
      <c r="T21" s="75" t="s">
        <v>249</v>
      </c>
      <c r="U21" s="74" t="s">
        <v>250</v>
      </c>
      <c r="V21" s="74" t="s">
        <v>21</v>
      </c>
      <c r="W21" s="76"/>
      <c r="X21" s="147" t="s">
        <v>3994</v>
      </c>
    </row>
    <row r="22" spans="1:24" x14ac:dyDescent="0.25">
      <c r="A22" s="73">
        <f t="shared" si="0"/>
        <v>20</v>
      </c>
      <c r="B22" s="73" t="s">
        <v>272</v>
      </c>
      <c r="C22" s="151" t="s">
        <v>251</v>
      </c>
      <c r="D22" s="75" t="s">
        <v>252</v>
      </c>
      <c r="E22" s="73" t="s">
        <v>170</v>
      </c>
      <c r="F22" s="73" t="s">
        <v>171</v>
      </c>
      <c r="G22" s="74" t="s">
        <v>172</v>
      </c>
      <c r="H22" s="85" t="s">
        <v>284</v>
      </c>
      <c r="I22" s="74" t="s">
        <v>171</v>
      </c>
      <c r="J22" s="74" t="s">
        <v>173</v>
      </c>
      <c r="K22" s="74">
        <v>79302004855</v>
      </c>
      <c r="L22" s="74" t="s">
        <v>171</v>
      </c>
      <c r="M22" s="74">
        <v>1</v>
      </c>
      <c r="N22" s="77">
        <v>690300</v>
      </c>
      <c r="O22" s="78">
        <v>45901</v>
      </c>
      <c r="P22" s="79">
        <v>0</v>
      </c>
      <c r="Q22" s="76"/>
      <c r="R22" s="76"/>
      <c r="S22" s="76"/>
      <c r="T22" s="75" t="s">
        <v>253</v>
      </c>
      <c r="U22" s="74" t="s">
        <v>254</v>
      </c>
      <c r="V22" s="74" t="s">
        <v>21</v>
      </c>
      <c r="W22" s="76"/>
      <c r="X22" s="147" t="s">
        <v>3994</v>
      </c>
    </row>
    <row r="23" spans="1:24" x14ac:dyDescent="0.25">
      <c r="A23" s="73">
        <f t="shared" si="0"/>
        <v>21</v>
      </c>
      <c r="B23" s="73" t="s">
        <v>272</v>
      </c>
      <c r="C23" s="151" t="s">
        <v>255</v>
      </c>
      <c r="D23" s="75" t="s">
        <v>256</v>
      </c>
      <c r="E23" s="73" t="s">
        <v>170</v>
      </c>
      <c r="F23" s="73" t="s">
        <v>171</v>
      </c>
      <c r="G23" s="74" t="s">
        <v>172</v>
      </c>
      <c r="H23" s="85" t="s">
        <v>285</v>
      </c>
      <c r="I23" s="74" t="s">
        <v>171</v>
      </c>
      <c r="J23" s="74" t="s">
        <v>173</v>
      </c>
      <c r="K23" s="74">
        <v>79098009021</v>
      </c>
      <c r="L23" s="74" t="s">
        <v>171</v>
      </c>
      <c r="M23" s="74">
        <v>1</v>
      </c>
      <c r="N23" s="77">
        <v>690300</v>
      </c>
      <c r="O23" s="78">
        <v>45901</v>
      </c>
      <c r="P23" s="79">
        <v>0</v>
      </c>
      <c r="Q23" s="76"/>
      <c r="R23" s="76"/>
      <c r="S23" s="76"/>
      <c r="T23" s="75" t="s">
        <v>257</v>
      </c>
      <c r="U23" s="74" t="s">
        <v>258</v>
      </c>
      <c r="V23" s="74" t="s">
        <v>21</v>
      </c>
      <c r="W23" s="76"/>
      <c r="X23" s="147" t="s">
        <v>3994</v>
      </c>
    </row>
    <row r="24" spans="1:24" x14ac:dyDescent="0.25">
      <c r="A24" s="73">
        <f t="shared" si="0"/>
        <v>22</v>
      </c>
      <c r="B24" s="73" t="s">
        <v>272</v>
      </c>
      <c r="C24" s="151" t="s">
        <v>259</v>
      </c>
      <c r="D24" s="75" t="s">
        <v>260</v>
      </c>
      <c r="E24" s="73" t="s">
        <v>170</v>
      </c>
      <c r="F24" s="73" t="s">
        <v>171</v>
      </c>
      <c r="G24" s="74" t="s">
        <v>172</v>
      </c>
      <c r="H24" s="85" t="s">
        <v>286</v>
      </c>
      <c r="I24" s="74" t="s">
        <v>171</v>
      </c>
      <c r="J24" s="74" t="s">
        <v>173</v>
      </c>
      <c r="K24" s="76">
        <v>14198000033</v>
      </c>
      <c r="L24" s="76" t="s">
        <v>171</v>
      </c>
      <c r="M24" s="74">
        <v>1</v>
      </c>
      <c r="N24" s="77">
        <v>690300</v>
      </c>
      <c r="O24" s="78">
        <v>45901</v>
      </c>
      <c r="P24" s="79">
        <v>0</v>
      </c>
      <c r="Q24" s="76"/>
      <c r="R24" s="76"/>
      <c r="S24" s="76"/>
      <c r="T24" s="75" t="s">
        <v>261</v>
      </c>
      <c r="U24" s="74" t="s">
        <v>262</v>
      </c>
      <c r="V24" s="74" t="s">
        <v>21</v>
      </c>
      <c r="W24" s="76"/>
      <c r="X24" s="147" t="s">
        <v>3994</v>
      </c>
    </row>
    <row r="25" spans="1:24" x14ac:dyDescent="0.25">
      <c r="A25" s="73">
        <f t="shared" si="0"/>
        <v>23</v>
      </c>
      <c r="B25" s="73" t="s">
        <v>272</v>
      </c>
      <c r="C25" s="151" t="s">
        <v>263</v>
      </c>
      <c r="D25" s="75" t="s">
        <v>264</v>
      </c>
      <c r="E25" s="73" t="s">
        <v>170</v>
      </c>
      <c r="F25" s="73" t="s">
        <v>171</v>
      </c>
      <c r="G25" s="74" t="s">
        <v>172</v>
      </c>
      <c r="H25" s="85" t="s">
        <v>287</v>
      </c>
      <c r="I25" s="74" t="s">
        <v>171</v>
      </c>
      <c r="J25" s="74" t="s">
        <v>173</v>
      </c>
      <c r="K25" s="74">
        <v>52300008705</v>
      </c>
      <c r="L25" s="74" t="s">
        <v>171</v>
      </c>
      <c r="M25" s="74">
        <v>1</v>
      </c>
      <c r="N25" s="77">
        <v>690300</v>
      </c>
      <c r="O25" s="78">
        <v>45901</v>
      </c>
      <c r="P25" s="79">
        <v>0</v>
      </c>
      <c r="Q25" s="76"/>
      <c r="R25" s="76"/>
      <c r="S25" s="76"/>
      <c r="T25" s="75" t="s">
        <v>265</v>
      </c>
      <c r="U25" s="74" t="s">
        <v>3142</v>
      </c>
      <c r="V25" s="74" t="s">
        <v>21</v>
      </c>
      <c r="W25" s="76"/>
      <c r="X25" s="147" t="s">
        <v>3994</v>
      </c>
    </row>
    <row r="26" spans="1:24" x14ac:dyDescent="0.25">
      <c r="A26" s="73">
        <f t="shared" si="0"/>
        <v>24</v>
      </c>
      <c r="B26" s="140" t="s">
        <v>272</v>
      </c>
      <c r="C26" s="151" t="s">
        <v>3143</v>
      </c>
      <c r="D26" s="142" t="s">
        <v>264</v>
      </c>
      <c r="E26" s="140" t="s">
        <v>170</v>
      </c>
      <c r="F26" s="140" t="s">
        <v>171</v>
      </c>
      <c r="G26" s="141" t="s">
        <v>172</v>
      </c>
      <c r="H26" s="150" t="s">
        <v>3864</v>
      </c>
      <c r="I26" s="141" t="s">
        <v>171</v>
      </c>
      <c r="J26" s="141" t="s">
        <v>173</v>
      </c>
      <c r="K26" s="141">
        <v>68199000053</v>
      </c>
      <c r="L26" s="141" t="s">
        <v>171</v>
      </c>
      <c r="M26" s="141">
        <v>1</v>
      </c>
      <c r="N26" s="77">
        <v>690300</v>
      </c>
      <c r="O26" s="145">
        <v>45931</v>
      </c>
      <c r="P26" s="146">
        <v>0</v>
      </c>
      <c r="Q26" s="147"/>
      <c r="R26" s="147"/>
      <c r="S26" s="147"/>
      <c r="T26" s="142" t="s">
        <v>3144</v>
      </c>
      <c r="U26" s="141" t="s">
        <v>3145</v>
      </c>
      <c r="V26" s="147"/>
      <c r="W26" s="76"/>
      <c r="X26" s="147" t="s">
        <v>3994</v>
      </c>
    </row>
    <row r="27" spans="1:24" x14ac:dyDescent="0.25">
      <c r="A27" s="73">
        <f t="shared" si="0"/>
        <v>25</v>
      </c>
      <c r="B27" s="140" t="s">
        <v>272</v>
      </c>
      <c r="C27" s="151" t="s">
        <v>3146</v>
      </c>
      <c r="D27" s="142" t="s">
        <v>264</v>
      </c>
      <c r="E27" s="140" t="s">
        <v>170</v>
      </c>
      <c r="F27" s="140" t="s">
        <v>171</v>
      </c>
      <c r="G27" s="141" t="s">
        <v>172</v>
      </c>
      <c r="H27" s="150" t="s">
        <v>3993</v>
      </c>
      <c r="I27" s="141" t="s">
        <v>171</v>
      </c>
      <c r="J27" s="141" t="s">
        <v>173</v>
      </c>
      <c r="K27" s="141">
        <v>92097002234</v>
      </c>
      <c r="L27" s="141" t="s">
        <v>171</v>
      </c>
      <c r="M27" s="141">
        <v>1</v>
      </c>
      <c r="N27" s="144">
        <v>5900000</v>
      </c>
      <c r="O27" s="145">
        <v>45931</v>
      </c>
      <c r="P27" s="146">
        <v>0</v>
      </c>
      <c r="Q27" s="147"/>
      <c r="R27" s="147"/>
      <c r="S27" s="147"/>
      <c r="T27" s="142" t="s">
        <v>3147</v>
      </c>
      <c r="U27" s="141"/>
      <c r="V27" s="147"/>
      <c r="W27" s="76"/>
      <c r="X27" s="147" t="s">
        <v>3995</v>
      </c>
    </row>
    <row r="28" spans="1:24" x14ac:dyDescent="0.25">
      <c r="A28" s="73">
        <f t="shared" si="0"/>
        <v>26</v>
      </c>
      <c r="B28" s="140" t="s">
        <v>272</v>
      </c>
      <c r="C28" s="151" t="s">
        <v>3148</v>
      </c>
      <c r="D28" s="142" t="s">
        <v>264</v>
      </c>
      <c r="E28" s="140" t="s">
        <v>170</v>
      </c>
      <c r="F28" s="140" t="s">
        <v>171</v>
      </c>
      <c r="G28" s="141" t="s">
        <v>172</v>
      </c>
      <c r="H28" s="150" t="s">
        <v>4103</v>
      </c>
      <c r="I28" s="141" t="s">
        <v>171</v>
      </c>
      <c r="J28" s="141" t="s">
        <v>173</v>
      </c>
      <c r="K28" s="141">
        <v>82198013719</v>
      </c>
      <c r="L28" s="141" t="s">
        <v>171</v>
      </c>
      <c r="M28" s="141">
        <v>1</v>
      </c>
      <c r="N28" s="77">
        <v>690300</v>
      </c>
      <c r="O28" s="145">
        <v>45962</v>
      </c>
      <c r="P28" s="146">
        <v>0</v>
      </c>
      <c r="Q28" s="147"/>
      <c r="R28" s="147"/>
      <c r="S28" s="147"/>
      <c r="T28" s="142" t="s">
        <v>3149</v>
      </c>
      <c r="U28" s="141" t="s">
        <v>3150</v>
      </c>
      <c r="V28" s="74" t="s">
        <v>21</v>
      </c>
      <c r="W28" s="76"/>
      <c r="X28" s="147" t="s">
        <v>3994</v>
      </c>
    </row>
    <row r="29" spans="1:24" x14ac:dyDescent="0.25">
      <c r="A29" s="73">
        <f t="shared" si="0"/>
        <v>27</v>
      </c>
      <c r="B29" s="140" t="s">
        <v>272</v>
      </c>
      <c r="C29" s="151" t="s">
        <v>3151</v>
      </c>
      <c r="D29" s="142" t="s">
        <v>264</v>
      </c>
      <c r="E29" s="140" t="s">
        <v>170</v>
      </c>
      <c r="F29" s="140" t="s">
        <v>171</v>
      </c>
      <c r="G29" s="141" t="s">
        <v>172</v>
      </c>
      <c r="H29" s="150" t="s">
        <v>4104</v>
      </c>
      <c r="I29" s="141" t="s">
        <v>171</v>
      </c>
      <c r="J29" s="141" t="s">
        <v>173</v>
      </c>
      <c r="K29" s="141">
        <v>31196005568</v>
      </c>
      <c r="L29" s="141" t="s">
        <v>171</v>
      </c>
      <c r="M29" s="141">
        <v>1</v>
      </c>
      <c r="N29" s="77">
        <v>690300</v>
      </c>
      <c r="O29" s="145">
        <v>45992</v>
      </c>
      <c r="P29" s="146">
        <v>0</v>
      </c>
      <c r="Q29" s="147"/>
      <c r="R29" s="147"/>
      <c r="S29" s="147"/>
      <c r="T29" s="142" t="s">
        <v>3152</v>
      </c>
      <c r="U29" s="141" t="s">
        <v>3153</v>
      </c>
      <c r="V29" s="147" t="s">
        <v>21</v>
      </c>
      <c r="W29" s="76"/>
      <c r="X29" s="147" t="s">
        <v>3994</v>
      </c>
    </row>
    <row r="30" spans="1:24" x14ac:dyDescent="0.25">
      <c r="A30" s="73">
        <f t="shared" si="0"/>
        <v>28</v>
      </c>
      <c r="B30" s="140" t="s">
        <v>272</v>
      </c>
      <c r="C30" s="151" t="s">
        <v>3154</v>
      </c>
      <c r="D30" s="142"/>
      <c r="E30" s="140"/>
      <c r="F30" s="140"/>
      <c r="G30" s="141"/>
      <c r="H30" s="143"/>
      <c r="I30" s="141"/>
      <c r="J30" s="141" t="s">
        <v>173</v>
      </c>
      <c r="K30" s="141" t="s">
        <v>4576</v>
      </c>
      <c r="L30" s="141" t="s">
        <v>171</v>
      </c>
      <c r="M30" s="141">
        <v>1</v>
      </c>
      <c r="N30" s="77">
        <v>690300</v>
      </c>
      <c r="O30" s="145">
        <v>46023</v>
      </c>
      <c r="P30" s="146">
        <v>0</v>
      </c>
      <c r="Q30" s="147"/>
      <c r="R30" s="147"/>
      <c r="S30" s="147"/>
      <c r="T30" s="142" t="s">
        <v>3155</v>
      </c>
      <c r="U30" s="141" t="s">
        <v>3156</v>
      </c>
      <c r="V30" s="74" t="s">
        <v>21</v>
      </c>
      <c r="W30" s="76"/>
      <c r="X30" s="147" t="s">
        <v>3994</v>
      </c>
    </row>
    <row r="31" spans="1:24" x14ac:dyDescent="0.25">
      <c r="A31" s="73">
        <f t="shared" si="0"/>
        <v>29</v>
      </c>
      <c r="B31" s="140" t="s">
        <v>272</v>
      </c>
      <c r="C31" s="151" t="s">
        <v>3157</v>
      </c>
      <c r="D31" s="142"/>
      <c r="E31" s="140"/>
      <c r="F31" s="140"/>
      <c r="G31" s="141"/>
      <c r="H31" s="143" t="s">
        <v>4196</v>
      </c>
      <c r="I31" s="141" t="s">
        <v>171</v>
      </c>
      <c r="J31" s="141" t="s">
        <v>173</v>
      </c>
      <c r="K31" s="141"/>
      <c r="L31" s="141"/>
      <c r="M31" s="141"/>
      <c r="N31" s="77">
        <v>690300</v>
      </c>
      <c r="O31" s="145">
        <v>46023</v>
      </c>
      <c r="P31" s="146">
        <v>0</v>
      </c>
      <c r="Q31" s="147"/>
      <c r="R31" s="147"/>
      <c r="S31" s="147"/>
      <c r="T31" s="142" t="s">
        <v>3158</v>
      </c>
      <c r="U31" s="141"/>
      <c r="V31" s="147"/>
      <c r="W31" s="76"/>
      <c r="X31" s="147" t="s">
        <v>3995</v>
      </c>
    </row>
  </sheetData>
  <phoneticPr fontId="26" type="noConversion"/>
  <hyperlinks>
    <hyperlink ref="C3" location="'8443847047-001'!A1" display="HỘ KINH DOANH REENCY NGÔ" xr:uid="{00000000-0004-0000-0000-000000000000}"/>
    <hyperlink ref="C4" location="'8710040770-001'!A1" display="HỘ KINH DOANH HÀ BÁNH QUY" xr:uid="{00000000-0004-0000-0000-000001000000}"/>
    <hyperlink ref="C5" location="'8836978269-001'!A1" display="HỘ KINH DOANH ĐỖ TRỊNH LƯƠNG OFFICIAL" xr:uid="{00000000-0004-0000-0000-000002000000}"/>
    <hyperlink ref="C6" location="'8785516231-001'!A1" display="HỘ KINH DOANH KIỀU NGỌC LAN" xr:uid="{00000000-0004-0000-0000-000003000000}"/>
    <hyperlink ref="C7" location="'8417307084-001'!A1" display="HỘ KINH DOANH TÂM TÀI TRÍ" xr:uid="{00000000-0004-0000-0000-000004000000}"/>
    <hyperlink ref="C8" location="'8339629042-001'!A1" display="HỘ KINH DOANH LƯƠNG LEE OFFICIAL" xr:uid="{00000000-0004-0000-0000-000005000000}"/>
    <hyperlink ref="C9" location="'8077953218-001'!A1" display="HỘ KINH DOANH HUỲNH THUYÊN" xr:uid="{00000000-0004-0000-0000-000006000000}"/>
    <hyperlink ref="C10" location="'8307704000-002'!A1" display="HỘ KINH DOANH PU MÉT BẢY" xr:uid="{00000000-0004-0000-0000-000007000000}"/>
    <hyperlink ref="C11" location="'8568979698-001'!A1" display="HỘ KINH DOANH ĐĂNG VI OFFICIAL" xr:uid="{00000000-0004-0000-0000-000008000000}"/>
    <hyperlink ref="C12" location="'8456794480-001'!A1" display="HỘ KINH DOANH NGUYỄN HUỆ MAKEUP" xr:uid="{00000000-0004-0000-0000-000009000000}"/>
    <hyperlink ref="C13" location="'8427727031-001'!A1" display="HỘ KINH DOANH CỔ NGÂN OFFICIAL" xr:uid="{00000000-0004-0000-0000-00000A000000}"/>
    <hyperlink ref="C14" location="'8423525669-001'!A1" display="HỘ KINH DOANH TRƯƠNG NHÃ DINH" xr:uid="{00000000-0004-0000-0000-00000B000000}"/>
    <hyperlink ref="C15" location="'8336384757-001'!A1" display="HỘ KINH DOANH NGỌC TÚ ANH" xr:uid="{00000000-0004-0000-0000-00000C000000}"/>
    <hyperlink ref="C16" location="'8783523554-001'!A1" display="HỘ KINH DOANH HỌC NHÂN SKINCARE" xr:uid="{00000000-0004-0000-0000-00000D000000}"/>
    <hyperlink ref="C17" location="'8537932805-001'!A1" display="HỘ KINH DOANH HOÀNG THẠCH" xr:uid="{00000000-0004-0000-0000-00000E000000}"/>
    <hyperlink ref="C18" location="'8548655046-002'!A1" display="HỘ KINH DOANH TRANG TRẦN OFFICIAL" xr:uid="{00000000-0004-0000-0000-00000F000000}"/>
    <hyperlink ref="C19" location="'070095006110'!A1" display="HỘ KINH DOANH VŨ THÁI BÌNH OFFICIAL" xr:uid="{00000000-0004-0000-0000-000010000000}"/>
    <hyperlink ref="C20" location="'079200020738'!A1" display="HỘ KINH DOANH ÔNG THỈ BÀ LONG" xr:uid="{00000000-0004-0000-0000-000011000000}"/>
    <hyperlink ref="C21" location="'072098001948'!A1" display="HỘ KINH DOANH TRẦN HỒNG PHÚC" xr:uid="{00000000-0004-0000-0000-000012000000}"/>
    <hyperlink ref="C22" location="'079302004855'!A1" display="HỘ KINH DOANH NGỌC XUÂN NHI" xr:uid="{00000000-0004-0000-0000-000013000000}"/>
    <hyperlink ref="C23" location="'079098009021'!A1" display="HỘ KINH DOANH HẢI ĐĂNG OFFICIAL" xr:uid="{00000000-0004-0000-0000-000014000000}"/>
    <hyperlink ref="C24" location="'014198000033'!A1" display="HỘ KINH DOANH ĐOÀN VÂN ANH" xr:uid="{00000000-0004-0000-0000-000015000000}"/>
    <hyperlink ref="C25" location="'052300008705'!A1" display="HỘ KINH DOANH THÚY NGA OFFICIAL" xr:uid="{00000000-0004-0000-0000-000016000000}"/>
    <hyperlink ref="C26" location="'068199000053'!A1" display="HỘ KINH DOANH THIÊN KIM MINH CHÂU" xr:uid="{00000000-0004-0000-0000-000017000000}"/>
    <hyperlink ref="C27" location="'092097002234'!A1" display="HỘ KINH DOANH VŨ DUY OFFICIAL" xr:uid="{00000000-0004-0000-0000-000018000000}"/>
    <hyperlink ref="C28" location="'082198013719'!A1" display="HỘ KINH DOANH AN VY OFFICIAL" xr:uid="{00000000-0004-0000-0000-000019000000}"/>
    <hyperlink ref="C29" location="'031196005568'!A1" display="HỘ KINH DOANH VÂN PHẠM" xr:uid="{00000000-0004-0000-0000-00001A000000}"/>
    <hyperlink ref="C31" location="'079195008785'!A1" display="HỘ KINH DOANH THÚY VI" xr:uid="{00000000-0004-0000-0000-00001B000000}"/>
    <hyperlink ref="C30" location="'089200016993'!A1" display="HỘ KINH DOANH MINH NGHĨA OFFICIAL" xr:uid="{5E0A389C-97B4-4B39-9D6C-DC77BED33CA4}"/>
  </hyperlink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V89"/>
  <sheetViews>
    <sheetView topLeftCell="A25" workbookViewId="0">
      <selection activeCell="G45" sqref="G45:H46"/>
    </sheetView>
  </sheetViews>
  <sheetFormatPr defaultRowHeight="15" customHeight="1" x14ac:dyDescent="0.2"/>
  <cols>
    <col min="1" max="1" width="10.7109375" style="20" bestFit="1" customWidth="1"/>
    <col min="2" max="2" width="10.7109375" style="70" bestFit="1" customWidth="1"/>
    <col min="3" max="3" width="9.28515625" style="20" bestFit="1" customWidth="1"/>
    <col min="4" max="6" width="9.140625" style="20"/>
    <col min="7" max="7" width="14.85546875" style="32" bestFit="1" customWidth="1"/>
    <col min="8" max="8" width="32.140625" style="20" customWidth="1"/>
    <col min="9" max="10" width="9.28515625" style="20" bestFit="1" customWidth="1"/>
    <col min="11" max="11" width="9.140625" style="20"/>
    <col min="12" max="12" width="9.28515625" style="20" bestFit="1" customWidth="1"/>
    <col min="13" max="14" width="13.42578125" style="34" bestFit="1" customWidth="1"/>
    <col min="15" max="16384" width="9.140625" style="20"/>
  </cols>
  <sheetData>
    <row r="1" spans="1:22" ht="15" customHeight="1" thickBot="1" x14ac:dyDescent="0.25">
      <c r="A1" s="165" t="s">
        <v>0</v>
      </c>
      <c r="B1" s="169" t="s">
        <v>1</v>
      </c>
      <c r="C1" s="165" t="s">
        <v>2</v>
      </c>
      <c r="D1" s="167" t="s">
        <v>3</v>
      </c>
      <c r="E1" s="167" t="s">
        <v>4</v>
      </c>
      <c r="F1" s="167" t="s">
        <v>760</v>
      </c>
      <c r="G1" s="159" t="s">
        <v>6</v>
      </c>
      <c r="H1" s="161" t="s">
        <v>7</v>
      </c>
      <c r="I1" s="163" t="s">
        <v>8</v>
      </c>
      <c r="J1" s="164"/>
      <c r="K1" s="165" t="s">
        <v>9</v>
      </c>
      <c r="L1" s="165" t="s">
        <v>10</v>
      </c>
      <c r="M1" s="157" t="s">
        <v>98</v>
      </c>
      <c r="N1" s="157" t="s">
        <v>99</v>
      </c>
      <c r="O1" s="39" t="s">
        <v>100</v>
      </c>
      <c r="P1" s="152" t="s">
        <v>3991</v>
      </c>
    </row>
    <row r="2" spans="1:22" ht="15" customHeight="1" thickBot="1" x14ac:dyDescent="0.25">
      <c r="A2" s="166"/>
      <c r="B2" s="170"/>
      <c r="C2" s="166"/>
      <c r="D2" s="171"/>
      <c r="E2" s="171"/>
      <c r="F2" s="168"/>
      <c r="G2" s="160"/>
      <c r="H2" s="162"/>
      <c r="I2" s="40" t="s">
        <v>13</v>
      </c>
      <c r="J2" s="41" t="s">
        <v>14</v>
      </c>
      <c r="K2" s="166"/>
      <c r="L2" s="166"/>
      <c r="M2" s="158"/>
      <c r="N2" s="158"/>
      <c r="O2" s="37" t="s">
        <v>100</v>
      </c>
      <c r="P2" s="37"/>
    </row>
    <row r="3" spans="1:22" ht="15" customHeight="1" x14ac:dyDescent="0.2">
      <c r="A3" s="42"/>
      <c r="B3" s="68"/>
      <c r="C3" s="42">
        <v>148</v>
      </c>
      <c r="D3" s="43"/>
      <c r="E3" s="43"/>
      <c r="F3" s="43"/>
      <c r="G3" s="58" t="s">
        <v>15</v>
      </c>
      <c r="H3" s="44"/>
      <c r="I3" s="44"/>
      <c r="J3" s="44"/>
      <c r="K3" s="42"/>
      <c r="L3" s="42"/>
      <c r="M3" s="66"/>
      <c r="N3" s="66"/>
      <c r="O3" s="37" t="s">
        <v>16</v>
      </c>
      <c r="P3" s="37" t="s">
        <v>17</v>
      </c>
    </row>
    <row r="4" spans="1:22" ht="15" customHeight="1" x14ac:dyDescent="0.25">
      <c r="A4" s="20" t="s">
        <v>18</v>
      </c>
      <c r="B4" s="71" t="s">
        <v>290</v>
      </c>
      <c r="C4" s="20">
        <f t="shared" ref="C4:C27" si="0">C3+D4</f>
        <v>149</v>
      </c>
      <c r="D4" s="20">
        <v>1</v>
      </c>
      <c r="G4" s="32" t="s">
        <v>125</v>
      </c>
      <c r="H4" s="20" t="s">
        <v>293</v>
      </c>
      <c r="I4" s="20">
        <v>131</v>
      </c>
      <c r="J4" s="20">
        <v>5113</v>
      </c>
      <c r="K4" s="20" t="s">
        <v>20</v>
      </c>
      <c r="L4" s="20">
        <v>1</v>
      </c>
      <c r="M4" s="34">
        <v>28282828</v>
      </c>
      <c r="N4" s="34">
        <f t="shared" ref="N4:N27" si="1">L4*M4</f>
        <v>28282828</v>
      </c>
      <c r="O4" s="20" t="s">
        <v>21</v>
      </c>
      <c r="P4" s="20">
        <v>1</v>
      </c>
      <c r="S4"/>
      <c r="T4"/>
      <c r="U4"/>
      <c r="V4"/>
    </row>
    <row r="5" spans="1:22" ht="15" customHeight="1" x14ac:dyDescent="0.25">
      <c r="A5" s="20" t="s">
        <v>18</v>
      </c>
      <c r="B5" s="71" t="s">
        <v>290</v>
      </c>
      <c r="C5" s="20">
        <f t="shared" si="0"/>
        <v>149</v>
      </c>
      <c r="D5" s="20">
        <v>0</v>
      </c>
      <c r="G5" s="32" t="s">
        <v>125</v>
      </c>
      <c r="H5" s="20" t="s">
        <v>298</v>
      </c>
      <c r="I5" s="20">
        <v>333821</v>
      </c>
      <c r="J5" s="20">
        <v>131</v>
      </c>
      <c r="K5" s="20" t="s">
        <v>20</v>
      </c>
      <c r="L5" s="20">
        <v>1</v>
      </c>
      <c r="M5" s="34">
        <v>282828</v>
      </c>
      <c r="N5" s="34">
        <f t="shared" si="1"/>
        <v>282828</v>
      </c>
      <c r="O5" s="20" t="s">
        <v>21</v>
      </c>
      <c r="P5" s="20">
        <v>2</v>
      </c>
      <c r="S5"/>
      <c r="T5"/>
      <c r="U5"/>
      <c r="V5"/>
    </row>
    <row r="6" spans="1:22" ht="15" customHeight="1" x14ac:dyDescent="0.25">
      <c r="A6" s="20" t="s">
        <v>18</v>
      </c>
      <c r="B6" s="71" t="s">
        <v>290</v>
      </c>
      <c r="C6" s="20">
        <f t="shared" si="0"/>
        <v>150</v>
      </c>
      <c r="D6" s="20">
        <v>1</v>
      </c>
      <c r="G6" s="32" t="s">
        <v>125</v>
      </c>
      <c r="H6" s="20" t="s">
        <v>294</v>
      </c>
      <c r="I6" s="20">
        <v>131</v>
      </c>
      <c r="J6" s="20">
        <v>5113</v>
      </c>
      <c r="K6" s="20" t="s">
        <v>20</v>
      </c>
      <c r="L6" s="20">
        <v>1</v>
      </c>
      <c r="M6" s="34">
        <v>4242424</v>
      </c>
      <c r="N6" s="34">
        <f t="shared" si="1"/>
        <v>4242424</v>
      </c>
      <c r="O6" s="20" t="s">
        <v>21</v>
      </c>
      <c r="P6" s="20">
        <v>3</v>
      </c>
      <c r="S6"/>
      <c r="T6"/>
      <c r="U6"/>
      <c r="V6"/>
    </row>
    <row r="7" spans="1:22" ht="15" customHeight="1" x14ac:dyDescent="0.25">
      <c r="A7" s="20" t="s">
        <v>18</v>
      </c>
      <c r="B7" s="71" t="s">
        <v>290</v>
      </c>
      <c r="C7" s="20">
        <f t="shared" si="0"/>
        <v>150</v>
      </c>
      <c r="D7" s="20">
        <v>0</v>
      </c>
      <c r="G7" s="32" t="s">
        <v>125</v>
      </c>
      <c r="H7" s="20" t="s">
        <v>299</v>
      </c>
      <c r="I7" s="20">
        <v>333821</v>
      </c>
      <c r="J7" s="20">
        <v>131</v>
      </c>
      <c r="K7" s="20" t="s">
        <v>20</v>
      </c>
      <c r="L7" s="20">
        <v>1</v>
      </c>
      <c r="M7" s="34">
        <v>42424</v>
      </c>
      <c r="N7" s="34">
        <f t="shared" si="1"/>
        <v>42424</v>
      </c>
      <c r="O7" s="20" t="s">
        <v>21</v>
      </c>
      <c r="P7" s="20">
        <v>4</v>
      </c>
      <c r="S7"/>
      <c r="T7"/>
      <c r="U7"/>
      <c r="V7"/>
    </row>
    <row r="8" spans="1:22" ht="15" customHeight="1" x14ac:dyDescent="0.25">
      <c r="A8" s="20" t="s">
        <v>18</v>
      </c>
      <c r="B8" s="71" t="s">
        <v>290</v>
      </c>
      <c r="C8" s="20">
        <f t="shared" si="0"/>
        <v>151</v>
      </c>
      <c r="D8" s="20">
        <v>1</v>
      </c>
      <c r="G8" s="32" t="s">
        <v>125</v>
      </c>
      <c r="H8" s="20" t="s">
        <v>295</v>
      </c>
      <c r="I8" s="20">
        <v>131</v>
      </c>
      <c r="J8" s="20">
        <v>5113</v>
      </c>
      <c r="K8" s="20" t="s">
        <v>20</v>
      </c>
      <c r="L8" s="20">
        <v>1</v>
      </c>
      <c r="M8" s="34">
        <v>1801616</v>
      </c>
      <c r="N8" s="34">
        <f t="shared" si="1"/>
        <v>1801616</v>
      </c>
      <c r="O8" s="20" t="s">
        <v>21</v>
      </c>
      <c r="P8" s="20">
        <v>5</v>
      </c>
      <c r="S8"/>
      <c r="T8"/>
      <c r="U8"/>
      <c r="V8"/>
    </row>
    <row r="9" spans="1:22" ht="15" customHeight="1" x14ac:dyDescent="0.25">
      <c r="A9" s="20" t="s">
        <v>18</v>
      </c>
      <c r="B9" s="71" t="s">
        <v>290</v>
      </c>
      <c r="C9" s="20">
        <f t="shared" si="0"/>
        <v>151</v>
      </c>
      <c r="D9" s="20">
        <v>0</v>
      </c>
      <c r="G9" s="32" t="s">
        <v>125</v>
      </c>
      <c r="H9" s="20" t="s">
        <v>300</v>
      </c>
      <c r="I9" s="20">
        <v>333821</v>
      </c>
      <c r="J9" s="20">
        <v>131</v>
      </c>
      <c r="K9" s="20" t="s">
        <v>20</v>
      </c>
      <c r="L9" s="20">
        <v>1</v>
      </c>
      <c r="M9" s="34">
        <v>18016</v>
      </c>
      <c r="N9" s="34">
        <f t="shared" si="1"/>
        <v>18016</v>
      </c>
      <c r="O9" s="20" t="s">
        <v>21</v>
      </c>
      <c r="P9" s="20">
        <v>6</v>
      </c>
      <c r="S9"/>
      <c r="T9"/>
      <c r="U9"/>
      <c r="V9"/>
    </row>
    <row r="10" spans="1:22" ht="15" customHeight="1" x14ac:dyDescent="0.25">
      <c r="A10" s="20" t="s">
        <v>18</v>
      </c>
      <c r="B10" s="71" t="s">
        <v>291</v>
      </c>
      <c r="C10" s="20">
        <f t="shared" si="0"/>
        <v>152</v>
      </c>
      <c r="D10" s="20">
        <v>1</v>
      </c>
      <c r="G10" s="32" t="s">
        <v>125</v>
      </c>
      <c r="H10" s="20" t="s">
        <v>296</v>
      </c>
      <c r="I10" s="20">
        <v>131</v>
      </c>
      <c r="J10" s="20">
        <v>5113</v>
      </c>
      <c r="K10" s="20" t="s">
        <v>20</v>
      </c>
      <c r="L10" s="20">
        <v>1</v>
      </c>
      <c r="M10" s="34">
        <v>7197980</v>
      </c>
      <c r="N10" s="34">
        <f t="shared" si="1"/>
        <v>7197980</v>
      </c>
      <c r="O10" s="20" t="s">
        <v>21</v>
      </c>
      <c r="P10" s="20">
        <v>7</v>
      </c>
      <c r="S10"/>
      <c r="T10"/>
      <c r="U10"/>
      <c r="V10"/>
    </row>
    <row r="11" spans="1:22" ht="15" customHeight="1" x14ac:dyDescent="0.25">
      <c r="A11" s="20" t="s">
        <v>18</v>
      </c>
      <c r="B11" s="71" t="s">
        <v>291</v>
      </c>
      <c r="C11" s="20">
        <f t="shared" si="0"/>
        <v>152</v>
      </c>
      <c r="D11" s="20">
        <v>0</v>
      </c>
      <c r="G11" s="32" t="s">
        <v>125</v>
      </c>
      <c r="H11" s="20" t="s">
        <v>301</v>
      </c>
      <c r="I11" s="20">
        <v>333821</v>
      </c>
      <c r="J11" s="20">
        <v>131</v>
      </c>
      <c r="K11" s="20" t="s">
        <v>20</v>
      </c>
      <c r="L11" s="20">
        <v>1</v>
      </c>
      <c r="M11" s="34">
        <v>71980</v>
      </c>
      <c r="N11" s="34">
        <f t="shared" si="1"/>
        <v>71980</v>
      </c>
      <c r="O11" s="20" t="s">
        <v>21</v>
      </c>
      <c r="P11" s="20">
        <v>8</v>
      </c>
      <c r="S11"/>
      <c r="T11"/>
      <c r="U11"/>
      <c r="V11"/>
    </row>
    <row r="12" spans="1:22" ht="15" customHeight="1" x14ac:dyDescent="0.25">
      <c r="A12" s="20" t="s">
        <v>18</v>
      </c>
      <c r="B12" s="71" t="s">
        <v>292</v>
      </c>
      <c r="C12" s="20">
        <f t="shared" si="0"/>
        <v>153</v>
      </c>
      <c r="D12" s="20">
        <v>1</v>
      </c>
      <c r="G12" s="32" t="s">
        <v>125</v>
      </c>
      <c r="H12" s="20" t="s">
        <v>297</v>
      </c>
      <c r="I12" s="20">
        <v>131</v>
      </c>
      <c r="J12" s="20">
        <v>5113</v>
      </c>
      <c r="K12" s="20" t="s">
        <v>20</v>
      </c>
      <c r="L12" s="20">
        <v>1</v>
      </c>
      <c r="M12" s="34">
        <v>8343434</v>
      </c>
      <c r="N12" s="34">
        <f t="shared" si="1"/>
        <v>8343434</v>
      </c>
      <c r="O12" s="20" t="s">
        <v>21</v>
      </c>
      <c r="P12" s="20">
        <v>9</v>
      </c>
      <c r="S12"/>
      <c r="T12"/>
      <c r="U12"/>
      <c r="V12"/>
    </row>
    <row r="13" spans="1:22" ht="15" customHeight="1" x14ac:dyDescent="0.25">
      <c r="A13" s="20" t="s">
        <v>18</v>
      </c>
      <c r="B13" s="71" t="s">
        <v>292</v>
      </c>
      <c r="C13" s="20">
        <f t="shared" si="0"/>
        <v>153</v>
      </c>
      <c r="D13" s="20">
        <v>0</v>
      </c>
      <c r="G13" s="32" t="s">
        <v>125</v>
      </c>
      <c r="H13" s="20" t="s">
        <v>302</v>
      </c>
      <c r="I13" s="20">
        <v>333821</v>
      </c>
      <c r="J13" s="20">
        <v>131</v>
      </c>
      <c r="K13" s="20" t="s">
        <v>20</v>
      </c>
      <c r="L13" s="20">
        <v>1</v>
      </c>
      <c r="M13" s="34">
        <v>83434</v>
      </c>
      <c r="N13" s="34">
        <f t="shared" si="1"/>
        <v>83434</v>
      </c>
      <c r="O13" s="20" t="s">
        <v>21</v>
      </c>
      <c r="P13" s="20">
        <v>10</v>
      </c>
      <c r="S13"/>
      <c r="T13"/>
      <c r="U13"/>
      <c r="V13"/>
    </row>
    <row r="14" spans="1:22" ht="15" customHeight="1" x14ac:dyDescent="0.25">
      <c r="A14" s="20" t="s">
        <v>18</v>
      </c>
      <c r="B14" s="71">
        <v>45933</v>
      </c>
      <c r="C14" s="20">
        <f t="shared" si="0"/>
        <v>154</v>
      </c>
      <c r="D14" s="20">
        <v>1</v>
      </c>
      <c r="G14" s="32" t="s">
        <v>37</v>
      </c>
      <c r="H14" s="20" t="s">
        <v>303</v>
      </c>
      <c r="I14" s="20">
        <v>64277</v>
      </c>
      <c r="J14" s="20">
        <v>331</v>
      </c>
      <c r="K14" s="20" t="s">
        <v>20</v>
      </c>
      <c r="L14" s="20">
        <v>1</v>
      </c>
      <c r="M14" s="34">
        <v>3240000</v>
      </c>
      <c r="N14" s="34">
        <f t="shared" si="1"/>
        <v>3240000</v>
      </c>
      <c r="O14" s="20" t="s">
        <v>21</v>
      </c>
      <c r="P14" s="20">
        <f>P13+1</f>
        <v>11</v>
      </c>
      <c r="S14"/>
      <c r="T14"/>
      <c r="U14"/>
      <c r="V14"/>
    </row>
    <row r="15" spans="1:22" ht="15" customHeight="1" x14ac:dyDescent="0.25">
      <c r="A15" s="20" t="s">
        <v>18</v>
      </c>
      <c r="B15" s="71">
        <v>45936</v>
      </c>
      <c r="C15" s="20">
        <f t="shared" si="0"/>
        <v>155</v>
      </c>
      <c r="D15" s="20">
        <v>1</v>
      </c>
      <c r="G15" s="32" t="s">
        <v>122</v>
      </c>
      <c r="H15" s="20" t="s">
        <v>761</v>
      </c>
      <c r="I15" s="20">
        <v>64277</v>
      </c>
      <c r="J15" s="20">
        <v>331</v>
      </c>
      <c r="K15" s="20" t="s">
        <v>20</v>
      </c>
      <c r="L15" s="20">
        <v>1</v>
      </c>
      <c r="M15" s="34">
        <v>500000</v>
      </c>
      <c r="N15" s="34">
        <f t="shared" si="1"/>
        <v>500000</v>
      </c>
      <c r="O15" s="20" t="s">
        <v>21</v>
      </c>
      <c r="P15" s="20">
        <f t="shared" ref="P15:P78" si="2">P14+1</f>
        <v>12</v>
      </c>
      <c r="S15"/>
      <c r="T15"/>
      <c r="U15"/>
      <c r="V15"/>
    </row>
    <row r="16" spans="1:22" ht="15" customHeight="1" x14ac:dyDescent="0.25">
      <c r="A16" s="20" t="s">
        <v>18</v>
      </c>
      <c r="B16" s="71">
        <v>45963</v>
      </c>
      <c r="C16" s="20">
        <f t="shared" si="0"/>
        <v>156</v>
      </c>
      <c r="D16" s="20">
        <v>1</v>
      </c>
      <c r="G16" s="32" t="s">
        <v>122</v>
      </c>
      <c r="H16" s="20" t="s">
        <v>762</v>
      </c>
      <c r="I16" s="20">
        <v>64277</v>
      </c>
      <c r="J16" s="20">
        <v>331</v>
      </c>
      <c r="K16" s="20" t="s">
        <v>20</v>
      </c>
      <c r="L16" s="20">
        <v>1</v>
      </c>
      <c r="M16" s="34">
        <v>500000</v>
      </c>
      <c r="N16" s="34">
        <f t="shared" si="1"/>
        <v>500000</v>
      </c>
      <c r="O16" s="20" t="s">
        <v>21</v>
      </c>
      <c r="P16" s="20">
        <f t="shared" si="2"/>
        <v>13</v>
      </c>
      <c r="S16"/>
      <c r="T16"/>
      <c r="U16"/>
      <c r="V16"/>
    </row>
    <row r="17" spans="1:22" ht="15" customHeight="1" x14ac:dyDescent="0.25">
      <c r="A17" s="20" t="s">
        <v>18</v>
      </c>
      <c r="B17" s="71">
        <v>45964</v>
      </c>
      <c r="C17" s="20">
        <f t="shared" si="0"/>
        <v>157</v>
      </c>
      <c r="D17" s="20">
        <v>1</v>
      </c>
      <c r="G17" s="32" t="s">
        <v>48</v>
      </c>
      <c r="H17" s="20" t="s">
        <v>304</v>
      </c>
      <c r="I17" s="20">
        <v>64277</v>
      </c>
      <c r="J17" s="20">
        <v>331</v>
      </c>
      <c r="K17" s="20" t="s">
        <v>20</v>
      </c>
      <c r="L17" s="20">
        <v>1</v>
      </c>
      <c r="M17" s="34">
        <v>485</v>
      </c>
      <c r="N17" s="34">
        <f t="shared" si="1"/>
        <v>485</v>
      </c>
      <c r="O17" s="20" t="s">
        <v>21</v>
      </c>
      <c r="P17" s="20">
        <f t="shared" si="2"/>
        <v>14</v>
      </c>
      <c r="S17"/>
      <c r="T17"/>
      <c r="U17"/>
      <c r="V17"/>
    </row>
    <row r="18" spans="1:22" ht="15" customHeight="1" x14ac:dyDescent="0.25">
      <c r="A18" s="20" t="s">
        <v>18</v>
      </c>
      <c r="B18" s="71">
        <v>45965</v>
      </c>
      <c r="C18" s="20">
        <f t="shared" si="0"/>
        <v>158</v>
      </c>
      <c r="D18" s="20">
        <v>1</v>
      </c>
      <c r="G18" s="32" t="s">
        <v>37</v>
      </c>
      <c r="H18" s="20" t="s">
        <v>305</v>
      </c>
      <c r="I18" s="20">
        <v>64277</v>
      </c>
      <c r="J18" s="20">
        <v>331</v>
      </c>
      <c r="K18" s="20" t="s">
        <v>20</v>
      </c>
      <c r="L18" s="20">
        <v>1</v>
      </c>
      <c r="M18" s="34">
        <v>3240000</v>
      </c>
      <c r="N18" s="34">
        <f t="shared" si="1"/>
        <v>3240000</v>
      </c>
      <c r="O18" s="20" t="s">
        <v>21</v>
      </c>
      <c r="P18" s="20">
        <f t="shared" si="2"/>
        <v>15</v>
      </c>
      <c r="S18"/>
      <c r="T18"/>
      <c r="U18"/>
      <c r="V18"/>
    </row>
    <row r="19" spans="1:22" ht="15" customHeight="1" x14ac:dyDescent="0.25">
      <c r="A19" s="20" t="s">
        <v>18</v>
      </c>
      <c r="B19" s="71">
        <v>45966</v>
      </c>
      <c r="C19" s="20">
        <f t="shared" si="0"/>
        <v>159</v>
      </c>
      <c r="D19" s="20">
        <v>1</v>
      </c>
      <c r="G19" s="32" t="s">
        <v>19</v>
      </c>
      <c r="H19" s="20" t="s">
        <v>763</v>
      </c>
      <c r="I19" s="20">
        <v>64277</v>
      </c>
      <c r="J19" s="20">
        <v>331</v>
      </c>
      <c r="K19" s="20" t="s">
        <v>20</v>
      </c>
      <c r="L19" s="20">
        <v>1</v>
      </c>
      <c r="M19" s="34">
        <v>35000</v>
      </c>
      <c r="N19" s="34">
        <f t="shared" si="1"/>
        <v>35000</v>
      </c>
      <c r="O19" s="20" t="s">
        <v>21</v>
      </c>
      <c r="P19" s="20">
        <f t="shared" si="2"/>
        <v>16</v>
      </c>
      <c r="S19"/>
      <c r="T19"/>
      <c r="U19"/>
      <c r="V19"/>
    </row>
    <row r="20" spans="1:22" ht="15" customHeight="1" x14ac:dyDescent="0.25">
      <c r="A20" s="20" t="s">
        <v>18</v>
      </c>
      <c r="B20" s="71">
        <v>45975</v>
      </c>
      <c r="C20" s="20">
        <f t="shared" si="0"/>
        <v>160</v>
      </c>
      <c r="D20" s="20">
        <v>1</v>
      </c>
      <c r="G20" s="32" t="s">
        <v>122</v>
      </c>
      <c r="H20" s="20" t="s">
        <v>764</v>
      </c>
      <c r="I20" s="20">
        <v>64277</v>
      </c>
      <c r="J20" s="20">
        <v>331</v>
      </c>
      <c r="K20" s="20" t="s">
        <v>20</v>
      </c>
      <c r="L20" s="20">
        <v>1</v>
      </c>
      <c r="M20" s="34">
        <v>500000</v>
      </c>
      <c r="N20" s="34">
        <f t="shared" si="1"/>
        <v>500000</v>
      </c>
      <c r="O20" s="20" t="s">
        <v>21</v>
      </c>
      <c r="P20" s="20">
        <f t="shared" si="2"/>
        <v>17</v>
      </c>
      <c r="S20"/>
      <c r="T20"/>
      <c r="U20"/>
      <c r="V20"/>
    </row>
    <row r="21" spans="1:22" ht="15" customHeight="1" x14ac:dyDescent="0.25">
      <c r="A21" s="20" t="s">
        <v>18</v>
      </c>
      <c r="B21" s="71">
        <v>45989</v>
      </c>
      <c r="C21" s="20">
        <f t="shared" si="0"/>
        <v>161</v>
      </c>
      <c r="D21" s="20">
        <v>1</v>
      </c>
      <c r="G21" s="32" t="s">
        <v>122</v>
      </c>
      <c r="H21" s="20" t="s">
        <v>765</v>
      </c>
      <c r="I21" s="20">
        <v>64277</v>
      </c>
      <c r="J21" s="20">
        <v>331</v>
      </c>
      <c r="K21" s="20" t="s">
        <v>20</v>
      </c>
      <c r="L21" s="20">
        <v>1</v>
      </c>
      <c r="M21" s="34">
        <v>500000</v>
      </c>
      <c r="N21" s="34">
        <f t="shared" si="1"/>
        <v>500000</v>
      </c>
      <c r="O21" s="20" t="s">
        <v>21</v>
      </c>
      <c r="P21" s="20">
        <f t="shared" si="2"/>
        <v>18</v>
      </c>
      <c r="S21"/>
      <c r="T21"/>
      <c r="U21"/>
      <c r="V21"/>
    </row>
    <row r="22" spans="1:22" ht="15" customHeight="1" x14ac:dyDescent="0.25">
      <c r="A22" s="20" t="s">
        <v>18</v>
      </c>
      <c r="B22" s="71">
        <v>45989</v>
      </c>
      <c r="C22" s="20">
        <f t="shared" si="0"/>
        <v>162</v>
      </c>
      <c r="D22" s="20">
        <v>1</v>
      </c>
      <c r="G22" s="32" t="s">
        <v>25</v>
      </c>
      <c r="H22" s="20" t="s">
        <v>766</v>
      </c>
      <c r="I22" s="20">
        <v>64277</v>
      </c>
      <c r="J22" s="20">
        <v>331</v>
      </c>
      <c r="K22" s="20" t="s">
        <v>20</v>
      </c>
      <c r="L22" s="20">
        <v>1</v>
      </c>
      <c r="M22" s="34">
        <v>994680</v>
      </c>
      <c r="N22" s="34">
        <f t="shared" si="1"/>
        <v>994680</v>
      </c>
      <c r="O22" s="20" t="s">
        <v>21</v>
      </c>
      <c r="P22" s="20">
        <f t="shared" si="2"/>
        <v>19</v>
      </c>
      <c r="S22"/>
      <c r="T22"/>
      <c r="U22"/>
      <c r="V22"/>
    </row>
    <row r="23" spans="1:22" ht="15" customHeight="1" x14ac:dyDescent="0.25">
      <c r="A23" s="20" t="s">
        <v>18</v>
      </c>
      <c r="B23" s="71">
        <v>45993</v>
      </c>
      <c r="C23" s="20">
        <f t="shared" si="0"/>
        <v>163</v>
      </c>
      <c r="D23" s="20">
        <v>1</v>
      </c>
      <c r="G23" s="32" t="s">
        <v>37</v>
      </c>
      <c r="H23" s="20" t="s">
        <v>306</v>
      </c>
      <c r="I23" s="20">
        <v>64277</v>
      </c>
      <c r="J23" s="20">
        <v>331</v>
      </c>
      <c r="K23" s="20" t="s">
        <v>20</v>
      </c>
      <c r="L23" s="20">
        <v>1</v>
      </c>
      <c r="M23" s="34">
        <v>1080000</v>
      </c>
      <c r="N23" s="34">
        <f t="shared" si="1"/>
        <v>1080000</v>
      </c>
      <c r="O23" s="20" t="s">
        <v>21</v>
      </c>
      <c r="P23" s="20">
        <f t="shared" si="2"/>
        <v>20</v>
      </c>
      <c r="S23"/>
      <c r="T23"/>
      <c r="U23"/>
      <c r="V23"/>
    </row>
    <row r="24" spans="1:22" ht="15" customHeight="1" x14ac:dyDescent="0.25">
      <c r="A24" s="20" t="s">
        <v>18</v>
      </c>
      <c r="B24" s="71">
        <v>45993</v>
      </c>
      <c r="C24" s="20">
        <f t="shared" si="0"/>
        <v>164</v>
      </c>
      <c r="D24" s="20">
        <v>1</v>
      </c>
      <c r="G24" s="32" t="s">
        <v>48</v>
      </c>
      <c r="H24" s="20" t="s">
        <v>307</v>
      </c>
      <c r="I24" s="20">
        <v>64277</v>
      </c>
      <c r="J24" s="20">
        <v>331</v>
      </c>
      <c r="K24" s="20" t="s">
        <v>20</v>
      </c>
      <c r="L24" s="20">
        <v>1</v>
      </c>
      <c r="M24" s="34">
        <v>7372</v>
      </c>
      <c r="N24" s="34">
        <f t="shared" si="1"/>
        <v>7372</v>
      </c>
      <c r="O24" s="20" t="s">
        <v>21</v>
      </c>
      <c r="P24" s="20">
        <f t="shared" si="2"/>
        <v>21</v>
      </c>
      <c r="S24"/>
      <c r="T24"/>
      <c r="U24"/>
      <c r="V24"/>
    </row>
    <row r="25" spans="1:22" ht="15" customHeight="1" x14ac:dyDescent="0.25">
      <c r="A25" s="20" t="s">
        <v>18</v>
      </c>
      <c r="B25" s="71">
        <v>45994</v>
      </c>
      <c r="C25" s="20">
        <f t="shared" si="0"/>
        <v>165</v>
      </c>
      <c r="D25" s="20">
        <v>1</v>
      </c>
      <c r="G25" s="32" t="s">
        <v>119</v>
      </c>
      <c r="H25" s="20" t="s">
        <v>767</v>
      </c>
      <c r="I25" s="20">
        <v>64277</v>
      </c>
      <c r="J25" s="20">
        <v>331</v>
      </c>
      <c r="K25" s="20" t="s">
        <v>20</v>
      </c>
      <c r="L25" s="20">
        <v>1</v>
      </c>
      <c r="M25" s="34">
        <v>500000</v>
      </c>
      <c r="N25" s="34">
        <f t="shared" si="1"/>
        <v>500000</v>
      </c>
      <c r="O25" s="20" t="s">
        <v>21</v>
      </c>
      <c r="P25" s="20">
        <f t="shared" si="2"/>
        <v>22</v>
      </c>
      <c r="S25"/>
      <c r="T25"/>
      <c r="U25"/>
      <c r="V25"/>
    </row>
    <row r="26" spans="1:22" ht="15" customHeight="1" x14ac:dyDescent="0.25">
      <c r="A26" s="20" t="s">
        <v>18</v>
      </c>
      <c r="B26" s="71">
        <v>46003</v>
      </c>
      <c r="C26" s="20">
        <f t="shared" si="0"/>
        <v>166</v>
      </c>
      <c r="D26" s="20">
        <v>1</v>
      </c>
      <c r="G26" s="32" t="s">
        <v>122</v>
      </c>
      <c r="H26" s="20" t="s">
        <v>768</v>
      </c>
      <c r="I26" s="20">
        <v>64277</v>
      </c>
      <c r="J26" s="20">
        <v>331</v>
      </c>
      <c r="K26" s="20" t="s">
        <v>20</v>
      </c>
      <c r="L26" s="20">
        <v>1</v>
      </c>
      <c r="M26" s="34">
        <v>500000</v>
      </c>
      <c r="N26" s="34">
        <f t="shared" si="1"/>
        <v>500000</v>
      </c>
      <c r="O26" s="20" t="s">
        <v>21</v>
      </c>
      <c r="P26" s="20">
        <f t="shared" si="2"/>
        <v>23</v>
      </c>
      <c r="S26"/>
      <c r="T26"/>
      <c r="U26"/>
      <c r="V26"/>
    </row>
    <row r="27" spans="1:22" ht="15" customHeight="1" x14ac:dyDescent="0.25">
      <c r="A27" s="20" t="s">
        <v>18</v>
      </c>
      <c r="B27" s="71">
        <v>46014</v>
      </c>
      <c r="C27" s="20">
        <f t="shared" si="0"/>
        <v>167</v>
      </c>
      <c r="D27" s="20">
        <v>1</v>
      </c>
      <c r="G27" s="32" t="s">
        <v>122</v>
      </c>
      <c r="H27" s="20" t="s">
        <v>769</v>
      </c>
      <c r="I27" s="20">
        <v>64277</v>
      </c>
      <c r="J27" s="20">
        <v>331</v>
      </c>
      <c r="K27" s="20" t="s">
        <v>20</v>
      </c>
      <c r="L27" s="20">
        <v>1</v>
      </c>
      <c r="M27" s="34">
        <v>500000</v>
      </c>
      <c r="N27" s="34">
        <f t="shared" si="1"/>
        <v>500000</v>
      </c>
      <c r="O27" s="20" t="s">
        <v>21</v>
      </c>
      <c r="P27" s="20">
        <f t="shared" si="2"/>
        <v>24</v>
      </c>
      <c r="S27"/>
      <c r="T27"/>
      <c r="U27"/>
      <c r="V27"/>
    </row>
    <row r="28" spans="1:22" ht="15" customHeight="1" x14ac:dyDescent="0.25">
      <c r="A28" s="20" t="s">
        <v>18</v>
      </c>
      <c r="B28" s="71">
        <v>45961</v>
      </c>
      <c r="C28" s="20">
        <f t="shared" ref="C28:C31" si="3">C27+D28</f>
        <v>168</v>
      </c>
      <c r="D28" s="20">
        <v>1</v>
      </c>
      <c r="G28" s="32" t="s">
        <v>36</v>
      </c>
      <c r="H28" s="20" t="s">
        <v>371</v>
      </c>
      <c r="I28" s="20">
        <v>64271</v>
      </c>
      <c r="J28" s="20">
        <v>3383</v>
      </c>
      <c r="K28" s="20" t="s">
        <v>20</v>
      </c>
      <c r="L28" s="20">
        <v>1</v>
      </c>
      <c r="M28" s="34">
        <v>690300</v>
      </c>
      <c r="N28" s="34">
        <f t="shared" ref="N28:N86" si="4">L28*M28</f>
        <v>690300</v>
      </c>
      <c r="O28" s="20" t="s">
        <v>21</v>
      </c>
      <c r="P28" s="20">
        <f t="shared" si="2"/>
        <v>25</v>
      </c>
      <c r="S28"/>
      <c r="T28"/>
      <c r="U28"/>
      <c r="V28"/>
    </row>
    <row r="29" spans="1:22" ht="15" customHeight="1" x14ac:dyDescent="0.25">
      <c r="A29" s="20" t="s">
        <v>18</v>
      </c>
      <c r="B29" s="71">
        <v>45991</v>
      </c>
      <c r="C29" s="20">
        <f t="shared" si="3"/>
        <v>169</v>
      </c>
      <c r="D29" s="20">
        <v>1</v>
      </c>
      <c r="G29" s="32" t="s">
        <v>36</v>
      </c>
      <c r="H29" s="20" t="s">
        <v>372</v>
      </c>
      <c r="I29" s="20">
        <v>64271</v>
      </c>
      <c r="J29" s="20">
        <v>3383</v>
      </c>
      <c r="K29" s="20" t="s">
        <v>20</v>
      </c>
      <c r="L29" s="20">
        <v>1</v>
      </c>
      <c r="M29" s="34">
        <v>690300</v>
      </c>
      <c r="N29" s="34">
        <f t="shared" si="4"/>
        <v>690300</v>
      </c>
      <c r="O29" s="20" t="s">
        <v>21</v>
      </c>
      <c r="P29" s="20">
        <f t="shared" si="2"/>
        <v>26</v>
      </c>
      <c r="S29"/>
      <c r="T29"/>
      <c r="U29"/>
      <c r="V29"/>
    </row>
    <row r="30" spans="1:22" ht="15" customHeight="1" x14ac:dyDescent="0.25">
      <c r="A30" s="20" t="s">
        <v>18</v>
      </c>
      <c r="B30" s="71">
        <v>46022</v>
      </c>
      <c r="C30" s="20">
        <f t="shared" si="3"/>
        <v>170</v>
      </c>
      <c r="D30" s="20">
        <v>1</v>
      </c>
      <c r="G30" s="32" t="s">
        <v>36</v>
      </c>
      <c r="H30" s="20" t="s">
        <v>373</v>
      </c>
      <c r="I30" s="20">
        <v>64271</v>
      </c>
      <c r="J30" s="20">
        <v>3383</v>
      </c>
      <c r="K30" s="20" t="s">
        <v>20</v>
      </c>
      <c r="L30" s="20">
        <v>1</v>
      </c>
      <c r="M30" s="34">
        <v>690300</v>
      </c>
      <c r="N30" s="34">
        <f t="shared" si="4"/>
        <v>690300</v>
      </c>
      <c r="O30" s="20" t="s">
        <v>21</v>
      </c>
      <c r="P30" s="20">
        <f t="shared" si="2"/>
        <v>27</v>
      </c>
      <c r="S30"/>
      <c r="T30"/>
      <c r="U30"/>
      <c r="V30"/>
    </row>
    <row r="31" spans="1:22" ht="15" customHeight="1" x14ac:dyDescent="0.25">
      <c r="A31" s="20" t="s">
        <v>2679</v>
      </c>
      <c r="B31" s="71">
        <v>45930</v>
      </c>
      <c r="C31" s="20">
        <f t="shared" si="3"/>
        <v>171</v>
      </c>
      <c r="D31" s="20">
        <v>1</v>
      </c>
      <c r="G31" s="32" t="s">
        <v>125</v>
      </c>
      <c r="H31" s="20" t="s">
        <v>3159</v>
      </c>
      <c r="I31" s="20">
        <v>112111</v>
      </c>
      <c r="J31" s="20">
        <v>131</v>
      </c>
      <c r="K31" s="20" t="s">
        <v>20</v>
      </c>
      <c r="L31" s="20">
        <v>1</v>
      </c>
      <c r="M31" s="34">
        <v>24500000</v>
      </c>
      <c r="N31" s="34">
        <f t="shared" si="4"/>
        <v>24500000</v>
      </c>
      <c r="O31" s="20" t="s">
        <v>21</v>
      </c>
      <c r="P31" s="20">
        <f t="shared" si="2"/>
        <v>28</v>
      </c>
      <c r="S31"/>
      <c r="T31"/>
      <c r="U31"/>
      <c r="V31"/>
    </row>
    <row r="32" spans="1:22" ht="15" customHeight="1" x14ac:dyDescent="0.25">
      <c r="A32" s="20" t="s">
        <v>2679</v>
      </c>
      <c r="B32" s="71">
        <v>45930</v>
      </c>
      <c r="C32" s="20">
        <f t="shared" ref="C32:C84" si="5">C31+D32</f>
        <v>172</v>
      </c>
      <c r="D32" s="20">
        <v>1</v>
      </c>
      <c r="G32" s="32" t="s">
        <v>125</v>
      </c>
      <c r="H32" s="20" t="s">
        <v>3160</v>
      </c>
      <c r="I32" s="20">
        <v>112111</v>
      </c>
      <c r="J32" s="20">
        <v>131</v>
      </c>
      <c r="K32" s="20" t="s">
        <v>20</v>
      </c>
      <c r="L32" s="20">
        <v>1</v>
      </c>
      <c r="M32" s="34">
        <v>4200000</v>
      </c>
      <c r="N32" s="34">
        <f t="shared" si="4"/>
        <v>4200000</v>
      </c>
      <c r="O32" s="20" t="s">
        <v>21</v>
      </c>
      <c r="P32" s="20">
        <f t="shared" si="2"/>
        <v>29</v>
      </c>
      <c r="S32"/>
      <c r="T32"/>
      <c r="U32"/>
      <c r="V32"/>
    </row>
    <row r="33" spans="1:22" ht="15" customHeight="1" x14ac:dyDescent="0.25">
      <c r="A33" s="20" t="s">
        <v>18</v>
      </c>
      <c r="B33" s="71">
        <v>45930</v>
      </c>
      <c r="C33" s="20">
        <f t="shared" ref="C33:C35" si="6">C32+D33</f>
        <v>173</v>
      </c>
      <c r="D33" s="20">
        <v>1</v>
      </c>
      <c r="G33" s="32" t="s">
        <v>43</v>
      </c>
      <c r="H33" s="20" t="s">
        <v>3161</v>
      </c>
      <c r="I33" s="20">
        <v>131</v>
      </c>
      <c r="J33" s="20">
        <v>5118</v>
      </c>
      <c r="K33" s="20" t="s">
        <v>20</v>
      </c>
      <c r="L33" s="20">
        <v>1</v>
      </c>
      <c r="M33" s="34">
        <v>2877375</v>
      </c>
      <c r="N33" s="34">
        <f t="shared" si="4"/>
        <v>2877375</v>
      </c>
      <c r="O33" s="20" t="s">
        <v>21</v>
      </c>
      <c r="P33" s="20">
        <f t="shared" si="2"/>
        <v>30</v>
      </c>
      <c r="S33"/>
      <c r="T33"/>
      <c r="U33"/>
      <c r="V33"/>
    </row>
    <row r="34" spans="1:22" ht="15" customHeight="1" x14ac:dyDescent="0.25">
      <c r="A34" s="20" t="s">
        <v>18</v>
      </c>
      <c r="B34" s="71">
        <v>45930</v>
      </c>
      <c r="C34" s="20">
        <f t="shared" si="6"/>
        <v>174</v>
      </c>
      <c r="D34" s="20">
        <v>1</v>
      </c>
      <c r="G34" s="32" t="s">
        <v>43</v>
      </c>
      <c r="H34" s="20" t="s">
        <v>3161</v>
      </c>
      <c r="I34" s="20">
        <v>131</v>
      </c>
      <c r="J34" s="20">
        <v>5118</v>
      </c>
      <c r="K34" s="20" t="s">
        <v>20</v>
      </c>
      <c r="L34" s="20">
        <v>1</v>
      </c>
      <c r="M34" s="34">
        <v>1582773</v>
      </c>
      <c r="N34" s="34">
        <f t="shared" si="4"/>
        <v>1582773</v>
      </c>
      <c r="O34" s="20" t="s">
        <v>21</v>
      </c>
      <c r="P34" s="20">
        <f t="shared" si="2"/>
        <v>31</v>
      </c>
      <c r="S34"/>
      <c r="T34"/>
      <c r="U34"/>
      <c r="V34"/>
    </row>
    <row r="35" spans="1:22" ht="15" customHeight="1" x14ac:dyDescent="0.25">
      <c r="A35" s="20" t="s">
        <v>2679</v>
      </c>
      <c r="B35" s="71">
        <v>45930</v>
      </c>
      <c r="C35" s="20">
        <f t="shared" si="6"/>
        <v>175</v>
      </c>
      <c r="D35" s="20">
        <v>1</v>
      </c>
      <c r="G35" s="32" t="s">
        <v>43</v>
      </c>
      <c r="H35" s="20" t="s">
        <v>3162</v>
      </c>
      <c r="I35" s="20">
        <v>112111</v>
      </c>
      <c r="J35" s="20">
        <v>131</v>
      </c>
      <c r="K35" s="20" t="s">
        <v>20</v>
      </c>
      <c r="L35" s="20">
        <v>1</v>
      </c>
      <c r="M35" s="34">
        <v>2877375</v>
      </c>
      <c r="N35" s="34">
        <f t="shared" si="4"/>
        <v>2877375</v>
      </c>
      <c r="O35" s="20" t="s">
        <v>21</v>
      </c>
      <c r="P35" s="20">
        <f t="shared" si="2"/>
        <v>32</v>
      </c>
      <c r="S35"/>
      <c r="T35"/>
      <c r="U35"/>
      <c r="V35"/>
    </row>
    <row r="36" spans="1:22" ht="15" customHeight="1" x14ac:dyDescent="0.25">
      <c r="A36" s="20" t="s">
        <v>2679</v>
      </c>
      <c r="B36" s="71">
        <v>45930</v>
      </c>
      <c r="C36" s="20">
        <f t="shared" si="5"/>
        <v>176</v>
      </c>
      <c r="D36" s="20">
        <v>1</v>
      </c>
      <c r="G36" s="32" t="s">
        <v>43</v>
      </c>
      <c r="H36" s="20" t="s">
        <v>3162</v>
      </c>
      <c r="I36" s="20">
        <v>112111</v>
      </c>
      <c r="J36" s="20">
        <v>131</v>
      </c>
      <c r="K36" s="20" t="s">
        <v>20</v>
      </c>
      <c r="L36" s="20">
        <v>1</v>
      </c>
      <c r="M36" s="34">
        <v>1582773</v>
      </c>
      <c r="N36" s="34">
        <f t="shared" si="4"/>
        <v>1582773</v>
      </c>
      <c r="O36" s="20" t="s">
        <v>21</v>
      </c>
      <c r="P36" s="20">
        <f t="shared" si="2"/>
        <v>33</v>
      </c>
      <c r="S36"/>
      <c r="T36"/>
      <c r="U36"/>
      <c r="V36"/>
    </row>
    <row r="37" spans="1:22" ht="15" customHeight="1" x14ac:dyDescent="0.25">
      <c r="A37" s="20" t="s">
        <v>2678</v>
      </c>
      <c r="B37" s="71">
        <v>45930</v>
      </c>
      <c r="C37" s="20">
        <f t="shared" si="5"/>
        <v>177</v>
      </c>
      <c r="D37" s="20">
        <v>1</v>
      </c>
      <c r="G37" s="32" t="s">
        <v>146</v>
      </c>
      <c r="H37" s="20" t="s">
        <v>2681</v>
      </c>
      <c r="I37" s="20">
        <v>1111</v>
      </c>
      <c r="J37" s="20">
        <v>112111</v>
      </c>
      <c r="K37" s="20" t="s">
        <v>20</v>
      </c>
      <c r="L37" s="20">
        <v>1</v>
      </c>
      <c r="M37" s="34">
        <v>29640000</v>
      </c>
      <c r="N37" s="34">
        <f t="shared" si="4"/>
        <v>29640000</v>
      </c>
      <c r="O37" s="20" t="s">
        <v>21</v>
      </c>
      <c r="P37" s="20">
        <f t="shared" si="2"/>
        <v>34</v>
      </c>
      <c r="S37"/>
      <c r="T37"/>
      <c r="U37"/>
      <c r="V37"/>
    </row>
    <row r="38" spans="1:22" ht="15" customHeight="1" x14ac:dyDescent="0.25">
      <c r="A38" s="20" t="s">
        <v>2678</v>
      </c>
      <c r="B38" s="71">
        <v>45930</v>
      </c>
      <c r="C38" s="20">
        <f t="shared" si="5"/>
        <v>178</v>
      </c>
      <c r="D38" s="20">
        <v>1</v>
      </c>
      <c r="G38" s="32" t="s">
        <v>146</v>
      </c>
      <c r="H38" s="20" t="s">
        <v>2681</v>
      </c>
      <c r="I38" s="20">
        <v>1111</v>
      </c>
      <c r="J38" s="20">
        <v>112111</v>
      </c>
      <c r="K38" s="20" t="s">
        <v>20</v>
      </c>
      <c r="L38" s="20">
        <v>1</v>
      </c>
      <c r="M38" s="34">
        <v>1190300</v>
      </c>
      <c r="N38" s="34">
        <f t="shared" si="4"/>
        <v>1190300</v>
      </c>
      <c r="O38" s="20" t="s">
        <v>21</v>
      </c>
      <c r="P38" s="20">
        <f t="shared" si="2"/>
        <v>35</v>
      </c>
      <c r="S38"/>
      <c r="T38"/>
      <c r="U38"/>
      <c r="V38"/>
    </row>
    <row r="39" spans="1:22" ht="15" customHeight="1" x14ac:dyDescent="0.25">
      <c r="A39" s="20" t="s">
        <v>2678</v>
      </c>
      <c r="B39" s="71">
        <v>45934</v>
      </c>
      <c r="C39" s="20">
        <f t="shared" si="5"/>
        <v>179</v>
      </c>
      <c r="D39" s="20">
        <v>1</v>
      </c>
      <c r="G39" s="32" t="s">
        <v>146</v>
      </c>
      <c r="H39" s="20" t="s">
        <v>2681</v>
      </c>
      <c r="I39" s="20">
        <v>1111</v>
      </c>
      <c r="J39" s="20">
        <v>112111</v>
      </c>
      <c r="K39" s="20" t="s">
        <v>20</v>
      </c>
      <c r="L39" s="20">
        <v>1</v>
      </c>
      <c r="M39" s="34">
        <v>8700000</v>
      </c>
      <c r="N39" s="34">
        <f t="shared" si="4"/>
        <v>8700000</v>
      </c>
      <c r="O39" s="20" t="s">
        <v>21</v>
      </c>
      <c r="P39" s="20">
        <f t="shared" si="2"/>
        <v>36</v>
      </c>
      <c r="S39"/>
      <c r="T39"/>
      <c r="U39"/>
      <c r="V39"/>
    </row>
    <row r="40" spans="1:22" ht="15" customHeight="1" x14ac:dyDescent="0.25">
      <c r="A40" s="20" t="s">
        <v>2679</v>
      </c>
      <c r="B40" s="71">
        <v>45951</v>
      </c>
      <c r="C40" s="20">
        <f t="shared" si="5"/>
        <v>180</v>
      </c>
      <c r="D40" s="20">
        <v>1</v>
      </c>
      <c r="G40" s="32" t="s">
        <v>125</v>
      </c>
      <c r="H40" s="20" t="s">
        <v>3166</v>
      </c>
      <c r="I40" s="20">
        <v>112111</v>
      </c>
      <c r="J40" s="20">
        <v>131</v>
      </c>
      <c r="K40" s="20" t="s">
        <v>20</v>
      </c>
      <c r="L40" s="20">
        <v>1</v>
      </c>
      <c r="M40" s="34">
        <v>28000000</v>
      </c>
      <c r="N40" s="34">
        <f t="shared" si="4"/>
        <v>28000000</v>
      </c>
      <c r="O40" s="20" t="s">
        <v>21</v>
      </c>
      <c r="P40" s="20">
        <f t="shared" si="2"/>
        <v>37</v>
      </c>
      <c r="S40"/>
      <c r="T40"/>
      <c r="U40"/>
      <c r="V40"/>
    </row>
    <row r="41" spans="1:22" ht="15" customHeight="1" x14ac:dyDescent="0.25">
      <c r="A41" s="20" t="s">
        <v>2678</v>
      </c>
      <c r="B41" s="71">
        <v>45951</v>
      </c>
      <c r="C41" s="20">
        <f t="shared" si="5"/>
        <v>181</v>
      </c>
      <c r="D41" s="20">
        <v>1</v>
      </c>
      <c r="G41" s="32" t="s">
        <v>146</v>
      </c>
      <c r="H41" s="20" t="s">
        <v>2681</v>
      </c>
      <c r="I41" s="20">
        <v>1111</v>
      </c>
      <c r="J41" s="20">
        <v>112111</v>
      </c>
      <c r="K41" s="20" t="s">
        <v>20</v>
      </c>
      <c r="L41" s="20">
        <v>1</v>
      </c>
      <c r="M41" s="34">
        <v>17760000</v>
      </c>
      <c r="N41" s="34">
        <f t="shared" si="4"/>
        <v>17760000</v>
      </c>
      <c r="O41" s="20" t="s">
        <v>21</v>
      </c>
      <c r="P41" s="20">
        <f t="shared" si="2"/>
        <v>38</v>
      </c>
      <c r="S41"/>
      <c r="T41"/>
      <c r="U41"/>
      <c r="V41"/>
    </row>
    <row r="42" spans="1:22" ht="15" customHeight="1" x14ac:dyDescent="0.25">
      <c r="A42" s="20" t="s">
        <v>2678</v>
      </c>
      <c r="B42" s="71">
        <v>45955</v>
      </c>
      <c r="C42" s="20">
        <f t="shared" si="5"/>
        <v>182</v>
      </c>
      <c r="D42" s="20">
        <v>1</v>
      </c>
      <c r="G42" s="32" t="s">
        <v>146</v>
      </c>
      <c r="H42" s="20" t="s">
        <v>2681</v>
      </c>
      <c r="I42" s="20">
        <v>1111</v>
      </c>
      <c r="J42" s="20">
        <v>112111</v>
      </c>
      <c r="K42" s="20" t="s">
        <v>20</v>
      </c>
      <c r="L42" s="20">
        <v>1</v>
      </c>
      <c r="M42" s="34">
        <v>9900000</v>
      </c>
      <c r="N42" s="34">
        <f t="shared" si="4"/>
        <v>9900000</v>
      </c>
      <c r="O42" s="20" t="s">
        <v>21</v>
      </c>
      <c r="P42" s="20">
        <f t="shared" si="2"/>
        <v>39</v>
      </c>
      <c r="S42"/>
      <c r="T42"/>
      <c r="U42"/>
      <c r="V42"/>
    </row>
    <row r="43" spans="1:22" ht="15" customHeight="1" x14ac:dyDescent="0.25">
      <c r="A43" s="20" t="s">
        <v>2679</v>
      </c>
      <c r="B43" s="71">
        <v>45956</v>
      </c>
      <c r="C43" s="20">
        <f t="shared" si="5"/>
        <v>183</v>
      </c>
      <c r="D43" s="20">
        <v>1</v>
      </c>
      <c r="G43" s="32" t="s">
        <v>3163</v>
      </c>
      <c r="H43" s="20" t="s">
        <v>2687</v>
      </c>
      <c r="I43" s="20">
        <v>112111</v>
      </c>
      <c r="J43" s="20">
        <v>5154</v>
      </c>
      <c r="K43" s="20" t="s">
        <v>20</v>
      </c>
      <c r="L43" s="20">
        <v>1</v>
      </c>
      <c r="M43" s="34">
        <v>173</v>
      </c>
      <c r="N43" s="34">
        <f t="shared" si="4"/>
        <v>173</v>
      </c>
      <c r="O43" s="20" t="s">
        <v>21</v>
      </c>
      <c r="P43" s="20">
        <f t="shared" si="2"/>
        <v>40</v>
      </c>
      <c r="S43"/>
      <c r="T43"/>
      <c r="U43"/>
      <c r="V43"/>
    </row>
    <row r="44" spans="1:22" ht="15" customHeight="1" x14ac:dyDescent="0.25">
      <c r="A44" s="20" t="s">
        <v>18</v>
      </c>
      <c r="B44" s="71">
        <v>45958</v>
      </c>
      <c r="C44" s="20">
        <f t="shared" ref="C44:C46" si="7">C43+D44</f>
        <v>184</v>
      </c>
      <c r="D44" s="20">
        <v>1</v>
      </c>
      <c r="G44" s="32" t="s">
        <v>43</v>
      </c>
      <c r="H44" s="20" t="s">
        <v>3161</v>
      </c>
      <c r="I44" s="20">
        <v>131</v>
      </c>
      <c r="J44" s="20">
        <v>5118</v>
      </c>
      <c r="K44" s="20" t="s">
        <v>20</v>
      </c>
      <c r="L44" s="20">
        <v>1</v>
      </c>
      <c r="M44" s="34">
        <v>687741</v>
      </c>
      <c r="N44" s="34">
        <f t="shared" si="4"/>
        <v>687741</v>
      </c>
      <c r="O44" s="20" t="s">
        <v>21</v>
      </c>
      <c r="P44" s="20">
        <f t="shared" si="2"/>
        <v>41</v>
      </c>
      <c r="S44"/>
      <c r="T44"/>
      <c r="U44"/>
      <c r="V44"/>
    </row>
    <row r="45" spans="1:22" ht="15" customHeight="1" x14ac:dyDescent="0.25">
      <c r="A45" s="20" t="s">
        <v>18</v>
      </c>
      <c r="B45" s="71">
        <v>45958</v>
      </c>
      <c r="C45" s="20">
        <f t="shared" si="7"/>
        <v>185</v>
      </c>
      <c r="D45" s="20">
        <v>1</v>
      </c>
      <c r="G45" s="32" t="s">
        <v>43</v>
      </c>
      <c r="H45" s="20" t="s">
        <v>3161</v>
      </c>
      <c r="I45" s="20">
        <v>131</v>
      </c>
      <c r="J45" s="20">
        <v>5118</v>
      </c>
      <c r="K45" s="20" t="s">
        <v>20</v>
      </c>
      <c r="L45" s="20">
        <v>1</v>
      </c>
      <c r="M45" s="34">
        <v>984441</v>
      </c>
      <c r="N45" s="34">
        <f t="shared" si="4"/>
        <v>984441</v>
      </c>
      <c r="O45" s="20" t="s">
        <v>21</v>
      </c>
      <c r="P45" s="20">
        <f t="shared" si="2"/>
        <v>42</v>
      </c>
      <c r="S45"/>
      <c r="T45"/>
      <c r="U45"/>
      <c r="V45"/>
    </row>
    <row r="46" spans="1:22" ht="15" customHeight="1" x14ac:dyDescent="0.25">
      <c r="A46" s="20" t="s">
        <v>2679</v>
      </c>
      <c r="B46" s="71">
        <v>45958</v>
      </c>
      <c r="C46" s="20">
        <f t="shared" si="7"/>
        <v>186</v>
      </c>
      <c r="D46" s="20">
        <v>1</v>
      </c>
      <c r="G46" s="32" t="s">
        <v>43</v>
      </c>
      <c r="H46" s="20" t="s">
        <v>3162</v>
      </c>
      <c r="I46" s="20">
        <v>112111</v>
      </c>
      <c r="J46" s="20">
        <v>131</v>
      </c>
      <c r="K46" s="20" t="s">
        <v>20</v>
      </c>
      <c r="L46" s="20">
        <v>1</v>
      </c>
      <c r="M46" s="34">
        <v>687741</v>
      </c>
      <c r="N46" s="34">
        <f t="shared" si="4"/>
        <v>687741</v>
      </c>
      <c r="O46" s="20" t="s">
        <v>21</v>
      </c>
      <c r="P46" s="20">
        <f t="shared" si="2"/>
        <v>43</v>
      </c>
      <c r="S46"/>
      <c r="T46"/>
      <c r="U46"/>
      <c r="V46"/>
    </row>
    <row r="47" spans="1:22" ht="15" customHeight="1" x14ac:dyDescent="0.25">
      <c r="A47" s="20" t="s">
        <v>2679</v>
      </c>
      <c r="B47" s="71">
        <v>45958</v>
      </c>
      <c r="C47" s="20">
        <f t="shared" si="5"/>
        <v>187</v>
      </c>
      <c r="D47" s="20">
        <v>1</v>
      </c>
      <c r="G47" s="32" t="s">
        <v>43</v>
      </c>
      <c r="H47" s="20" t="s">
        <v>3162</v>
      </c>
      <c r="I47" s="20">
        <v>112111</v>
      </c>
      <c r="J47" s="20">
        <v>131</v>
      </c>
      <c r="K47" s="20" t="s">
        <v>20</v>
      </c>
      <c r="L47" s="20">
        <v>1</v>
      </c>
      <c r="M47" s="34">
        <v>984441</v>
      </c>
      <c r="N47" s="34">
        <f t="shared" si="4"/>
        <v>984441</v>
      </c>
      <c r="O47" s="20" t="s">
        <v>21</v>
      </c>
      <c r="P47" s="20">
        <f t="shared" si="2"/>
        <v>44</v>
      </c>
      <c r="S47"/>
      <c r="T47"/>
      <c r="U47"/>
      <c r="V47"/>
    </row>
    <row r="48" spans="1:22" ht="15" customHeight="1" x14ac:dyDescent="0.25">
      <c r="A48" s="20" t="s">
        <v>2678</v>
      </c>
      <c r="B48" s="71">
        <v>45958</v>
      </c>
      <c r="C48" s="20">
        <f t="shared" si="5"/>
        <v>188</v>
      </c>
      <c r="D48" s="20">
        <v>1</v>
      </c>
      <c r="G48" s="32" t="s">
        <v>36</v>
      </c>
      <c r="H48" s="20" t="s">
        <v>2684</v>
      </c>
      <c r="I48" s="20">
        <v>3383</v>
      </c>
      <c r="J48" s="20">
        <v>112111</v>
      </c>
      <c r="K48" s="20" t="s">
        <v>20</v>
      </c>
      <c r="L48" s="20">
        <v>1</v>
      </c>
      <c r="M48" s="34">
        <v>690300</v>
      </c>
      <c r="N48" s="34">
        <f t="shared" si="4"/>
        <v>690300</v>
      </c>
      <c r="O48" s="20" t="s">
        <v>21</v>
      </c>
      <c r="P48" s="20">
        <f t="shared" si="2"/>
        <v>45</v>
      </c>
      <c r="S48"/>
      <c r="T48"/>
      <c r="U48"/>
      <c r="V48"/>
    </row>
    <row r="49" spans="1:22" ht="15" customHeight="1" x14ac:dyDescent="0.25">
      <c r="A49" s="20" t="s">
        <v>2678</v>
      </c>
      <c r="B49" s="71">
        <v>45959</v>
      </c>
      <c r="C49" s="20">
        <f t="shared" si="5"/>
        <v>189</v>
      </c>
      <c r="D49" s="20">
        <v>1</v>
      </c>
      <c r="G49" s="32" t="s">
        <v>146</v>
      </c>
      <c r="H49" s="20" t="s">
        <v>2681</v>
      </c>
      <c r="I49" s="20">
        <v>1111</v>
      </c>
      <c r="J49" s="20">
        <v>112111</v>
      </c>
      <c r="K49" s="20" t="s">
        <v>20</v>
      </c>
      <c r="L49" s="20">
        <v>1</v>
      </c>
      <c r="M49" s="34">
        <v>862000</v>
      </c>
      <c r="N49" s="34">
        <f t="shared" si="4"/>
        <v>862000</v>
      </c>
      <c r="O49" s="20" t="s">
        <v>21</v>
      </c>
      <c r="P49" s="20">
        <f t="shared" si="2"/>
        <v>46</v>
      </c>
      <c r="S49"/>
      <c r="T49"/>
      <c r="U49"/>
      <c r="V49"/>
    </row>
    <row r="50" spans="1:22" ht="15" customHeight="1" x14ac:dyDescent="0.25">
      <c r="A50" s="20" t="s">
        <v>2679</v>
      </c>
      <c r="B50" s="71">
        <v>45959</v>
      </c>
      <c r="C50" s="20">
        <f t="shared" si="5"/>
        <v>190</v>
      </c>
      <c r="D50" s="20">
        <v>1</v>
      </c>
      <c r="G50" s="32" t="s">
        <v>125</v>
      </c>
      <c r="H50" s="20" t="s">
        <v>3167</v>
      </c>
      <c r="I50" s="20">
        <v>112111</v>
      </c>
      <c r="J50" s="20">
        <v>131</v>
      </c>
      <c r="K50" s="20" t="s">
        <v>20</v>
      </c>
      <c r="L50" s="20">
        <v>1</v>
      </c>
      <c r="M50" s="34">
        <v>4200000</v>
      </c>
      <c r="N50" s="34">
        <f t="shared" si="4"/>
        <v>4200000</v>
      </c>
      <c r="O50" s="20" t="s">
        <v>21</v>
      </c>
      <c r="P50" s="20">
        <f t="shared" si="2"/>
        <v>47</v>
      </c>
      <c r="S50"/>
      <c r="T50"/>
      <c r="U50"/>
      <c r="V50"/>
    </row>
    <row r="51" spans="1:22" ht="15" customHeight="1" x14ac:dyDescent="0.25">
      <c r="A51" s="20" t="s">
        <v>2679</v>
      </c>
      <c r="B51" s="71">
        <v>45959</v>
      </c>
      <c r="C51" s="20">
        <f t="shared" si="5"/>
        <v>191</v>
      </c>
      <c r="D51" s="20">
        <v>1</v>
      </c>
      <c r="G51" s="32" t="s">
        <v>125</v>
      </c>
      <c r="H51" s="20" t="s">
        <v>3168</v>
      </c>
      <c r="I51" s="20">
        <v>112111</v>
      </c>
      <c r="J51" s="20">
        <v>131</v>
      </c>
      <c r="K51" s="20" t="s">
        <v>20</v>
      </c>
      <c r="L51" s="20">
        <v>1</v>
      </c>
      <c r="M51" s="34">
        <v>1783600</v>
      </c>
      <c r="N51" s="34">
        <f t="shared" si="4"/>
        <v>1783600</v>
      </c>
      <c r="O51" s="20" t="s">
        <v>21</v>
      </c>
      <c r="P51" s="20">
        <f t="shared" si="2"/>
        <v>48</v>
      </c>
      <c r="S51"/>
      <c r="T51"/>
      <c r="U51"/>
      <c r="V51"/>
    </row>
    <row r="52" spans="1:22" ht="15" customHeight="1" x14ac:dyDescent="0.25">
      <c r="A52" s="20" t="s">
        <v>2678</v>
      </c>
      <c r="B52" s="71">
        <v>45959</v>
      </c>
      <c r="C52" s="20">
        <f t="shared" si="5"/>
        <v>192</v>
      </c>
      <c r="D52" s="20">
        <v>1</v>
      </c>
      <c r="G52" s="32" t="s">
        <v>146</v>
      </c>
      <c r="H52" s="20" t="s">
        <v>2681</v>
      </c>
      <c r="I52" s="20">
        <v>1111</v>
      </c>
      <c r="J52" s="20">
        <v>112111</v>
      </c>
      <c r="K52" s="20" t="s">
        <v>20</v>
      </c>
      <c r="L52" s="20">
        <v>1</v>
      </c>
      <c r="M52" s="34">
        <v>2000000</v>
      </c>
      <c r="N52" s="34">
        <f t="shared" si="4"/>
        <v>2000000</v>
      </c>
      <c r="O52" s="20" t="s">
        <v>21</v>
      </c>
      <c r="P52" s="20">
        <f t="shared" si="2"/>
        <v>49</v>
      </c>
      <c r="S52"/>
      <c r="T52"/>
      <c r="U52"/>
      <c r="V52"/>
    </row>
    <row r="53" spans="1:22" ht="15" customHeight="1" x14ac:dyDescent="0.25">
      <c r="A53" s="20" t="s">
        <v>2678</v>
      </c>
      <c r="B53" s="71">
        <v>45960</v>
      </c>
      <c r="C53" s="20">
        <f t="shared" si="5"/>
        <v>193</v>
      </c>
      <c r="D53" s="20">
        <v>1</v>
      </c>
      <c r="G53" s="32" t="s">
        <v>146</v>
      </c>
      <c r="H53" s="20" t="s">
        <v>2681</v>
      </c>
      <c r="I53" s="20">
        <v>1111</v>
      </c>
      <c r="J53" s="20">
        <v>112111</v>
      </c>
      <c r="K53" s="20" t="s">
        <v>20</v>
      </c>
      <c r="L53" s="20">
        <v>1</v>
      </c>
      <c r="M53" s="34">
        <v>3983000</v>
      </c>
      <c r="N53" s="34">
        <f t="shared" si="4"/>
        <v>3983000</v>
      </c>
      <c r="O53" s="20" t="s">
        <v>21</v>
      </c>
      <c r="P53" s="20">
        <f t="shared" si="2"/>
        <v>50</v>
      </c>
      <c r="S53"/>
      <c r="T53"/>
      <c r="U53"/>
      <c r="V53"/>
    </row>
    <row r="54" spans="1:22" ht="15" customHeight="1" x14ac:dyDescent="0.25">
      <c r="A54" s="20" t="s">
        <v>2678</v>
      </c>
      <c r="B54" s="71">
        <v>45961</v>
      </c>
      <c r="C54" s="20">
        <f t="shared" si="5"/>
        <v>194</v>
      </c>
      <c r="D54" s="20">
        <v>1</v>
      </c>
      <c r="G54" s="32" t="s">
        <v>146</v>
      </c>
      <c r="H54" s="20" t="s">
        <v>3165</v>
      </c>
      <c r="I54" s="20">
        <v>112121</v>
      </c>
      <c r="J54" s="20">
        <v>112111</v>
      </c>
      <c r="K54" s="20" t="s">
        <v>20</v>
      </c>
      <c r="L54" s="20">
        <v>1</v>
      </c>
      <c r="M54" s="34">
        <v>494491</v>
      </c>
      <c r="N54" s="34">
        <f t="shared" si="4"/>
        <v>494491</v>
      </c>
      <c r="O54" s="20" t="s">
        <v>21</v>
      </c>
      <c r="P54" s="20">
        <f t="shared" si="2"/>
        <v>51</v>
      </c>
      <c r="S54"/>
      <c r="T54"/>
      <c r="U54"/>
      <c r="V54"/>
    </row>
    <row r="55" spans="1:22" ht="15" customHeight="1" x14ac:dyDescent="0.25">
      <c r="A55" s="20" t="s">
        <v>2679</v>
      </c>
      <c r="B55" s="71">
        <v>45965</v>
      </c>
      <c r="C55" s="20">
        <f t="shared" si="5"/>
        <v>195</v>
      </c>
      <c r="D55" s="20">
        <v>1</v>
      </c>
      <c r="G55" s="32" t="s">
        <v>125</v>
      </c>
      <c r="H55" s="20" t="s">
        <v>3169</v>
      </c>
      <c r="I55" s="20">
        <v>112111</v>
      </c>
      <c r="J55" s="20">
        <v>131</v>
      </c>
      <c r="K55" s="20" t="s">
        <v>20</v>
      </c>
      <c r="L55" s="20">
        <v>1</v>
      </c>
      <c r="M55" s="34">
        <v>7126000</v>
      </c>
      <c r="N55" s="34">
        <f t="shared" si="4"/>
        <v>7126000</v>
      </c>
      <c r="O55" s="20" t="s">
        <v>21</v>
      </c>
      <c r="P55" s="20">
        <f t="shared" si="2"/>
        <v>52</v>
      </c>
      <c r="S55"/>
      <c r="T55"/>
      <c r="U55"/>
      <c r="V55"/>
    </row>
    <row r="56" spans="1:22" ht="15" customHeight="1" x14ac:dyDescent="0.25">
      <c r="A56" s="20" t="s">
        <v>2678</v>
      </c>
      <c r="B56" s="71">
        <v>45965</v>
      </c>
      <c r="C56" s="20">
        <f t="shared" si="5"/>
        <v>196</v>
      </c>
      <c r="D56" s="20">
        <v>1</v>
      </c>
      <c r="G56" s="32" t="s">
        <v>146</v>
      </c>
      <c r="H56" s="20" t="s">
        <v>2681</v>
      </c>
      <c r="I56" s="20">
        <v>1111</v>
      </c>
      <c r="J56" s="20">
        <v>112111</v>
      </c>
      <c r="K56" s="20" t="s">
        <v>20</v>
      </c>
      <c r="L56" s="20">
        <v>1</v>
      </c>
      <c r="M56" s="34">
        <v>6698000</v>
      </c>
      <c r="N56" s="34">
        <f t="shared" si="4"/>
        <v>6698000</v>
      </c>
      <c r="O56" s="20" t="s">
        <v>21</v>
      </c>
      <c r="P56" s="20">
        <f t="shared" si="2"/>
        <v>53</v>
      </c>
      <c r="S56"/>
      <c r="T56"/>
      <c r="U56"/>
      <c r="V56"/>
    </row>
    <row r="57" spans="1:22" ht="15" customHeight="1" x14ac:dyDescent="0.25">
      <c r="A57" s="20" t="s">
        <v>2678</v>
      </c>
      <c r="B57" s="71">
        <v>45965</v>
      </c>
      <c r="C57" s="20">
        <f t="shared" si="5"/>
        <v>197</v>
      </c>
      <c r="D57" s="20">
        <v>1</v>
      </c>
      <c r="G57" s="32" t="s">
        <v>146</v>
      </c>
      <c r="H57" s="20" t="s">
        <v>3165</v>
      </c>
      <c r="I57" s="20">
        <v>112121</v>
      </c>
      <c r="J57" s="20">
        <v>112111</v>
      </c>
      <c r="K57" s="20" t="s">
        <v>20</v>
      </c>
      <c r="L57" s="20">
        <v>1</v>
      </c>
      <c r="M57" s="34">
        <v>428000</v>
      </c>
      <c r="N57" s="34">
        <f t="shared" si="4"/>
        <v>428000</v>
      </c>
      <c r="O57" s="20" t="s">
        <v>21</v>
      </c>
      <c r="P57" s="20">
        <f t="shared" si="2"/>
        <v>54</v>
      </c>
      <c r="S57"/>
      <c r="T57"/>
      <c r="U57"/>
      <c r="V57"/>
    </row>
    <row r="58" spans="1:22" ht="15" customHeight="1" x14ac:dyDescent="0.25">
      <c r="A58" s="20" t="s">
        <v>2678</v>
      </c>
      <c r="B58" s="71">
        <v>45965</v>
      </c>
      <c r="C58" s="20">
        <f t="shared" si="5"/>
        <v>198</v>
      </c>
      <c r="D58" s="20">
        <v>1</v>
      </c>
      <c r="G58" s="32" t="s">
        <v>146</v>
      </c>
      <c r="H58" s="20" t="s">
        <v>2681</v>
      </c>
      <c r="I58" s="20">
        <v>1111</v>
      </c>
      <c r="J58" s="20">
        <v>112121</v>
      </c>
      <c r="K58" s="20" t="s">
        <v>20</v>
      </c>
      <c r="L58" s="20">
        <v>1</v>
      </c>
      <c r="M58" s="34">
        <v>900000</v>
      </c>
      <c r="N58" s="34">
        <f t="shared" si="4"/>
        <v>900000</v>
      </c>
      <c r="O58" s="20" t="s">
        <v>21</v>
      </c>
      <c r="P58" s="20">
        <f t="shared" si="2"/>
        <v>55</v>
      </c>
      <c r="S58"/>
      <c r="T58"/>
      <c r="U58"/>
      <c r="V58"/>
    </row>
    <row r="59" spans="1:22" ht="15" customHeight="1" x14ac:dyDescent="0.25">
      <c r="A59" s="20" t="s">
        <v>2679</v>
      </c>
      <c r="B59" s="71">
        <v>45973</v>
      </c>
      <c r="C59" s="20">
        <f t="shared" si="5"/>
        <v>199</v>
      </c>
      <c r="D59" s="20">
        <v>1</v>
      </c>
      <c r="G59" s="32" t="s">
        <v>125</v>
      </c>
      <c r="H59" s="20" t="s">
        <v>3170</v>
      </c>
      <c r="I59" s="20">
        <v>112111</v>
      </c>
      <c r="J59" s="20">
        <v>131</v>
      </c>
      <c r="K59" s="20" t="s">
        <v>20</v>
      </c>
      <c r="L59" s="20">
        <v>1</v>
      </c>
      <c r="M59" s="34">
        <v>8260000</v>
      </c>
      <c r="N59" s="34">
        <f t="shared" si="4"/>
        <v>8260000</v>
      </c>
      <c r="O59" s="20" t="s">
        <v>21</v>
      </c>
      <c r="P59" s="20">
        <f t="shared" si="2"/>
        <v>56</v>
      </c>
      <c r="S59"/>
      <c r="T59"/>
      <c r="U59"/>
      <c r="V59"/>
    </row>
    <row r="60" spans="1:22" ht="15" customHeight="1" x14ac:dyDescent="0.25">
      <c r="A60" s="20" t="s">
        <v>2678</v>
      </c>
      <c r="B60" s="71">
        <v>45973</v>
      </c>
      <c r="C60" s="20">
        <f t="shared" si="5"/>
        <v>200</v>
      </c>
      <c r="D60" s="20">
        <v>1</v>
      </c>
      <c r="G60" s="32" t="s">
        <v>146</v>
      </c>
      <c r="H60" s="20" t="s">
        <v>2681</v>
      </c>
      <c r="I60" s="20">
        <v>1111</v>
      </c>
      <c r="J60" s="20">
        <v>112111</v>
      </c>
      <c r="K60" s="20" t="s">
        <v>20</v>
      </c>
      <c r="L60" s="20">
        <v>1</v>
      </c>
      <c r="M60" s="34">
        <v>8260000</v>
      </c>
      <c r="N60" s="34">
        <f t="shared" si="4"/>
        <v>8260000</v>
      </c>
      <c r="O60" s="20" t="s">
        <v>21</v>
      </c>
      <c r="P60" s="20">
        <f t="shared" si="2"/>
        <v>57</v>
      </c>
      <c r="S60"/>
      <c r="T60"/>
      <c r="U60"/>
      <c r="V60"/>
    </row>
    <row r="61" spans="1:22" ht="15" customHeight="1" x14ac:dyDescent="0.25">
      <c r="A61" s="20" t="s">
        <v>18</v>
      </c>
      <c r="B61" s="71">
        <v>45990</v>
      </c>
      <c r="C61" s="20">
        <f t="shared" ref="C61:C62" si="8">C60+D61</f>
        <v>201</v>
      </c>
      <c r="D61" s="20">
        <v>1</v>
      </c>
      <c r="G61" s="32" t="s">
        <v>43</v>
      </c>
      <c r="H61" s="20" t="s">
        <v>3161</v>
      </c>
      <c r="I61" s="20">
        <v>131</v>
      </c>
      <c r="J61" s="20">
        <v>5118</v>
      </c>
      <c r="K61" s="20" t="s">
        <v>20</v>
      </c>
      <c r="L61" s="20">
        <v>1</v>
      </c>
      <c r="M61" s="34">
        <v>431580</v>
      </c>
      <c r="N61" s="34">
        <f t="shared" si="4"/>
        <v>431580</v>
      </c>
      <c r="O61" s="20" t="s">
        <v>21</v>
      </c>
      <c r="P61" s="20">
        <f t="shared" si="2"/>
        <v>58</v>
      </c>
      <c r="S61"/>
      <c r="T61"/>
      <c r="U61"/>
      <c r="V61"/>
    </row>
    <row r="62" spans="1:22" ht="15" customHeight="1" x14ac:dyDescent="0.25">
      <c r="A62" s="20" t="s">
        <v>2679</v>
      </c>
      <c r="B62" s="71">
        <v>45990</v>
      </c>
      <c r="C62" s="20">
        <f t="shared" si="8"/>
        <v>202</v>
      </c>
      <c r="D62" s="20">
        <v>1</v>
      </c>
      <c r="G62" s="32" t="s">
        <v>43</v>
      </c>
      <c r="H62" s="20" t="s">
        <v>3162</v>
      </c>
      <c r="I62" s="20">
        <v>112121</v>
      </c>
      <c r="J62" s="20">
        <v>131</v>
      </c>
      <c r="K62" s="20" t="s">
        <v>20</v>
      </c>
      <c r="L62" s="20">
        <v>1</v>
      </c>
      <c r="M62" s="34">
        <v>431580</v>
      </c>
      <c r="N62" s="34">
        <f t="shared" si="4"/>
        <v>431580</v>
      </c>
      <c r="O62" s="20" t="s">
        <v>21</v>
      </c>
      <c r="P62" s="20">
        <f t="shared" si="2"/>
        <v>59</v>
      </c>
      <c r="S62"/>
      <c r="T62"/>
      <c r="U62"/>
      <c r="V62"/>
    </row>
    <row r="63" spans="1:22" ht="15" customHeight="1" x14ac:dyDescent="0.25">
      <c r="A63" s="20" t="s">
        <v>18</v>
      </c>
      <c r="B63" s="71">
        <v>45990</v>
      </c>
      <c r="C63" s="20">
        <f t="shared" ref="C63:C64" si="9">C62+D63</f>
        <v>203</v>
      </c>
      <c r="D63" s="20">
        <v>1</v>
      </c>
      <c r="G63" s="32" t="s">
        <v>43</v>
      </c>
      <c r="H63" s="20" t="s">
        <v>3161</v>
      </c>
      <c r="I63" s="20">
        <v>131</v>
      </c>
      <c r="J63" s="20">
        <v>5118</v>
      </c>
      <c r="K63" s="20" t="s">
        <v>20</v>
      </c>
      <c r="L63" s="20">
        <v>1</v>
      </c>
      <c r="M63" s="34">
        <v>1831016</v>
      </c>
      <c r="N63" s="34">
        <f t="shared" si="4"/>
        <v>1831016</v>
      </c>
      <c r="O63" s="20" t="s">
        <v>21</v>
      </c>
      <c r="P63" s="20">
        <f t="shared" si="2"/>
        <v>60</v>
      </c>
      <c r="S63"/>
      <c r="T63"/>
      <c r="U63"/>
      <c r="V63"/>
    </row>
    <row r="64" spans="1:22" ht="15" customHeight="1" x14ac:dyDescent="0.25">
      <c r="A64" s="20" t="s">
        <v>2679</v>
      </c>
      <c r="B64" s="71">
        <v>45990</v>
      </c>
      <c r="C64" s="20">
        <f t="shared" si="9"/>
        <v>204</v>
      </c>
      <c r="D64" s="20">
        <v>1</v>
      </c>
      <c r="G64" s="32" t="s">
        <v>43</v>
      </c>
      <c r="H64" s="20" t="s">
        <v>3162</v>
      </c>
      <c r="I64" s="20">
        <v>112121</v>
      </c>
      <c r="J64" s="20">
        <v>131</v>
      </c>
      <c r="K64" s="20" t="s">
        <v>20</v>
      </c>
      <c r="L64" s="20">
        <v>1</v>
      </c>
      <c r="M64" s="34">
        <v>1831016</v>
      </c>
      <c r="N64" s="34">
        <f t="shared" si="4"/>
        <v>1831016</v>
      </c>
      <c r="O64" s="20" t="s">
        <v>21</v>
      </c>
      <c r="P64" s="20">
        <f t="shared" si="2"/>
        <v>61</v>
      </c>
      <c r="S64"/>
      <c r="T64"/>
      <c r="U64"/>
      <c r="V64"/>
    </row>
    <row r="65" spans="1:22" ht="15" customHeight="1" x14ac:dyDescent="0.25">
      <c r="A65" s="20" t="s">
        <v>2678</v>
      </c>
      <c r="B65" s="71">
        <v>45990</v>
      </c>
      <c r="C65" s="20">
        <f t="shared" si="5"/>
        <v>205</v>
      </c>
      <c r="D65" s="20">
        <v>1</v>
      </c>
      <c r="G65" s="32" t="s">
        <v>146</v>
      </c>
      <c r="H65" s="20" t="s">
        <v>2681</v>
      </c>
      <c r="I65" s="20">
        <v>1111</v>
      </c>
      <c r="J65" s="20">
        <v>112121</v>
      </c>
      <c r="K65" s="20" t="s">
        <v>20</v>
      </c>
      <c r="L65" s="20">
        <v>1</v>
      </c>
      <c r="M65" s="34">
        <v>1311000</v>
      </c>
      <c r="N65" s="34">
        <f t="shared" si="4"/>
        <v>1311000</v>
      </c>
      <c r="O65" s="20" t="s">
        <v>21</v>
      </c>
      <c r="P65" s="20">
        <f t="shared" si="2"/>
        <v>62</v>
      </c>
      <c r="S65"/>
      <c r="T65"/>
      <c r="U65"/>
      <c r="V65"/>
    </row>
    <row r="66" spans="1:22" ht="15" customHeight="1" x14ac:dyDescent="0.25">
      <c r="A66" s="20" t="s">
        <v>2678</v>
      </c>
      <c r="B66" s="71">
        <v>45990</v>
      </c>
      <c r="C66" s="20">
        <f t="shared" si="5"/>
        <v>206</v>
      </c>
      <c r="D66" s="20">
        <v>1</v>
      </c>
      <c r="G66" s="32" t="s">
        <v>146</v>
      </c>
      <c r="H66" s="20" t="s">
        <v>2681</v>
      </c>
      <c r="I66" s="20">
        <v>1111</v>
      </c>
      <c r="J66" s="20">
        <v>112121</v>
      </c>
      <c r="K66" s="20" t="s">
        <v>20</v>
      </c>
      <c r="L66" s="20">
        <v>1</v>
      </c>
      <c r="M66" s="34">
        <v>100000</v>
      </c>
      <c r="N66" s="34">
        <f t="shared" si="4"/>
        <v>100000</v>
      </c>
      <c r="O66" s="20" t="s">
        <v>21</v>
      </c>
      <c r="P66" s="20">
        <f t="shared" si="2"/>
        <v>63</v>
      </c>
      <c r="S66"/>
      <c r="T66"/>
      <c r="U66"/>
      <c r="V66"/>
    </row>
    <row r="67" spans="1:22" ht="15" customHeight="1" x14ac:dyDescent="0.25">
      <c r="A67" s="20" t="s">
        <v>2678</v>
      </c>
      <c r="B67" s="71">
        <v>45990</v>
      </c>
      <c r="C67" s="20">
        <f t="shared" si="5"/>
        <v>207</v>
      </c>
      <c r="D67" s="20">
        <v>1</v>
      </c>
      <c r="G67" s="32" t="s">
        <v>36</v>
      </c>
      <c r="H67" s="20" t="s">
        <v>2685</v>
      </c>
      <c r="I67" s="20">
        <v>3383</v>
      </c>
      <c r="J67" s="20">
        <v>112121</v>
      </c>
      <c r="K67" s="20" t="s">
        <v>20</v>
      </c>
      <c r="L67" s="20">
        <v>1</v>
      </c>
      <c r="M67" s="34">
        <v>690300</v>
      </c>
      <c r="N67" s="34">
        <f t="shared" si="4"/>
        <v>690300</v>
      </c>
      <c r="O67" s="20" t="s">
        <v>21</v>
      </c>
      <c r="P67" s="20">
        <f t="shared" si="2"/>
        <v>64</v>
      </c>
      <c r="S67"/>
      <c r="T67"/>
      <c r="U67"/>
      <c r="V67"/>
    </row>
    <row r="68" spans="1:22" ht="15" customHeight="1" x14ac:dyDescent="0.25">
      <c r="A68" s="20" t="s">
        <v>2679</v>
      </c>
      <c r="B68" s="71">
        <v>45991</v>
      </c>
      <c r="C68" s="20">
        <f t="shared" si="5"/>
        <v>208</v>
      </c>
      <c r="D68" s="20">
        <v>1</v>
      </c>
      <c r="G68" s="32" t="s">
        <v>3163</v>
      </c>
      <c r="H68" s="20" t="s">
        <v>2687</v>
      </c>
      <c r="I68" s="20">
        <v>112111</v>
      </c>
      <c r="J68" s="20">
        <v>5154</v>
      </c>
      <c r="K68" s="20" t="s">
        <v>20</v>
      </c>
      <c r="L68" s="20">
        <v>1</v>
      </c>
      <c r="M68" s="34">
        <v>7</v>
      </c>
      <c r="N68" s="34">
        <f t="shared" si="4"/>
        <v>7</v>
      </c>
      <c r="O68" s="20" t="s">
        <v>21</v>
      </c>
      <c r="P68" s="20">
        <f t="shared" si="2"/>
        <v>65</v>
      </c>
      <c r="S68"/>
      <c r="T68"/>
      <c r="U68"/>
      <c r="V68"/>
    </row>
    <row r="69" spans="1:22" ht="15" customHeight="1" x14ac:dyDescent="0.25">
      <c r="A69" s="20" t="s">
        <v>2679</v>
      </c>
      <c r="B69" s="71">
        <v>45991</v>
      </c>
      <c r="C69" s="20">
        <f t="shared" si="5"/>
        <v>209</v>
      </c>
      <c r="D69" s="20">
        <v>1</v>
      </c>
      <c r="G69" s="32" t="s">
        <v>3163</v>
      </c>
      <c r="H69" s="20" t="s">
        <v>2687</v>
      </c>
      <c r="I69" s="20">
        <v>112111</v>
      </c>
      <c r="J69" s="20">
        <v>5154</v>
      </c>
      <c r="K69" s="20" t="s">
        <v>20</v>
      </c>
      <c r="L69" s="20">
        <v>1</v>
      </c>
      <c r="M69" s="34">
        <v>22</v>
      </c>
      <c r="N69" s="34">
        <f t="shared" si="4"/>
        <v>22</v>
      </c>
      <c r="O69" s="20" t="s">
        <v>21</v>
      </c>
      <c r="P69" s="20">
        <f t="shared" si="2"/>
        <v>66</v>
      </c>
      <c r="S69"/>
      <c r="T69"/>
      <c r="U69"/>
      <c r="V69"/>
    </row>
    <row r="70" spans="1:22" ht="15" customHeight="1" x14ac:dyDescent="0.25">
      <c r="A70" s="20" t="s">
        <v>2679</v>
      </c>
      <c r="B70" s="71">
        <v>46022</v>
      </c>
      <c r="C70" s="20">
        <f t="shared" si="5"/>
        <v>210</v>
      </c>
      <c r="D70" s="20">
        <v>1</v>
      </c>
      <c r="G70" s="32" t="s">
        <v>3163</v>
      </c>
      <c r="H70" s="20" t="s">
        <v>2687</v>
      </c>
      <c r="I70" s="20">
        <v>112111</v>
      </c>
      <c r="J70" s="20">
        <v>5154</v>
      </c>
      <c r="K70" s="20" t="s">
        <v>20</v>
      </c>
      <c r="L70" s="20">
        <v>1</v>
      </c>
      <c r="M70" s="34">
        <v>16</v>
      </c>
      <c r="N70" s="34">
        <f t="shared" si="4"/>
        <v>16</v>
      </c>
      <c r="O70" s="20" t="s">
        <v>21</v>
      </c>
      <c r="P70" s="20">
        <f t="shared" si="2"/>
        <v>67</v>
      </c>
      <c r="S70"/>
      <c r="T70"/>
      <c r="U70"/>
      <c r="V70"/>
    </row>
    <row r="71" spans="1:22" ht="15" customHeight="1" x14ac:dyDescent="0.2">
      <c r="A71" s="20" t="s">
        <v>2719</v>
      </c>
      <c r="B71" s="71">
        <v>45933</v>
      </c>
      <c r="C71" s="20">
        <f t="shared" si="5"/>
        <v>211</v>
      </c>
      <c r="D71" s="20">
        <v>1</v>
      </c>
      <c r="G71" s="32" t="s">
        <v>37</v>
      </c>
      <c r="H71" s="20" t="s">
        <v>3171</v>
      </c>
      <c r="I71" s="20">
        <v>331</v>
      </c>
      <c r="J71" s="20">
        <v>1111</v>
      </c>
      <c r="K71" s="20" t="s">
        <v>20</v>
      </c>
      <c r="L71" s="20">
        <v>1</v>
      </c>
      <c r="M71" s="34">
        <v>3240000</v>
      </c>
      <c r="N71" s="34">
        <f t="shared" si="4"/>
        <v>3240000</v>
      </c>
      <c r="O71" s="20" t="s">
        <v>21</v>
      </c>
      <c r="P71" s="20">
        <f>P70+1</f>
        <v>68</v>
      </c>
    </row>
    <row r="72" spans="1:22" ht="15" customHeight="1" x14ac:dyDescent="0.2">
      <c r="A72" s="20" t="s">
        <v>2719</v>
      </c>
      <c r="B72" s="71">
        <v>45936</v>
      </c>
      <c r="C72" s="20">
        <f t="shared" si="5"/>
        <v>212</v>
      </c>
      <c r="D72" s="20">
        <v>1</v>
      </c>
      <c r="G72" s="32" t="s">
        <v>122</v>
      </c>
      <c r="H72" s="20" t="s">
        <v>3172</v>
      </c>
      <c r="I72" s="20">
        <v>331</v>
      </c>
      <c r="J72" s="20">
        <v>1111</v>
      </c>
      <c r="K72" s="20" t="s">
        <v>20</v>
      </c>
      <c r="L72" s="20">
        <v>1</v>
      </c>
      <c r="M72" s="34">
        <v>500000</v>
      </c>
      <c r="N72" s="34">
        <f t="shared" si="4"/>
        <v>500000</v>
      </c>
      <c r="O72" s="20" t="s">
        <v>21</v>
      </c>
      <c r="P72" s="20">
        <f t="shared" si="2"/>
        <v>69</v>
      </c>
    </row>
    <row r="73" spans="1:22" ht="15" customHeight="1" x14ac:dyDescent="0.2">
      <c r="A73" s="20" t="s">
        <v>2719</v>
      </c>
      <c r="B73" s="71">
        <v>45963</v>
      </c>
      <c r="C73" s="20">
        <f t="shared" si="5"/>
        <v>213</v>
      </c>
      <c r="D73" s="20">
        <v>1</v>
      </c>
      <c r="G73" s="32" t="s">
        <v>122</v>
      </c>
      <c r="H73" s="20" t="s">
        <v>3173</v>
      </c>
      <c r="I73" s="20">
        <v>331</v>
      </c>
      <c r="J73" s="20">
        <v>1111</v>
      </c>
      <c r="K73" s="20" t="s">
        <v>20</v>
      </c>
      <c r="L73" s="20">
        <v>1</v>
      </c>
      <c r="M73" s="34">
        <v>500000</v>
      </c>
      <c r="N73" s="34">
        <f t="shared" si="4"/>
        <v>500000</v>
      </c>
      <c r="O73" s="20" t="s">
        <v>21</v>
      </c>
      <c r="P73" s="20">
        <f t="shared" si="2"/>
        <v>70</v>
      </c>
    </row>
    <row r="74" spans="1:22" ht="15" customHeight="1" x14ac:dyDescent="0.2">
      <c r="A74" s="20" t="s">
        <v>2719</v>
      </c>
      <c r="B74" s="71">
        <v>45964</v>
      </c>
      <c r="C74" s="20">
        <f t="shared" si="5"/>
        <v>214</v>
      </c>
      <c r="D74" s="20">
        <v>1</v>
      </c>
      <c r="G74" s="32" t="s">
        <v>48</v>
      </c>
      <c r="H74" s="20" t="s">
        <v>3174</v>
      </c>
      <c r="I74" s="20">
        <v>331</v>
      </c>
      <c r="J74" s="20">
        <v>1111</v>
      </c>
      <c r="K74" s="20" t="s">
        <v>20</v>
      </c>
      <c r="L74" s="20">
        <v>1</v>
      </c>
      <c r="M74" s="34">
        <v>485</v>
      </c>
      <c r="N74" s="34">
        <f t="shared" si="4"/>
        <v>485</v>
      </c>
      <c r="O74" s="20" t="s">
        <v>21</v>
      </c>
      <c r="P74" s="20">
        <f t="shared" si="2"/>
        <v>71</v>
      </c>
    </row>
    <row r="75" spans="1:22" ht="15" customHeight="1" x14ac:dyDescent="0.2">
      <c r="A75" s="20" t="s">
        <v>2719</v>
      </c>
      <c r="B75" s="71">
        <v>45965</v>
      </c>
      <c r="C75" s="20">
        <f t="shared" si="5"/>
        <v>215</v>
      </c>
      <c r="D75" s="20">
        <v>1</v>
      </c>
      <c r="G75" s="32" t="s">
        <v>37</v>
      </c>
      <c r="H75" s="20" t="s">
        <v>3175</v>
      </c>
      <c r="I75" s="20">
        <v>331</v>
      </c>
      <c r="J75" s="20">
        <v>1111</v>
      </c>
      <c r="K75" s="20" t="s">
        <v>20</v>
      </c>
      <c r="L75" s="20">
        <v>1</v>
      </c>
      <c r="M75" s="34">
        <v>3240000</v>
      </c>
      <c r="N75" s="34">
        <f t="shared" si="4"/>
        <v>3240000</v>
      </c>
      <c r="O75" s="20" t="s">
        <v>21</v>
      </c>
      <c r="P75" s="20">
        <f t="shared" si="2"/>
        <v>72</v>
      </c>
    </row>
    <row r="76" spans="1:22" ht="15" customHeight="1" x14ac:dyDescent="0.2">
      <c r="A76" s="20" t="s">
        <v>2719</v>
      </c>
      <c r="B76" s="71">
        <v>45966</v>
      </c>
      <c r="C76" s="20">
        <f t="shared" si="5"/>
        <v>216</v>
      </c>
      <c r="D76" s="20">
        <v>1</v>
      </c>
      <c r="G76" s="32" t="s">
        <v>19</v>
      </c>
      <c r="H76" s="20" t="s">
        <v>3176</v>
      </c>
      <c r="I76" s="20">
        <v>331</v>
      </c>
      <c r="J76" s="20">
        <v>1111</v>
      </c>
      <c r="K76" s="20" t="s">
        <v>20</v>
      </c>
      <c r="L76" s="20">
        <v>1</v>
      </c>
      <c r="M76" s="34">
        <v>35000</v>
      </c>
      <c r="N76" s="34">
        <f t="shared" si="4"/>
        <v>35000</v>
      </c>
      <c r="O76" s="20" t="s">
        <v>21</v>
      </c>
      <c r="P76" s="20">
        <f t="shared" si="2"/>
        <v>73</v>
      </c>
    </row>
    <row r="77" spans="1:22" ht="15" customHeight="1" x14ac:dyDescent="0.2">
      <c r="A77" s="20" t="s">
        <v>2719</v>
      </c>
      <c r="B77" s="71">
        <v>45975</v>
      </c>
      <c r="C77" s="20">
        <f t="shared" si="5"/>
        <v>217</v>
      </c>
      <c r="D77" s="20">
        <v>1</v>
      </c>
      <c r="G77" s="32" t="s">
        <v>122</v>
      </c>
      <c r="H77" s="20" t="s">
        <v>3177</v>
      </c>
      <c r="I77" s="20">
        <v>331</v>
      </c>
      <c r="J77" s="20">
        <v>1111</v>
      </c>
      <c r="K77" s="20" t="s">
        <v>20</v>
      </c>
      <c r="L77" s="20">
        <v>1</v>
      </c>
      <c r="M77" s="34">
        <v>500000</v>
      </c>
      <c r="N77" s="34">
        <f t="shared" si="4"/>
        <v>500000</v>
      </c>
      <c r="O77" s="20" t="s">
        <v>21</v>
      </c>
      <c r="P77" s="20">
        <f t="shared" si="2"/>
        <v>74</v>
      </c>
    </row>
    <row r="78" spans="1:22" ht="15" customHeight="1" x14ac:dyDescent="0.2">
      <c r="A78" s="20" t="s">
        <v>2719</v>
      </c>
      <c r="B78" s="71">
        <v>45989</v>
      </c>
      <c r="C78" s="20">
        <f t="shared" si="5"/>
        <v>218</v>
      </c>
      <c r="D78" s="20">
        <v>1</v>
      </c>
      <c r="G78" s="32" t="s">
        <v>122</v>
      </c>
      <c r="H78" s="20" t="s">
        <v>3178</v>
      </c>
      <c r="I78" s="20">
        <v>331</v>
      </c>
      <c r="J78" s="20">
        <v>1111</v>
      </c>
      <c r="K78" s="20" t="s">
        <v>20</v>
      </c>
      <c r="L78" s="20">
        <v>1</v>
      </c>
      <c r="M78" s="34">
        <v>500000</v>
      </c>
      <c r="N78" s="34">
        <f t="shared" si="4"/>
        <v>500000</v>
      </c>
      <c r="O78" s="20" t="s">
        <v>21</v>
      </c>
      <c r="P78" s="20">
        <f t="shared" si="2"/>
        <v>75</v>
      </c>
    </row>
    <row r="79" spans="1:22" ht="15" customHeight="1" x14ac:dyDescent="0.2">
      <c r="A79" s="20" t="s">
        <v>2719</v>
      </c>
      <c r="B79" s="71">
        <v>45989</v>
      </c>
      <c r="C79" s="20">
        <f t="shared" si="5"/>
        <v>219</v>
      </c>
      <c r="D79" s="20">
        <v>1</v>
      </c>
      <c r="G79" s="32" t="s">
        <v>25</v>
      </c>
      <c r="H79" s="20" t="s">
        <v>3179</v>
      </c>
      <c r="I79" s="20">
        <v>331</v>
      </c>
      <c r="J79" s="20">
        <v>1111</v>
      </c>
      <c r="K79" s="20" t="s">
        <v>20</v>
      </c>
      <c r="L79" s="20">
        <v>1</v>
      </c>
      <c r="M79" s="34">
        <v>994680</v>
      </c>
      <c r="N79" s="34">
        <f t="shared" si="4"/>
        <v>994680</v>
      </c>
      <c r="O79" s="20" t="s">
        <v>21</v>
      </c>
      <c r="P79" s="20">
        <f t="shared" ref="P79:P87" si="10">P78+1</f>
        <v>76</v>
      </c>
    </row>
    <row r="80" spans="1:22" ht="15" customHeight="1" x14ac:dyDescent="0.2">
      <c r="A80" s="20" t="s">
        <v>2719</v>
      </c>
      <c r="B80" s="71">
        <v>45993</v>
      </c>
      <c r="C80" s="20">
        <f t="shared" si="5"/>
        <v>220</v>
      </c>
      <c r="D80" s="20">
        <v>1</v>
      </c>
      <c r="G80" s="32" t="s">
        <v>37</v>
      </c>
      <c r="H80" s="20" t="s">
        <v>3180</v>
      </c>
      <c r="I80" s="20">
        <v>331</v>
      </c>
      <c r="J80" s="20">
        <v>1111</v>
      </c>
      <c r="K80" s="20" t="s">
        <v>20</v>
      </c>
      <c r="L80" s="20">
        <v>1</v>
      </c>
      <c r="M80" s="34">
        <v>1080000</v>
      </c>
      <c r="N80" s="34">
        <f t="shared" si="4"/>
        <v>1080000</v>
      </c>
      <c r="O80" s="20" t="s">
        <v>21</v>
      </c>
      <c r="P80" s="20">
        <f t="shared" si="10"/>
        <v>77</v>
      </c>
    </row>
    <row r="81" spans="1:16" ht="15" customHeight="1" x14ac:dyDescent="0.2">
      <c r="A81" s="20" t="s">
        <v>2719</v>
      </c>
      <c r="B81" s="71">
        <v>45993</v>
      </c>
      <c r="C81" s="20">
        <f t="shared" si="5"/>
        <v>221</v>
      </c>
      <c r="D81" s="20">
        <v>1</v>
      </c>
      <c r="G81" s="32" t="s">
        <v>48</v>
      </c>
      <c r="H81" s="20" t="s">
        <v>3181</v>
      </c>
      <c r="I81" s="20">
        <v>331</v>
      </c>
      <c r="J81" s="20">
        <v>1111</v>
      </c>
      <c r="K81" s="20" t="s">
        <v>20</v>
      </c>
      <c r="L81" s="20">
        <v>1</v>
      </c>
      <c r="M81" s="34">
        <v>7372</v>
      </c>
      <c r="N81" s="34">
        <f t="shared" si="4"/>
        <v>7372</v>
      </c>
      <c r="O81" s="20" t="s">
        <v>21</v>
      </c>
      <c r="P81" s="20">
        <f t="shared" si="10"/>
        <v>78</v>
      </c>
    </row>
    <row r="82" spans="1:16" ht="15" customHeight="1" x14ac:dyDescent="0.2">
      <c r="A82" s="20" t="s">
        <v>2719</v>
      </c>
      <c r="B82" s="71">
        <v>45994</v>
      </c>
      <c r="C82" s="20">
        <f t="shared" si="5"/>
        <v>222</v>
      </c>
      <c r="D82" s="20">
        <v>1</v>
      </c>
      <c r="G82" s="32" t="s">
        <v>119</v>
      </c>
      <c r="H82" s="20" t="s">
        <v>3182</v>
      </c>
      <c r="I82" s="20">
        <v>331</v>
      </c>
      <c r="J82" s="20">
        <v>1111</v>
      </c>
      <c r="K82" s="20" t="s">
        <v>20</v>
      </c>
      <c r="L82" s="20">
        <v>1</v>
      </c>
      <c r="M82" s="34">
        <v>500000</v>
      </c>
      <c r="N82" s="34">
        <f t="shared" si="4"/>
        <v>500000</v>
      </c>
      <c r="O82" s="20" t="s">
        <v>21</v>
      </c>
      <c r="P82" s="20">
        <f t="shared" si="10"/>
        <v>79</v>
      </c>
    </row>
    <row r="83" spans="1:16" ht="15" customHeight="1" x14ac:dyDescent="0.2">
      <c r="A83" s="20" t="s">
        <v>2719</v>
      </c>
      <c r="B83" s="71">
        <v>46003</v>
      </c>
      <c r="C83" s="20">
        <f t="shared" si="5"/>
        <v>223</v>
      </c>
      <c r="D83" s="20">
        <v>1</v>
      </c>
      <c r="G83" s="32" t="s">
        <v>122</v>
      </c>
      <c r="H83" s="20" t="s">
        <v>3183</v>
      </c>
      <c r="I83" s="20">
        <v>331</v>
      </c>
      <c r="J83" s="20">
        <v>1111</v>
      </c>
      <c r="K83" s="20" t="s">
        <v>20</v>
      </c>
      <c r="L83" s="20">
        <v>1</v>
      </c>
      <c r="M83" s="34">
        <v>500000</v>
      </c>
      <c r="N83" s="34">
        <f t="shared" si="4"/>
        <v>500000</v>
      </c>
      <c r="O83" s="20" t="s">
        <v>21</v>
      </c>
      <c r="P83" s="20">
        <f t="shared" si="10"/>
        <v>80</v>
      </c>
    </row>
    <row r="84" spans="1:16" ht="15" customHeight="1" x14ac:dyDescent="0.2">
      <c r="A84" s="20" t="s">
        <v>2719</v>
      </c>
      <c r="B84" s="71">
        <v>46014</v>
      </c>
      <c r="C84" s="20">
        <f t="shared" si="5"/>
        <v>224</v>
      </c>
      <c r="D84" s="20">
        <v>1</v>
      </c>
      <c r="G84" s="32" t="s">
        <v>122</v>
      </c>
      <c r="H84" s="20" t="s">
        <v>3184</v>
      </c>
      <c r="I84" s="20">
        <v>331</v>
      </c>
      <c r="J84" s="20">
        <v>1111</v>
      </c>
      <c r="K84" s="20" t="s">
        <v>20</v>
      </c>
      <c r="L84" s="20">
        <v>1</v>
      </c>
      <c r="M84" s="34">
        <v>500000</v>
      </c>
      <c r="N84" s="34">
        <f t="shared" si="4"/>
        <v>500000</v>
      </c>
      <c r="O84" s="20" t="s">
        <v>21</v>
      </c>
      <c r="P84" s="20">
        <f t="shared" si="10"/>
        <v>81</v>
      </c>
    </row>
    <row r="85" spans="1:16" ht="15" customHeight="1" x14ac:dyDescent="0.2">
      <c r="A85" s="20" t="s">
        <v>2719</v>
      </c>
      <c r="B85" s="71">
        <v>45931</v>
      </c>
      <c r="C85" s="20">
        <f t="shared" ref="C85:C86" si="11">C84+D85</f>
        <v>225</v>
      </c>
      <c r="D85" s="20">
        <v>1</v>
      </c>
      <c r="G85" s="32" t="s">
        <v>36</v>
      </c>
      <c r="H85" s="20" t="s">
        <v>3164</v>
      </c>
      <c r="I85" s="20">
        <v>3383</v>
      </c>
      <c r="J85" s="20">
        <v>1111</v>
      </c>
      <c r="K85" s="20" t="s">
        <v>20</v>
      </c>
      <c r="L85" s="20">
        <v>1</v>
      </c>
      <c r="M85" s="34">
        <v>690300</v>
      </c>
      <c r="N85" s="34">
        <f t="shared" si="4"/>
        <v>690300</v>
      </c>
      <c r="O85" s="20" t="s">
        <v>21</v>
      </c>
      <c r="P85" s="20">
        <f t="shared" si="10"/>
        <v>82</v>
      </c>
    </row>
    <row r="86" spans="1:16" ht="15" customHeight="1" x14ac:dyDescent="0.2">
      <c r="A86" s="20" t="s">
        <v>2719</v>
      </c>
      <c r="B86" s="71">
        <v>46022</v>
      </c>
      <c r="C86" s="20">
        <f t="shared" si="11"/>
        <v>226</v>
      </c>
      <c r="D86" s="20">
        <v>1</v>
      </c>
      <c r="G86" s="32" t="s">
        <v>36</v>
      </c>
      <c r="H86" s="20" t="s">
        <v>3036</v>
      </c>
      <c r="I86" s="20">
        <v>3383</v>
      </c>
      <c r="J86" s="20">
        <v>1111</v>
      </c>
      <c r="K86" s="20" t="s">
        <v>20</v>
      </c>
      <c r="L86" s="20">
        <v>1</v>
      </c>
      <c r="M86" s="34">
        <v>690300</v>
      </c>
      <c r="N86" s="34">
        <f t="shared" si="4"/>
        <v>690300</v>
      </c>
      <c r="O86" s="20" t="s">
        <v>21</v>
      </c>
      <c r="P86" s="20">
        <f t="shared" si="10"/>
        <v>83</v>
      </c>
    </row>
    <row r="87" spans="1:16" ht="15" customHeight="1" x14ac:dyDescent="0.2">
      <c r="A87" s="20" t="s">
        <v>2719</v>
      </c>
      <c r="B87" s="71">
        <v>45900</v>
      </c>
      <c r="C87" s="20">
        <f t="shared" ref="C87" si="12">C86+D87</f>
        <v>227</v>
      </c>
      <c r="D87" s="20">
        <v>1</v>
      </c>
      <c r="G87" s="32" t="s">
        <v>2717</v>
      </c>
      <c r="H87" s="20" t="s">
        <v>3185</v>
      </c>
      <c r="I87" s="20">
        <v>333822</v>
      </c>
      <c r="J87" s="20">
        <v>1111</v>
      </c>
      <c r="K87" s="20" t="s">
        <v>20</v>
      </c>
      <c r="L87" s="20">
        <v>1</v>
      </c>
      <c r="M87" s="34">
        <v>129180</v>
      </c>
      <c r="N87" s="34">
        <f t="shared" ref="N87" si="13">L87*M87</f>
        <v>129180</v>
      </c>
      <c r="O87" s="20" t="s">
        <v>21</v>
      </c>
      <c r="P87" s="20">
        <f t="shared" si="10"/>
        <v>84</v>
      </c>
    </row>
    <row r="89" spans="1:16" ht="15" customHeight="1" x14ac:dyDescent="0.2">
      <c r="B89" s="71"/>
      <c r="H89" s="37"/>
    </row>
  </sheetData>
  <autoFilter ref="A3:P88" xr:uid="{00000000-0009-0000-0000-000001000000}">
    <sortState xmlns:xlrd2="http://schemas.microsoft.com/office/spreadsheetml/2017/richdata2" ref="A4:P88">
      <sortCondition ref="P3:P88"/>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Q148"/>
  <sheetViews>
    <sheetView topLeftCell="A119" zoomScaleNormal="100" workbookViewId="0">
      <selection activeCell="M148" sqref="M148"/>
    </sheetView>
  </sheetViews>
  <sheetFormatPr defaultRowHeight="15" customHeight="1" x14ac:dyDescent="0.2"/>
  <cols>
    <col min="1" max="1" width="9.140625" style="12"/>
    <col min="2" max="2" width="10.7109375" style="90" bestFit="1" customWidth="1"/>
    <col min="3" max="3" width="10.7109375" style="12" bestFit="1" customWidth="1"/>
    <col min="4" max="5" width="9.140625" style="12"/>
    <col min="6" max="6" width="9.140625" style="14"/>
    <col min="7" max="7" width="14.85546875" style="14" bestFit="1" customWidth="1"/>
    <col min="8" max="8" width="48" style="14" customWidth="1"/>
    <col min="9" max="12" width="9.140625" style="12"/>
    <col min="13" max="14" width="11.5703125" style="17" bestFit="1" customWidth="1"/>
    <col min="15" max="16384" width="9.140625" style="12"/>
  </cols>
  <sheetData>
    <row r="1" spans="1:17" ht="15" customHeight="1" thickBot="1" x14ac:dyDescent="0.25">
      <c r="A1" s="174" t="s">
        <v>0</v>
      </c>
      <c r="B1" s="174" t="s">
        <v>1</v>
      </c>
      <c r="C1" s="174" t="s">
        <v>2</v>
      </c>
      <c r="D1" s="176" t="s">
        <v>3</v>
      </c>
      <c r="E1" s="172" t="s">
        <v>4</v>
      </c>
      <c r="F1" s="172" t="s">
        <v>760</v>
      </c>
      <c r="G1" s="181" t="s">
        <v>6</v>
      </c>
      <c r="H1" s="183" t="s">
        <v>7</v>
      </c>
      <c r="I1" s="185" t="s">
        <v>8</v>
      </c>
      <c r="J1" s="186"/>
      <c r="K1" s="174" t="s">
        <v>9</v>
      </c>
      <c r="L1" s="174" t="s">
        <v>10</v>
      </c>
      <c r="M1" s="179" t="s">
        <v>11</v>
      </c>
      <c r="N1" s="179" t="s">
        <v>12</v>
      </c>
      <c r="O1" s="1"/>
      <c r="P1" s="152" t="s">
        <v>3991</v>
      </c>
    </row>
    <row r="2" spans="1:17" ht="15" customHeight="1" thickBot="1" x14ac:dyDescent="0.25">
      <c r="A2" s="175"/>
      <c r="B2" s="175"/>
      <c r="C2" s="175"/>
      <c r="D2" s="177"/>
      <c r="E2" s="178"/>
      <c r="F2" s="173"/>
      <c r="G2" s="182"/>
      <c r="H2" s="184"/>
      <c r="I2" s="15" t="s">
        <v>13</v>
      </c>
      <c r="J2" s="2" t="s">
        <v>14</v>
      </c>
      <c r="K2" s="175"/>
      <c r="L2" s="175"/>
      <c r="M2" s="180"/>
      <c r="N2" s="180"/>
      <c r="O2" s="3"/>
    </row>
    <row r="3" spans="1:17" ht="15" customHeight="1" x14ac:dyDescent="0.2">
      <c r="A3" s="4"/>
      <c r="B3" s="5"/>
      <c r="C3" s="4" t="s">
        <v>4830</v>
      </c>
      <c r="D3" s="6"/>
      <c r="E3" s="6"/>
      <c r="F3" s="6"/>
      <c r="G3" s="4" t="s">
        <v>15</v>
      </c>
      <c r="H3" s="7"/>
      <c r="I3" s="8"/>
      <c r="J3" s="8"/>
      <c r="K3" s="9"/>
      <c r="L3" s="10"/>
      <c r="M3" s="16"/>
      <c r="N3" s="16"/>
      <c r="O3" s="12" t="s">
        <v>16</v>
      </c>
      <c r="P3" s="12" t="s">
        <v>17</v>
      </c>
    </row>
    <row r="4" spans="1:17" ht="15" customHeight="1" x14ac:dyDescent="0.2">
      <c r="A4" s="12" t="s">
        <v>18</v>
      </c>
      <c r="B4" s="36" t="s">
        <v>308</v>
      </c>
      <c r="C4" s="14">
        <f t="shared" ref="C4:C35" si="0">C3+D4</f>
        <v>296</v>
      </c>
      <c r="D4" s="12">
        <v>1</v>
      </c>
      <c r="G4" s="14" t="s">
        <v>402</v>
      </c>
      <c r="H4" s="12" t="s">
        <v>321</v>
      </c>
      <c r="I4" s="18">
        <v>131</v>
      </c>
      <c r="J4" s="12">
        <v>5113</v>
      </c>
      <c r="K4" s="12" t="s">
        <v>20</v>
      </c>
      <c r="L4" s="12">
        <v>1</v>
      </c>
      <c r="M4" s="17">
        <v>21774194</v>
      </c>
      <c r="N4" s="17">
        <f t="shared" ref="N4:N35" si="1">L4*M4</f>
        <v>21774194</v>
      </c>
      <c r="O4" s="12" t="s">
        <v>21</v>
      </c>
      <c r="P4" s="12">
        <v>1</v>
      </c>
      <c r="Q4" s="12">
        <f>LEN(H4)</f>
        <v>155</v>
      </c>
    </row>
    <row r="5" spans="1:17" ht="15" customHeight="1" x14ac:dyDescent="0.2">
      <c r="A5" s="12" t="s">
        <v>18</v>
      </c>
      <c r="B5" s="36" t="s">
        <v>308</v>
      </c>
      <c r="C5" s="14">
        <f t="shared" si="0"/>
        <v>296</v>
      </c>
      <c r="D5" s="12">
        <v>0</v>
      </c>
      <c r="G5" s="14" t="s">
        <v>402</v>
      </c>
      <c r="H5" s="12" t="s">
        <v>346</v>
      </c>
      <c r="I5" s="12">
        <v>333821</v>
      </c>
      <c r="J5" s="12">
        <v>131</v>
      </c>
      <c r="K5" s="12" t="s">
        <v>20</v>
      </c>
      <c r="L5" s="12">
        <v>1</v>
      </c>
      <c r="M5" s="17">
        <v>217742</v>
      </c>
      <c r="N5" s="17">
        <f t="shared" si="1"/>
        <v>217742</v>
      </c>
      <c r="O5" s="12" t="s">
        <v>21</v>
      </c>
      <c r="P5" s="12">
        <f>P4+D5</f>
        <v>1</v>
      </c>
      <c r="Q5" s="12">
        <f t="shared" ref="Q5:Q68" si="2">LEN(H5)</f>
        <v>171</v>
      </c>
    </row>
    <row r="6" spans="1:17" ht="15" customHeight="1" x14ac:dyDescent="0.2">
      <c r="A6" s="12" t="s">
        <v>18</v>
      </c>
      <c r="B6" s="36" t="s">
        <v>308</v>
      </c>
      <c r="C6" s="14">
        <f t="shared" si="0"/>
        <v>297</v>
      </c>
      <c r="D6" s="12">
        <v>1</v>
      </c>
      <c r="G6" s="14" t="s">
        <v>403</v>
      </c>
      <c r="H6" s="12" t="s">
        <v>322</v>
      </c>
      <c r="I6" s="18">
        <v>131</v>
      </c>
      <c r="J6" s="12">
        <v>5113</v>
      </c>
      <c r="K6" s="12" t="s">
        <v>20</v>
      </c>
      <c r="L6" s="12">
        <v>1</v>
      </c>
      <c r="M6" s="17">
        <v>9677419</v>
      </c>
      <c r="N6" s="17">
        <f t="shared" si="1"/>
        <v>9677419</v>
      </c>
      <c r="O6" s="12" t="s">
        <v>21</v>
      </c>
      <c r="P6" s="12">
        <f t="shared" ref="P6:P69" si="3">P5+D6</f>
        <v>2</v>
      </c>
      <c r="Q6" s="12">
        <f t="shared" si="2"/>
        <v>115</v>
      </c>
    </row>
    <row r="7" spans="1:17" ht="15" customHeight="1" x14ac:dyDescent="0.2">
      <c r="A7" s="12" t="s">
        <v>18</v>
      </c>
      <c r="B7" s="36" t="s">
        <v>308</v>
      </c>
      <c r="C7" s="14">
        <f t="shared" si="0"/>
        <v>297</v>
      </c>
      <c r="D7" s="12">
        <v>0</v>
      </c>
      <c r="G7" s="14" t="s">
        <v>403</v>
      </c>
      <c r="H7" s="12" t="s">
        <v>347</v>
      </c>
      <c r="I7" s="12">
        <v>333821</v>
      </c>
      <c r="J7" s="12">
        <v>131</v>
      </c>
      <c r="K7" s="12" t="s">
        <v>20</v>
      </c>
      <c r="L7" s="12">
        <v>1</v>
      </c>
      <c r="M7" s="17">
        <v>96774</v>
      </c>
      <c r="N7" s="17">
        <f t="shared" si="1"/>
        <v>96774</v>
      </c>
      <c r="O7" s="12" t="s">
        <v>21</v>
      </c>
      <c r="P7" s="12">
        <f t="shared" si="3"/>
        <v>2</v>
      </c>
      <c r="Q7" s="12">
        <f t="shared" si="2"/>
        <v>131</v>
      </c>
    </row>
    <row r="8" spans="1:17" ht="15" customHeight="1" x14ac:dyDescent="0.2">
      <c r="A8" s="12" t="s">
        <v>18</v>
      </c>
      <c r="B8" s="36" t="s">
        <v>309</v>
      </c>
      <c r="C8" s="14">
        <f t="shared" si="0"/>
        <v>298</v>
      </c>
      <c r="D8" s="12">
        <v>1</v>
      </c>
      <c r="G8" s="14" t="s">
        <v>128</v>
      </c>
      <c r="H8" s="12" t="s">
        <v>323</v>
      </c>
      <c r="I8" s="18">
        <v>131</v>
      </c>
      <c r="J8" s="12">
        <v>5113</v>
      </c>
      <c r="K8" s="12" t="s">
        <v>20</v>
      </c>
      <c r="L8" s="12">
        <v>1</v>
      </c>
      <c r="M8" s="17">
        <v>13978495</v>
      </c>
      <c r="N8" s="17">
        <f t="shared" si="1"/>
        <v>13978495</v>
      </c>
      <c r="O8" s="12" t="s">
        <v>21</v>
      </c>
      <c r="P8" s="12">
        <f t="shared" si="3"/>
        <v>3</v>
      </c>
      <c r="Q8" s="12">
        <f t="shared" si="2"/>
        <v>151</v>
      </c>
    </row>
    <row r="9" spans="1:17" ht="15" customHeight="1" x14ac:dyDescent="0.2">
      <c r="A9" s="12" t="s">
        <v>18</v>
      </c>
      <c r="B9" s="36" t="s">
        <v>309</v>
      </c>
      <c r="C9" s="14">
        <f t="shared" si="0"/>
        <v>298</v>
      </c>
      <c r="D9" s="12">
        <v>0</v>
      </c>
      <c r="G9" s="14" t="s">
        <v>128</v>
      </c>
      <c r="H9" s="12" t="s">
        <v>348</v>
      </c>
      <c r="I9" s="12">
        <v>333821</v>
      </c>
      <c r="J9" s="12">
        <v>131</v>
      </c>
      <c r="K9" s="12" t="s">
        <v>20</v>
      </c>
      <c r="L9" s="12">
        <v>1</v>
      </c>
      <c r="M9" s="17">
        <v>139785</v>
      </c>
      <c r="N9" s="17">
        <f t="shared" si="1"/>
        <v>139785</v>
      </c>
      <c r="O9" s="12" t="s">
        <v>21</v>
      </c>
      <c r="P9" s="12">
        <f t="shared" si="3"/>
        <v>3</v>
      </c>
      <c r="Q9" s="12">
        <f t="shared" si="2"/>
        <v>167</v>
      </c>
    </row>
    <row r="10" spans="1:17" ht="15" customHeight="1" x14ac:dyDescent="0.2">
      <c r="A10" s="12" t="s">
        <v>18</v>
      </c>
      <c r="B10" s="36" t="s">
        <v>310</v>
      </c>
      <c r="C10" s="14">
        <f t="shared" si="0"/>
        <v>299</v>
      </c>
      <c r="D10" s="12">
        <v>1</v>
      </c>
      <c r="G10" s="14" t="s">
        <v>57</v>
      </c>
      <c r="H10" s="12" t="s">
        <v>324</v>
      </c>
      <c r="I10" s="18">
        <v>131</v>
      </c>
      <c r="J10" s="12">
        <v>5113</v>
      </c>
      <c r="K10" s="12" t="s">
        <v>20</v>
      </c>
      <c r="L10" s="12">
        <v>1</v>
      </c>
      <c r="M10" s="17">
        <v>9677419</v>
      </c>
      <c r="N10" s="17">
        <f t="shared" si="1"/>
        <v>9677419</v>
      </c>
      <c r="O10" s="12" t="s">
        <v>21</v>
      </c>
      <c r="P10" s="12">
        <f t="shared" si="3"/>
        <v>4</v>
      </c>
      <c r="Q10" s="12">
        <f t="shared" si="2"/>
        <v>150</v>
      </c>
    </row>
    <row r="11" spans="1:17" ht="15" customHeight="1" x14ac:dyDescent="0.2">
      <c r="A11" s="12" t="s">
        <v>18</v>
      </c>
      <c r="B11" s="36" t="s">
        <v>310</v>
      </c>
      <c r="C11" s="14">
        <f t="shared" si="0"/>
        <v>299</v>
      </c>
      <c r="D11" s="12">
        <v>0</v>
      </c>
      <c r="G11" s="14" t="s">
        <v>57</v>
      </c>
      <c r="H11" s="12" t="s">
        <v>349</v>
      </c>
      <c r="I11" s="12">
        <v>333821</v>
      </c>
      <c r="J11" s="12">
        <v>131</v>
      </c>
      <c r="K11" s="12" t="s">
        <v>20</v>
      </c>
      <c r="L11" s="12">
        <v>1</v>
      </c>
      <c r="M11" s="17">
        <v>96774</v>
      </c>
      <c r="N11" s="17">
        <f t="shared" si="1"/>
        <v>96774</v>
      </c>
      <c r="O11" s="12" t="s">
        <v>21</v>
      </c>
      <c r="P11" s="12">
        <f t="shared" si="3"/>
        <v>4</v>
      </c>
      <c r="Q11" s="12">
        <f t="shared" si="2"/>
        <v>166</v>
      </c>
    </row>
    <row r="12" spans="1:17" ht="15" customHeight="1" x14ac:dyDescent="0.2">
      <c r="A12" s="12" t="s">
        <v>18</v>
      </c>
      <c r="B12" s="36" t="s">
        <v>311</v>
      </c>
      <c r="C12" s="14">
        <f t="shared" si="0"/>
        <v>300</v>
      </c>
      <c r="D12" s="12">
        <v>1</v>
      </c>
      <c r="G12" s="14" t="s">
        <v>404</v>
      </c>
      <c r="H12" s="12" t="s">
        <v>325</v>
      </c>
      <c r="I12" s="18">
        <v>131</v>
      </c>
      <c r="J12" s="12">
        <v>5113</v>
      </c>
      <c r="K12" s="12" t="s">
        <v>20</v>
      </c>
      <c r="L12" s="12">
        <v>1</v>
      </c>
      <c r="M12" s="17">
        <v>4301075</v>
      </c>
      <c r="N12" s="17">
        <f t="shared" si="1"/>
        <v>4301075</v>
      </c>
      <c r="O12" s="12" t="s">
        <v>21</v>
      </c>
      <c r="P12" s="12">
        <f t="shared" si="3"/>
        <v>5</v>
      </c>
      <c r="Q12" s="12">
        <f t="shared" si="2"/>
        <v>127</v>
      </c>
    </row>
    <row r="13" spans="1:17" ht="15" customHeight="1" x14ac:dyDescent="0.2">
      <c r="A13" s="12" t="s">
        <v>18</v>
      </c>
      <c r="B13" s="36" t="s">
        <v>311</v>
      </c>
      <c r="C13" s="14">
        <f t="shared" si="0"/>
        <v>300</v>
      </c>
      <c r="D13" s="12">
        <v>0</v>
      </c>
      <c r="G13" s="14" t="s">
        <v>404</v>
      </c>
      <c r="H13" s="12" t="s">
        <v>350</v>
      </c>
      <c r="I13" s="12">
        <v>333821</v>
      </c>
      <c r="J13" s="12">
        <v>131</v>
      </c>
      <c r="K13" s="12" t="s">
        <v>20</v>
      </c>
      <c r="L13" s="12">
        <v>1</v>
      </c>
      <c r="M13" s="17">
        <v>43011</v>
      </c>
      <c r="N13" s="17">
        <f t="shared" si="1"/>
        <v>43011</v>
      </c>
      <c r="O13" s="12" t="s">
        <v>21</v>
      </c>
      <c r="P13" s="12">
        <f t="shared" si="3"/>
        <v>5</v>
      </c>
      <c r="Q13" s="12">
        <f t="shared" si="2"/>
        <v>143</v>
      </c>
    </row>
    <row r="14" spans="1:17" ht="15" customHeight="1" x14ac:dyDescent="0.2">
      <c r="A14" s="12" t="s">
        <v>18</v>
      </c>
      <c r="B14" s="36" t="s">
        <v>290</v>
      </c>
      <c r="C14" s="14">
        <f t="shared" si="0"/>
        <v>301</v>
      </c>
      <c r="D14" s="12">
        <v>1</v>
      </c>
      <c r="G14" s="14" t="s">
        <v>404</v>
      </c>
      <c r="H14" s="12" t="s">
        <v>326</v>
      </c>
      <c r="I14" s="18">
        <v>131</v>
      </c>
      <c r="J14" s="12">
        <v>5113</v>
      </c>
      <c r="K14" s="12" t="s">
        <v>20</v>
      </c>
      <c r="L14" s="12">
        <v>1</v>
      </c>
      <c r="M14" s="17">
        <v>4301075</v>
      </c>
      <c r="N14" s="17">
        <f t="shared" si="1"/>
        <v>4301075</v>
      </c>
      <c r="O14" s="12" t="s">
        <v>21</v>
      </c>
      <c r="P14" s="12">
        <f t="shared" si="3"/>
        <v>6</v>
      </c>
      <c r="Q14" s="12">
        <f t="shared" si="2"/>
        <v>169</v>
      </c>
    </row>
    <row r="15" spans="1:17" ht="15" customHeight="1" x14ac:dyDescent="0.2">
      <c r="A15" s="12" t="s">
        <v>18</v>
      </c>
      <c r="B15" s="36" t="s">
        <v>290</v>
      </c>
      <c r="C15" s="14">
        <f t="shared" si="0"/>
        <v>301</v>
      </c>
      <c r="D15" s="12">
        <v>0</v>
      </c>
      <c r="G15" s="14" t="s">
        <v>404</v>
      </c>
      <c r="H15" s="12" t="s">
        <v>351</v>
      </c>
      <c r="I15" s="12">
        <v>333821</v>
      </c>
      <c r="J15" s="12">
        <v>131</v>
      </c>
      <c r="K15" s="12" t="s">
        <v>20</v>
      </c>
      <c r="L15" s="12">
        <v>1</v>
      </c>
      <c r="M15" s="17">
        <v>43011</v>
      </c>
      <c r="N15" s="17">
        <f t="shared" si="1"/>
        <v>43011</v>
      </c>
      <c r="O15" s="12" t="s">
        <v>21</v>
      </c>
      <c r="P15" s="12">
        <f t="shared" si="3"/>
        <v>6</v>
      </c>
      <c r="Q15" s="12">
        <f t="shared" si="2"/>
        <v>185</v>
      </c>
    </row>
    <row r="16" spans="1:17" ht="15" customHeight="1" x14ac:dyDescent="0.2">
      <c r="A16" s="12" t="s">
        <v>18</v>
      </c>
      <c r="B16" s="36" t="s">
        <v>290</v>
      </c>
      <c r="C16" s="14">
        <f t="shared" si="0"/>
        <v>302</v>
      </c>
      <c r="D16" s="12">
        <v>1</v>
      </c>
      <c r="G16" s="14" t="s">
        <v>405</v>
      </c>
      <c r="H16" s="12" t="s">
        <v>327</v>
      </c>
      <c r="I16" s="18">
        <v>131</v>
      </c>
      <c r="J16" s="12">
        <v>5113</v>
      </c>
      <c r="K16" s="12" t="s">
        <v>20</v>
      </c>
      <c r="L16" s="12">
        <v>1</v>
      </c>
      <c r="M16" s="17">
        <v>2676770</v>
      </c>
      <c r="N16" s="17">
        <f t="shared" si="1"/>
        <v>2676770</v>
      </c>
      <c r="O16" s="12" t="s">
        <v>21</v>
      </c>
      <c r="P16" s="12">
        <f t="shared" si="3"/>
        <v>7</v>
      </c>
      <c r="Q16" s="12">
        <f t="shared" si="2"/>
        <v>98</v>
      </c>
    </row>
    <row r="17" spans="1:17" ht="15" customHeight="1" x14ac:dyDescent="0.2">
      <c r="A17" s="12" t="s">
        <v>18</v>
      </c>
      <c r="B17" s="36" t="s">
        <v>290</v>
      </c>
      <c r="C17" s="14">
        <f t="shared" si="0"/>
        <v>302</v>
      </c>
      <c r="D17" s="12">
        <v>0</v>
      </c>
      <c r="G17" s="14" t="s">
        <v>405</v>
      </c>
      <c r="H17" s="12" t="s">
        <v>352</v>
      </c>
      <c r="I17" s="12">
        <v>333821</v>
      </c>
      <c r="J17" s="12">
        <v>131</v>
      </c>
      <c r="K17" s="12" t="s">
        <v>20</v>
      </c>
      <c r="L17" s="12">
        <v>1</v>
      </c>
      <c r="M17" s="17">
        <v>26768</v>
      </c>
      <c r="N17" s="17">
        <f t="shared" si="1"/>
        <v>26768</v>
      </c>
      <c r="O17" s="12" t="s">
        <v>21</v>
      </c>
      <c r="P17" s="12">
        <f t="shared" si="3"/>
        <v>7</v>
      </c>
      <c r="Q17" s="12">
        <f t="shared" si="2"/>
        <v>114</v>
      </c>
    </row>
    <row r="18" spans="1:17" ht="15" customHeight="1" x14ac:dyDescent="0.2">
      <c r="A18" s="12" t="s">
        <v>18</v>
      </c>
      <c r="B18" s="36" t="s">
        <v>312</v>
      </c>
      <c r="C18" s="14">
        <f t="shared" si="0"/>
        <v>303</v>
      </c>
      <c r="D18" s="12">
        <v>1</v>
      </c>
      <c r="G18" s="14" t="s">
        <v>105</v>
      </c>
      <c r="H18" s="12" t="s">
        <v>328</v>
      </c>
      <c r="I18" s="18">
        <v>131</v>
      </c>
      <c r="J18" s="12">
        <v>5113</v>
      </c>
      <c r="K18" s="12" t="s">
        <v>20</v>
      </c>
      <c r="L18" s="12">
        <v>1</v>
      </c>
      <c r="M18" s="17">
        <v>9677419</v>
      </c>
      <c r="N18" s="17">
        <f t="shared" si="1"/>
        <v>9677419</v>
      </c>
      <c r="O18" s="12" t="s">
        <v>21</v>
      </c>
      <c r="P18" s="12">
        <f t="shared" si="3"/>
        <v>8</v>
      </c>
      <c r="Q18" s="12">
        <f t="shared" si="2"/>
        <v>155</v>
      </c>
    </row>
    <row r="19" spans="1:17" ht="15" customHeight="1" x14ac:dyDescent="0.2">
      <c r="A19" s="12" t="s">
        <v>18</v>
      </c>
      <c r="B19" s="36" t="s">
        <v>312</v>
      </c>
      <c r="C19" s="14">
        <f t="shared" si="0"/>
        <v>303</v>
      </c>
      <c r="D19" s="12">
        <v>0</v>
      </c>
      <c r="G19" s="14" t="s">
        <v>105</v>
      </c>
      <c r="H19" s="12" t="s">
        <v>353</v>
      </c>
      <c r="I19" s="12">
        <v>333821</v>
      </c>
      <c r="J19" s="12">
        <v>131</v>
      </c>
      <c r="K19" s="12" t="s">
        <v>20</v>
      </c>
      <c r="L19" s="12">
        <v>1</v>
      </c>
      <c r="M19" s="17">
        <v>96774</v>
      </c>
      <c r="N19" s="17">
        <f t="shared" si="1"/>
        <v>96774</v>
      </c>
      <c r="O19" s="12" t="s">
        <v>21</v>
      </c>
      <c r="P19" s="12">
        <f t="shared" si="3"/>
        <v>8</v>
      </c>
      <c r="Q19" s="12">
        <f t="shared" si="2"/>
        <v>171</v>
      </c>
    </row>
    <row r="20" spans="1:17" ht="15" customHeight="1" x14ac:dyDescent="0.2">
      <c r="A20" s="12" t="s">
        <v>18</v>
      </c>
      <c r="B20" s="36" t="s">
        <v>291</v>
      </c>
      <c r="C20" s="14">
        <f t="shared" si="0"/>
        <v>304</v>
      </c>
      <c r="D20" s="12">
        <v>1</v>
      </c>
      <c r="G20" s="14" t="s">
        <v>68</v>
      </c>
      <c r="H20" s="12" t="s">
        <v>329</v>
      </c>
      <c r="I20" s="18">
        <v>131</v>
      </c>
      <c r="J20" s="12">
        <v>5113</v>
      </c>
      <c r="K20" s="12" t="s">
        <v>20</v>
      </c>
      <c r="L20" s="12">
        <v>1</v>
      </c>
      <c r="M20" s="17">
        <v>9677419</v>
      </c>
      <c r="N20" s="17">
        <f t="shared" si="1"/>
        <v>9677419</v>
      </c>
      <c r="O20" s="12" t="s">
        <v>21</v>
      </c>
      <c r="P20" s="12">
        <f t="shared" si="3"/>
        <v>9</v>
      </c>
      <c r="Q20" s="12">
        <f t="shared" si="2"/>
        <v>115</v>
      </c>
    </row>
    <row r="21" spans="1:17" ht="15" customHeight="1" x14ac:dyDescent="0.2">
      <c r="A21" s="12" t="s">
        <v>18</v>
      </c>
      <c r="B21" s="36" t="s">
        <v>291</v>
      </c>
      <c r="C21" s="14">
        <f t="shared" si="0"/>
        <v>304</v>
      </c>
      <c r="D21" s="12">
        <v>0</v>
      </c>
      <c r="G21" s="14" t="s">
        <v>68</v>
      </c>
      <c r="H21" s="12" t="s">
        <v>354</v>
      </c>
      <c r="I21" s="12">
        <v>333821</v>
      </c>
      <c r="J21" s="12">
        <v>131</v>
      </c>
      <c r="K21" s="12" t="s">
        <v>20</v>
      </c>
      <c r="L21" s="12">
        <v>1</v>
      </c>
      <c r="M21" s="17">
        <v>96774</v>
      </c>
      <c r="N21" s="17">
        <f t="shared" si="1"/>
        <v>96774</v>
      </c>
      <c r="O21" s="12" t="s">
        <v>21</v>
      </c>
      <c r="P21" s="12">
        <f t="shared" si="3"/>
        <v>9</v>
      </c>
      <c r="Q21" s="12">
        <f t="shared" si="2"/>
        <v>131</v>
      </c>
    </row>
    <row r="22" spans="1:17" ht="15" customHeight="1" x14ac:dyDescent="0.2">
      <c r="A22" s="12" t="s">
        <v>18</v>
      </c>
      <c r="B22" s="36" t="s">
        <v>313</v>
      </c>
      <c r="C22" s="14">
        <f t="shared" si="0"/>
        <v>305</v>
      </c>
      <c r="D22" s="12">
        <v>1</v>
      </c>
      <c r="G22" s="14" t="s">
        <v>406</v>
      </c>
      <c r="H22" s="12" t="s">
        <v>330</v>
      </c>
      <c r="I22" s="18">
        <v>131</v>
      </c>
      <c r="J22" s="12">
        <v>5113</v>
      </c>
      <c r="K22" s="12" t="s">
        <v>20</v>
      </c>
      <c r="L22" s="12">
        <v>1</v>
      </c>
      <c r="M22" s="17">
        <v>2365591</v>
      </c>
      <c r="N22" s="17">
        <f t="shared" si="1"/>
        <v>2365591</v>
      </c>
      <c r="O22" s="12" t="s">
        <v>21</v>
      </c>
      <c r="P22" s="12">
        <f t="shared" si="3"/>
        <v>10</v>
      </c>
      <c r="Q22" s="12">
        <f t="shared" si="2"/>
        <v>123</v>
      </c>
    </row>
    <row r="23" spans="1:17" ht="15" customHeight="1" x14ac:dyDescent="0.2">
      <c r="A23" s="12" t="s">
        <v>18</v>
      </c>
      <c r="B23" s="36" t="s">
        <v>313</v>
      </c>
      <c r="C23" s="14">
        <f t="shared" si="0"/>
        <v>305</v>
      </c>
      <c r="D23" s="12">
        <v>0</v>
      </c>
      <c r="G23" s="14" t="s">
        <v>406</v>
      </c>
      <c r="H23" s="12" t="s">
        <v>355</v>
      </c>
      <c r="I23" s="12">
        <v>333821</v>
      </c>
      <c r="J23" s="12">
        <v>131</v>
      </c>
      <c r="K23" s="12" t="s">
        <v>20</v>
      </c>
      <c r="L23" s="12">
        <v>1</v>
      </c>
      <c r="M23" s="17">
        <v>23656</v>
      </c>
      <c r="N23" s="17">
        <f t="shared" si="1"/>
        <v>23656</v>
      </c>
      <c r="O23" s="12" t="s">
        <v>21</v>
      </c>
      <c r="P23" s="12">
        <f t="shared" si="3"/>
        <v>10</v>
      </c>
      <c r="Q23" s="12">
        <f t="shared" si="2"/>
        <v>139</v>
      </c>
    </row>
    <row r="24" spans="1:17" ht="15" customHeight="1" x14ac:dyDescent="0.2">
      <c r="A24" s="12" t="s">
        <v>18</v>
      </c>
      <c r="B24" s="36" t="s">
        <v>313</v>
      </c>
      <c r="C24" s="14">
        <f t="shared" si="0"/>
        <v>306</v>
      </c>
      <c r="D24" s="12">
        <v>1</v>
      </c>
      <c r="G24" s="14" t="s">
        <v>407</v>
      </c>
      <c r="H24" s="12" t="s">
        <v>331</v>
      </c>
      <c r="I24" s="18">
        <v>131</v>
      </c>
      <c r="J24" s="12">
        <v>5113</v>
      </c>
      <c r="K24" s="12" t="s">
        <v>20</v>
      </c>
      <c r="L24" s="12">
        <v>1</v>
      </c>
      <c r="M24" s="17">
        <v>2365591</v>
      </c>
      <c r="N24" s="17">
        <f t="shared" si="1"/>
        <v>2365591</v>
      </c>
      <c r="O24" s="12" t="s">
        <v>21</v>
      </c>
      <c r="P24" s="12">
        <f t="shared" si="3"/>
        <v>11</v>
      </c>
      <c r="Q24" s="12">
        <f t="shared" si="2"/>
        <v>119</v>
      </c>
    </row>
    <row r="25" spans="1:17" ht="15" customHeight="1" x14ac:dyDescent="0.2">
      <c r="A25" s="12" t="s">
        <v>18</v>
      </c>
      <c r="B25" s="36" t="s">
        <v>313</v>
      </c>
      <c r="C25" s="14">
        <f t="shared" si="0"/>
        <v>306</v>
      </c>
      <c r="D25" s="12">
        <v>0</v>
      </c>
      <c r="G25" s="14" t="s">
        <v>407</v>
      </c>
      <c r="H25" s="12" t="s">
        <v>356</v>
      </c>
      <c r="I25" s="12">
        <v>333821</v>
      </c>
      <c r="J25" s="12">
        <v>131</v>
      </c>
      <c r="K25" s="12" t="s">
        <v>20</v>
      </c>
      <c r="L25" s="12">
        <v>1</v>
      </c>
      <c r="M25" s="17">
        <v>23656</v>
      </c>
      <c r="N25" s="17">
        <f t="shared" si="1"/>
        <v>23656</v>
      </c>
      <c r="O25" s="12" t="s">
        <v>21</v>
      </c>
      <c r="P25" s="12">
        <f t="shared" si="3"/>
        <v>11</v>
      </c>
      <c r="Q25" s="12">
        <f t="shared" si="2"/>
        <v>135</v>
      </c>
    </row>
    <row r="26" spans="1:17" ht="15" customHeight="1" x14ac:dyDescent="0.2">
      <c r="A26" s="12" t="s">
        <v>18</v>
      </c>
      <c r="B26" s="36" t="s">
        <v>313</v>
      </c>
      <c r="C26" s="14">
        <f t="shared" si="0"/>
        <v>307</v>
      </c>
      <c r="D26" s="12">
        <v>1</v>
      </c>
      <c r="G26" s="14" t="s">
        <v>408</v>
      </c>
      <c r="H26" s="12" t="s">
        <v>332</v>
      </c>
      <c r="I26" s="18">
        <v>131</v>
      </c>
      <c r="J26" s="12">
        <v>5113</v>
      </c>
      <c r="K26" s="12" t="s">
        <v>20</v>
      </c>
      <c r="L26" s="12">
        <v>1</v>
      </c>
      <c r="M26" s="17">
        <v>2365591</v>
      </c>
      <c r="N26" s="17">
        <f t="shared" si="1"/>
        <v>2365591</v>
      </c>
      <c r="O26" s="12" t="s">
        <v>21</v>
      </c>
      <c r="P26" s="12">
        <f t="shared" si="3"/>
        <v>12</v>
      </c>
      <c r="Q26" s="12">
        <f t="shared" si="2"/>
        <v>120</v>
      </c>
    </row>
    <row r="27" spans="1:17" ht="15" customHeight="1" x14ac:dyDescent="0.2">
      <c r="A27" s="12" t="s">
        <v>18</v>
      </c>
      <c r="B27" s="36" t="s">
        <v>313</v>
      </c>
      <c r="C27" s="14">
        <f t="shared" si="0"/>
        <v>307</v>
      </c>
      <c r="D27" s="12">
        <v>0</v>
      </c>
      <c r="G27" s="14" t="s">
        <v>408</v>
      </c>
      <c r="H27" s="12" t="s">
        <v>357</v>
      </c>
      <c r="I27" s="12">
        <v>333821</v>
      </c>
      <c r="J27" s="12">
        <v>131</v>
      </c>
      <c r="K27" s="12" t="s">
        <v>20</v>
      </c>
      <c r="L27" s="12">
        <v>1</v>
      </c>
      <c r="M27" s="17">
        <v>23656</v>
      </c>
      <c r="N27" s="17">
        <f t="shared" si="1"/>
        <v>23656</v>
      </c>
      <c r="O27" s="12" t="s">
        <v>21</v>
      </c>
      <c r="P27" s="12">
        <f t="shared" si="3"/>
        <v>12</v>
      </c>
      <c r="Q27" s="12">
        <f t="shared" si="2"/>
        <v>136</v>
      </c>
    </row>
    <row r="28" spans="1:17" ht="15" customHeight="1" x14ac:dyDescent="0.2">
      <c r="A28" s="12" t="s">
        <v>18</v>
      </c>
      <c r="B28" s="36" t="s">
        <v>314</v>
      </c>
      <c r="C28" s="14">
        <f t="shared" si="0"/>
        <v>308</v>
      </c>
      <c r="D28" s="12">
        <v>1</v>
      </c>
      <c r="G28" s="14" t="s">
        <v>409</v>
      </c>
      <c r="H28" s="12" t="s">
        <v>333</v>
      </c>
      <c r="I28" s="18">
        <v>131</v>
      </c>
      <c r="J28" s="12">
        <v>5113</v>
      </c>
      <c r="K28" s="12" t="s">
        <v>20</v>
      </c>
      <c r="L28" s="12">
        <v>1</v>
      </c>
      <c r="M28" s="17">
        <v>2020202</v>
      </c>
      <c r="N28" s="17">
        <f t="shared" si="1"/>
        <v>2020202</v>
      </c>
      <c r="O28" s="12" t="s">
        <v>21</v>
      </c>
      <c r="P28" s="12">
        <f t="shared" si="3"/>
        <v>13</v>
      </c>
      <c r="Q28" s="12">
        <f t="shared" si="2"/>
        <v>166</v>
      </c>
    </row>
    <row r="29" spans="1:17" ht="15" customHeight="1" x14ac:dyDescent="0.2">
      <c r="A29" s="12" t="s">
        <v>18</v>
      </c>
      <c r="B29" s="36" t="s">
        <v>314</v>
      </c>
      <c r="C29" s="14">
        <f t="shared" si="0"/>
        <v>308</v>
      </c>
      <c r="D29" s="12">
        <v>0</v>
      </c>
      <c r="G29" s="14" t="s">
        <v>409</v>
      </c>
      <c r="H29" s="12" t="s">
        <v>358</v>
      </c>
      <c r="I29" s="12">
        <v>333821</v>
      </c>
      <c r="J29" s="12">
        <v>131</v>
      </c>
      <c r="K29" s="12" t="s">
        <v>20</v>
      </c>
      <c r="L29" s="12">
        <v>1</v>
      </c>
      <c r="M29" s="17">
        <v>20202</v>
      </c>
      <c r="N29" s="17">
        <f t="shared" si="1"/>
        <v>20202</v>
      </c>
      <c r="O29" s="12" t="s">
        <v>21</v>
      </c>
      <c r="P29" s="12">
        <f t="shared" si="3"/>
        <v>13</v>
      </c>
      <c r="Q29" s="12">
        <f t="shared" si="2"/>
        <v>182</v>
      </c>
    </row>
    <row r="30" spans="1:17" ht="15" customHeight="1" x14ac:dyDescent="0.2">
      <c r="A30" s="12" t="s">
        <v>18</v>
      </c>
      <c r="B30" s="36" t="s">
        <v>315</v>
      </c>
      <c r="C30" s="14">
        <f t="shared" si="0"/>
        <v>309</v>
      </c>
      <c r="D30" s="12">
        <v>1</v>
      </c>
      <c r="G30" s="14" t="s">
        <v>410</v>
      </c>
      <c r="H30" s="12" t="s">
        <v>334</v>
      </c>
      <c r="I30" s="18">
        <v>131</v>
      </c>
      <c r="J30" s="12">
        <v>5113</v>
      </c>
      <c r="K30" s="12" t="s">
        <v>20</v>
      </c>
      <c r="L30" s="12">
        <v>1</v>
      </c>
      <c r="M30" s="17">
        <v>7526881</v>
      </c>
      <c r="N30" s="17">
        <f t="shared" si="1"/>
        <v>7526881</v>
      </c>
      <c r="O30" s="12" t="s">
        <v>21</v>
      </c>
      <c r="P30" s="12">
        <f t="shared" si="3"/>
        <v>14</v>
      </c>
      <c r="Q30" s="12">
        <f t="shared" si="2"/>
        <v>159</v>
      </c>
    </row>
    <row r="31" spans="1:17" ht="15" customHeight="1" x14ac:dyDescent="0.2">
      <c r="A31" s="12" t="s">
        <v>18</v>
      </c>
      <c r="B31" s="36" t="s">
        <v>315</v>
      </c>
      <c r="C31" s="14">
        <f t="shared" si="0"/>
        <v>309</v>
      </c>
      <c r="D31" s="12">
        <v>0</v>
      </c>
      <c r="G31" s="14" t="s">
        <v>410</v>
      </c>
      <c r="H31" s="12" t="s">
        <v>359</v>
      </c>
      <c r="I31" s="12">
        <v>333821</v>
      </c>
      <c r="J31" s="12">
        <v>131</v>
      </c>
      <c r="K31" s="12" t="s">
        <v>20</v>
      </c>
      <c r="L31" s="12">
        <v>1</v>
      </c>
      <c r="M31" s="17">
        <v>75269</v>
      </c>
      <c r="N31" s="17">
        <f t="shared" si="1"/>
        <v>75269</v>
      </c>
      <c r="O31" s="12" t="s">
        <v>21</v>
      </c>
      <c r="P31" s="12">
        <f t="shared" si="3"/>
        <v>14</v>
      </c>
      <c r="Q31" s="12">
        <f t="shared" si="2"/>
        <v>175</v>
      </c>
    </row>
    <row r="32" spans="1:17" ht="15" customHeight="1" x14ac:dyDescent="0.2">
      <c r="A32" s="12" t="s">
        <v>18</v>
      </c>
      <c r="B32" s="36" t="s">
        <v>316</v>
      </c>
      <c r="C32" s="14">
        <f t="shared" si="0"/>
        <v>310</v>
      </c>
      <c r="D32" s="12">
        <v>1</v>
      </c>
      <c r="G32" s="14" t="s">
        <v>107</v>
      </c>
      <c r="H32" s="12" t="s">
        <v>335</v>
      </c>
      <c r="I32" s="18">
        <v>131</v>
      </c>
      <c r="J32" s="12">
        <v>5113</v>
      </c>
      <c r="K32" s="12" t="s">
        <v>20</v>
      </c>
      <c r="L32" s="12">
        <v>1</v>
      </c>
      <c r="M32" s="17">
        <v>9677419</v>
      </c>
      <c r="N32" s="17">
        <f t="shared" si="1"/>
        <v>9677419</v>
      </c>
      <c r="O32" s="12" t="s">
        <v>21</v>
      </c>
      <c r="P32" s="12">
        <f t="shared" si="3"/>
        <v>15</v>
      </c>
      <c r="Q32" s="12">
        <f t="shared" si="2"/>
        <v>175</v>
      </c>
    </row>
    <row r="33" spans="1:17" ht="15" customHeight="1" x14ac:dyDescent="0.2">
      <c r="A33" s="12" t="s">
        <v>18</v>
      </c>
      <c r="B33" s="36" t="s">
        <v>316</v>
      </c>
      <c r="C33" s="14">
        <f t="shared" si="0"/>
        <v>310</v>
      </c>
      <c r="D33" s="12">
        <v>0</v>
      </c>
      <c r="G33" s="14" t="s">
        <v>107</v>
      </c>
      <c r="H33" s="12" t="s">
        <v>360</v>
      </c>
      <c r="I33" s="12">
        <v>333821</v>
      </c>
      <c r="J33" s="12">
        <v>131</v>
      </c>
      <c r="K33" s="12" t="s">
        <v>20</v>
      </c>
      <c r="L33" s="12">
        <v>1</v>
      </c>
      <c r="M33" s="17">
        <v>96774</v>
      </c>
      <c r="N33" s="17">
        <f t="shared" si="1"/>
        <v>96774</v>
      </c>
      <c r="O33" s="12" t="s">
        <v>21</v>
      </c>
      <c r="P33" s="12">
        <f t="shared" si="3"/>
        <v>15</v>
      </c>
      <c r="Q33" s="12">
        <f t="shared" si="2"/>
        <v>191</v>
      </c>
    </row>
    <row r="34" spans="1:17" ht="15" customHeight="1" x14ac:dyDescent="0.2">
      <c r="A34" s="12" t="s">
        <v>18</v>
      </c>
      <c r="B34" s="36" t="s">
        <v>317</v>
      </c>
      <c r="C34" s="14">
        <f t="shared" si="0"/>
        <v>311</v>
      </c>
      <c r="D34" s="12">
        <v>1</v>
      </c>
      <c r="G34" s="14" t="s">
        <v>89</v>
      </c>
      <c r="H34" s="12" t="s">
        <v>336</v>
      </c>
      <c r="I34" s="18">
        <v>131</v>
      </c>
      <c r="J34" s="12">
        <v>5113</v>
      </c>
      <c r="K34" s="12" t="s">
        <v>20</v>
      </c>
      <c r="L34" s="12">
        <v>1</v>
      </c>
      <c r="M34" s="17">
        <v>9677419</v>
      </c>
      <c r="N34" s="17">
        <f t="shared" si="1"/>
        <v>9677419</v>
      </c>
      <c r="O34" s="12" t="s">
        <v>21</v>
      </c>
      <c r="P34" s="12">
        <f t="shared" si="3"/>
        <v>16</v>
      </c>
      <c r="Q34" s="12">
        <f t="shared" si="2"/>
        <v>131</v>
      </c>
    </row>
    <row r="35" spans="1:17" ht="15" customHeight="1" x14ac:dyDescent="0.2">
      <c r="A35" s="12" t="s">
        <v>18</v>
      </c>
      <c r="B35" s="36" t="s">
        <v>317</v>
      </c>
      <c r="C35" s="14">
        <f t="shared" si="0"/>
        <v>311</v>
      </c>
      <c r="D35" s="12">
        <v>0</v>
      </c>
      <c r="G35" s="14" t="s">
        <v>89</v>
      </c>
      <c r="H35" s="12" t="s">
        <v>361</v>
      </c>
      <c r="I35" s="12">
        <v>333821</v>
      </c>
      <c r="J35" s="12">
        <v>131</v>
      </c>
      <c r="K35" s="12" t="s">
        <v>20</v>
      </c>
      <c r="L35" s="12">
        <v>1</v>
      </c>
      <c r="M35" s="17">
        <v>96774</v>
      </c>
      <c r="N35" s="17">
        <f t="shared" si="1"/>
        <v>96774</v>
      </c>
      <c r="O35" s="12" t="s">
        <v>21</v>
      </c>
      <c r="P35" s="12">
        <f t="shared" si="3"/>
        <v>16</v>
      </c>
      <c r="Q35" s="12">
        <f t="shared" si="2"/>
        <v>147</v>
      </c>
    </row>
    <row r="36" spans="1:17" ht="15" customHeight="1" x14ac:dyDescent="0.2">
      <c r="A36" s="12" t="s">
        <v>18</v>
      </c>
      <c r="B36" s="36" t="s">
        <v>318</v>
      </c>
      <c r="C36" s="14">
        <f t="shared" ref="C36:C67" si="4">C35+D36</f>
        <v>312</v>
      </c>
      <c r="D36" s="12">
        <v>1</v>
      </c>
      <c r="G36" s="14" t="s">
        <v>105</v>
      </c>
      <c r="H36" s="12" t="s">
        <v>337</v>
      </c>
      <c r="I36" s="18">
        <v>131</v>
      </c>
      <c r="J36" s="12">
        <v>5113</v>
      </c>
      <c r="K36" s="12" t="s">
        <v>20</v>
      </c>
      <c r="L36" s="12">
        <v>1</v>
      </c>
      <c r="M36" s="17">
        <v>8064516</v>
      </c>
      <c r="N36" s="17">
        <f t="shared" ref="N36:N67" si="5">L36*M36</f>
        <v>8064516</v>
      </c>
      <c r="O36" s="12" t="s">
        <v>21</v>
      </c>
      <c r="P36" s="12">
        <f t="shared" si="3"/>
        <v>17</v>
      </c>
      <c r="Q36" s="12">
        <f t="shared" si="2"/>
        <v>178</v>
      </c>
    </row>
    <row r="37" spans="1:17" ht="15" customHeight="1" x14ac:dyDescent="0.2">
      <c r="A37" s="12" t="s">
        <v>18</v>
      </c>
      <c r="B37" s="36" t="s">
        <v>318</v>
      </c>
      <c r="C37" s="14">
        <f t="shared" si="4"/>
        <v>312</v>
      </c>
      <c r="D37" s="12">
        <v>0</v>
      </c>
      <c r="G37" s="14" t="s">
        <v>105</v>
      </c>
      <c r="H37" s="12" t="s">
        <v>362</v>
      </c>
      <c r="I37" s="12">
        <v>333821</v>
      </c>
      <c r="J37" s="12">
        <v>131</v>
      </c>
      <c r="K37" s="12" t="s">
        <v>20</v>
      </c>
      <c r="L37" s="12">
        <v>1</v>
      </c>
      <c r="M37" s="17">
        <v>80645</v>
      </c>
      <c r="N37" s="17">
        <f t="shared" si="5"/>
        <v>80645</v>
      </c>
      <c r="O37" s="12" t="s">
        <v>21</v>
      </c>
      <c r="P37" s="12">
        <f t="shared" si="3"/>
        <v>17</v>
      </c>
      <c r="Q37" s="12">
        <f t="shared" si="2"/>
        <v>194</v>
      </c>
    </row>
    <row r="38" spans="1:17" ht="15" customHeight="1" x14ac:dyDescent="0.2">
      <c r="A38" s="12" t="s">
        <v>18</v>
      </c>
      <c r="B38" s="36" t="s">
        <v>319</v>
      </c>
      <c r="C38" s="14">
        <f t="shared" si="4"/>
        <v>313</v>
      </c>
      <c r="D38" s="12">
        <v>1</v>
      </c>
      <c r="G38" s="14" t="s">
        <v>411</v>
      </c>
      <c r="H38" s="12" t="s">
        <v>338</v>
      </c>
      <c r="I38" s="18">
        <v>131</v>
      </c>
      <c r="J38" s="12">
        <v>5113</v>
      </c>
      <c r="K38" s="12" t="s">
        <v>20</v>
      </c>
      <c r="L38" s="12">
        <v>1</v>
      </c>
      <c r="M38" s="17">
        <v>9727273</v>
      </c>
      <c r="N38" s="17">
        <f t="shared" si="5"/>
        <v>9727273</v>
      </c>
      <c r="O38" s="12" t="s">
        <v>21</v>
      </c>
      <c r="P38" s="12">
        <f t="shared" si="3"/>
        <v>18</v>
      </c>
      <c r="Q38" s="12">
        <f t="shared" si="2"/>
        <v>131</v>
      </c>
    </row>
    <row r="39" spans="1:17" ht="15" customHeight="1" x14ac:dyDescent="0.2">
      <c r="A39" s="12" t="s">
        <v>18</v>
      </c>
      <c r="B39" s="36" t="s">
        <v>319</v>
      </c>
      <c r="C39" s="14">
        <f t="shared" si="4"/>
        <v>313</v>
      </c>
      <c r="D39" s="12">
        <v>0</v>
      </c>
      <c r="G39" s="14" t="s">
        <v>411</v>
      </c>
      <c r="H39" s="12" t="s">
        <v>363</v>
      </c>
      <c r="I39" s="12">
        <v>333821</v>
      </c>
      <c r="J39" s="12">
        <v>131</v>
      </c>
      <c r="K39" s="12" t="s">
        <v>20</v>
      </c>
      <c r="L39" s="12">
        <v>1</v>
      </c>
      <c r="M39" s="17">
        <v>97273</v>
      </c>
      <c r="N39" s="17">
        <f t="shared" si="5"/>
        <v>97273</v>
      </c>
      <c r="O39" s="12" t="s">
        <v>21</v>
      </c>
      <c r="P39" s="12">
        <f t="shared" si="3"/>
        <v>18</v>
      </c>
      <c r="Q39" s="12">
        <f t="shared" si="2"/>
        <v>147</v>
      </c>
    </row>
    <row r="40" spans="1:17" ht="15" customHeight="1" x14ac:dyDescent="0.2">
      <c r="A40" s="12" t="s">
        <v>18</v>
      </c>
      <c r="B40" s="36" t="s">
        <v>320</v>
      </c>
      <c r="C40" s="14">
        <f t="shared" si="4"/>
        <v>314</v>
      </c>
      <c r="D40" s="12">
        <v>1</v>
      </c>
      <c r="G40" s="14" t="s">
        <v>66</v>
      </c>
      <c r="H40" s="12" t="s">
        <v>339</v>
      </c>
      <c r="I40" s="18">
        <v>131</v>
      </c>
      <c r="J40" s="12">
        <v>5113</v>
      </c>
      <c r="K40" s="12" t="s">
        <v>20</v>
      </c>
      <c r="L40" s="12">
        <v>1</v>
      </c>
      <c r="M40" s="17">
        <v>9677419</v>
      </c>
      <c r="N40" s="17">
        <f t="shared" si="5"/>
        <v>9677419</v>
      </c>
      <c r="O40" s="12" t="s">
        <v>21</v>
      </c>
      <c r="P40" s="12">
        <f t="shared" si="3"/>
        <v>19</v>
      </c>
      <c r="Q40" s="12">
        <f t="shared" si="2"/>
        <v>156</v>
      </c>
    </row>
    <row r="41" spans="1:17" ht="15" customHeight="1" x14ac:dyDescent="0.2">
      <c r="A41" s="12" t="s">
        <v>18</v>
      </c>
      <c r="B41" s="36" t="s">
        <v>320</v>
      </c>
      <c r="C41" s="14">
        <f t="shared" si="4"/>
        <v>314</v>
      </c>
      <c r="D41" s="12">
        <v>0</v>
      </c>
      <c r="G41" s="14" t="s">
        <v>66</v>
      </c>
      <c r="H41" s="12" t="s">
        <v>364</v>
      </c>
      <c r="I41" s="12">
        <v>333821</v>
      </c>
      <c r="J41" s="12">
        <v>131</v>
      </c>
      <c r="K41" s="12" t="s">
        <v>20</v>
      </c>
      <c r="L41" s="12">
        <v>1</v>
      </c>
      <c r="M41" s="17">
        <v>96774</v>
      </c>
      <c r="N41" s="17">
        <f t="shared" si="5"/>
        <v>96774</v>
      </c>
      <c r="O41" s="12" t="s">
        <v>21</v>
      </c>
      <c r="P41" s="12">
        <f t="shared" si="3"/>
        <v>19</v>
      </c>
      <c r="Q41" s="12">
        <f t="shared" si="2"/>
        <v>172</v>
      </c>
    </row>
    <row r="42" spans="1:17" ht="15" customHeight="1" x14ac:dyDescent="0.2">
      <c r="A42" s="12" t="s">
        <v>18</v>
      </c>
      <c r="B42" s="36" t="s">
        <v>320</v>
      </c>
      <c r="C42" s="14">
        <f t="shared" si="4"/>
        <v>315</v>
      </c>
      <c r="D42" s="12">
        <v>1</v>
      </c>
      <c r="G42" s="14" t="s">
        <v>118</v>
      </c>
      <c r="H42" s="12" t="s">
        <v>340</v>
      </c>
      <c r="I42" s="18">
        <v>131</v>
      </c>
      <c r="J42" s="12">
        <v>5113</v>
      </c>
      <c r="K42" s="12" t="s">
        <v>20</v>
      </c>
      <c r="L42" s="12">
        <v>1</v>
      </c>
      <c r="M42" s="17">
        <v>9677419</v>
      </c>
      <c r="N42" s="17">
        <f t="shared" si="5"/>
        <v>9677419</v>
      </c>
      <c r="O42" s="12" t="s">
        <v>21</v>
      </c>
      <c r="P42" s="12">
        <f t="shared" si="3"/>
        <v>20</v>
      </c>
      <c r="Q42" s="12">
        <f t="shared" si="2"/>
        <v>123</v>
      </c>
    </row>
    <row r="43" spans="1:17" ht="15" customHeight="1" x14ac:dyDescent="0.2">
      <c r="A43" s="12" t="s">
        <v>18</v>
      </c>
      <c r="B43" s="36" t="s">
        <v>320</v>
      </c>
      <c r="C43" s="14">
        <f t="shared" si="4"/>
        <v>315</v>
      </c>
      <c r="D43" s="12">
        <v>0</v>
      </c>
      <c r="G43" s="14" t="s">
        <v>118</v>
      </c>
      <c r="H43" s="12" t="s">
        <v>365</v>
      </c>
      <c r="I43" s="12">
        <v>333821</v>
      </c>
      <c r="J43" s="12">
        <v>131</v>
      </c>
      <c r="K43" s="12" t="s">
        <v>20</v>
      </c>
      <c r="L43" s="12">
        <v>1</v>
      </c>
      <c r="M43" s="17">
        <v>96774</v>
      </c>
      <c r="N43" s="17">
        <f t="shared" si="5"/>
        <v>96774</v>
      </c>
      <c r="O43" s="12" t="s">
        <v>21</v>
      </c>
      <c r="P43" s="12">
        <f t="shared" si="3"/>
        <v>20</v>
      </c>
      <c r="Q43" s="12">
        <f t="shared" si="2"/>
        <v>139</v>
      </c>
    </row>
    <row r="44" spans="1:17" ht="15" customHeight="1" x14ac:dyDescent="0.2">
      <c r="A44" s="12" t="s">
        <v>18</v>
      </c>
      <c r="B44" s="36" t="s">
        <v>320</v>
      </c>
      <c r="C44" s="14">
        <f t="shared" si="4"/>
        <v>316</v>
      </c>
      <c r="D44" s="12">
        <v>1</v>
      </c>
      <c r="G44" s="14" t="s">
        <v>47</v>
      </c>
      <c r="H44" s="12" t="s">
        <v>341</v>
      </c>
      <c r="I44" s="18">
        <v>131</v>
      </c>
      <c r="J44" s="12">
        <v>5113</v>
      </c>
      <c r="K44" s="12" t="s">
        <v>20</v>
      </c>
      <c r="L44" s="12">
        <v>1</v>
      </c>
      <c r="M44" s="17">
        <v>6451613</v>
      </c>
      <c r="N44" s="17">
        <f t="shared" si="5"/>
        <v>6451613</v>
      </c>
      <c r="O44" s="12" t="s">
        <v>21</v>
      </c>
      <c r="P44" s="12">
        <f t="shared" si="3"/>
        <v>21</v>
      </c>
      <c r="Q44" s="12">
        <f t="shared" si="2"/>
        <v>189</v>
      </c>
    </row>
    <row r="45" spans="1:17" ht="15" customHeight="1" x14ac:dyDescent="0.2">
      <c r="A45" s="12" t="s">
        <v>18</v>
      </c>
      <c r="B45" s="36" t="s">
        <v>320</v>
      </c>
      <c r="C45" s="14">
        <f t="shared" si="4"/>
        <v>316</v>
      </c>
      <c r="D45" s="12">
        <v>0</v>
      </c>
      <c r="G45" s="14" t="s">
        <v>47</v>
      </c>
      <c r="H45" s="12" t="s">
        <v>366</v>
      </c>
      <c r="I45" s="12">
        <v>333821</v>
      </c>
      <c r="J45" s="12">
        <v>131</v>
      </c>
      <c r="K45" s="12" t="s">
        <v>20</v>
      </c>
      <c r="L45" s="12">
        <v>1</v>
      </c>
      <c r="M45" s="17">
        <v>64516</v>
      </c>
      <c r="N45" s="17">
        <f t="shared" si="5"/>
        <v>64516</v>
      </c>
      <c r="O45" s="12" t="s">
        <v>21</v>
      </c>
      <c r="P45" s="12">
        <f t="shared" si="3"/>
        <v>21</v>
      </c>
      <c r="Q45" s="12">
        <f t="shared" si="2"/>
        <v>205</v>
      </c>
    </row>
    <row r="46" spans="1:17" ht="15" customHeight="1" x14ac:dyDescent="0.2">
      <c r="A46" s="12" t="s">
        <v>18</v>
      </c>
      <c r="B46" s="36" t="s">
        <v>320</v>
      </c>
      <c r="C46" s="14">
        <f t="shared" si="4"/>
        <v>317</v>
      </c>
      <c r="D46" s="12">
        <v>1</v>
      </c>
      <c r="G46" s="14" t="s">
        <v>47</v>
      </c>
      <c r="H46" s="12" t="s">
        <v>342</v>
      </c>
      <c r="I46" s="18">
        <v>131</v>
      </c>
      <c r="J46" s="12">
        <v>5113</v>
      </c>
      <c r="K46" s="12" t="s">
        <v>20</v>
      </c>
      <c r="L46" s="12">
        <v>1</v>
      </c>
      <c r="M46" s="17">
        <v>6763440</v>
      </c>
      <c r="N46" s="17">
        <f t="shared" si="5"/>
        <v>6763440</v>
      </c>
      <c r="O46" s="12" t="s">
        <v>21</v>
      </c>
      <c r="P46" s="12">
        <f t="shared" si="3"/>
        <v>22</v>
      </c>
      <c r="Q46" s="12">
        <f t="shared" si="2"/>
        <v>187</v>
      </c>
    </row>
    <row r="47" spans="1:17" ht="15" customHeight="1" x14ac:dyDescent="0.2">
      <c r="A47" s="12" t="s">
        <v>18</v>
      </c>
      <c r="B47" s="36" t="s">
        <v>320</v>
      </c>
      <c r="C47" s="14">
        <f t="shared" si="4"/>
        <v>317</v>
      </c>
      <c r="D47" s="12">
        <v>0</v>
      </c>
      <c r="G47" s="14" t="s">
        <v>47</v>
      </c>
      <c r="H47" s="12" t="s">
        <v>367</v>
      </c>
      <c r="I47" s="12">
        <v>333821</v>
      </c>
      <c r="J47" s="12">
        <v>131</v>
      </c>
      <c r="K47" s="12" t="s">
        <v>20</v>
      </c>
      <c r="L47" s="12">
        <v>1</v>
      </c>
      <c r="M47" s="17">
        <v>67634</v>
      </c>
      <c r="N47" s="17">
        <f t="shared" si="5"/>
        <v>67634</v>
      </c>
      <c r="O47" s="12" t="s">
        <v>21</v>
      </c>
      <c r="P47" s="12">
        <f t="shared" si="3"/>
        <v>22</v>
      </c>
      <c r="Q47" s="12">
        <f t="shared" si="2"/>
        <v>203</v>
      </c>
    </row>
    <row r="48" spans="1:17" ht="15" customHeight="1" x14ac:dyDescent="0.2">
      <c r="A48" s="12" t="s">
        <v>18</v>
      </c>
      <c r="B48" s="36" t="s">
        <v>320</v>
      </c>
      <c r="C48" s="14">
        <f t="shared" si="4"/>
        <v>318</v>
      </c>
      <c r="D48" s="12">
        <v>1</v>
      </c>
      <c r="G48" s="14" t="s">
        <v>32</v>
      </c>
      <c r="H48" s="12" t="s">
        <v>343</v>
      </c>
      <c r="I48" s="18">
        <v>131</v>
      </c>
      <c r="J48" s="12">
        <v>5113</v>
      </c>
      <c r="K48" s="12" t="s">
        <v>20</v>
      </c>
      <c r="L48" s="12">
        <v>1</v>
      </c>
      <c r="M48" s="17">
        <v>8602151</v>
      </c>
      <c r="N48" s="17">
        <f t="shared" si="5"/>
        <v>8602151</v>
      </c>
      <c r="O48" s="12" t="s">
        <v>21</v>
      </c>
      <c r="P48" s="12">
        <f t="shared" si="3"/>
        <v>23</v>
      </c>
      <c r="Q48" s="12">
        <f t="shared" si="2"/>
        <v>114</v>
      </c>
    </row>
    <row r="49" spans="1:17" ht="15" customHeight="1" x14ac:dyDescent="0.2">
      <c r="A49" s="12" t="s">
        <v>18</v>
      </c>
      <c r="B49" s="36" t="s">
        <v>320</v>
      </c>
      <c r="C49" s="14">
        <f t="shared" si="4"/>
        <v>318</v>
      </c>
      <c r="D49" s="12">
        <v>0</v>
      </c>
      <c r="G49" s="14" t="s">
        <v>32</v>
      </c>
      <c r="H49" s="12" t="s">
        <v>368</v>
      </c>
      <c r="I49" s="12">
        <v>333821</v>
      </c>
      <c r="J49" s="12">
        <v>131</v>
      </c>
      <c r="K49" s="12" t="s">
        <v>20</v>
      </c>
      <c r="L49" s="12">
        <v>1</v>
      </c>
      <c r="M49" s="17">
        <v>86022</v>
      </c>
      <c r="N49" s="17">
        <f t="shared" si="5"/>
        <v>86022</v>
      </c>
      <c r="O49" s="12" t="s">
        <v>21</v>
      </c>
      <c r="P49" s="12">
        <f t="shared" si="3"/>
        <v>23</v>
      </c>
      <c r="Q49" s="12">
        <f t="shared" si="2"/>
        <v>130</v>
      </c>
    </row>
    <row r="50" spans="1:17" ht="15" customHeight="1" x14ac:dyDescent="0.2">
      <c r="A50" s="12" t="s">
        <v>18</v>
      </c>
      <c r="B50" s="36" t="s">
        <v>320</v>
      </c>
      <c r="C50" s="14">
        <f t="shared" si="4"/>
        <v>319</v>
      </c>
      <c r="D50" s="12">
        <v>1</v>
      </c>
      <c r="G50" s="14" t="s">
        <v>412</v>
      </c>
      <c r="H50" s="12" t="s">
        <v>344</v>
      </c>
      <c r="I50" s="18">
        <v>131</v>
      </c>
      <c r="J50" s="12">
        <v>5113</v>
      </c>
      <c r="K50" s="12" t="s">
        <v>20</v>
      </c>
      <c r="L50" s="12">
        <v>1</v>
      </c>
      <c r="M50" s="17">
        <v>7526882</v>
      </c>
      <c r="N50" s="17">
        <f t="shared" si="5"/>
        <v>7526882</v>
      </c>
      <c r="O50" s="12" t="s">
        <v>21</v>
      </c>
      <c r="P50" s="12">
        <f t="shared" si="3"/>
        <v>24</v>
      </c>
      <c r="Q50" s="12">
        <f t="shared" si="2"/>
        <v>180</v>
      </c>
    </row>
    <row r="51" spans="1:17" ht="15" customHeight="1" x14ac:dyDescent="0.2">
      <c r="A51" s="12" t="s">
        <v>18</v>
      </c>
      <c r="B51" s="36" t="s">
        <v>320</v>
      </c>
      <c r="C51" s="14">
        <f t="shared" si="4"/>
        <v>319</v>
      </c>
      <c r="D51" s="12">
        <v>0</v>
      </c>
      <c r="G51" s="14" t="s">
        <v>412</v>
      </c>
      <c r="H51" s="12" t="s">
        <v>369</v>
      </c>
      <c r="I51" s="12">
        <v>333821</v>
      </c>
      <c r="J51" s="12">
        <v>131</v>
      </c>
      <c r="K51" s="12" t="s">
        <v>20</v>
      </c>
      <c r="L51" s="12">
        <v>1</v>
      </c>
      <c r="M51" s="17">
        <v>75269</v>
      </c>
      <c r="N51" s="17">
        <f t="shared" si="5"/>
        <v>75269</v>
      </c>
      <c r="O51" s="12" t="s">
        <v>21</v>
      </c>
      <c r="P51" s="12">
        <f t="shared" si="3"/>
        <v>24</v>
      </c>
      <c r="Q51" s="12">
        <f t="shared" si="2"/>
        <v>196</v>
      </c>
    </row>
    <row r="52" spans="1:17" ht="15" customHeight="1" x14ac:dyDescent="0.2">
      <c r="A52" s="12" t="s">
        <v>18</v>
      </c>
      <c r="B52" s="36" t="s">
        <v>320</v>
      </c>
      <c r="C52" s="14">
        <f t="shared" si="4"/>
        <v>320</v>
      </c>
      <c r="D52" s="12">
        <v>1</v>
      </c>
      <c r="G52" s="14" t="s">
        <v>71</v>
      </c>
      <c r="H52" s="12" t="s">
        <v>345</v>
      </c>
      <c r="I52" s="18">
        <v>131</v>
      </c>
      <c r="J52" s="12">
        <v>5113</v>
      </c>
      <c r="K52" s="12" t="s">
        <v>20</v>
      </c>
      <c r="L52" s="12">
        <v>1</v>
      </c>
      <c r="M52" s="17">
        <v>9677419</v>
      </c>
      <c r="N52" s="17">
        <f t="shared" si="5"/>
        <v>9677419</v>
      </c>
      <c r="O52" s="12" t="s">
        <v>21</v>
      </c>
      <c r="P52" s="12">
        <f t="shared" si="3"/>
        <v>25</v>
      </c>
      <c r="Q52" s="12">
        <f t="shared" si="2"/>
        <v>143</v>
      </c>
    </row>
    <row r="53" spans="1:17" ht="15" customHeight="1" x14ac:dyDescent="0.2">
      <c r="A53" s="12" t="s">
        <v>18</v>
      </c>
      <c r="B53" s="36" t="s">
        <v>320</v>
      </c>
      <c r="C53" s="14">
        <f t="shared" si="4"/>
        <v>320</v>
      </c>
      <c r="D53" s="12">
        <v>0</v>
      </c>
      <c r="G53" s="14" t="s">
        <v>71</v>
      </c>
      <c r="H53" s="12" t="s">
        <v>370</v>
      </c>
      <c r="I53" s="12">
        <v>333821</v>
      </c>
      <c r="J53" s="12">
        <v>131</v>
      </c>
      <c r="K53" s="12" t="s">
        <v>20</v>
      </c>
      <c r="L53" s="12">
        <v>1</v>
      </c>
      <c r="M53" s="17">
        <v>96774</v>
      </c>
      <c r="N53" s="17">
        <f t="shared" si="5"/>
        <v>96774</v>
      </c>
      <c r="O53" s="12" t="s">
        <v>21</v>
      </c>
      <c r="P53" s="12">
        <f t="shared" si="3"/>
        <v>25</v>
      </c>
      <c r="Q53" s="12">
        <f t="shared" si="2"/>
        <v>159</v>
      </c>
    </row>
    <row r="54" spans="1:17" ht="15" customHeight="1" x14ac:dyDescent="0.2">
      <c r="A54" s="12" t="s">
        <v>18</v>
      </c>
      <c r="B54" s="36">
        <v>45961</v>
      </c>
      <c r="C54" s="14">
        <f t="shared" si="4"/>
        <v>321</v>
      </c>
      <c r="D54" s="12">
        <v>1</v>
      </c>
      <c r="G54" s="14" t="s">
        <v>3011</v>
      </c>
      <c r="H54" s="14" t="s">
        <v>371</v>
      </c>
      <c r="I54" s="12">
        <v>64271</v>
      </c>
      <c r="J54" s="12">
        <v>3383</v>
      </c>
      <c r="K54" s="12" t="s">
        <v>20</v>
      </c>
      <c r="L54" s="12">
        <v>1</v>
      </c>
      <c r="M54" s="17">
        <v>690300</v>
      </c>
      <c r="N54" s="17">
        <f t="shared" si="5"/>
        <v>690300</v>
      </c>
      <c r="O54" s="12" t="s">
        <v>21</v>
      </c>
      <c r="P54" s="12">
        <f t="shared" si="3"/>
        <v>26</v>
      </c>
      <c r="Q54" s="12">
        <f t="shared" si="2"/>
        <v>30</v>
      </c>
    </row>
    <row r="55" spans="1:17" ht="15" customHeight="1" x14ac:dyDescent="0.2">
      <c r="A55" s="12" t="s">
        <v>18</v>
      </c>
      <c r="B55" s="36">
        <v>45991</v>
      </c>
      <c r="C55" s="14">
        <f t="shared" si="4"/>
        <v>322</v>
      </c>
      <c r="D55" s="12">
        <v>1</v>
      </c>
      <c r="G55" s="14" t="s">
        <v>3011</v>
      </c>
      <c r="H55" s="14" t="s">
        <v>372</v>
      </c>
      <c r="I55" s="12">
        <v>64271</v>
      </c>
      <c r="J55" s="12">
        <v>3383</v>
      </c>
      <c r="K55" s="12" t="s">
        <v>20</v>
      </c>
      <c r="L55" s="12">
        <v>1</v>
      </c>
      <c r="M55" s="17">
        <v>690300</v>
      </c>
      <c r="N55" s="17">
        <f t="shared" si="5"/>
        <v>690300</v>
      </c>
      <c r="O55" s="12" t="s">
        <v>21</v>
      </c>
      <c r="P55" s="12">
        <f t="shared" si="3"/>
        <v>27</v>
      </c>
      <c r="Q55" s="12">
        <f t="shared" si="2"/>
        <v>30</v>
      </c>
    </row>
    <row r="56" spans="1:17" ht="15" customHeight="1" x14ac:dyDescent="0.2">
      <c r="A56" s="12" t="s">
        <v>18</v>
      </c>
      <c r="B56" s="36">
        <v>46022</v>
      </c>
      <c r="C56" s="14">
        <f t="shared" si="4"/>
        <v>323</v>
      </c>
      <c r="D56" s="12">
        <v>1</v>
      </c>
      <c r="G56" s="14" t="s">
        <v>3011</v>
      </c>
      <c r="H56" s="14" t="s">
        <v>373</v>
      </c>
      <c r="I56" s="12">
        <v>64271</v>
      </c>
      <c r="J56" s="12">
        <v>3383</v>
      </c>
      <c r="K56" s="12" t="s">
        <v>20</v>
      </c>
      <c r="L56" s="12">
        <v>1</v>
      </c>
      <c r="M56" s="17">
        <v>690300</v>
      </c>
      <c r="N56" s="17">
        <f t="shared" si="5"/>
        <v>690300</v>
      </c>
      <c r="O56" s="12" t="s">
        <v>21</v>
      </c>
      <c r="P56" s="12">
        <f t="shared" si="3"/>
        <v>28</v>
      </c>
      <c r="Q56" s="12">
        <f t="shared" si="2"/>
        <v>30</v>
      </c>
    </row>
    <row r="57" spans="1:17" ht="15" customHeight="1" x14ac:dyDescent="0.2">
      <c r="A57" s="12" t="s">
        <v>18</v>
      </c>
      <c r="B57" s="36" t="s">
        <v>308</v>
      </c>
      <c r="C57" s="14">
        <f t="shared" si="4"/>
        <v>324</v>
      </c>
      <c r="D57" s="12">
        <v>1</v>
      </c>
      <c r="G57" s="14" t="s">
        <v>384</v>
      </c>
      <c r="H57" s="14" t="s">
        <v>395</v>
      </c>
      <c r="I57" s="12">
        <v>64277</v>
      </c>
      <c r="J57" s="12">
        <v>331</v>
      </c>
      <c r="K57" s="12" t="s">
        <v>20</v>
      </c>
      <c r="L57" s="12">
        <v>1</v>
      </c>
      <c r="M57" s="17">
        <v>1990000</v>
      </c>
      <c r="N57" s="17">
        <f t="shared" si="5"/>
        <v>1990000</v>
      </c>
      <c r="O57" s="12" t="s">
        <v>21</v>
      </c>
      <c r="P57" s="12">
        <f t="shared" si="3"/>
        <v>29</v>
      </c>
      <c r="Q57" s="12">
        <f t="shared" si="2"/>
        <v>37</v>
      </c>
    </row>
    <row r="58" spans="1:17" ht="15" customHeight="1" x14ac:dyDescent="0.2">
      <c r="A58" s="12" t="s">
        <v>18</v>
      </c>
      <c r="B58" s="36" t="s">
        <v>308</v>
      </c>
      <c r="C58" s="14">
        <f t="shared" si="4"/>
        <v>325</v>
      </c>
      <c r="D58" s="12">
        <v>1</v>
      </c>
      <c r="G58" s="14" t="s">
        <v>385</v>
      </c>
      <c r="H58" s="14" t="s">
        <v>770</v>
      </c>
      <c r="I58" s="12">
        <v>64277</v>
      </c>
      <c r="J58" s="12">
        <v>331</v>
      </c>
      <c r="K58" s="12" t="s">
        <v>20</v>
      </c>
      <c r="L58" s="12">
        <v>1</v>
      </c>
      <c r="M58" s="17">
        <v>850500</v>
      </c>
      <c r="N58" s="17">
        <f t="shared" si="5"/>
        <v>850500</v>
      </c>
      <c r="O58" s="12" t="s">
        <v>21</v>
      </c>
      <c r="P58" s="12">
        <f t="shared" si="3"/>
        <v>30</v>
      </c>
      <c r="Q58" s="12">
        <f t="shared" si="2"/>
        <v>40</v>
      </c>
    </row>
    <row r="59" spans="1:17" ht="15" customHeight="1" x14ac:dyDescent="0.2">
      <c r="A59" s="12" t="s">
        <v>18</v>
      </c>
      <c r="B59" s="36" t="s">
        <v>309</v>
      </c>
      <c r="C59" s="14">
        <f t="shared" si="4"/>
        <v>326</v>
      </c>
      <c r="D59" s="12">
        <v>1</v>
      </c>
      <c r="G59" s="14" t="s">
        <v>37</v>
      </c>
      <c r="H59" s="14" t="s">
        <v>396</v>
      </c>
      <c r="I59" s="12">
        <v>64277</v>
      </c>
      <c r="J59" s="12">
        <v>331</v>
      </c>
      <c r="K59" s="12" t="s">
        <v>20</v>
      </c>
      <c r="L59" s="12">
        <v>1</v>
      </c>
      <c r="M59" s="17">
        <v>3240000</v>
      </c>
      <c r="N59" s="17">
        <f t="shared" si="5"/>
        <v>3240000</v>
      </c>
      <c r="O59" s="12" t="s">
        <v>21</v>
      </c>
      <c r="P59" s="12">
        <f t="shared" si="3"/>
        <v>31</v>
      </c>
      <c r="Q59" s="12">
        <f t="shared" si="2"/>
        <v>42</v>
      </c>
    </row>
    <row r="60" spans="1:17" ht="15" customHeight="1" x14ac:dyDescent="0.2">
      <c r="A60" s="12" t="s">
        <v>18</v>
      </c>
      <c r="B60" s="36" t="s">
        <v>374</v>
      </c>
      <c r="C60" s="14">
        <f t="shared" si="4"/>
        <v>327</v>
      </c>
      <c r="D60" s="12">
        <v>1</v>
      </c>
      <c r="G60" s="14" t="s">
        <v>386</v>
      </c>
      <c r="H60" s="14" t="s">
        <v>771</v>
      </c>
      <c r="I60" s="12">
        <v>64277</v>
      </c>
      <c r="J60" s="12">
        <v>331</v>
      </c>
      <c r="K60" s="12" t="s">
        <v>20</v>
      </c>
      <c r="L60" s="12">
        <v>1</v>
      </c>
      <c r="M60" s="17">
        <v>3362310</v>
      </c>
      <c r="N60" s="17">
        <f t="shared" si="5"/>
        <v>3362310</v>
      </c>
      <c r="O60" s="12" t="s">
        <v>21</v>
      </c>
      <c r="P60" s="12">
        <f t="shared" si="3"/>
        <v>32</v>
      </c>
      <c r="Q60" s="12">
        <f t="shared" si="2"/>
        <v>40</v>
      </c>
    </row>
    <row r="61" spans="1:17" ht="15" customHeight="1" x14ac:dyDescent="0.2">
      <c r="A61" s="12" t="s">
        <v>18</v>
      </c>
      <c r="B61" s="36" t="s">
        <v>375</v>
      </c>
      <c r="C61" s="14">
        <f t="shared" si="4"/>
        <v>328</v>
      </c>
      <c r="D61" s="12">
        <v>1</v>
      </c>
      <c r="G61" s="14" t="s">
        <v>387</v>
      </c>
      <c r="H61" s="14" t="s">
        <v>772</v>
      </c>
      <c r="I61" s="12">
        <v>64277</v>
      </c>
      <c r="J61" s="12">
        <v>331</v>
      </c>
      <c r="K61" s="12" t="s">
        <v>20</v>
      </c>
      <c r="L61" s="12">
        <v>1</v>
      </c>
      <c r="M61" s="17">
        <v>1122660</v>
      </c>
      <c r="N61" s="17">
        <f t="shared" si="5"/>
        <v>1122660</v>
      </c>
      <c r="O61" s="12" t="s">
        <v>21</v>
      </c>
      <c r="P61" s="12">
        <f t="shared" si="3"/>
        <v>33</v>
      </c>
      <c r="Q61" s="12">
        <f t="shared" si="2"/>
        <v>41</v>
      </c>
    </row>
    <row r="62" spans="1:17" ht="15" customHeight="1" x14ac:dyDescent="0.2">
      <c r="A62" s="12" t="s">
        <v>18</v>
      </c>
      <c r="B62" s="36" t="s">
        <v>376</v>
      </c>
      <c r="C62" s="14">
        <f t="shared" si="4"/>
        <v>329</v>
      </c>
      <c r="D62" s="12">
        <v>1</v>
      </c>
      <c r="G62" s="14" t="s">
        <v>388</v>
      </c>
      <c r="H62" s="14" t="s">
        <v>397</v>
      </c>
      <c r="I62" s="12">
        <v>64276</v>
      </c>
      <c r="J62" s="12">
        <v>331</v>
      </c>
      <c r="K62" s="12" t="s">
        <v>20</v>
      </c>
      <c r="L62" s="12">
        <v>1</v>
      </c>
      <c r="M62" s="17">
        <v>445000</v>
      </c>
      <c r="N62" s="17">
        <f t="shared" si="5"/>
        <v>445000</v>
      </c>
      <c r="O62" s="12" t="s">
        <v>21</v>
      </c>
      <c r="P62" s="12">
        <f t="shared" si="3"/>
        <v>34</v>
      </c>
      <c r="Q62" s="12">
        <f t="shared" si="2"/>
        <v>36</v>
      </c>
    </row>
    <row r="63" spans="1:17" ht="15" customHeight="1" x14ac:dyDescent="0.2">
      <c r="A63" s="12" t="s">
        <v>18</v>
      </c>
      <c r="B63" s="36" t="s">
        <v>376</v>
      </c>
      <c r="C63" s="14">
        <f t="shared" si="4"/>
        <v>330</v>
      </c>
      <c r="D63" s="12">
        <v>1</v>
      </c>
      <c r="G63" s="14" t="s">
        <v>389</v>
      </c>
      <c r="H63" s="14" t="s">
        <v>773</v>
      </c>
      <c r="I63" s="12">
        <v>64277</v>
      </c>
      <c r="J63" s="12">
        <v>331</v>
      </c>
      <c r="K63" s="12" t="s">
        <v>20</v>
      </c>
      <c r="L63" s="12">
        <v>1</v>
      </c>
      <c r="M63" s="17">
        <v>1367604</v>
      </c>
      <c r="N63" s="17">
        <f t="shared" si="5"/>
        <v>1367604</v>
      </c>
      <c r="O63" s="12" t="s">
        <v>21</v>
      </c>
      <c r="P63" s="12">
        <f t="shared" si="3"/>
        <v>35</v>
      </c>
      <c r="Q63" s="12">
        <f t="shared" si="2"/>
        <v>40</v>
      </c>
    </row>
    <row r="64" spans="1:17" ht="15" customHeight="1" x14ac:dyDescent="0.2">
      <c r="A64" s="12" t="s">
        <v>18</v>
      </c>
      <c r="B64" s="36" t="s">
        <v>377</v>
      </c>
      <c r="C64" s="14">
        <f t="shared" si="4"/>
        <v>331</v>
      </c>
      <c r="D64" s="12">
        <v>1</v>
      </c>
      <c r="G64" s="14" t="s">
        <v>37</v>
      </c>
      <c r="H64" s="14" t="s">
        <v>398</v>
      </c>
      <c r="I64" s="12">
        <v>64277</v>
      </c>
      <c r="J64" s="12">
        <v>331</v>
      </c>
      <c r="K64" s="12" t="s">
        <v>20</v>
      </c>
      <c r="L64" s="12">
        <v>1</v>
      </c>
      <c r="M64" s="17">
        <v>3240000</v>
      </c>
      <c r="N64" s="17">
        <f t="shared" si="5"/>
        <v>3240000</v>
      </c>
      <c r="O64" s="12" t="s">
        <v>21</v>
      </c>
      <c r="P64" s="12">
        <f t="shared" si="3"/>
        <v>36</v>
      </c>
      <c r="Q64" s="12">
        <f t="shared" si="2"/>
        <v>42</v>
      </c>
    </row>
    <row r="65" spans="1:17" ht="15" customHeight="1" x14ac:dyDescent="0.2">
      <c r="A65" s="12" t="s">
        <v>18</v>
      </c>
      <c r="B65" s="36" t="s">
        <v>292</v>
      </c>
      <c r="C65" s="14">
        <f t="shared" si="4"/>
        <v>332</v>
      </c>
      <c r="D65" s="12">
        <v>1</v>
      </c>
      <c r="G65" s="14" t="s">
        <v>387</v>
      </c>
      <c r="H65" s="14" t="s">
        <v>774</v>
      </c>
      <c r="I65" s="12">
        <v>64277</v>
      </c>
      <c r="J65" s="12">
        <v>331</v>
      </c>
      <c r="K65" s="12" t="s">
        <v>20</v>
      </c>
      <c r="L65" s="12">
        <v>1</v>
      </c>
      <c r="M65" s="17">
        <v>1122660</v>
      </c>
      <c r="N65" s="17">
        <f t="shared" si="5"/>
        <v>1122660</v>
      </c>
      <c r="O65" s="12" t="s">
        <v>21</v>
      </c>
      <c r="P65" s="12">
        <f t="shared" si="3"/>
        <v>37</v>
      </c>
      <c r="Q65" s="12">
        <f t="shared" si="2"/>
        <v>41</v>
      </c>
    </row>
    <row r="66" spans="1:17" ht="15" customHeight="1" x14ac:dyDescent="0.2">
      <c r="A66" s="12" t="s">
        <v>18</v>
      </c>
      <c r="B66" s="36" t="s">
        <v>378</v>
      </c>
      <c r="C66" s="14">
        <f t="shared" si="4"/>
        <v>333</v>
      </c>
      <c r="D66" s="12">
        <v>1</v>
      </c>
      <c r="G66" s="14" t="s">
        <v>390</v>
      </c>
      <c r="H66" s="14" t="s">
        <v>399</v>
      </c>
      <c r="I66" s="12">
        <v>64277</v>
      </c>
      <c r="J66" s="12">
        <v>331</v>
      </c>
      <c r="K66" s="12" t="s">
        <v>20</v>
      </c>
      <c r="L66" s="12">
        <v>1</v>
      </c>
      <c r="M66" s="17">
        <v>850000</v>
      </c>
      <c r="N66" s="17">
        <f t="shared" si="5"/>
        <v>850000</v>
      </c>
      <c r="O66" s="12" t="s">
        <v>21</v>
      </c>
      <c r="P66" s="12">
        <f t="shared" si="3"/>
        <v>38</v>
      </c>
      <c r="Q66" s="12">
        <f t="shared" si="2"/>
        <v>24</v>
      </c>
    </row>
    <row r="67" spans="1:17" ht="15" customHeight="1" x14ac:dyDescent="0.2">
      <c r="A67" s="12" t="s">
        <v>18</v>
      </c>
      <c r="B67" s="36" t="s">
        <v>378</v>
      </c>
      <c r="C67" s="14">
        <f t="shared" si="4"/>
        <v>334</v>
      </c>
      <c r="D67" s="12">
        <v>1</v>
      </c>
      <c r="G67" s="14" t="s">
        <v>391</v>
      </c>
      <c r="H67" s="14" t="s">
        <v>775</v>
      </c>
      <c r="I67" s="12">
        <v>64277</v>
      </c>
      <c r="J67" s="12">
        <v>331</v>
      </c>
      <c r="K67" s="12" t="s">
        <v>20</v>
      </c>
      <c r="L67" s="12">
        <v>1</v>
      </c>
      <c r="M67" s="17">
        <v>900000</v>
      </c>
      <c r="N67" s="17">
        <f t="shared" si="5"/>
        <v>900000</v>
      </c>
      <c r="O67" s="12" t="s">
        <v>21</v>
      </c>
      <c r="P67" s="12">
        <f t="shared" si="3"/>
        <v>39</v>
      </c>
      <c r="Q67" s="12">
        <f t="shared" si="2"/>
        <v>39</v>
      </c>
    </row>
    <row r="68" spans="1:17" ht="15" customHeight="1" x14ac:dyDescent="0.2">
      <c r="A68" s="12" t="s">
        <v>18</v>
      </c>
      <c r="B68" s="36" t="s">
        <v>379</v>
      </c>
      <c r="C68" s="14">
        <f t="shared" ref="C68:C73" si="6">C67+D68</f>
        <v>335</v>
      </c>
      <c r="D68" s="12">
        <v>1</v>
      </c>
      <c r="G68" s="14" t="s">
        <v>37</v>
      </c>
      <c r="H68" s="14" t="s">
        <v>400</v>
      </c>
      <c r="I68" s="12">
        <v>64277</v>
      </c>
      <c r="J68" s="12">
        <v>331</v>
      </c>
      <c r="K68" s="12" t="s">
        <v>20</v>
      </c>
      <c r="L68" s="12">
        <v>1</v>
      </c>
      <c r="M68" s="17">
        <v>3240000</v>
      </c>
      <c r="N68" s="17">
        <f t="shared" ref="N68:N73" si="7">L68*M68</f>
        <v>3240000</v>
      </c>
      <c r="O68" s="12" t="s">
        <v>21</v>
      </c>
      <c r="P68" s="12">
        <f t="shared" si="3"/>
        <v>40</v>
      </c>
      <c r="Q68" s="12">
        <f t="shared" si="2"/>
        <v>42</v>
      </c>
    </row>
    <row r="69" spans="1:17" ht="15" customHeight="1" x14ac:dyDescent="0.2">
      <c r="A69" s="12" t="s">
        <v>18</v>
      </c>
      <c r="B69" s="36" t="s">
        <v>379</v>
      </c>
      <c r="C69" s="14">
        <f t="shared" si="6"/>
        <v>336</v>
      </c>
      <c r="D69" s="12">
        <v>1</v>
      </c>
      <c r="G69" s="14" t="s">
        <v>392</v>
      </c>
      <c r="H69" s="14" t="s">
        <v>776</v>
      </c>
      <c r="I69" s="12">
        <v>64277</v>
      </c>
      <c r="J69" s="12">
        <v>331</v>
      </c>
      <c r="K69" s="12" t="s">
        <v>20</v>
      </c>
      <c r="L69" s="12">
        <v>1</v>
      </c>
      <c r="M69" s="17">
        <v>1660000</v>
      </c>
      <c r="N69" s="17">
        <f t="shared" si="7"/>
        <v>1660000</v>
      </c>
      <c r="O69" s="12" t="s">
        <v>21</v>
      </c>
      <c r="P69" s="12">
        <f t="shared" si="3"/>
        <v>41</v>
      </c>
      <c r="Q69" s="12">
        <f t="shared" ref="Q69:Q132" si="8">LEN(H69)</f>
        <v>37</v>
      </c>
    </row>
    <row r="70" spans="1:17" ht="15" customHeight="1" x14ac:dyDescent="0.2">
      <c r="A70" s="12" t="s">
        <v>18</v>
      </c>
      <c r="B70" s="36" t="s">
        <v>380</v>
      </c>
      <c r="C70" s="14">
        <f t="shared" si="6"/>
        <v>337</v>
      </c>
      <c r="D70" s="12">
        <v>1</v>
      </c>
      <c r="G70" s="14" t="s">
        <v>393</v>
      </c>
      <c r="H70" s="14" t="s">
        <v>401</v>
      </c>
      <c r="I70" s="12">
        <v>64276</v>
      </c>
      <c r="J70" s="12">
        <v>331</v>
      </c>
      <c r="K70" s="12" t="s">
        <v>20</v>
      </c>
      <c r="L70" s="12">
        <v>1</v>
      </c>
      <c r="M70" s="17">
        <v>2452769</v>
      </c>
      <c r="N70" s="17">
        <f t="shared" si="7"/>
        <v>2452769</v>
      </c>
      <c r="O70" s="12" t="s">
        <v>21</v>
      </c>
      <c r="P70" s="12">
        <f t="shared" ref="P70:P133" si="9">P69+D70</f>
        <v>42</v>
      </c>
      <c r="Q70" s="12">
        <f t="shared" si="8"/>
        <v>38</v>
      </c>
    </row>
    <row r="71" spans="1:17" ht="15" customHeight="1" x14ac:dyDescent="0.2">
      <c r="A71" s="12" t="s">
        <v>18</v>
      </c>
      <c r="B71" s="36" t="s">
        <v>381</v>
      </c>
      <c r="C71" s="14">
        <f t="shared" si="6"/>
        <v>338</v>
      </c>
      <c r="D71" s="12">
        <v>1</v>
      </c>
      <c r="G71" s="14" t="s">
        <v>394</v>
      </c>
      <c r="H71" s="14" t="s">
        <v>777</v>
      </c>
      <c r="I71" s="12">
        <v>64277</v>
      </c>
      <c r="J71" s="12">
        <v>331</v>
      </c>
      <c r="K71" s="12" t="s">
        <v>20</v>
      </c>
      <c r="L71" s="12">
        <v>1</v>
      </c>
      <c r="M71" s="17">
        <v>569835</v>
      </c>
      <c r="N71" s="17">
        <f t="shared" si="7"/>
        <v>569835</v>
      </c>
      <c r="O71" s="12" t="s">
        <v>21</v>
      </c>
      <c r="P71" s="12">
        <f t="shared" si="9"/>
        <v>43</v>
      </c>
      <c r="Q71" s="12">
        <f t="shared" si="8"/>
        <v>40</v>
      </c>
    </row>
    <row r="72" spans="1:17" ht="15" customHeight="1" x14ac:dyDescent="0.2">
      <c r="A72" s="12" t="s">
        <v>18</v>
      </c>
      <c r="B72" s="36" t="s">
        <v>382</v>
      </c>
      <c r="C72" s="14">
        <f t="shared" si="6"/>
        <v>339</v>
      </c>
      <c r="D72" s="12">
        <v>1</v>
      </c>
      <c r="G72" s="14" t="s">
        <v>394</v>
      </c>
      <c r="H72" s="14" t="s">
        <v>778</v>
      </c>
      <c r="I72" s="12">
        <v>64277</v>
      </c>
      <c r="J72" s="12">
        <v>331</v>
      </c>
      <c r="K72" s="12" t="s">
        <v>20</v>
      </c>
      <c r="L72" s="12">
        <v>1</v>
      </c>
      <c r="M72" s="17">
        <v>629370</v>
      </c>
      <c r="N72" s="17">
        <f t="shared" si="7"/>
        <v>629370</v>
      </c>
      <c r="O72" s="12" t="s">
        <v>21</v>
      </c>
      <c r="P72" s="12">
        <f t="shared" si="9"/>
        <v>44</v>
      </c>
      <c r="Q72" s="12">
        <f t="shared" si="8"/>
        <v>40</v>
      </c>
    </row>
    <row r="73" spans="1:17" ht="15" customHeight="1" x14ac:dyDescent="0.2">
      <c r="A73" s="12" t="s">
        <v>18</v>
      </c>
      <c r="B73" s="36" t="s">
        <v>383</v>
      </c>
      <c r="C73" s="14">
        <f t="shared" si="6"/>
        <v>340</v>
      </c>
      <c r="D73" s="12">
        <v>1</v>
      </c>
      <c r="G73" s="14" t="s">
        <v>394</v>
      </c>
      <c r="H73" s="14" t="s">
        <v>779</v>
      </c>
      <c r="I73" s="12">
        <v>64277</v>
      </c>
      <c r="J73" s="12">
        <v>331</v>
      </c>
      <c r="K73" s="12" t="s">
        <v>20</v>
      </c>
      <c r="L73" s="12">
        <v>1</v>
      </c>
      <c r="M73" s="17">
        <v>629370</v>
      </c>
      <c r="N73" s="17">
        <f t="shared" si="7"/>
        <v>629370</v>
      </c>
      <c r="O73" s="12" t="s">
        <v>21</v>
      </c>
      <c r="P73" s="12">
        <f t="shared" si="9"/>
        <v>45</v>
      </c>
      <c r="Q73" s="12">
        <f t="shared" si="8"/>
        <v>40</v>
      </c>
    </row>
    <row r="74" spans="1:17" ht="15" customHeight="1" x14ac:dyDescent="0.2">
      <c r="A74" s="12" t="s">
        <v>18</v>
      </c>
      <c r="B74" s="36" t="s">
        <v>2045</v>
      </c>
      <c r="C74" s="14">
        <f t="shared" ref="C74:C76" si="10">C73+D74</f>
        <v>341</v>
      </c>
      <c r="D74" s="12">
        <v>1</v>
      </c>
      <c r="G74" s="14" t="s">
        <v>394</v>
      </c>
      <c r="H74" s="14" t="s">
        <v>2507</v>
      </c>
      <c r="I74" s="12">
        <v>64277</v>
      </c>
      <c r="J74" s="12">
        <v>331</v>
      </c>
      <c r="K74" s="12" t="s">
        <v>20</v>
      </c>
      <c r="L74" s="12">
        <v>1</v>
      </c>
      <c r="M74" s="17">
        <v>348705</v>
      </c>
      <c r="N74" s="17">
        <f t="shared" ref="N74:N137" si="11">L74*M74</f>
        <v>348705</v>
      </c>
      <c r="O74" s="12" t="s">
        <v>21</v>
      </c>
      <c r="P74" s="12">
        <f t="shared" si="9"/>
        <v>46</v>
      </c>
      <c r="Q74" s="12">
        <f t="shared" si="8"/>
        <v>40</v>
      </c>
    </row>
    <row r="75" spans="1:17" ht="15" customHeight="1" x14ac:dyDescent="0.2">
      <c r="A75" s="12" t="s">
        <v>18</v>
      </c>
      <c r="B75" s="36" t="s">
        <v>2382</v>
      </c>
      <c r="C75" s="14">
        <f t="shared" si="10"/>
        <v>342</v>
      </c>
      <c r="D75" s="12">
        <v>1</v>
      </c>
      <c r="G75" s="14" t="s">
        <v>64</v>
      </c>
      <c r="H75" s="14" t="s">
        <v>2508</v>
      </c>
      <c r="I75" s="12">
        <v>64277</v>
      </c>
      <c r="J75" s="12">
        <v>331</v>
      </c>
      <c r="K75" s="12" t="s">
        <v>20</v>
      </c>
      <c r="L75" s="12">
        <v>1</v>
      </c>
      <c r="M75" s="17">
        <v>966240</v>
      </c>
      <c r="N75" s="17">
        <f t="shared" si="11"/>
        <v>966240</v>
      </c>
      <c r="O75" s="12" t="s">
        <v>21</v>
      </c>
      <c r="P75" s="12">
        <f t="shared" si="9"/>
        <v>47</v>
      </c>
      <c r="Q75" s="12">
        <f t="shared" si="8"/>
        <v>33</v>
      </c>
    </row>
    <row r="76" spans="1:17" ht="15" customHeight="1" x14ac:dyDescent="0.2">
      <c r="A76" s="12" t="s">
        <v>18</v>
      </c>
      <c r="B76" s="36" t="s">
        <v>2504</v>
      </c>
      <c r="C76" s="14">
        <f t="shared" si="10"/>
        <v>343</v>
      </c>
      <c r="D76" s="12">
        <v>1</v>
      </c>
      <c r="G76" s="14" t="s">
        <v>2505</v>
      </c>
      <c r="H76" s="14" t="s">
        <v>2506</v>
      </c>
      <c r="I76" s="12">
        <v>64277</v>
      </c>
      <c r="J76" s="12">
        <v>331</v>
      </c>
      <c r="K76" s="12" t="s">
        <v>20</v>
      </c>
      <c r="L76" s="12">
        <v>1</v>
      </c>
      <c r="M76" s="17">
        <v>2527200</v>
      </c>
      <c r="N76" s="17">
        <f t="shared" si="11"/>
        <v>2527200</v>
      </c>
      <c r="O76" s="12" t="s">
        <v>21</v>
      </c>
      <c r="P76" s="12">
        <f t="shared" si="9"/>
        <v>48</v>
      </c>
      <c r="Q76" s="12">
        <f t="shared" si="8"/>
        <v>39</v>
      </c>
    </row>
    <row r="77" spans="1:17" ht="15" customHeight="1" x14ac:dyDescent="0.2">
      <c r="A77" s="12" t="s">
        <v>2678</v>
      </c>
      <c r="B77" s="36">
        <v>45931</v>
      </c>
      <c r="C77" s="14">
        <f t="shared" ref="C77:C140" si="12">C76+D77</f>
        <v>344</v>
      </c>
      <c r="D77" s="12">
        <v>1</v>
      </c>
      <c r="G77" s="14" t="s">
        <v>3011</v>
      </c>
      <c r="H77" s="14" t="s">
        <v>3164</v>
      </c>
      <c r="I77" s="12">
        <v>3383</v>
      </c>
      <c r="J77" s="12">
        <v>112111</v>
      </c>
      <c r="K77" s="12" t="s">
        <v>20</v>
      </c>
      <c r="L77" s="12">
        <v>1</v>
      </c>
      <c r="M77" s="17">
        <v>690300</v>
      </c>
      <c r="N77" s="17">
        <f t="shared" si="11"/>
        <v>690300</v>
      </c>
      <c r="O77" s="12" t="s">
        <v>21</v>
      </c>
      <c r="P77" s="12">
        <f t="shared" si="9"/>
        <v>49</v>
      </c>
      <c r="Q77" s="12">
        <f t="shared" si="8"/>
        <v>34</v>
      </c>
    </row>
    <row r="78" spans="1:17" ht="15" customHeight="1" x14ac:dyDescent="0.2">
      <c r="A78" s="12" t="s">
        <v>2679</v>
      </c>
      <c r="B78" s="36">
        <v>45932</v>
      </c>
      <c r="C78" s="14">
        <f t="shared" si="12"/>
        <v>345</v>
      </c>
      <c r="D78" s="12">
        <v>1</v>
      </c>
      <c r="G78" s="14" t="s">
        <v>2052</v>
      </c>
      <c r="H78" s="14" t="s">
        <v>4787</v>
      </c>
      <c r="I78" s="12">
        <v>112111</v>
      </c>
      <c r="J78" s="12">
        <v>131</v>
      </c>
      <c r="K78" s="12" t="s">
        <v>20</v>
      </c>
      <c r="L78" s="12">
        <v>1</v>
      </c>
      <c r="M78" s="17">
        <v>8516129</v>
      </c>
      <c r="N78" s="17">
        <f t="shared" si="11"/>
        <v>8516129</v>
      </c>
      <c r="O78" s="12" t="s">
        <v>21</v>
      </c>
      <c r="P78" s="12">
        <f t="shared" si="9"/>
        <v>50</v>
      </c>
      <c r="Q78" s="12">
        <f t="shared" si="8"/>
        <v>191</v>
      </c>
    </row>
    <row r="79" spans="1:17" ht="15" customHeight="1" x14ac:dyDescent="0.2">
      <c r="A79" s="12" t="s">
        <v>2678</v>
      </c>
      <c r="B79" s="36">
        <v>45932</v>
      </c>
      <c r="C79" s="14">
        <f t="shared" si="12"/>
        <v>346</v>
      </c>
      <c r="D79" s="12">
        <v>1</v>
      </c>
      <c r="G79" s="14" t="s">
        <v>73</v>
      </c>
      <c r="H79" s="14" t="s">
        <v>3017</v>
      </c>
      <c r="I79" s="12">
        <v>1111</v>
      </c>
      <c r="J79" s="12">
        <v>112111</v>
      </c>
      <c r="K79" s="12" t="s">
        <v>20</v>
      </c>
      <c r="L79" s="12">
        <v>1</v>
      </c>
      <c r="M79" s="17">
        <v>8000000</v>
      </c>
      <c r="N79" s="17">
        <f t="shared" si="11"/>
        <v>8000000</v>
      </c>
      <c r="O79" s="12" t="s">
        <v>21</v>
      </c>
      <c r="P79" s="12">
        <f t="shared" si="9"/>
        <v>51</v>
      </c>
      <c r="Q79" s="12">
        <f t="shared" si="8"/>
        <v>40</v>
      </c>
    </row>
    <row r="80" spans="1:17" ht="15" customHeight="1" x14ac:dyDescent="0.2">
      <c r="A80" s="12" t="s">
        <v>2679</v>
      </c>
      <c r="B80" s="36">
        <v>45932</v>
      </c>
      <c r="C80" s="14">
        <f t="shared" si="12"/>
        <v>347</v>
      </c>
      <c r="D80" s="12">
        <v>1</v>
      </c>
      <c r="G80" s="14" t="s">
        <v>1360</v>
      </c>
      <c r="H80" s="14" t="s">
        <v>4788</v>
      </c>
      <c r="I80" s="12">
        <v>112111</v>
      </c>
      <c r="J80" s="12">
        <v>131</v>
      </c>
      <c r="K80" s="12" t="s">
        <v>20</v>
      </c>
      <c r="L80" s="12">
        <v>1</v>
      </c>
      <c r="M80" s="17">
        <v>4233871</v>
      </c>
      <c r="N80" s="17">
        <f t="shared" si="11"/>
        <v>4233871</v>
      </c>
      <c r="O80" s="12" t="s">
        <v>21</v>
      </c>
      <c r="P80" s="12">
        <f t="shared" si="9"/>
        <v>52</v>
      </c>
      <c r="Q80" s="12">
        <f t="shared" si="8"/>
        <v>184</v>
      </c>
    </row>
    <row r="81" spans="1:17" ht="15" customHeight="1" x14ac:dyDescent="0.2">
      <c r="A81" s="12" t="s">
        <v>2678</v>
      </c>
      <c r="B81" s="36">
        <v>45932</v>
      </c>
      <c r="C81" s="14">
        <f t="shared" si="12"/>
        <v>348</v>
      </c>
      <c r="D81" s="12">
        <v>1</v>
      </c>
      <c r="G81" s="14" t="s">
        <v>73</v>
      </c>
      <c r="H81" s="14" t="s">
        <v>3017</v>
      </c>
      <c r="I81" s="12">
        <v>1111</v>
      </c>
      <c r="J81" s="12">
        <v>112111</v>
      </c>
      <c r="K81" s="12" t="s">
        <v>20</v>
      </c>
      <c r="L81" s="12">
        <v>1</v>
      </c>
      <c r="M81" s="17">
        <v>4000000</v>
      </c>
      <c r="N81" s="17">
        <f t="shared" si="11"/>
        <v>4000000</v>
      </c>
      <c r="O81" s="12" t="s">
        <v>21</v>
      </c>
      <c r="P81" s="12">
        <f t="shared" si="9"/>
        <v>53</v>
      </c>
      <c r="Q81" s="12">
        <f t="shared" si="8"/>
        <v>40</v>
      </c>
    </row>
    <row r="82" spans="1:17" ht="15" customHeight="1" x14ac:dyDescent="0.2">
      <c r="A82" s="12" t="s">
        <v>2679</v>
      </c>
      <c r="B82" s="36">
        <v>45932</v>
      </c>
      <c r="C82" s="14">
        <f t="shared" si="12"/>
        <v>349</v>
      </c>
      <c r="D82" s="12">
        <v>1</v>
      </c>
      <c r="G82" s="14" t="s">
        <v>403</v>
      </c>
      <c r="H82" s="12" t="s">
        <v>4789</v>
      </c>
      <c r="I82" s="12">
        <v>112111</v>
      </c>
      <c r="J82" s="12">
        <v>131</v>
      </c>
      <c r="K82" s="12" t="s">
        <v>20</v>
      </c>
      <c r="L82" s="12">
        <v>1</v>
      </c>
      <c r="M82" s="17">
        <v>9580645</v>
      </c>
      <c r="N82" s="17">
        <f t="shared" si="11"/>
        <v>9580645</v>
      </c>
      <c r="O82" s="12" t="s">
        <v>21</v>
      </c>
      <c r="P82" s="12">
        <f t="shared" si="9"/>
        <v>54</v>
      </c>
      <c r="Q82" s="12">
        <f t="shared" si="8"/>
        <v>120</v>
      </c>
    </row>
    <row r="83" spans="1:17" ht="15" customHeight="1" x14ac:dyDescent="0.2">
      <c r="A83" s="12" t="s">
        <v>2678</v>
      </c>
      <c r="B83" s="36">
        <v>45932</v>
      </c>
      <c r="C83" s="14">
        <f t="shared" si="12"/>
        <v>350</v>
      </c>
      <c r="D83" s="12">
        <v>1</v>
      </c>
      <c r="G83" s="14" t="s">
        <v>73</v>
      </c>
      <c r="H83" s="14" t="s">
        <v>3017</v>
      </c>
      <c r="I83" s="12">
        <v>1111</v>
      </c>
      <c r="J83" s="12">
        <v>112111</v>
      </c>
      <c r="K83" s="12" t="s">
        <v>20</v>
      </c>
      <c r="L83" s="12">
        <v>1</v>
      </c>
      <c r="M83" s="17">
        <v>10000000</v>
      </c>
      <c r="N83" s="17">
        <f t="shared" si="11"/>
        <v>10000000</v>
      </c>
      <c r="O83" s="12" t="s">
        <v>21</v>
      </c>
      <c r="P83" s="12">
        <f t="shared" si="9"/>
        <v>55</v>
      </c>
      <c r="Q83" s="12">
        <f t="shared" si="8"/>
        <v>40</v>
      </c>
    </row>
    <row r="84" spans="1:17" ht="15" customHeight="1" x14ac:dyDescent="0.2">
      <c r="A84" s="12" t="s">
        <v>2679</v>
      </c>
      <c r="B84" s="36">
        <v>45933</v>
      </c>
      <c r="C84" s="14">
        <f t="shared" si="12"/>
        <v>351</v>
      </c>
      <c r="D84" s="12">
        <v>1</v>
      </c>
      <c r="G84" s="14" t="s">
        <v>70</v>
      </c>
      <c r="H84" s="14" t="s">
        <v>4790</v>
      </c>
      <c r="I84" s="12">
        <v>112111</v>
      </c>
      <c r="J84" s="12">
        <v>131</v>
      </c>
      <c r="K84" s="12" t="s">
        <v>20</v>
      </c>
      <c r="L84" s="12">
        <v>1</v>
      </c>
      <c r="M84" s="17">
        <v>8516129</v>
      </c>
      <c r="N84" s="17">
        <f t="shared" si="11"/>
        <v>8516129</v>
      </c>
      <c r="O84" s="12" t="s">
        <v>21</v>
      </c>
      <c r="P84" s="12">
        <f t="shared" si="9"/>
        <v>56</v>
      </c>
      <c r="Q84" s="12">
        <f t="shared" si="8"/>
        <v>127</v>
      </c>
    </row>
    <row r="85" spans="1:17" ht="15" customHeight="1" x14ac:dyDescent="0.2">
      <c r="A85" s="12" t="s">
        <v>2678</v>
      </c>
      <c r="B85" s="36">
        <v>45933</v>
      </c>
      <c r="C85" s="14">
        <f t="shared" si="12"/>
        <v>352</v>
      </c>
      <c r="D85" s="12">
        <v>1</v>
      </c>
      <c r="G85" s="14" t="s">
        <v>73</v>
      </c>
      <c r="H85" s="14" t="s">
        <v>3017</v>
      </c>
      <c r="I85" s="12">
        <v>1111</v>
      </c>
      <c r="J85" s="12">
        <v>112111</v>
      </c>
      <c r="K85" s="12" t="s">
        <v>20</v>
      </c>
      <c r="L85" s="12">
        <v>1</v>
      </c>
      <c r="M85" s="17">
        <v>8000000</v>
      </c>
      <c r="N85" s="17">
        <f t="shared" si="11"/>
        <v>8000000</v>
      </c>
      <c r="O85" s="12" t="s">
        <v>21</v>
      </c>
      <c r="P85" s="12">
        <f t="shared" si="9"/>
        <v>57</v>
      </c>
      <c r="Q85" s="12">
        <f t="shared" si="8"/>
        <v>40</v>
      </c>
    </row>
    <row r="86" spans="1:17" ht="15" customHeight="1" x14ac:dyDescent="0.2">
      <c r="A86" s="12" t="s">
        <v>2679</v>
      </c>
      <c r="B86" s="36">
        <v>45937</v>
      </c>
      <c r="C86" s="14">
        <f t="shared" si="12"/>
        <v>353</v>
      </c>
      <c r="D86" s="12">
        <v>1</v>
      </c>
      <c r="G86" s="14" t="s">
        <v>128</v>
      </c>
      <c r="H86" s="12" t="s">
        <v>4791</v>
      </c>
      <c r="I86" s="12">
        <v>112111</v>
      </c>
      <c r="J86" s="12">
        <v>131</v>
      </c>
      <c r="K86" s="12" t="s">
        <v>20</v>
      </c>
      <c r="L86" s="12">
        <v>1</v>
      </c>
      <c r="M86" s="17">
        <v>13838710</v>
      </c>
      <c r="N86" s="17">
        <f t="shared" si="11"/>
        <v>13838710</v>
      </c>
      <c r="O86" s="12" t="s">
        <v>21</v>
      </c>
      <c r="P86" s="12">
        <f t="shared" si="9"/>
        <v>58</v>
      </c>
      <c r="Q86" s="12">
        <f t="shared" si="8"/>
        <v>156</v>
      </c>
    </row>
    <row r="87" spans="1:17" ht="15" customHeight="1" x14ac:dyDescent="0.2">
      <c r="A87" s="12" t="s">
        <v>2678</v>
      </c>
      <c r="B87" s="36">
        <v>45937</v>
      </c>
      <c r="C87" s="14">
        <f t="shared" si="12"/>
        <v>354</v>
      </c>
      <c r="D87" s="12">
        <v>1</v>
      </c>
      <c r="G87" s="14" t="s">
        <v>73</v>
      </c>
      <c r="H87" s="14" t="s">
        <v>3017</v>
      </c>
      <c r="I87" s="12">
        <v>1111</v>
      </c>
      <c r="J87" s="12">
        <v>112111</v>
      </c>
      <c r="K87" s="12" t="s">
        <v>20</v>
      </c>
      <c r="L87" s="12">
        <v>1</v>
      </c>
      <c r="M87" s="17">
        <v>13000000</v>
      </c>
      <c r="N87" s="17">
        <f t="shared" si="11"/>
        <v>13000000</v>
      </c>
      <c r="O87" s="12" t="s">
        <v>21</v>
      </c>
      <c r="P87" s="12">
        <f t="shared" si="9"/>
        <v>59</v>
      </c>
      <c r="Q87" s="12">
        <f t="shared" si="8"/>
        <v>40</v>
      </c>
    </row>
    <row r="88" spans="1:17" ht="15" customHeight="1" x14ac:dyDescent="0.2">
      <c r="A88" s="12" t="s">
        <v>2679</v>
      </c>
      <c r="B88" s="36">
        <v>45939</v>
      </c>
      <c r="C88" s="14">
        <f t="shared" si="12"/>
        <v>355</v>
      </c>
      <c r="D88" s="12">
        <v>1</v>
      </c>
      <c r="G88" s="14" t="s">
        <v>404</v>
      </c>
      <c r="H88" s="12" t="s">
        <v>4792</v>
      </c>
      <c r="I88" s="12">
        <v>112111</v>
      </c>
      <c r="J88" s="12">
        <v>131</v>
      </c>
      <c r="K88" s="12" t="s">
        <v>20</v>
      </c>
      <c r="L88" s="12">
        <v>1</v>
      </c>
      <c r="M88" s="17">
        <v>4258064</v>
      </c>
      <c r="N88" s="17">
        <f t="shared" si="11"/>
        <v>4258064</v>
      </c>
      <c r="O88" s="12" t="s">
        <v>21</v>
      </c>
      <c r="P88" s="12">
        <f t="shared" si="9"/>
        <v>60</v>
      </c>
      <c r="Q88" s="12">
        <f t="shared" si="8"/>
        <v>132</v>
      </c>
    </row>
    <row r="89" spans="1:17" ht="15" customHeight="1" x14ac:dyDescent="0.2">
      <c r="A89" s="12" t="s">
        <v>2678</v>
      </c>
      <c r="B89" s="36">
        <v>45940</v>
      </c>
      <c r="C89" s="14">
        <f t="shared" si="12"/>
        <v>356</v>
      </c>
      <c r="D89" s="12">
        <v>1</v>
      </c>
      <c r="G89" s="14" t="s">
        <v>73</v>
      </c>
      <c r="H89" s="14" t="s">
        <v>3017</v>
      </c>
      <c r="I89" s="12">
        <v>1111</v>
      </c>
      <c r="J89" s="12">
        <v>112111</v>
      </c>
      <c r="K89" s="12" t="s">
        <v>20</v>
      </c>
      <c r="L89" s="12">
        <v>1</v>
      </c>
      <c r="M89" s="17">
        <v>5000000</v>
      </c>
      <c r="N89" s="17">
        <f t="shared" si="11"/>
        <v>5000000</v>
      </c>
      <c r="O89" s="12" t="s">
        <v>21</v>
      </c>
      <c r="P89" s="12">
        <f t="shared" si="9"/>
        <v>61</v>
      </c>
      <c r="Q89" s="12">
        <f t="shared" si="8"/>
        <v>40</v>
      </c>
    </row>
    <row r="90" spans="1:17" ht="15" customHeight="1" x14ac:dyDescent="0.2">
      <c r="A90" s="12" t="s">
        <v>2679</v>
      </c>
      <c r="B90" s="36">
        <v>45943</v>
      </c>
      <c r="C90" s="14">
        <f t="shared" si="12"/>
        <v>357</v>
      </c>
      <c r="D90" s="12">
        <v>1</v>
      </c>
      <c r="G90" s="14" t="s">
        <v>57</v>
      </c>
      <c r="H90" s="12" t="s">
        <v>4793</v>
      </c>
      <c r="I90" s="12">
        <v>112111</v>
      </c>
      <c r="J90" s="12">
        <v>131</v>
      </c>
      <c r="K90" s="12" t="s">
        <v>20</v>
      </c>
      <c r="L90" s="12">
        <v>1</v>
      </c>
      <c r="M90" s="17">
        <v>9580645</v>
      </c>
      <c r="N90" s="17">
        <f t="shared" si="11"/>
        <v>9580645</v>
      </c>
      <c r="O90" s="12" t="s">
        <v>21</v>
      </c>
      <c r="P90" s="12">
        <f t="shared" si="9"/>
        <v>62</v>
      </c>
      <c r="Q90" s="12">
        <f t="shared" si="8"/>
        <v>155</v>
      </c>
    </row>
    <row r="91" spans="1:17" ht="15" customHeight="1" x14ac:dyDescent="0.2">
      <c r="A91" s="12" t="s">
        <v>2678</v>
      </c>
      <c r="B91" s="36">
        <v>45943</v>
      </c>
      <c r="C91" s="14">
        <f t="shared" si="12"/>
        <v>358</v>
      </c>
      <c r="D91" s="12">
        <v>1</v>
      </c>
      <c r="G91" s="14" t="s">
        <v>73</v>
      </c>
      <c r="H91" s="14" t="s">
        <v>3017</v>
      </c>
      <c r="I91" s="12">
        <v>1111</v>
      </c>
      <c r="J91" s="12">
        <v>112111</v>
      </c>
      <c r="K91" s="12" t="s">
        <v>20</v>
      </c>
      <c r="L91" s="12">
        <v>1</v>
      </c>
      <c r="M91" s="17">
        <v>9000000</v>
      </c>
      <c r="N91" s="17">
        <f t="shared" si="11"/>
        <v>9000000</v>
      </c>
      <c r="O91" s="12" t="s">
        <v>21</v>
      </c>
      <c r="P91" s="12">
        <f t="shared" si="9"/>
        <v>63</v>
      </c>
      <c r="Q91" s="12">
        <f t="shared" si="8"/>
        <v>40</v>
      </c>
    </row>
    <row r="92" spans="1:17" ht="15" customHeight="1" x14ac:dyDescent="0.2">
      <c r="A92" s="12" t="s">
        <v>2679</v>
      </c>
      <c r="B92" s="36">
        <v>45944</v>
      </c>
      <c r="C92" s="14">
        <f t="shared" si="12"/>
        <v>359</v>
      </c>
      <c r="D92" s="12">
        <v>1</v>
      </c>
      <c r="G92" s="14" t="s">
        <v>405</v>
      </c>
      <c r="H92" s="12" t="s">
        <v>4794</v>
      </c>
      <c r="I92" s="12">
        <v>112111</v>
      </c>
      <c r="J92" s="12">
        <v>131</v>
      </c>
      <c r="K92" s="12" t="s">
        <v>20</v>
      </c>
      <c r="L92" s="12">
        <v>1</v>
      </c>
      <c r="M92" s="17">
        <v>2650002</v>
      </c>
      <c r="N92" s="17">
        <f t="shared" si="11"/>
        <v>2650002</v>
      </c>
      <c r="O92" s="12" t="s">
        <v>21</v>
      </c>
      <c r="P92" s="12">
        <f t="shared" si="9"/>
        <v>64</v>
      </c>
      <c r="Q92" s="12">
        <f t="shared" si="8"/>
        <v>103</v>
      </c>
    </row>
    <row r="93" spans="1:17" ht="15" customHeight="1" x14ac:dyDescent="0.2">
      <c r="A93" s="12" t="s">
        <v>2678</v>
      </c>
      <c r="B93" s="36">
        <v>45944</v>
      </c>
      <c r="C93" s="14">
        <f t="shared" si="12"/>
        <v>360</v>
      </c>
      <c r="D93" s="12">
        <v>1</v>
      </c>
      <c r="G93" s="14" t="s">
        <v>73</v>
      </c>
      <c r="H93" s="14" t="s">
        <v>3017</v>
      </c>
      <c r="I93" s="12">
        <v>1111</v>
      </c>
      <c r="J93" s="12">
        <v>112111</v>
      </c>
      <c r="K93" s="12" t="s">
        <v>20</v>
      </c>
      <c r="L93" s="12">
        <v>1</v>
      </c>
      <c r="M93" s="17">
        <v>3000000</v>
      </c>
      <c r="N93" s="17">
        <f t="shared" si="11"/>
        <v>3000000</v>
      </c>
      <c r="O93" s="12" t="s">
        <v>21</v>
      </c>
      <c r="P93" s="12">
        <f t="shared" si="9"/>
        <v>65</v>
      </c>
      <c r="Q93" s="12">
        <f t="shared" si="8"/>
        <v>40</v>
      </c>
    </row>
    <row r="94" spans="1:17" ht="15" customHeight="1" x14ac:dyDescent="0.2">
      <c r="A94" s="12" t="s">
        <v>2679</v>
      </c>
      <c r="B94" s="36">
        <v>45945</v>
      </c>
      <c r="C94" s="14">
        <f t="shared" si="12"/>
        <v>361</v>
      </c>
      <c r="D94" s="12">
        <v>1</v>
      </c>
      <c r="G94" s="14" t="s">
        <v>72</v>
      </c>
      <c r="H94" s="14" t="s">
        <v>4795</v>
      </c>
      <c r="I94" s="12">
        <v>112111</v>
      </c>
      <c r="J94" s="12">
        <v>131</v>
      </c>
      <c r="K94" s="12" t="s">
        <v>20</v>
      </c>
      <c r="L94" s="12">
        <v>1</v>
      </c>
      <c r="M94" s="17">
        <v>8516129</v>
      </c>
      <c r="N94" s="17">
        <f t="shared" si="11"/>
        <v>8516129</v>
      </c>
      <c r="O94" s="12" t="s">
        <v>21</v>
      </c>
      <c r="P94" s="12">
        <f t="shared" si="9"/>
        <v>66</v>
      </c>
      <c r="Q94" s="12">
        <f t="shared" si="8"/>
        <v>173</v>
      </c>
    </row>
    <row r="95" spans="1:17" ht="15" customHeight="1" x14ac:dyDescent="0.2">
      <c r="A95" s="12" t="s">
        <v>2678</v>
      </c>
      <c r="B95" s="36">
        <v>45945</v>
      </c>
      <c r="C95" s="14">
        <f t="shared" si="12"/>
        <v>362</v>
      </c>
      <c r="D95" s="12">
        <v>1</v>
      </c>
      <c r="G95" s="14" t="s">
        <v>73</v>
      </c>
      <c r="H95" s="14" t="s">
        <v>3017</v>
      </c>
      <c r="I95" s="12">
        <v>1111</v>
      </c>
      <c r="J95" s="12">
        <v>112111</v>
      </c>
      <c r="K95" s="12" t="s">
        <v>20</v>
      </c>
      <c r="L95" s="12">
        <v>1</v>
      </c>
      <c r="M95" s="17">
        <v>8000000</v>
      </c>
      <c r="N95" s="17">
        <f t="shared" si="11"/>
        <v>8000000</v>
      </c>
      <c r="O95" s="12" t="s">
        <v>21</v>
      </c>
      <c r="P95" s="12">
        <f t="shared" si="9"/>
        <v>67</v>
      </c>
      <c r="Q95" s="12">
        <f t="shared" si="8"/>
        <v>40</v>
      </c>
    </row>
    <row r="96" spans="1:17" ht="15" customHeight="1" x14ac:dyDescent="0.2">
      <c r="A96" s="12" t="s">
        <v>2679</v>
      </c>
      <c r="B96" s="36">
        <v>45949</v>
      </c>
      <c r="C96" s="14">
        <f t="shared" si="12"/>
        <v>363</v>
      </c>
      <c r="D96" s="12">
        <v>1</v>
      </c>
      <c r="G96" s="14" t="s">
        <v>4796</v>
      </c>
      <c r="H96" s="14" t="s">
        <v>2687</v>
      </c>
      <c r="I96" s="12">
        <v>112111</v>
      </c>
      <c r="J96" s="12">
        <v>5154</v>
      </c>
      <c r="K96" s="12" t="s">
        <v>20</v>
      </c>
      <c r="L96" s="12">
        <v>1</v>
      </c>
      <c r="M96" s="17">
        <v>78</v>
      </c>
      <c r="N96" s="17">
        <f t="shared" si="11"/>
        <v>78</v>
      </c>
      <c r="O96" s="12" t="s">
        <v>21</v>
      </c>
      <c r="P96" s="12">
        <f t="shared" si="9"/>
        <v>68</v>
      </c>
      <c r="Q96" s="12">
        <f t="shared" si="8"/>
        <v>12</v>
      </c>
    </row>
    <row r="97" spans="1:17" ht="15" customHeight="1" x14ac:dyDescent="0.2">
      <c r="A97" s="12" t="s">
        <v>2678</v>
      </c>
      <c r="B97" s="36">
        <v>45949</v>
      </c>
      <c r="C97" s="14">
        <f t="shared" si="12"/>
        <v>364</v>
      </c>
      <c r="D97" s="12">
        <v>1</v>
      </c>
      <c r="G97" s="14" t="s">
        <v>73</v>
      </c>
      <c r="H97" s="14" t="s">
        <v>3017</v>
      </c>
      <c r="I97" s="12">
        <v>1111</v>
      </c>
      <c r="J97" s="12">
        <v>112111</v>
      </c>
      <c r="K97" s="12" t="s">
        <v>20</v>
      </c>
      <c r="L97" s="12">
        <v>1</v>
      </c>
      <c r="M97" s="17">
        <v>500000</v>
      </c>
      <c r="N97" s="17">
        <f t="shared" si="11"/>
        <v>500000</v>
      </c>
      <c r="O97" s="12" t="s">
        <v>21</v>
      </c>
      <c r="P97" s="12">
        <f t="shared" si="9"/>
        <v>69</v>
      </c>
      <c r="Q97" s="12">
        <f t="shared" si="8"/>
        <v>40</v>
      </c>
    </row>
    <row r="98" spans="1:17" ht="15" customHeight="1" x14ac:dyDescent="0.2">
      <c r="A98" s="12" t="s">
        <v>2679</v>
      </c>
      <c r="B98" s="36">
        <v>45954</v>
      </c>
      <c r="C98" s="14">
        <f t="shared" si="12"/>
        <v>365</v>
      </c>
      <c r="D98" s="12">
        <v>1</v>
      </c>
      <c r="G98" s="14" t="s">
        <v>404</v>
      </c>
      <c r="H98" s="12" t="s">
        <v>4797</v>
      </c>
      <c r="I98" s="12">
        <v>112111</v>
      </c>
      <c r="J98" s="12">
        <v>131</v>
      </c>
      <c r="K98" s="12" t="s">
        <v>20</v>
      </c>
      <c r="L98" s="12">
        <v>1</v>
      </c>
      <c r="M98" s="17">
        <v>4258064</v>
      </c>
      <c r="N98" s="17">
        <f t="shared" si="11"/>
        <v>4258064</v>
      </c>
      <c r="O98" s="12" t="s">
        <v>21</v>
      </c>
      <c r="P98" s="12">
        <f t="shared" si="9"/>
        <v>70</v>
      </c>
      <c r="Q98" s="12">
        <f t="shared" si="8"/>
        <v>174</v>
      </c>
    </row>
    <row r="99" spans="1:17" ht="15" customHeight="1" x14ac:dyDescent="0.2">
      <c r="A99" s="12" t="s">
        <v>2678</v>
      </c>
      <c r="B99" s="36">
        <v>45955</v>
      </c>
      <c r="C99" s="14">
        <f t="shared" si="12"/>
        <v>366</v>
      </c>
      <c r="D99" s="12">
        <v>1</v>
      </c>
      <c r="G99" s="14" t="s">
        <v>73</v>
      </c>
      <c r="H99" s="14" t="s">
        <v>3017</v>
      </c>
      <c r="I99" s="12">
        <v>1111</v>
      </c>
      <c r="J99" s="12">
        <v>112111</v>
      </c>
      <c r="K99" s="12" t="s">
        <v>20</v>
      </c>
      <c r="L99" s="12">
        <v>1</v>
      </c>
      <c r="M99" s="17">
        <v>5000000</v>
      </c>
      <c r="N99" s="17">
        <f t="shared" si="11"/>
        <v>5000000</v>
      </c>
      <c r="O99" s="12" t="s">
        <v>21</v>
      </c>
      <c r="P99" s="12">
        <f t="shared" si="9"/>
        <v>71</v>
      </c>
      <c r="Q99" s="12">
        <f t="shared" si="8"/>
        <v>40</v>
      </c>
    </row>
    <row r="100" spans="1:17" ht="15" customHeight="1" x14ac:dyDescent="0.2">
      <c r="A100" s="12" t="s">
        <v>2678</v>
      </c>
      <c r="B100" s="36">
        <v>45959</v>
      </c>
      <c r="C100" s="14">
        <f t="shared" si="12"/>
        <v>367</v>
      </c>
      <c r="D100" s="12">
        <v>1</v>
      </c>
      <c r="G100" s="14" t="s">
        <v>3011</v>
      </c>
      <c r="H100" s="14" t="s">
        <v>2684</v>
      </c>
      <c r="I100" s="12">
        <v>3383</v>
      </c>
      <c r="J100" s="12">
        <v>112111</v>
      </c>
      <c r="K100" s="12" t="s">
        <v>20</v>
      </c>
      <c r="L100" s="12">
        <v>1</v>
      </c>
      <c r="M100" s="17">
        <v>690300</v>
      </c>
      <c r="N100" s="17">
        <f t="shared" si="11"/>
        <v>690300</v>
      </c>
      <c r="O100" s="12" t="s">
        <v>21</v>
      </c>
      <c r="P100" s="12">
        <f t="shared" si="9"/>
        <v>72</v>
      </c>
      <c r="Q100" s="12">
        <f t="shared" si="8"/>
        <v>34</v>
      </c>
    </row>
    <row r="101" spans="1:17" ht="15" customHeight="1" x14ac:dyDescent="0.2">
      <c r="A101" s="12" t="s">
        <v>2679</v>
      </c>
      <c r="B101" s="36">
        <v>45961</v>
      </c>
      <c r="C101" s="14">
        <f t="shared" si="12"/>
        <v>368</v>
      </c>
      <c r="D101" s="12">
        <v>1</v>
      </c>
      <c r="G101" s="14" t="s">
        <v>73</v>
      </c>
      <c r="H101" s="14" t="s">
        <v>4798</v>
      </c>
      <c r="I101" s="12">
        <v>112111</v>
      </c>
      <c r="J101" s="12">
        <v>1111</v>
      </c>
      <c r="K101" s="12" t="s">
        <v>20</v>
      </c>
      <c r="L101" s="12">
        <v>1</v>
      </c>
      <c r="M101" s="17">
        <v>20500000</v>
      </c>
      <c r="N101" s="17">
        <f t="shared" si="11"/>
        <v>20500000</v>
      </c>
      <c r="O101" s="12" t="s">
        <v>21</v>
      </c>
      <c r="P101" s="12">
        <f t="shared" si="9"/>
        <v>73</v>
      </c>
      <c r="Q101" s="12">
        <f t="shared" si="8"/>
        <v>31</v>
      </c>
    </row>
    <row r="102" spans="1:17" ht="15" customHeight="1" x14ac:dyDescent="0.2">
      <c r="A102" s="12" t="s">
        <v>2678</v>
      </c>
      <c r="B102" s="36">
        <v>45961</v>
      </c>
      <c r="C102" s="14">
        <f t="shared" si="12"/>
        <v>369</v>
      </c>
      <c r="D102" s="12">
        <v>1</v>
      </c>
      <c r="G102" s="14" t="s">
        <v>2717</v>
      </c>
      <c r="H102" s="14" t="s">
        <v>3290</v>
      </c>
      <c r="I102" s="12">
        <v>333821</v>
      </c>
      <c r="J102" s="12">
        <v>112111</v>
      </c>
      <c r="K102" s="12" t="s">
        <v>20</v>
      </c>
      <c r="L102" s="12">
        <v>1</v>
      </c>
      <c r="M102" s="17">
        <v>20437086</v>
      </c>
      <c r="N102" s="17">
        <f t="shared" si="11"/>
        <v>20437086</v>
      </c>
      <c r="O102" s="12" t="s">
        <v>21</v>
      </c>
      <c r="P102" s="12">
        <f t="shared" si="9"/>
        <v>74</v>
      </c>
      <c r="Q102" s="12">
        <f t="shared" si="8"/>
        <v>31</v>
      </c>
    </row>
    <row r="103" spans="1:17" ht="15" customHeight="1" x14ac:dyDescent="0.2">
      <c r="A103" s="12" t="s">
        <v>2678</v>
      </c>
      <c r="B103" s="36">
        <v>45963</v>
      </c>
      <c r="C103" s="14">
        <f t="shared" si="12"/>
        <v>370</v>
      </c>
      <c r="D103" s="12">
        <v>1</v>
      </c>
      <c r="G103" s="14" t="s">
        <v>73</v>
      </c>
      <c r="H103" s="14" t="s">
        <v>3017</v>
      </c>
      <c r="I103" s="12">
        <v>1111</v>
      </c>
      <c r="J103" s="12">
        <v>112111</v>
      </c>
      <c r="K103" s="12" t="s">
        <v>20</v>
      </c>
      <c r="L103" s="12">
        <v>1</v>
      </c>
      <c r="M103" s="17">
        <v>600000</v>
      </c>
      <c r="N103" s="17">
        <f t="shared" si="11"/>
        <v>600000</v>
      </c>
      <c r="O103" s="12" t="s">
        <v>21</v>
      </c>
      <c r="P103" s="12">
        <f t="shared" si="9"/>
        <v>75</v>
      </c>
      <c r="Q103" s="12">
        <f t="shared" si="8"/>
        <v>40</v>
      </c>
    </row>
    <row r="104" spans="1:17" ht="15" customHeight="1" x14ac:dyDescent="0.2">
      <c r="A104" s="12" t="s">
        <v>2679</v>
      </c>
      <c r="B104" s="36">
        <v>45964</v>
      </c>
      <c r="C104" s="14">
        <f t="shared" si="12"/>
        <v>371</v>
      </c>
      <c r="D104" s="12">
        <v>1</v>
      </c>
      <c r="G104" s="14" t="s">
        <v>408</v>
      </c>
      <c r="H104" s="12" t="s">
        <v>4799</v>
      </c>
      <c r="I104" s="12">
        <v>112111</v>
      </c>
      <c r="J104" s="12">
        <v>131</v>
      </c>
      <c r="K104" s="12" t="s">
        <v>20</v>
      </c>
      <c r="L104" s="12">
        <v>1</v>
      </c>
      <c r="M104" s="17">
        <v>2341935</v>
      </c>
      <c r="N104" s="17">
        <f t="shared" si="11"/>
        <v>2341935</v>
      </c>
      <c r="O104" s="12" t="s">
        <v>21</v>
      </c>
      <c r="P104" s="12">
        <f t="shared" si="9"/>
        <v>76</v>
      </c>
      <c r="Q104" s="12">
        <f t="shared" si="8"/>
        <v>125</v>
      </c>
    </row>
    <row r="105" spans="1:17" ht="15" customHeight="1" x14ac:dyDescent="0.2">
      <c r="A105" s="12" t="s">
        <v>2679</v>
      </c>
      <c r="B105" s="36">
        <v>45966</v>
      </c>
      <c r="C105" s="14">
        <f t="shared" si="12"/>
        <v>372</v>
      </c>
      <c r="D105" s="12">
        <v>1</v>
      </c>
      <c r="G105" s="14" t="s">
        <v>402</v>
      </c>
      <c r="H105" s="12" t="s">
        <v>4800</v>
      </c>
      <c r="I105" s="12">
        <v>112111</v>
      </c>
      <c r="J105" s="12">
        <v>131</v>
      </c>
      <c r="K105" s="12" t="s">
        <v>20</v>
      </c>
      <c r="L105" s="12">
        <v>1</v>
      </c>
      <c r="M105" s="17">
        <v>21556452</v>
      </c>
      <c r="N105" s="17">
        <f t="shared" si="11"/>
        <v>21556452</v>
      </c>
      <c r="O105" s="12" t="s">
        <v>21</v>
      </c>
      <c r="P105" s="12">
        <f t="shared" si="9"/>
        <v>77</v>
      </c>
      <c r="Q105" s="12">
        <f t="shared" si="8"/>
        <v>160</v>
      </c>
    </row>
    <row r="106" spans="1:17" ht="15" customHeight="1" x14ac:dyDescent="0.2">
      <c r="A106" s="12" t="s">
        <v>2678</v>
      </c>
      <c r="B106" s="36">
        <v>45966</v>
      </c>
      <c r="C106" s="14">
        <f t="shared" si="12"/>
        <v>373</v>
      </c>
      <c r="D106" s="12">
        <v>1</v>
      </c>
      <c r="G106" s="14" t="s">
        <v>73</v>
      </c>
      <c r="H106" s="14" t="s">
        <v>3017</v>
      </c>
      <c r="I106" s="12">
        <v>1111</v>
      </c>
      <c r="J106" s="12">
        <v>112111</v>
      </c>
      <c r="K106" s="12" t="s">
        <v>20</v>
      </c>
      <c r="L106" s="12">
        <v>1</v>
      </c>
      <c r="M106" s="17">
        <v>23900000</v>
      </c>
      <c r="N106" s="17">
        <f t="shared" si="11"/>
        <v>23900000</v>
      </c>
      <c r="O106" s="12" t="s">
        <v>21</v>
      </c>
      <c r="P106" s="12">
        <f t="shared" si="9"/>
        <v>78</v>
      </c>
      <c r="Q106" s="12">
        <f t="shared" si="8"/>
        <v>40</v>
      </c>
    </row>
    <row r="107" spans="1:17" ht="15" customHeight="1" x14ac:dyDescent="0.2">
      <c r="A107" s="12" t="s">
        <v>2679</v>
      </c>
      <c r="B107" s="36">
        <v>45966</v>
      </c>
      <c r="C107" s="14">
        <f t="shared" si="12"/>
        <v>374</v>
      </c>
      <c r="D107" s="12">
        <v>1</v>
      </c>
      <c r="G107" s="14" t="s">
        <v>406</v>
      </c>
      <c r="H107" s="12" t="s">
        <v>4801</v>
      </c>
      <c r="I107" s="12">
        <v>112111</v>
      </c>
      <c r="J107" s="12">
        <v>131</v>
      </c>
      <c r="K107" s="12" t="s">
        <v>20</v>
      </c>
      <c r="L107" s="12">
        <v>1</v>
      </c>
      <c r="M107" s="17">
        <v>2341935</v>
      </c>
      <c r="N107" s="17">
        <f t="shared" si="11"/>
        <v>2341935</v>
      </c>
      <c r="O107" s="12" t="s">
        <v>21</v>
      </c>
      <c r="P107" s="12">
        <f t="shared" si="9"/>
        <v>79</v>
      </c>
      <c r="Q107" s="12">
        <f t="shared" si="8"/>
        <v>128</v>
      </c>
    </row>
    <row r="108" spans="1:17" ht="15" customHeight="1" x14ac:dyDescent="0.2">
      <c r="A108" s="12" t="s">
        <v>2679</v>
      </c>
      <c r="B108" s="36">
        <v>45966</v>
      </c>
      <c r="C108" s="14">
        <f t="shared" si="12"/>
        <v>375</v>
      </c>
      <c r="D108" s="12">
        <v>1</v>
      </c>
      <c r="G108" s="14" t="s">
        <v>407</v>
      </c>
      <c r="H108" s="12" t="s">
        <v>4802</v>
      </c>
      <c r="I108" s="12">
        <v>112111</v>
      </c>
      <c r="J108" s="12">
        <v>131</v>
      </c>
      <c r="K108" s="12" t="s">
        <v>20</v>
      </c>
      <c r="L108" s="12">
        <v>1</v>
      </c>
      <c r="M108" s="17">
        <v>2341935</v>
      </c>
      <c r="N108" s="17">
        <f t="shared" si="11"/>
        <v>2341935</v>
      </c>
      <c r="O108" s="12" t="s">
        <v>21</v>
      </c>
      <c r="P108" s="12">
        <f t="shared" si="9"/>
        <v>80</v>
      </c>
      <c r="Q108" s="12">
        <f t="shared" si="8"/>
        <v>124</v>
      </c>
    </row>
    <row r="109" spans="1:17" ht="15" customHeight="1" x14ac:dyDescent="0.2">
      <c r="A109" s="12" t="s">
        <v>2678</v>
      </c>
      <c r="B109" s="36">
        <v>45966</v>
      </c>
      <c r="C109" s="14">
        <f t="shared" si="12"/>
        <v>376</v>
      </c>
      <c r="D109" s="12">
        <v>1</v>
      </c>
      <c r="G109" s="14" t="s">
        <v>73</v>
      </c>
      <c r="H109" s="14" t="s">
        <v>3017</v>
      </c>
      <c r="I109" s="12">
        <v>1111</v>
      </c>
      <c r="J109" s="12">
        <v>112111</v>
      </c>
      <c r="K109" s="12" t="s">
        <v>20</v>
      </c>
      <c r="L109" s="12">
        <v>1</v>
      </c>
      <c r="M109" s="17">
        <v>4700000</v>
      </c>
      <c r="N109" s="17">
        <f t="shared" si="11"/>
        <v>4700000</v>
      </c>
      <c r="O109" s="12" t="s">
        <v>21</v>
      </c>
      <c r="P109" s="12">
        <f t="shared" si="9"/>
        <v>81</v>
      </c>
      <c r="Q109" s="12">
        <f t="shared" si="8"/>
        <v>40</v>
      </c>
    </row>
    <row r="110" spans="1:17" ht="15" customHeight="1" x14ac:dyDescent="0.2">
      <c r="A110" s="12" t="s">
        <v>2679</v>
      </c>
      <c r="B110" s="36">
        <v>45977</v>
      </c>
      <c r="C110" s="14">
        <f t="shared" si="12"/>
        <v>377</v>
      </c>
      <c r="D110" s="12">
        <v>1</v>
      </c>
      <c r="G110" s="14" t="s">
        <v>4796</v>
      </c>
      <c r="H110" s="14" t="s">
        <v>2687</v>
      </c>
      <c r="I110" s="12">
        <v>112111</v>
      </c>
      <c r="J110" s="12">
        <v>5154</v>
      </c>
      <c r="K110" s="12" t="s">
        <v>20</v>
      </c>
      <c r="L110" s="12">
        <v>1</v>
      </c>
      <c r="M110" s="17">
        <v>44</v>
      </c>
      <c r="N110" s="17">
        <f t="shared" si="11"/>
        <v>44</v>
      </c>
      <c r="O110" s="12" t="s">
        <v>21</v>
      </c>
      <c r="P110" s="12">
        <f t="shared" si="9"/>
        <v>82</v>
      </c>
      <c r="Q110" s="12">
        <f t="shared" si="8"/>
        <v>12</v>
      </c>
    </row>
    <row r="111" spans="1:17" ht="15" customHeight="1" x14ac:dyDescent="0.2">
      <c r="A111" s="12" t="s">
        <v>2679</v>
      </c>
      <c r="B111" s="36">
        <v>45983</v>
      </c>
      <c r="C111" s="14">
        <f t="shared" si="12"/>
        <v>378</v>
      </c>
      <c r="D111" s="12">
        <v>1</v>
      </c>
      <c r="G111" s="14" t="s">
        <v>105</v>
      </c>
      <c r="H111" s="12" t="s">
        <v>4803</v>
      </c>
      <c r="I111" s="12">
        <v>112111</v>
      </c>
      <c r="J111" s="12">
        <v>131</v>
      </c>
      <c r="K111" s="12" t="s">
        <v>20</v>
      </c>
      <c r="L111" s="12">
        <v>1</v>
      </c>
      <c r="M111" s="17">
        <v>9580645</v>
      </c>
      <c r="N111" s="17">
        <f t="shared" si="11"/>
        <v>9580645</v>
      </c>
      <c r="O111" s="12" t="s">
        <v>21</v>
      </c>
      <c r="P111" s="12">
        <f t="shared" si="9"/>
        <v>83</v>
      </c>
      <c r="Q111" s="12">
        <f t="shared" si="8"/>
        <v>160</v>
      </c>
    </row>
    <row r="112" spans="1:17" ht="15" customHeight="1" x14ac:dyDescent="0.2">
      <c r="A112" s="12" t="s">
        <v>2678</v>
      </c>
      <c r="B112" s="36">
        <v>45983</v>
      </c>
      <c r="C112" s="14">
        <f t="shared" si="12"/>
        <v>379</v>
      </c>
      <c r="D112" s="12">
        <v>1</v>
      </c>
      <c r="G112" s="14" t="s">
        <v>73</v>
      </c>
      <c r="H112" s="14" t="s">
        <v>3017</v>
      </c>
      <c r="I112" s="12">
        <v>1111</v>
      </c>
      <c r="J112" s="12">
        <v>112111</v>
      </c>
      <c r="K112" s="12" t="s">
        <v>20</v>
      </c>
      <c r="L112" s="12">
        <v>1</v>
      </c>
      <c r="M112" s="17">
        <v>9600000</v>
      </c>
      <c r="N112" s="17">
        <f t="shared" si="11"/>
        <v>9600000</v>
      </c>
      <c r="O112" s="12" t="s">
        <v>21</v>
      </c>
      <c r="P112" s="12">
        <f t="shared" si="9"/>
        <v>84</v>
      </c>
      <c r="Q112" s="12">
        <f t="shared" si="8"/>
        <v>40</v>
      </c>
    </row>
    <row r="113" spans="1:17" ht="15" customHeight="1" x14ac:dyDescent="0.2">
      <c r="A113" s="12" t="s">
        <v>2679</v>
      </c>
      <c r="B113" s="36">
        <v>45987</v>
      </c>
      <c r="C113" s="14">
        <f t="shared" si="12"/>
        <v>380</v>
      </c>
      <c r="D113" s="12">
        <v>1</v>
      </c>
      <c r="G113" s="14" t="s">
        <v>89</v>
      </c>
      <c r="H113" s="12" t="s">
        <v>4804</v>
      </c>
      <c r="I113" s="12">
        <v>112111</v>
      </c>
      <c r="J113" s="12">
        <v>131</v>
      </c>
      <c r="K113" s="12" t="s">
        <v>20</v>
      </c>
      <c r="L113" s="12">
        <v>1</v>
      </c>
      <c r="M113" s="17">
        <v>9580645</v>
      </c>
      <c r="N113" s="17">
        <f t="shared" si="11"/>
        <v>9580645</v>
      </c>
      <c r="O113" s="12" t="s">
        <v>21</v>
      </c>
      <c r="P113" s="12">
        <f t="shared" si="9"/>
        <v>85</v>
      </c>
      <c r="Q113" s="12">
        <f t="shared" si="8"/>
        <v>136</v>
      </c>
    </row>
    <row r="114" spans="1:17" ht="15" customHeight="1" x14ac:dyDescent="0.2">
      <c r="A114" s="12" t="s">
        <v>2678</v>
      </c>
      <c r="B114" s="36">
        <v>45987</v>
      </c>
      <c r="C114" s="14">
        <f t="shared" si="12"/>
        <v>381</v>
      </c>
      <c r="D114" s="12">
        <v>1</v>
      </c>
      <c r="G114" s="14" t="s">
        <v>73</v>
      </c>
      <c r="H114" s="14" t="s">
        <v>3017</v>
      </c>
      <c r="I114" s="12">
        <v>1111</v>
      </c>
      <c r="J114" s="12">
        <v>112111</v>
      </c>
      <c r="K114" s="12" t="s">
        <v>20</v>
      </c>
      <c r="L114" s="12">
        <v>1</v>
      </c>
      <c r="M114" s="17">
        <v>9600000</v>
      </c>
      <c r="N114" s="17">
        <f t="shared" si="11"/>
        <v>9600000</v>
      </c>
      <c r="O114" s="12" t="s">
        <v>21</v>
      </c>
      <c r="P114" s="12">
        <f t="shared" si="9"/>
        <v>86</v>
      </c>
      <c r="Q114" s="12">
        <f t="shared" si="8"/>
        <v>40</v>
      </c>
    </row>
    <row r="115" spans="1:17" ht="15" customHeight="1" x14ac:dyDescent="0.2">
      <c r="A115" s="12" t="s">
        <v>2679</v>
      </c>
      <c r="B115" s="36">
        <v>45988</v>
      </c>
      <c r="C115" s="14">
        <f t="shared" si="12"/>
        <v>382</v>
      </c>
      <c r="D115" s="12">
        <v>1</v>
      </c>
      <c r="G115" s="14" t="s">
        <v>107</v>
      </c>
      <c r="H115" s="12" t="s">
        <v>4805</v>
      </c>
      <c r="I115" s="12">
        <v>112111</v>
      </c>
      <c r="J115" s="12">
        <v>131</v>
      </c>
      <c r="K115" s="12" t="s">
        <v>20</v>
      </c>
      <c r="L115" s="12">
        <v>1</v>
      </c>
      <c r="M115" s="17">
        <v>9580645</v>
      </c>
      <c r="N115" s="17">
        <f t="shared" si="11"/>
        <v>9580645</v>
      </c>
      <c r="O115" s="12" t="s">
        <v>21</v>
      </c>
      <c r="P115" s="12">
        <f t="shared" si="9"/>
        <v>87</v>
      </c>
      <c r="Q115" s="12">
        <f t="shared" si="8"/>
        <v>180</v>
      </c>
    </row>
    <row r="116" spans="1:17" ht="15" customHeight="1" x14ac:dyDescent="0.2">
      <c r="A116" s="12" t="s">
        <v>2678</v>
      </c>
      <c r="B116" s="36">
        <v>45989</v>
      </c>
      <c r="C116" s="14">
        <f t="shared" si="12"/>
        <v>383</v>
      </c>
      <c r="D116" s="12">
        <v>1</v>
      </c>
      <c r="G116" s="14" t="s">
        <v>73</v>
      </c>
      <c r="H116" s="14" t="s">
        <v>3017</v>
      </c>
      <c r="I116" s="12">
        <v>1111</v>
      </c>
      <c r="J116" s="12">
        <v>112111</v>
      </c>
      <c r="K116" s="12" t="s">
        <v>20</v>
      </c>
      <c r="L116" s="12">
        <v>1</v>
      </c>
      <c r="M116" s="17">
        <v>9600000</v>
      </c>
      <c r="N116" s="17">
        <f t="shared" si="11"/>
        <v>9600000</v>
      </c>
      <c r="O116" s="12" t="s">
        <v>21</v>
      </c>
      <c r="P116" s="12">
        <f t="shared" si="9"/>
        <v>88</v>
      </c>
      <c r="Q116" s="12">
        <f t="shared" si="8"/>
        <v>40</v>
      </c>
    </row>
    <row r="117" spans="1:17" ht="15" customHeight="1" x14ac:dyDescent="0.2">
      <c r="A117" s="12" t="s">
        <v>2679</v>
      </c>
      <c r="B117" s="36">
        <v>46002</v>
      </c>
      <c r="C117" s="14">
        <f t="shared" si="12"/>
        <v>384</v>
      </c>
      <c r="D117" s="12">
        <v>1</v>
      </c>
      <c r="G117" s="14" t="s">
        <v>411</v>
      </c>
      <c r="H117" s="12" t="s">
        <v>4806</v>
      </c>
      <c r="I117" s="12">
        <v>112121</v>
      </c>
      <c r="J117" s="12">
        <v>131</v>
      </c>
      <c r="K117" s="12" t="s">
        <v>20</v>
      </c>
      <c r="L117" s="12">
        <v>1</v>
      </c>
      <c r="M117" s="17">
        <v>9630000</v>
      </c>
      <c r="N117" s="17">
        <f t="shared" si="11"/>
        <v>9630000</v>
      </c>
      <c r="O117" s="12" t="s">
        <v>21</v>
      </c>
      <c r="P117" s="12">
        <f t="shared" si="9"/>
        <v>89</v>
      </c>
      <c r="Q117" s="12">
        <f t="shared" si="8"/>
        <v>136</v>
      </c>
    </row>
    <row r="118" spans="1:17" ht="15" customHeight="1" x14ac:dyDescent="0.2">
      <c r="A118" s="12" t="s">
        <v>2679</v>
      </c>
      <c r="B118" s="36">
        <v>46006</v>
      </c>
      <c r="C118" s="14">
        <f t="shared" si="12"/>
        <v>385</v>
      </c>
      <c r="D118" s="12">
        <v>1</v>
      </c>
      <c r="G118" s="14" t="s">
        <v>68</v>
      </c>
      <c r="H118" s="14" t="s">
        <v>4831</v>
      </c>
      <c r="I118" s="12">
        <v>112121</v>
      </c>
      <c r="J118" s="12">
        <v>131</v>
      </c>
      <c r="K118" s="12" t="s">
        <v>20</v>
      </c>
      <c r="L118" s="12">
        <v>1</v>
      </c>
      <c r="M118" s="17">
        <v>9580645</v>
      </c>
      <c r="N118" s="17">
        <f t="shared" si="11"/>
        <v>9580645</v>
      </c>
      <c r="O118" s="12" t="s">
        <v>21</v>
      </c>
      <c r="P118" s="12">
        <f t="shared" si="9"/>
        <v>90</v>
      </c>
      <c r="Q118" s="12">
        <f t="shared" si="8"/>
        <v>120</v>
      </c>
    </row>
    <row r="119" spans="1:17" ht="15" customHeight="1" x14ac:dyDescent="0.2">
      <c r="A119" s="12" t="s">
        <v>2679</v>
      </c>
      <c r="B119" s="36">
        <v>46006</v>
      </c>
      <c r="C119" s="14">
        <f t="shared" si="12"/>
        <v>386</v>
      </c>
      <c r="D119" s="12">
        <v>1</v>
      </c>
      <c r="G119" s="14" t="s">
        <v>105</v>
      </c>
      <c r="H119" s="12" t="s">
        <v>4807</v>
      </c>
      <c r="I119" s="12">
        <v>112111</v>
      </c>
      <c r="J119" s="12">
        <v>131</v>
      </c>
      <c r="K119" s="12" t="s">
        <v>20</v>
      </c>
      <c r="L119" s="12">
        <v>1</v>
      </c>
      <c r="M119" s="17">
        <v>7983871</v>
      </c>
      <c r="N119" s="17">
        <f t="shared" si="11"/>
        <v>7983871</v>
      </c>
      <c r="O119" s="12" t="s">
        <v>21</v>
      </c>
      <c r="P119" s="12">
        <f t="shared" si="9"/>
        <v>91</v>
      </c>
      <c r="Q119" s="12">
        <f t="shared" si="8"/>
        <v>183</v>
      </c>
    </row>
    <row r="120" spans="1:17" ht="15" customHeight="1" x14ac:dyDescent="0.2">
      <c r="A120" s="12" t="s">
        <v>2678</v>
      </c>
      <c r="B120" s="36">
        <v>46006</v>
      </c>
      <c r="C120" s="14">
        <f t="shared" si="12"/>
        <v>387</v>
      </c>
      <c r="D120" s="12">
        <v>1</v>
      </c>
      <c r="G120" s="14" t="s">
        <v>3011</v>
      </c>
      <c r="H120" s="14" t="s">
        <v>2685</v>
      </c>
      <c r="I120" s="12">
        <v>3383</v>
      </c>
      <c r="J120" s="12">
        <v>112121</v>
      </c>
      <c r="K120" s="12" t="s">
        <v>20</v>
      </c>
      <c r="L120" s="12">
        <v>1</v>
      </c>
      <c r="M120" s="17">
        <v>690300</v>
      </c>
      <c r="N120" s="17">
        <f t="shared" si="11"/>
        <v>690300</v>
      </c>
      <c r="O120" s="12" t="s">
        <v>21</v>
      </c>
      <c r="P120" s="12">
        <f t="shared" si="9"/>
        <v>92</v>
      </c>
      <c r="Q120" s="12">
        <f t="shared" si="8"/>
        <v>34</v>
      </c>
    </row>
    <row r="121" spans="1:17" ht="15" customHeight="1" x14ac:dyDescent="0.2">
      <c r="A121" s="12" t="s">
        <v>2678</v>
      </c>
      <c r="B121" s="36">
        <v>46006</v>
      </c>
      <c r="C121" s="14">
        <f t="shared" si="12"/>
        <v>388</v>
      </c>
      <c r="D121" s="12">
        <v>1</v>
      </c>
      <c r="G121" s="14" t="s">
        <v>73</v>
      </c>
      <c r="H121" s="14" t="s">
        <v>3017</v>
      </c>
      <c r="I121" s="12">
        <v>1111</v>
      </c>
      <c r="J121" s="12">
        <v>112121</v>
      </c>
      <c r="K121" s="12" t="s">
        <v>20</v>
      </c>
      <c r="L121" s="12">
        <v>1</v>
      </c>
      <c r="M121" s="17">
        <v>19000000</v>
      </c>
      <c r="N121" s="17">
        <f t="shared" si="11"/>
        <v>19000000</v>
      </c>
      <c r="O121" s="12" t="s">
        <v>21</v>
      </c>
      <c r="P121" s="12">
        <f t="shared" si="9"/>
        <v>93</v>
      </c>
      <c r="Q121" s="12">
        <f t="shared" si="8"/>
        <v>40</v>
      </c>
    </row>
    <row r="122" spans="1:17" ht="15" customHeight="1" x14ac:dyDescent="0.2">
      <c r="A122" s="12" t="s">
        <v>2678</v>
      </c>
      <c r="B122" s="36">
        <v>46006</v>
      </c>
      <c r="C122" s="14">
        <f t="shared" si="12"/>
        <v>389</v>
      </c>
      <c r="D122" s="12">
        <v>1</v>
      </c>
      <c r="G122" s="14" t="s">
        <v>73</v>
      </c>
      <c r="H122" s="14" t="s">
        <v>3017</v>
      </c>
      <c r="I122" s="12">
        <v>1111</v>
      </c>
      <c r="J122" s="12">
        <v>112111</v>
      </c>
      <c r="K122" s="12" t="s">
        <v>20</v>
      </c>
      <c r="L122" s="12">
        <v>1</v>
      </c>
      <c r="M122" s="17">
        <v>8000000</v>
      </c>
      <c r="N122" s="17">
        <f t="shared" si="11"/>
        <v>8000000</v>
      </c>
      <c r="O122" s="12" t="s">
        <v>21</v>
      </c>
      <c r="P122" s="12">
        <f t="shared" si="9"/>
        <v>94</v>
      </c>
      <c r="Q122" s="12">
        <f t="shared" si="8"/>
        <v>40</v>
      </c>
    </row>
    <row r="123" spans="1:17" ht="15" customHeight="1" x14ac:dyDescent="0.2">
      <c r="A123" s="12" t="s">
        <v>2679</v>
      </c>
      <c r="B123" s="36">
        <v>46012</v>
      </c>
      <c r="C123" s="14">
        <f t="shared" si="12"/>
        <v>390</v>
      </c>
      <c r="D123" s="12">
        <v>1</v>
      </c>
      <c r="G123" s="14" t="s">
        <v>4796</v>
      </c>
      <c r="H123" s="14" t="s">
        <v>2687</v>
      </c>
      <c r="I123" s="12">
        <v>112111</v>
      </c>
      <c r="J123" s="12">
        <v>5154</v>
      </c>
      <c r="K123" s="12" t="s">
        <v>20</v>
      </c>
      <c r="L123" s="12">
        <v>1</v>
      </c>
      <c r="M123" s="17">
        <v>15</v>
      </c>
      <c r="N123" s="17">
        <f t="shared" si="11"/>
        <v>15</v>
      </c>
      <c r="O123" s="12" t="s">
        <v>21</v>
      </c>
      <c r="P123" s="12">
        <f t="shared" si="9"/>
        <v>95</v>
      </c>
      <c r="Q123" s="12">
        <f t="shared" si="8"/>
        <v>12</v>
      </c>
    </row>
    <row r="124" spans="1:17" ht="15" customHeight="1" x14ac:dyDescent="0.2">
      <c r="A124" s="12" t="s">
        <v>2679</v>
      </c>
      <c r="B124" s="36">
        <v>46020</v>
      </c>
      <c r="C124" s="14">
        <f t="shared" si="12"/>
        <v>391</v>
      </c>
      <c r="D124" s="12">
        <v>1</v>
      </c>
      <c r="G124" s="14" t="s">
        <v>47</v>
      </c>
      <c r="H124" s="12" t="s">
        <v>4808</v>
      </c>
      <c r="I124" s="12">
        <v>112121</v>
      </c>
      <c r="J124" s="12">
        <v>131</v>
      </c>
      <c r="K124" s="12" t="s">
        <v>20</v>
      </c>
      <c r="L124" s="12">
        <v>1</v>
      </c>
      <c r="M124" s="17">
        <v>6695806</v>
      </c>
      <c r="N124" s="17">
        <f t="shared" si="11"/>
        <v>6695806</v>
      </c>
      <c r="O124" s="12" t="s">
        <v>21</v>
      </c>
      <c r="P124" s="12">
        <f t="shared" si="9"/>
        <v>96</v>
      </c>
      <c r="Q124" s="12">
        <f t="shared" si="8"/>
        <v>194</v>
      </c>
    </row>
    <row r="125" spans="1:17" ht="15" customHeight="1" x14ac:dyDescent="0.2">
      <c r="A125" s="12" t="s">
        <v>2679</v>
      </c>
      <c r="B125" s="36">
        <v>46020</v>
      </c>
      <c r="C125" s="14">
        <f t="shared" si="12"/>
        <v>392</v>
      </c>
      <c r="D125" s="12">
        <v>1</v>
      </c>
      <c r="G125" s="14" t="s">
        <v>47</v>
      </c>
      <c r="H125" s="12" t="s">
        <v>4809</v>
      </c>
      <c r="I125" s="12">
        <v>112121</v>
      </c>
      <c r="J125" s="12">
        <v>131</v>
      </c>
      <c r="K125" s="12" t="s">
        <v>20</v>
      </c>
      <c r="L125" s="12">
        <v>1</v>
      </c>
      <c r="M125" s="17">
        <v>6387097</v>
      </c>
      <c r="N125" s="17">
        <f t="shared" si="11"/>
        <v>6387097</v>
      </c>
      <c r="O125" s="12" t="s">
        <v>21</v>
      </c>
      <c r="P125" s="12">
        <f t="shared" si="9"/>
        <v>97</v>
      </c>
      <c r="Q125" s="12">
        <f t="shared" si="8"/>
        <v>192</v>
      </c>
    </row>
    <row r="126" spans="1:17" ht="15" customHeight="1" x14ac:dyDescent="0.2">
      <c r="A126" s="12" t="s">
        <v>2679</v>
      </c>
      <c r="B126" s="36">
        <v>46022</v>
      </c>
      <c r="C126" s="14">
        <f t="shared" si="12"/>
        <v>393</v>
      </c>
      <c r="D126" s="12">
        <v>1</v>
      </c>
      <c r="G126" s="14" t="s">
        <v>4796</v>
      </c>
      <c r="H126" s="14" t="s">
        <v>2687</v>
      </c>
      <c r="I126" s="12">
        <v>112121</v>
      </c>
      <c r="J126" s="12">
        <v>5154</v>
      </c>
      <c r="K126" s="12" t="s">
        <v>20</v>
      </c>
      <c r="L126" s="12">
        <v>1</v>
      </c>
      <c r="M126" s="17">
        <v>1001</v>
      </c>
      <c r="N126" s="17">
        <f t="shared" si="11"/>
        <v>1001</v>
      </c>
      <c r="O126" s="12" t="s">
        <v>21</v>
      </c>
      <c r="P126" s="12">
        <f t="shared" si="9"/>
        <v>98</v>
      </c>
      <c r="Q126" s="12">
        <f t="shared" si="8"/>
        <v>12</v>
      </c>
    </row>
    <row r="127" spans="1:17" ht="15" customHeight="1" x14ac:dyDescent="0.2">
      <c r="A127" s="12" t="s">
        <v>2719</v>
      </c>
      <c r="B127" s="36" t="s">
        <v>308</v>
      </c>
      <c r="C127" s="14">
        <f t="shared" si="12"/>
        <v>394</v>
      </c>
      <c r="D127" s="12">
        <v>1</v>
      </c>
      <c r="F127" s="12"/>
      <c r="G127" s="14" t="s">
        <v>384</v>
      </c>
      <c r="H127" s="14" t="s">
        <v>4810</v>
      </c>
      <c r="I127" s="12">
        <v>331</v>
      </c>
      <c r="J127" s="12">
        <v>1111</v>
      </c>
      <c r="K127" s="12" t="s">
        <v>20</v>
      </c>
      <c r="L127" s="12">
        <v>1</v>
      </c>
      <c r="M127" s="17">
        <v>1990000</v>
      </c>
      <c r="N127" s="17">
        <f t="shared" si="11"/>
        <v>1990000</v>
      </c>
      <c r="O127" s="12" t="s">
        <v>21</v>
      </c>
      <c r="P127" s="12">
        <f t="shared" si="9"/>
        <v>99</v>
      </c>
      <c r="Q127" s="12">
        <f t="shared" si="8"/>
        <v>48</v>
      </c>
    </row>
    <row r="128" spans="1:17" ht="15" customHeight="1" x14ac:dyDescent="0.2">
      <c r="A128" s="12" t="s">
        <v>2719</v>
      </c>
      <c r="B128" s="36" t="s">
        <v>308</v>
      </c>
      <c r="C128" s="14">
        <f t="shared" si="12"/>
        <v>395</v>
      </c>
      <c r="D128" s="12">
        <v>1</v>
      </c>
      <c r="F128" s="12"/>
      <c r="G128" s="14" t="s">
        <v>385</v>
      </c>
      <c r="H128" s="14" t="s">
        <v>4811</v>
      </c>
      <c r="I128" s="12">
        <v>331</v>
      </c>
      <c r="J128" s="12">
        <v>1111</v>
      </c>
      <c r="K128" s="12" t="s">
        <v>20</v>
      </c>
      <c r="L128" s="12">
        <v>1</v>
      </c>
      <c r="M128" s="17">
        <v>850500</v>
      </c>
      <c r="N128" s="17">
        <f t="shared" si="11"/>
        <v>850500</v>
      </c>
      <c r="O128" s="12" t="s">
        <v>21</v>
      </c>
      <c r="P128" s="12">
        <f t="shared" si="9"/>
        <v>100</v>
      </c>
      <c r="Q128" s="12">
        <f t="shared" si="8"/>
        <v>51</v>
      </c>
    </row>
    <row r="129" spans="1:17" ht="15" customHeight="1" x14ac:dyDescent="0.2">
      <c r="A129" s="12" t="s">
        <v>2719</v>
      </c>
      <c r="B129" s="36" t="s">
        <v>309</v>
      </c>
      <c r="C129" s="14">
        <f t="shared" si="12"/>
        <v>396</v>
      </c>
      <c r="D129" s="12">
        <v>1</v>
      </c>
      <c r="F129" s="12"/>
      <c r="G129" s="14" t="s">
        <v>37</v>
      </c>
      <c r="H129" s="14" t="s">
        <v>4812</v>
      </c>
      <c r="I129" s="12">
        <v>331</v>
      </c>
      <c r="J129" s="12">
        <v>1111</v>
      </c>
      <c r="K129" s="12" t="s">
        <v>20</v>
      </c>
      <c r="L129" s="12">
        <v>1</v>
      </c>
      <c r="M129" s="17">
        <v>3240000</v>
      </c>
      <c r="N129" s="17">
        <f t="shared" si="11"/>
        <v>3240000</v>
      </c>
      <c r="O129" s="12" t="s">
        <v>21</v>
      </c>
      <c r="P129" s="12">
        <f t="shared" si="9"/>
        <v>101</v>
      </c>
      <c r="Q129" s="12">
        <f t="shared" si="8"/>
        <v>53</v>
      </c>
    </row>
    <row r="130" spans="1:17" ht="15" customHeight="1" x14ac:dyDescent="0.2">
      <c r="A130" s="12" t="s">
        <v>2719</v>
      </c>
      <c r="B130" s="36" t="s">
        <v>374</v>
      </c>
      <c r="C130" s="14">
        <f t="shared" si="12"/>
        <v>397</v>
      </c>
      <c r="D130" s="12">
        <v>1</v>
      </c>
      <c r="F130" s="12"/>
      <c r="G130" s="14" t="s">
        <v>386</v>
      </c>
      <c r="H130" s="14" t="s">
        <v>4813</v>
      </c>
      <c r="I130" s="12">
        <v>331</v>
      </c>
      <c r="J130" s="12">
        <v>1111</v>
      </c>
      <c r="K130" s="12" t="s">
        <v>20</v>
      </c>
      <c r="L130" s="12">
        <v>1</v>
      </c>
      <c r="M130" s="17">
        <v>3362310</v>
      </c>
      <c r="N130" s="17">
        <f t="shared" si="11"/>
        <v>3362310</v>
      </c>
      <c r="O130" s="12" t="s">
        <v>21</v>
      </c>
      <c r="P130" s="12">
        <f t="shared" si="9"/>
        <v>102</v>
      </c>
      <c r="Q130" s="12">
        <f t="shared" si="8"/>
        <v>51</v>
      </c>
    </row>
    <row r="131" spans="1:17" ht="15" customHeight="1" x14ac:dyDescent="0.2">
      <c r="A131" s="12" t="s">
        <v>2719</v>
      </c>
      <c r="B131" s="36" t="s">
        <v>375</v>
      </c>
      <c r="C131" s="14">
        <f t="shared" si="12"/>
        <v>398</v>
      </c>
      <c r="D131" s="12">
        <v>1</v>
      </c>
      <c r="F131" s="12"/>
      <c r="G131" s="14" t="s">
        <v>387</v>
      </c>
      <c r="H131" s="14" t="s">
        <v>4814</v>
      </c>
      <c r="I131" s="12">
        <v>331</v>
      </c>
      <c r="J131" s="12">
        <v>1111</v>
      </c>
      <c r="K131" s="12" t="s">
        <v>20</v>
      </c>
      <c r="L131" s="12">
        <v>1</v>
      </c>
      <c r="M131" s="17">
        <v>1122660</v>
      </c>
      <c r="N131" s="17">
        <f t="shared" si="11"/>
        <v>1122660</v>
      </c>
      <c r="O131" s="12" t="s">
        <v>21</v>
      </c>
      <c r="P131" s="12">
        <f t="shared" si="9"/>
        <v>103</v>
      </c>
      <c r="Q131" s="12">
        <f t="shared" si="8"/>
        <v>52</v>
      </c>
    </row>
    <row r="132" spans="1:17" ht="15" customHeight="1" x14ac:dyDescent="0.2">
      <c r="A132" s="12" t="s">
        <v>2719</v>
      </c>
      <c r="B132" s="36" t="s">
        <v>376</v>
      </c>
      <c r="C132" s="14">
        <f t="shared" si="12"/>
        <v>399</v>
      </c>
      <c r="D132" s="12">
        <v>1</v>
      </c>
      <c r="F132" s="12"/>
      <c r="G132" s="14" t="s">
        <v>388</v>
      </c>
      <c r="H132" s="14" t="s">
        <v>4815</v>
      </c>
      <c r="I132" s="12">
        <v>331</v>
      </c>
      <c r="J132" s="12">
        <v>1111</v>
      </c>
      <c r="K132" s="12" t="s">
        <v>20</v>
      </c>
      <c r="L132" s="12">
        <v>1</v>
      </c>
      <c r="M132" s="17">
        <v>445000</v>
      </c>
      <c r="N132" s="17">
        <f t="shared" si="11"/>
        <v>445000</v>
      </c>
      <c r="O132" s="12" t="s">
        <v>21</v>
      </c>
      <c r="P132" s="12">
        <f t="shared" si="9"/>
        <v>104</v>
      </c>
      <c r="Q132" s="12">
        <f t="shared" si="8"/>
        <v>47</v>
      </c>
    </row>
    <row r="133" spans="1:17" ht="15" customHeight="1" x14ac:dyDescent="0.2">
      <c r="A133" s="12" t="s">
        <v>2719</v>
      </c>
      <c r="B133" s="36" t="s">
        <v>376</v>
      </c>
      <c r="C133" s="14">
        <f t="shared" si="12"/>
        <v>400</v>
      </c>
      <c r="D133" s="12">
        <v>1</v>
      </c>
      <c r="F133" s="12"/>
      <c r="G133" s="14" t="s">
        <v>389</v>
      </c>
      <c r="H133" s="14" t="s">
        <v>4816</v>
      </c>
      <c r="I133" s="12">
        <v>331</v>
      </c>
      <c r="J133" s="12">
        <v>1111</v>
      </c>
      <c r="K133" s="12" t="s">
        <v>20</v>
      </c>
      <c r="L133" s="12">
        <v>1</v>
      </c>
      <c r="M133" s="17">
        <v>1367604</v>
      </c>
      <c r="N133" s="17">
        <f t="shared" si="11"/>
        <v>1367604</v>
      </c>
      <c r="O133" s="12" t="s">
        <v>21</v>
      </c>
      <c r="P133" s="12">
        <f t="shared" si="9"/>
        <v>105</v>
      </c>
      <c r="Q133" s="12">
        <f t="shared" ref="Q133:Q146" si="13">LEN(H133)</f>
        <v>51</v>
      </c>
    </row>
    <row r="134" spans="1:17" ht="15" customHeight="1" x14ac:dyDescent="0.2">
      <c r="A134" s="12" t="s">
        <v>2719</v>
      </c>
      <c r="B134" s="36" t="s">
        <v>377</v>
      </c>
      <c r="C134" s="14">
        <f t="shared" si="12"/>
        <v>401</v>
      </c>
      <c r="D134" s="12">
        <v>1</v>
      </c>
      <c r="F134" s="12"/>
      <c r="G134" s="14" t="s">
        <v>37</v>
      </c>
      <c r="H134" s="14" t="s">
        <v>4817</v>
      </c>
      <c r="I134" s="12">
        <v>331</v>
      </c>
      <c r="J134" s="12">
        <v>1111</v>
      </c>
      <c r="K134" s="12" t="s">
        <v>20</v>
      </c>
      <c r="L134" s="12">
        <v>1</v>
      </c>
      <c r="M134" s="17">
        <v>3240000</v>
      </c>
      <c r="N134" s="17">
        <f t="shared" si="11"/>
        <v>3240000</v>
      </c>
      <c r="O134" s="12" t="s">
        <v>21</v>
      </c>
      <c r="P134" s="12">
        <f t="shared" ref="P134:P146" si="14">P133+D134</f>
        <v>106</v>
      </c>
      <c r="Q134" s="12">
        <f t="shared" si="13"/>
        <v>53</v>
      </c>
    </row>
    <row r="135" spans="1:17" ht="15" customHeight="1" x14ac:dyDescent="0.2">
      <c r="A135" s="12" t="s">
        <v>2719</v>
      </c>
      <c r="B135" s="36" t="s">
        <v>292</v>
      </c>
      <c r="C135" s="14">
        <f t="shared" si="12"/>
        <v>402</v>
      </c>
      <c r="D135" s="12">
        <v>1</v>
      </c>
      <c r="F135" s="12"/>
      <c r="G135" s="14" t="s">
        <v>387</v>
      </c>
      <c r="H135" s="14" t="s">
        <v>4818</v>
      </c>
      <c r="I135" s="12">
        <v>331</v>
      </c>
      <c r="J135" s="12">
        <v>1111</v>
      </c>
      <c r="K135" s="12" t="s">
        <v>20</v>
      </c>
      <c r="L135" s="12">
        <v>1</v>
      </c>
      <c r="M135" s="17">
        <v>1122660</v>
      </c>
      <c r="N135" s="17">
        <f t="shared" si="11"/>
        <v>1122660</v>
      </c>
      <c r="O135" s="12" t="s">
        <v>21</v>
      </c>
      <c r="P135" s="12">
        <f t="shared" si="14"/>
        <v>107</v>
      </c>
      <c r="Q135" s="12">
        <f t="shared" si="13"/>
        <v>52</v>
      </c>
    </row>
    <row r="136" spans="1:17" ht="15" customHeight="1" x14ac:dyDescent="0.2">
      <c r="A136" s="12" t="s">
        <v>2719</v>
      </c>
      <c r="B136" s="36" t="s">
        <v>378</v>
      </c>
      <c r="C136" s="14">
        <f t="shared" si="12"/>
        <v>403</v>
      </c>
      <c r="D136" s="12">
        <v>1</v>
      </c>
      <c r="F136" s="12"/>
      <c r="G136" s="14" t="s">
        <v>390</v>
      </c>
      <c r="H136" s="14" t="s">
        <v>4819</v>
      </c>
      <c r="I136" s="12">
        <v>331</v>
      </c>
      <c r="J136" s="12">
        <v>1111</v>
      </c>
      <c r="K136" s="12" t="s">
        <v>20</v>
      </c>
      <c r="L136" s="12">
        <v>1</v>
      </c>
      <c r="M136" s="17">
        <v>850000</v>
      </c>
      <c r="N136" s="17">
        <f t="shared" si="11"/>
        <v>850000</v>
      </c>
      <c r="O136" s="12" t="s">
        <v>21</v>
      </c>
      <c r="P136" s="12">
        <f t="shared" si="14"/>
        <v>108</v>
      </c>
      <c r="Q136" s="12">
        <f t="shared" si="13"/>
        <v>35</v>
      </c>
    </row>
    <row r="137" spans="1:17" ht="15" customHeight="1" x14ac:dyDescent="0.2">
      <c r="A137" s="12" t="s">
        <v>2719</v>
      </c>
      <c r="B137" s="36" t="s">
        <v>378</v>
      </c>
      <c r="C137" s="14">
        <f t="shared" si="12"/>
        <v>404</v>
      </c>
      <c r="D137" s="12">
        <v>1</v>
      </c>
      <c r="F137" s="12"/>
      <c r="G137" s="14" t="s">
        <v>391</v>
      </c>
      <c r="H137" s="14" t="s">
        <v>4820</v>
      </c>
      <c r="I137" s="12">
        <v>331</v>
      </c>
      <c r="J137" s="12">
        <v>1111</v>
      </c>
      <c r="K137" s="12" t="s">
        <v>20</v>
      </c>
      <c r="L137" s="12">
        <v>1</v>
      </c>
      <c r="M137" s="17">
        <v>900000</v>
      </c>
      <c r="N137" s="17">
        <f t="shared" si="11"/>
        <v>900000</v>
      </c>
      <c r="O137" s="12" t="s">
        <v>21</v>
      </c>
      <c r="P137" s="12">
        <f t="shared" si="14"/>
        <v>109</v>
      </c>
      <c r="Q137" s="12">
        <f t="shared" si="13"/>
        <v>50</v>
      </c>
    </row>
    <row r="138" spans="1:17" ht="15" customHeight="1" x14ac:dyDescent="0.2">
      <c r="A138" s="12" t="s">
        <v>2719</v>
      </c>
      <c r="B138" s="36" t="s">
        <v>379</v>
      </c>
      <c r="C138" s="14">
        <f t="shared" si="12"/>
        <v>405</v>
      </c>
      <c r="D138" s="12">
        <v>1</v>
      </c>
      <c r="F138" s="12"/>
      <c r="G138" s="14" t="s">
        <v>37</v>
      </c>
      <c r="H138" s="14" t="s">
        <v>4821</v>
      </c>
      <c r="I138" s="12">
        <v>331</v>
      </c>
      <c r="J138" s="12">
        <v>1111</v>
      </c>
      <c r="K138" s="12" t="s">
        <v>20</v>
      </c>
      <c r="L138" s="12">
        <v>1</v>
      </c>
      <c r="M138" s="17">
        <v>3240000</v>
      </c>
      <c r="N138" s="17">
        <f t="shared" ref="N138:N147" si="15">L138*M138</f>
        <v>3240000</v>
      </c>
      <c r="O138" s="12" t="s">
        <v>21</v>
      </c>
      <c r="P138" s="12">
        <f t="shared" si="14"/>
        <v>110</v>
      </c>
      <c r="Q138" s="12">
        <f t="shared" si="13"/>
        <v>53</v>
      </c>
    </row>
    <row r="139" spans="1:17" ht="15" customHeight="1" x14ac:dyDescent="0.2">
      <c r="A139" s="12" t="s">
        <v>2719</v>
      </c>
      <c r="B139" s="36" t="s">
        <v>379</v>
      </c>
      <c r="C139" s="14">
        <f t="shared" si="12"/>
        <v>406</v>
      </c>
      <c r="D139" s="12">
        <v>1</v>
      </c>
      <c r="F139" s="12"/>
      <c r="G139" s="14" t="s">
        <v>392</v>
      </c>
      <c r="H139" s="14" t="s">
        <v>4822</v>
      </c>
      <c r="I139" s="12">
        <v>331</v>
      </c>
      <c r="J139" s="12">
        <v>1111</v>
      </c>
      <c r="K139" s="12" t="s">
        <v>20</v>
      </c>
      <c r="L139" s="12">
        <v>1</v>
      </c>
      <c r="M139" s="17">
        <v>1660000</v>
      </c>
      <c r="N139" s="17">
        <f t="shared" si="15"/>
        <v>1660000</v>
      </c>
      <c r="O139" s="12" t="s">
        <v>21</v>
      </c>
      <c r="P139" s="12">
        <f t="shared" si="14"/>
        <v>111</v>
      </c>
      <c r="Q139" s="12">
        <f t="shared" si="13"/>
        <v>48</v>
      </c>
    </row>
    <row r="140" spans="1:17" ht="15" customHeight="1" x14ac:dyDescent="0.2">
      <c r="A140" s="12" t="s">
        <v>2719</v>
      </c>
      <c r="B140" s="36" t="s">
        <v>380</v>
      </c>
      <c r="C140" s="14">
        <f t="shared" si="12"/>
        <v>407</v>
      </c>
      <c r="D140" s="12">
        <v>1</v>
      </c>
      <c r="F140" s="12"/>
      <c r="G140" s="14" t="s">
        <v>393</v>
      </c>
      <c r="H140" s="14" t="s">
        <v>4823</v>
      </c>
      <c r="I140" s="12">
        <v>331</v>
      </c>
      <c r="J140" s="12">
        <v>1111</v>
      </c>
      <c r="K140" s="12" t="s">
        <v>20</v>
      </c>
      <c r="L140" s="12">
        <v>1</v>
      </c>
      <c r="M140" s="17">
        <v>2452769</v>
      </c>
      <c r="N140" s="17">
        <f t="shared" si="15"/>
        <v>2452769</v>
      </c>
      <c r="O140" s="12" t="s">
        <v>21</v>
      </c>
      <c r="P140" s="12">
        <f t="shared" si="14"/>
        <v>112</v>
      </c>
      <c r="Q140" s="12">
        <f t="shared" si="13"/>
        <v>49</v>
      </c>
    </row>
    <row r="141" spans="1:17" ht="15" customHeight="1" x14ac:dyDescent="0.2">
      <c r="A141" s="12" t="s">
        <v>2719</v>
      </c>
      <c r="B141" s="36" t="s">
        <v>381</v>
      </c>
      <c r="C141" s="14">
        <f t="shared" ref="C141:C146" si="16">C140+D141</f>
        <v>408</v>
      </c>
      <c r="D141" s="12">
        <v>1</v>
      </c>
      <c r="F141" s="12"/>
      <c r="G141" s="14" t="s">
        <v>394</v>
      </c>
      <c r="H141" s="14" t="s">
        <v>4824</v>
      </c>
      <c r="I141" s="12">
        <v>331</v>
      </c>
      <c r="J141" s="12">
        <v>1111</v>
      </c>
      <c r="K141" s="12" t="s">
        <v>20</v>
      </c>
      <c r="L141" s="12">
        <v>1</v>
      </c>
      <c r="M141" s="17">
        <v>569835</v>
      </c>
      <c r="N141" s="17">
        <f t="shared" si="15"/>
        <v>569835</v>
      </c>
      <c r="O141" s="12" t="s">
        <v>21</v>
      </c>
      <c r="P141" s="12">
        <f t="shared" si="14"/>
        <v>113</v>
      </c>
      <c r="Q141" s="12">
        <f t="shared" si="13"/>
        <v>51</v>
      </c>
    </row>
    <row r="142" spans="1:17" ht="15" customHeight="1" x14ac:dyDescent="0.2">
      <c r="A142" s="12" t="s">
        <v>2719</v>
      </c>
      <c r="B142" s="36" t="s">
        <v>382</v>
      </c>
      <c r="C142" s="14">
        <f t="shared" si="16"/>
        <v>409</v>
      </c>
      <c r="D142" s="12">
        <v>1</v>
      </c>
      <c r="F142" s="12"/>
      <c r="G142" s="14" t="s">
        <v>394</v>
      </c>
      <c r="H142" s="14" t="s">
        <v>4825</v>
      </c>
      <c r="I142" s="12">
        <v>331</v>
      </c>
      <c r="J142" s="12">
        <v>1111</v>
      </c>
      <c r="K142" s="12" t="s">
        <v>20</v>
      </c>
      <c r="L142" s="12">
        <v>1</v>
      </c>
      <c r="M142" s="17">
        <v>629370</v>
      </c>
      <c r="N142" s="17">
        <f t="shared" si="15"/>
        <v>629370</v>
      </c>
      <c r="O142" s="12" t="s">
        <v>21</v>
      </c>
      <c r="P142" s="12">
        <f t="shared" si="14"/>
        <v>114</v>
      </c>
      <c r="Q142" s="12">
        <f t="shared" si="13"/>
        <v>51</v>
      </c>
    </row>
    <row r="143" spans="1:17" ht="15" customHeight="1" x14ac:dyDescent="0.2">
      <c r="A143" s="12" t="s">
        <v>2719</v>
      </c>
      <c r="B143" s="36" t="s">
        <v>383</v>
      </c>
      <c r="C143" s="14">
        <f t="shared" si="16"/>
        <v>410</v>
      </c>
      <c r="D143" s="12">
        <v>1</v>
      </c>
      <c r="F143" s="12"/>
      <c r="G143" s="14" t="s">
        <v>394</v>
      </c>
      <c r="H143" s="14" t="s">
        <v>4826</v>
      </c>
      <c r="I143" s="12">
        <v>331</v>
      </c>
      <c r="J143" s="12">
        <v>1111</v>
      </c>
      <c r="K143" s="12" t="s">
        <v>20</v>
      </c>
      <c r="L143" s="12">
        <v>1</v>
      </c>
      <c r="M143" s="17">
        <v>629370</v>
      </c>
      <c r="N143" s="17">
        <f t="shared" si="15"/>
        <v>629370</v>
      </c>
      <c r="O143" s="12" t="s">
        <v>21</v>
      </c>
      <c r="P143" s="12">
        <f t="shared" si="14"/>
        <v>115</v>
      </c>
      <c r="Q143" s="12">
        <f t="shared" si="13"/>
        <v>51</v>
      </c>
    </row>
    <row r="144" spans="1:17" ht="15" customHeight="1" x14ac:dyDescent="0.2">
      <c r="A144" s="12" t="s">
        <v>2719</v>
      </c>
      <c r="B144" s="36" t="s">
        <v>2045</v>
      </c>
      <c r="C144" s="14">
        <f t="shared" si="16"/>
        <v>411</v>
      </c>
      <c r="D144" s="12">
        <v>1</v>
      </c>
      <c r="F144" s="12"/>
      <c r="G144" s="14" t="s">
        <v>394</v>
      </c>
      <c r="H144" s="14" t="s">
        <v>4827</v>
      </c>
      <c r="I144" s="12">
        <v>331</v>
      </c>
      <c r="J144" s="12">
        <v>1111</v>
      </c>
      <c r="K144" s="12" t="s">
        <v>20</v>
      </c>
      <c r="L144" s="12">
        <v>1</v>
      </c>
      <c r="M144" s="17">
        <v>348705</v>
      </c>
      <c r="N144" s="17">
        <f t="shared" si="15"/>
        <v>348705</v>
      </c>
      <c r="O144" s="12" t="s">
        <v>21</v>
      </c>
      <c r="P144" s="12">
        <f t="shared" si="14"/>
        <v>116</v>
      </c>
      <c r="Q144" s="12">
        <f t="shared" si="13"/>
        <v>51</v>
      </c>
    </row>
    <row r="145" spans="1:17" ht="15" customHeight="1" x14ac:dyDescent="0.2">
      <c r="A145" s="12" t="s">
        <v>2719</v>
      </c>
      <c r="B145" s="36" t="s">
        <v>2382</v>
      </c>
      <c r="C145" s="14">
        <f t="shared" si="16"/>
        <v>412</v>
      </c>
      <c r="D145" s="12">
        <v>1</v>
      </c>
      <c r="F145" s="12"/>
      <c r="G145" s="14" t="s">
        <v>64</v>
      </c>
      <c r="H145" s="14" t="s">
        <v>4828</v>
      </c>
      <c r="I145" s="12">
        <v>331</v>
      </c>
      <c r="J145" s="12">
        <v>1111</v>
      </c>
      <c r="K145" s="12" t="s">
        <v>20</v>
      </c>
      <c r="L145" s="12">
        <v>1</v>
      </c>
      <c r="M145" s="17">
        <v>966240</v>
      </c>
      <c r="N145" s="17">
        <f t="shared" si="15"/>
        <v>966240</v>
      </c>
      <c r="O145" s="12" t="s">
        <v>21</v>
      </c>
      <c r="P145" s="12">
        <f t="shared" si="14"/>
        <v>117</v>
      </c>
      <c r="Q145" s="12">
        <f t="shared" si="13"/>
        <v>44</v>
      </c>
    </row>
    <row r="146" spans="1:17" ht="15" customHeight="1" x14ac:dyDescent="0.2">
      <c r="A146" s="12" t="s">
        <v>2719</v>
      </c>
      <c r="B146" s="36" t="s">
        <v>2504</v>
      </c>
      <c r="C146" s="14">
        <f t="shared" si="16"/>
        <v>413</v>
      </c>
      <c r="D146" s="12">
        <v>1</v>
      </c>
      <c r="F146" s="12"/>
      <c r="G146" s="14" t="s">
        <v>2505</v>
      </c>
      <c r="H146" s="14" t="s">
        <v>4829</v>
      </c>
      <c r="I146" s="12">
        <v>331</v>
      </c>
      <c r="J146" s="12">
        <v>1111</v>
      </c>
      <c r="K146" s="12" t="s">
        <v>20</v>
      </c>
      <c r="L146" s="12">
        <v>1</v>
      </c>
      <c r="M146" s="17">
        <v>2527200</v>
      </c>
      <c r="N146" s="17">
        <f t="shared" si="15"/>
        <v>2527200</v>
      </c>
      <c r="O146" s="12" t="s">
        <v>21</v>
      </c>
      <c r="P146" s="12">
        <f t="shared" si="14"/>
        <v>118</v>
      </c>
      <c r="Q146" s="12">
        <f t="shared" si="13"/>
        <v>50</v>
      </c>
    </row>
    <row r="147" spans="1:17" ht="15" customHeight="1" x14ac:dyDescent="0.2">
      <c r="A147" s="12" t="s">
        <v>18</v>
      </c>
      <c r="B147" s="36">
        <v>45931</v>
      </c>
      <c r="C147" s="14">
        <f t="shared" ref="C147" si="17">C146+D147</f>
        <v>414</v>
      </c>
      <c r="D147" s="12">
        <v>1</v>
      </c>
      <c r="G147" s="14" t="s">
        <v>2473</v>
      </c>
      <c r="H147" s="14" t="s">
        <v>4832</v>
      </c>
      <c r="I147" s="12">
        <v>8118</v>
      </c>
      <c r="J147" s="12">
        <v>131</v>
      </c>
      <c r="K147" s="12" t="s">
        <v>20</v>
      </c>
      <c r="L147" s="12">
        <v>1</v>
      </c>
      <c r="M147" s="17">
        <v>1</v>
      </c>
      <c r="N147" s="17">
        <f t="shared" si="15"/>
        <v>1</v>
      </c>
      <c r="O147" s="12" t="s">
        <v>21</v>
      </c>
      <c r="P147" s="12">
        <f t="shared" ref="P147" si="18">P146+D147</f>
        <v>119</v>
      </c>
      <c r="Q147" s="12">
        <f t="shared" ref="Q147:Q148" si="19">LEN(H147)</f>
        <v>99</v>
      </c>
    </row>
    <row r="148" spans="1:17" ht="15" customHeight="1" x14ac:dyDescent="0.2">
      <c r="A148" s="12" t="s">
        <v>18</v>
      </c>
      <c r="B148" s="36">
        <v>45931</v>
      </c>
      <c r="C148" s="14">
        <f t="shared" ref="C148" si="20">C147+D148</f>
        <v>415</v>
      </c>
      <c r="D148" s="12">
        <v>1</v>
      </c>
      <c r="G148" s="14" t="s">
        <v>94</v>
      </c>
      <c r="H148" s="14" t="s">
        <v>4833</v>
      </c>
      <c r="I148" s="12">
        <v>8118</v>
      </c>
      <c r="J148" s="12">
        <v>131</v>
      </c>
      <c r="K148" s="12" t="s">
        <v>20</v>
      </c>
      <c r="L148" s="12">
        <v>1</v>
      </c>
      <c r="M148" s="17">
        <v>3999</v>
      </c>
      <c r="N148" s="17">
        <f t="shared" ref="N148" si="21">L148*M148</f>
        <v>3999</v>
      </c>
      <c r="O148" s="12" t="s">
        <v>21</v>
      </c>
      <c r="P148" s="12">
        <f t="shared" ref="P148" si="22">P147+D148</f>
        <v>120</v>
      </c>
      <c r="Q148" s="12">
        <f t="shared" si="19"/>
        <v>112</v>
      </c>
    </row>
  </sheetData>
  <autoFilter ref="A3:Q146" xr:uid="{00000000-0001-0000-0200-000000000000}"/>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X255"/>
  <sheetViews>
    <sheetView topLeftCell="A141" workbookViewId="0">
      <selection activeCell="M172" sqref="M172"/>
    </sheetView>
  </sheetViews>
  <sheetFormatPr defaultRowHeight="15" customHeight="1" x14ac:dyDescent="0.25"/>
  <cols>
    <col min="1" max="1" width="9.140625" style="93"/>
    <col min="2" max="2" width="9.140625" style="71"/>
    <col min="3" max="6" width="9.140625" style="93"/>
    <col min="7" max="7" width="12.7109375" style="94" bestFit="1" customWidth="1"/>
    <col min="8" max="8" width="40.7109375" style="93" customWidth="1"/>
    <col min="9" max="12" width="9.140625" style="93"/>
    <col min="13" max="14" width="11.28515625" style="103" bestFit="1" customWidth="1"/>
    <col min="15" max="15" width="11.28515625" style="93" bestFit="1" customWidth="1"/>
    <col min="16" max="17" width="9.140625" style="93"/>
    <col min="18" max="18" width="11.28515625" style="94" bestFit="1" customWidth="1"/>
    <col min="19" max="19" width="9.85546875" style="95" bestFit="1" customWidth="1"/>
    <col min="20" max="20" width="9.85546875" style="94" bestFit="1" customWidth="1"/>
    <col min="21" max="24" width="9.140625" style="94"/>
    <col min="25" max="16384" width="9.140625" style="93"/>
  </cols>
  <sheetData>
    <row r="1" spans="1:20" ht="15" customHeight="1" thickBot="1" x14ac:dyDescent="0.25">
      <c r="A1" s="189" t="s">
        <v>0</v>
      </c>
      <c r="B1" s="169" t="s">
        <v>1</v>
      </c>
      <c r="C1" s="189" t="s">
        <v>2</v>
      </c>
      <c r="D1" s="187" t="s">
        <v>3</v>
      </c>
      <c r="E1" s="187" t="s">
        <v>4</v>
      </c>
      <c r="F1" s="187" t="s">
        <v>760</v>
      </c>
      <c r="G1" s="194" t="s">
        <v>6</v>
      </c>
      <c r="H1" s="196" t="s">
        <v>7</v>
      </c>
      <c r="I1" s="198" t="s">
        <v>8</v>
      </c>
      <c r="J1" s="199"/>
      <c r="K1" s="189" t="s">
        <v>9</v>
      </c>
      <c r="L1" s="189" t="s">
        <v>10</v>
      </c>
      <c r="M1" s="192" t="s">
        <v>98</v>
      </c>
      <c r="N1" s="192" t="s">
        <v>99</v>
      </c>
      <c r="O1" s="91" t="s">
        <v>100</v>
      </c>
      <c r="P1" s="152" t="s">
        <v>3991</v>
      </c>
    </row>
    <row r="2" spans="1:20" ht="15" customHeight="1" thickBot="1" x14ac:dyDescent="0.3">
      <c r="A2" s="190"/>
      <c r="B2" s="170"/>
      <c r="C2" s="190"/>
      <c r="D2" s="191"/>
      <c r="E2" s="191"/>
      <c r="F2" s="188"/>
      <c r="G2" s="195"/>
      <c r="H2" s="197"/>
      <c r="I2" s="96" t="s">
        <v>13</v>
      </c>
      <c r="J2" s="97" t="s">
        <v>14</v>
      </c>
      <c r="K2" s="190"/>
      <c r="L2" s="190"/>
      <c r="M2" s="193"/>
      <c r="N2" s="193"/>
      <c r="O2" s="92" t="s">
        <v>100</v>
      </c>
      <c r="P2" s="92"/>
    </row>
    <row r="3" spans="1:20" ht="15" customHeight="1" x14ac:dyDescent="0.25">
      <c r="A3" s="98"/>
      <c r="B3" s="68"/>
      <c r="C3" s="98">
        <v>569</v>
      </c>
      <c r="D3" s="99"/>
      <c r="E3" s="99"/>
      <c r="F3" s="99"/>
      <c r="G3" s="100" t="s">
        <v>15</v>
      </c>
      <c r="H3" s="101"/>
      <c r="I3" s="101"/>
      <c r="J3" s="101"/>
      <c r="K3" s="98"/>
      <c r="L3" s="98"/>
      <c r="M3" s="102"/>
      <c r="N3" s="102"/>
      <c r="O3" s="92" t="s">
        <v>16</v>
      </c>
      <c r="P3" s="92" t="s">
        <v>17</v>
      </c>
      <c r="T3" s="95"/>
    </row>
    <row r="4" spans="1:20" ht="15" customHeight="1" x14ac:dyDescent="0.25">
      <c r="A4" s="93" t="s">
        <v>18</v>
      </c>
      <c r="B4" s="71" t="s">
        <v>308</v>
      </c>
      <c r="C4" s="93">
        <f t="shared" ref="C4:C35" si="0">C3+D4</f>
        <v>570</v>
      </c>
      <c r="D4" s="93">
        <v>1</v>
      </c>
      <c r="G4" s="94" t="s">
        <v>58</v>
      </c>
      <c r="H4" s="93" t="s">
        <v>420</v>
      </c>
      <c r="I4" s="93">
        <v>131</v>
      </c>
      <c r="J4" s="93">
        <v>5113</v>
      </c>
      <c r="K4" s="93" t="s">
        <v>20</v>
      </c>
      <c r="L4" s="93">
        <v>1</v>
      </c>
      <c r="M4" s="103">
        <v>64516129</v>
      </c>
      <c r="N4" s="103">
        <f t="shared" ref="N4:N35" si="1">L4*M4</f>
        <v>64516129</v>
      </c>
      <c r="O4" s="104" t="s">
        <v>21</v>
      </c>
      <c r="P4" s="93">
        <v>1</v>
      </c>
    </row>
    <row r="5" spans="1:20" ht="15" customHeight="1" x14ac:dyDescent="0.25">
      <c r="A5" s="93" t="s">
        <v>18</v>
      </c>
      <c r="B5" s="71" t="s">
        <v>308</v>
      </c>
      <c r="C5" s="93">
        <f t="shared" si="0"/>
        <v>570</v>
      </c>
      <c r="D5" s="93">
        <v>0</v>
      </c>
      <c r="G5" s="94" t="s">
        <v>58</v>
      </c>
      <c r="H5" s="93" t="s">
        <v>431</v>
      </c>
      <c r="I5" s="93">
        <v>333821</v>
      </c>
      <c r="J5" s="93">
        <v>131</v>
      </c>
      <c r="K5" s="93" t="s">
        <v>20</v>
      </c>
      <c r="L5" s="93">
        <v>1</v>
      </c>
      <c r="M5" s="103">
        <v>645161</v>
      </c>
      <c r="N5" s="103">
        <f t="shared" si="1"/>
        <v>645161</v>
      </c>
      <c r="O5" s="104" t="s">
        <v>21</v>
      </c>
      <c r="P5" s="93">
        <f>P4+D5</f>
        <v>1</v>
      </c>
    </row>
    <row r="6" spans="1:20" ht="15" customHeight="1" x14ac:dyDescent="0.25">
      <c r="A6" s="93" t="s">
        <v>18</v>
      </c>
      <c r="B6" s="71" t="s">
        <v>375</v>
      </c>
      <c r="C6" s="93">
        <f t="shared" si="0"/>
        <v>571</v>
      </c>
      <c r="D6" s="93">
        <v>1</v>
      </c>
      <c r="G6" s="94" t="s">
        <v>26</v>
      </c>
      <c r="H6" s="93" t="s">
        <v>421</v>
      </c>
      <c r="I6" s="93">
        <v>131</v>
      </c>
      <c r="J6" s="93">
        <v>5113</v>
      </c>
      <c r="K6" s="93" t="s">
        <v>20</v>
      </c>
      <c r="L6" s="93">
        <v>1</v>
      </c>
      <c r="M6" s="103">
        <v>43010753</v>
      </c>
      <c r="N6" s="103">
        <f t="shared" si="1"/>
        <v>43010753</v>
      </c>
      <c r="O6" s="104" t="s">
        <v>21</v>
      </c>
      <c r="P6" s="93">
        <f t="shared" ref="P6:P69" si="2">P5+D6</f>
        <v>2</v>
      </c>
    </row>
    <row r="7" spans="1:20" ht="15" customHeight="1" x14ac:dyDescent="0.25">
      <c r="A7" s="93" t="s">
        <v>18</v>
      </c>
      <c r="B7" s="71" t="s">
        <v>375</v>
      </c>
      <c r="C7" s="93">
        <f t="shared" si="0"/>
        <v>571</v>
      </c>
      <c r="D7" s="93">
        <v>0</v>
      </c>
      <c r="G7" s="94" t="s">
        <v>26</v>
      </c>
      <c r="H7" s="93" t="s">
        <v>432</v>
      </c>
      <c r="I7" s="93">
        <v>333821</v>
      </c>
      <c r="J7" s="93">
        <v>131</v>
      </c>
      <c r="K7" s="93" t="s">
        <v>20</v>
      </c>
      <c r="L7" s="93">
        <v>1</v>
      </c>
      <c r="M7" s="103">
        <v>430108</v>
      </c>
      <c r="N7" s="103">
        <f t="shared" si="1"/>
        <v>430108</v>
      </c>
      <c r="O7" s="104" t="s">
        <v>21</v>
      </c>
      <c r="P7" s="93">
        <f t="shared" si="2"/>
        <v>2</v>
      </c>
    </row>
    <row r="8" spans="1:20" ht="15" customHeight="1" x14ac:dyDescent="0.25">
      <c r="A8" s="93" t="s">
        <v>18</v>
      </c>
      <c r="B8" s="71" t="s">
        <v>311</v>
      </c>
      <c r="C8" s="93">
        <f t="shared" si="0"/>
        <v>572</v>
      </c>
      <c r="D8" s="93">
        <v>1</v>
      </c>
      <c r="G8" s="94" t="s">
        <v>47</v>
      </c>
      <c r="H8" s="93" t="s">
        <v>422</v>
      </c>
      <c r="I8" s="93">
        <v>131</v>
      </c>
      <c r="J8" s="93">
        <v>5113</v>
      </c>
      <c r="K8" s="93" t="s">
        <v>20</v>
      </c>
      <c r="L8" s="93">
        <v>1</v>
      </c>
      <c r="M8" s="103">
        <v>43010753</v>
      </c>
      <c r="N8" s="103">
        <f t="shared" si="1"/>
        <v>43010753</v>
      </c>
      <c r="O8" s="104" t="s">
        <v>21</v>
      </c>
      <c r="P8" s="93">
        <f t="shared" si="2"/>
        <v>3</v>
      </c>
    </row>
    <row r="9" spans="1:20" ht="15" customHeight="1" x14ac:dyDescent="0.25">
      <c r="A9" s="93" t="s">
        <v>18</v>
      </c>
      <c r="B9" s="71" t="s">
        <v>311</v>
      </c>
      <c r="C9" s="93">
        <f t="shared" si="0"/>
        <v>572</v>
      </c>
      <c r="D9" s="93">
        <v>0</v>
      </c>
      <c r="G9" s="94" t="s">
        <v>47</v>
      </c>
      <c r="H9" s="93" t="s">
        <v>433</v>
      </c>
      <c r="I9" s="93">
        <v>333821</v>
      </c>
      <c r="J9" s="93">
        <v>131</v>
      </c>
      <c r="K9" s="93" t="s">
        <v>20</v>
      </c>
      <c r="L9" s="93">
        <v>1</v>
      </c>
      <c r="M9" s="103">
        <v>430108</v>
      </c>
      <c r="N9" s="103">
        <f t="shared" si="1"/>
        <v>430108</v>
      </c>
      <c r="O9" s="104" t="s">
        <v>21</v>
      </c>
      <c r="P9" s="93">
        <f t="shared" si="2"/>
        <v>3</v>
      </c>
    </row>
    <row r="10" spans="1:20" ht="15" customHeight="1" x14ac:dyDescent="0.25">
      <c r="A10" s="93" t="s">
        <v>18</v>
      </c>
      <c r="B10" s="71" t="s">
        <v>413</v>
      </c>
      <c r="C10" s="93">
        <f t="shared" si="0"/>
        <v>573</v>
      </c>
      <c r="D10" s="93">
        <v>1</v>
      </c>
      <c r="G10" s="94" t="s">
        <v>276</v>
      </c>
      <c r="H10" s="93" t="s">
        <v>423</v>
      </c>
      <c r="I10" s="93">
        <v>131</v>
      </c>
      <c r="J10" s="93">
        <v>5113</v>
      </c>
      <c r="K10" s="93" t="s">
        <v>20</v>
      </c>
      <c r="L10" s="93">
        <v>1</v>
      </c>
      <c r="M10" s="103">
        <v>45698925</v>
      </c>
      <c r="N10" s="103">
        <f t="shared" si="1"/>
        <v>45698925</v>
      </c>
      <c r="O10" s="104" t="s">
        <v>21</v>
      </c>
      <c r="P10" s="93">
        <f t="shared" si="2"/>
        <v>4</v>
      </c>
    </row>
    <row r="11" spans="1:20" ht="15" customHeight="1" x14ac:dyDescent="0.25">
      <c r="A11" s="93" t="s">
        <v>18</v>
      </c>
      <c r="B11" s="71" t="s">
        <v>413</v>
      </c>
      <c r="C11" s="93">
        <f t="shared" si="0"/>
        <v>573</v>
      </c>
      <c r="D11" s="93">
        <v>0</v>
      </c>
      <c r="G11" s="94" t="s">
        <v>276</v>
      </c>
      <c r="H11" s="93" t="s">
        <v>434</v>
      </c>
      <c r="I11" s="93">
        <v>333821</v>
      </c>
      <c r="J11" s="93">
        <v>131</v>
      </c>
      <c r="K11" s="93" t="s">
        <v>20</v>
      </c>
      <c r="L11" s="93">
        <v>1</v>
      </c>
      <c r="M11" s="103">
        <v>456989</v>
      </c>
      <c r="N11" s="103">
        <f t="shared" si="1"/>
        <v>456989</v>
      </c>
      <c r="O11" s="104" t="s">
        <v>21</v>
      </c>
      <c r="P11" s="93">
        <f t="shared" si="2"/>
        <v>4</v>
      </c>
    </row>
    <row r="12" spans="1:20" ht="15" customHeight="1" x14ac:dyDescent="0.25">
      <c r="A12" s="93" t="s">
        <v>18</v>
      </c>
      <c r="B12" s="71" t="s">
        <v>414</v>
      </c>
      <c r="C12" s="93">
        <f t="shared" si="0"/>
        <v>574</v>
      </c>
      <c r="D12" s="93">
        <v>1</v>
      </c>
      <c r="G12" s="94" t="s">
        <v>29</v>
      </c>
      <c r="H12" s="93" t="s">
        <v>424</v>
      </c>
      <c r="I12" s="93">
        <v>131</v>
      </c>
      <c r="J12" s="93">
        <v>5113</v>
      </c>
      <c r="K12" s="93" t="s">
        <v>20</v>
      </c>
      <c r="L12" s="93">
        <v>1</v>
      </c>
      <c r="M12" s="103">
        <v>64516129</v>
      </c>
      <c r="N12" s="103">
        <f t="shared" si="1"/>
        <v>64516129</v>
      </c>
      <c r="O12" s="104" t="s">
        <v>21</v>
      </c>
      <c r="P12" s="93">
        <f t="shared" si="2"/>
        <v>5</v>
      </c>
    </row>
    <row r="13" spans="1:20" ht="15" customHeight="1" x14ac:dyDescent="0.25">
      <c r="A13" s="93" t="s">
        <v>18</v>
      </c>
      <c r="B13" s="71" t="s">
        <v>414</v>
      </c>
      <c r="C13" s="93">
        <f t="shared" si="0"/>
        <v>574</v>
      </c>
      <c r="D13" s="93">
        <v>0</v>
      </c>
      <c r="G13" s="94" t="s">
        <v>29</v>
      </c>
      <c r="H13" s="93" t="s">
        <v>435</v>
      </c>
      <c r="I13" s="93">
        <v>333821</v>
      </c>
      <c r="J13" s="93">
        <v>131</v>
      </c>
      <c r="K13" s="93" t="s">
        <v>20</v>
      </c>
      <c r="L13" s="93">
        <v>1</v>
      </c>
      <c r="M13" s="103">
        <v>645161</v>
      </c>
      <c r="N13" s="103">
        <f t="shared" si="1"/>
        <v>645161</v>
      </c>
      <c r="O13" s="104" t="s">
        <v>21</v>
      </c>
      <c r="P13" s="93">
        <f t="shared" si="2"/>
        <v>5</v>
      </c>
    </row>
    <row r="14" spans="1:20" ht="15" customHeight="1" x14ac:dyDescent="0.25">
      <c r="A14" s="93" t="s">
        <v>18</v>
      </c>
      <c r="B14" s="71" t="s">
        <v>415</v>
      </c>
      <c r="C14" s="93">
        <f t="shared" si="0"/>
        <v>575</v>
      </c>
      <c r="D14" s="93">
        <v>1</v>
      </c>
      <c r="G14" s="94" t="s">
        <v>129</v>
      </c>
      <c r="H14" s="93" t="s">
        <v>425</v>
      </c>
      <c r="I14" s="93">
        <v>131</v>
      </c>
      <c r="J14" s="93">
        <v>5113</v>
      </c>
      <c r="K14" s="93" t="s">
        <v>20</v>
      </c>
      <c r="L14" s="93">
        <v>1</v>
      </c>
      <c r="M14" s="103">
        <v>43010753</v>
      </c>
      <c r="N14" s="103">
        <f t="shared" si="1"/>
        <v>43010753</v>
      </c>
      <c r="O14" s="104" t="s">
        <v>21</v>
      </c>
      <c r="P14" s="93">
        <f t="shared" si="2"/>
        <v>6</v>
      </c>
    </row>
    <row r="15" spans="1:20" ht="15" customHeight="1" x14ac:dyDescent="0.25">
      <c r="A15" s="93" t="s">
        <v>18</v>
      </c>
      <c r="B15" s="71" t="s">
        <v>415</v>
      </c>
      <c r="C15" s="93">
        <f t="shared" si="0"/>
        <v>575</v>
      </c>
      <c r="D15" s="93">
        <v>0</v>
      </c>
      <c r="G15" s="94" t="s">
        <v>129</v>
      </c>
      <c r="H15" s="93" t="s">
        <v>436</v>
      </c>
      <c r="I15" s="93">
        <v>333821</v>
      </c>
      <c r="J15" s="93">
        <v>131</v>
      </c>
      <c r="K15" s="93" t="s">
        <v>20</v>
      </c>
      <c r="L15" s="93">
        <v>1</v>
      </c>
      <c r="M15" s="103">
        <v>430108</v>
      </c>
      <c r="N15" s="103">
        <f t="shared" si="1"/>
        <v>430108</v>
      </c>
      <c r="O15" s="104" t="s">
        <v>21</v>
      </c>
      <c r="P15" s="93">
        <f t="shared" si="2"/>
        <v>6</v>
      </c>
    </row>
    <row r="16" spans="1:20" ht="15" customHeight="1" x14ac:dyDescent="0.25">
      <c r="A16" s="93" t="s">
        <v>18</v>
      </c>
      <c r="B16" s="71" t="s">
        <v>291</v>
      </c>
      <c r="C16" s="93">
        <f t="shared" si="0"/>
        <v>576</v>
      </c>
      <c r="D16" s="93">
        <v>1</v>
      </c>
      <c r="G16" s="94" t="s">
        <v>58</v>
      </c>
      <c r="H16" s="93" t="s">
        <v>426</v>
      </c>
      <c r="I16" s="93">
        <v>131</v>
      </c>
      <c r="J16" s="93">
        <v>5113</v>
      </c>
      <c r="K16" s="93" t="s">
        <v>20</v>
      </c>
      <c r="L16" s="93">
        <v>1</v>
      </c>
      <c r="M16" s="103">
        <v>43010753</v>
      </c>
      <c r="N16" s="103">
        <f t="shared" si="1"/>
        <v>43010753</v>
      </c>
      <c r="O16" s="104" t="s">
        <v>21</v>
      </c>
      <c r="P16" s="93">
        <f t="shared" si="2"/>
        <v>7</v>
      </c>
    </row>
    <row r="17" spans="1:19" ht="15" customHeight="1" x14ac:dyDescent="0.25">
      <c r="A17" s="93" t="s">
        <v>18</v>
      </c>
      <c r="B17" s="71" t="s">
        <v>291</v>
      </c>
      <c r="C17" s="93">
        <f t="shared" si="0"/>
        <v>576</v>
      </c>
      <c r="D17" s="93">
        <v>0</v>
      </c>
      <c r="G17" s="94" t="s">
        <v>58</v>
      </c>
      <c r="H17" s="93" t="s">
        <v>437</v>
      </c>
      <c r="I17" s="93">
        <v>333821</v>
      </c>
      <c r="J17" s="93">
        <v>131</v>
      </c>
      <c r="K17" s="93" t="s">
        <v>20</v>
      </c>
      <c r="L17" s="93">
        <v>1</v>
      </c>
      <c r="M17" s="103">
        <v>430108</v>
      </c>
      <c r="N17" s="103">
        <f t="shared" si="1"/>
        <v>430108</v>
      </c>
      <c r="O17" s="104" t="s">
        <v>21</v>
      </c>
      <c r="P17" s="93">
        <f t="shared" si="2"/>
        <v>7</v>
      </c>
    </row>
    <row r="18" spans="1:19" ht="15" customHeight="1" x14ac:dyDescent="0.25">
      <c r="A18" s="93" t="s">
        <v>18</v>
      </c>
      <c r="B18" s="71" t="s">
        <v>292</v>
      </c>
      <c r="C18" s="93">
        <f t="shared" si="0"/>
        <v>577</v>
      </c>
      <c r="D18" s="93">
        <v>1</v>
      </c>
      <c r="G18" s="94" t="s">
        <v>29</v>
      </c>
      <c r="H18" s="93" t="s">
        <v>427</v>
      </c>
      <c r="I18" s="93">
        <v>131</v>
      </c>
      <c r="J18" s="93">
        <v>5113</v>
      </c>
      <c r="K18" s="93" t="s">
        <v>20</v>
      </c>
      <c r="L18" s="93">
        <v>1</v>
      </c>
      <c r="M18" s="103">
        <v>43010753</v>
      </c>
      <c r="N18" s="103">
        <f t="shared" si="1"/>
        <v>43010753</v>
      </c>
      <c r="O18" s="104" t="s">
        <v>21</v>
      </c>
      <c r="P18" s="93">
        <f t="shared" si="2"/>
        <v>8</v>
      </c>
    </row>
    <row r="19" spans="1:19" ht="15" customHeight="1" x14ac:dyDescent="0.25">
      <c r="A19" s="93" t="s">
        <v>18</v>
      </c>
      <c r="B19" s="71" t="s">
        <v>292</v>
      </c>
      <c r="C19" s="93">
        <f t="shared" si="0"/>
        <v>577</v>
      </c>
      <c r="D19" s="93">
        <v>0</v>
      </c>
      <c r="G19" s="94" t="s">
        <v>29</v>
      </c>
      <c r="H19" s="93" t="s">
        <v>438</v>
      </c>
      <c r="I19" s="93">
        <v>333821</v>
      </c>
      <c r="J19" s="93">
        <v>131</v>
      </c>
      <c r="K19" s="93" t="s">
        <v>20</v>
      </c>
      <c r="L19" s="93">
        <v>1</v>
      </c>
      <c r="M19" s="103">
        <v>430108</v>
      </c>
      <c r="N19" s="103">
        <f t="shared" si="1"/>
        <v>430108</v>
      </c>
      <c r="O19" s="104" t="s">
        <v>21</v>
      </c>
      <c r="P19" s="93">
        <f t="shared" si="2"/>
        <v>8</v>
      </c>
    </row>
    <row r="20" spans="1:19" ht="15" customHeight="1" x14ac:dyDescent="0.25">
      <c r="A20" s="93" t="s">
        <v>18</v>
      </c>
      <c r="B20" s="71" t="s">
        <v>416</v>
      </c>
      <c r="C20" s="93">
        <f t="shared" si="0"/>
        <v>578</v>
      </c>
      <c r="D20" s="93">
        <v>1</v>
      </c>
      <c r="G20" s="94" t="s">
        <v>66</v>
      </c>
      <c r="H20" s="93" t="s">
        <v>428</v>
      </c>
      <c r="I20" s="93">
        <v>131</v>
      </c>
      <c r="J20" s="93">
        <v>5113</v>
      </c>
      <c r="K20" s="93" t="s">
        <v>20</v>
      </c>
      <c r="L20" s="93">
        <v>1</v>
      </c>
      <c r="M20" s="103">
        <v>67741935</v>
      </c>
      <c r="N20" s="103">
        <f t="shared" si="1"/>
        <v>67741935</v>
      </c>
      <c r="O20" s="104" t="s">
        <v>21</v>
      </c>
      <c r="P20" s="93">
        <f t="shared" si="2"/>
        <v>9</v>
      </c>
    </row>
    <row r="21" spans="1:19" ht="15" customHeight="1" x14ac:dyDescent="0.25">
      <c r="A21" s="93" t="s">
        <v>18</v>
      </c>
      <c r="B21" s="71" t="s">
        <v>416</v>
      </c>
      <c r="C21" s="93">
        <f t="shared" si="0"/>
        <v>578</v>
      </c>
      <c r="D21" s="93">
        <v>0</v>
      </c>
      <c r="G21" s="94" t="s">
        <v>66</v>
      </c>
      <c r="H21" s="93" t="s">
        <v>439</v>
      </c>
      <c r="I21" s="93">
        <v>333821</v>
      </c>
      <c r="J21" s="93">
        <v>131</v>
      </c>
      <c r="K21" s="93" t="s">
        <v>20</v>
      </c>
      <c r="L21" s="93">
        <v>1</v>
      </c>
      <c r="M21" s="103">
        <v>677419</v>
      </c>
      <c r="N21" s="103">
        <f t="shared" si="1"/>
        <v>677419</v>
      </c>
      <c r="O21" s="104" t="s">
        <v>21</v>
      </c>
      <c r="P21" s="93">
        <f t="shared" si="2"/>
        <v>9</v>
      </c>
    </row>
    <row r="22" spans="1:19" ht="15" customHeight="1" x14ac:dyDescent="0.25">
      <c r="A22" s="93" t="s">
        <v>18</v>
      </c>
      <c r="B22" s="71" t="s">
        <v>417</v>
      </c>
      <c r="C22" s="93">
        <f t="shared" si="0"/>
        <v>579</v>
      </c>
      <c r="D22" s="93">
        <v>1</v>
      </c>
      <c r="G22" s="94" t="s">
        <v>82</v>
      </c>
      <c r="H22" s="93" t="s">
        <v>429</v>
      </c>
      <c r="I22" s="93">
        <v>131</v>
      </c>
      <c r="J22" s="93">
        <v>5113</v>
      </c>
      <c r="K22" s="93" t="s">
        <v>20</v>
      </c>
      <c r="L22" s="93">
        <v>1</v>
      </c>
      <c r="M22" s="103">
        <v>67741935</v>
      </c>
      <c r="N22" s="103">
        <f t="shared" si="1"/>
        <v>67741935</v>
      </c>
      <c r="O22" s="104" t="s">
        <v>21</v>
      </c>
      <c r="P22" s="93">
        <f t="shared" si="2"/>
        <v>10</v>
      </c>
    </row>
    <row r="23" spans="1:19" ht="15" customHeight="1" x14ac:dyDescent="0.25">
      <c r="A23" s="93" t="s">
        <v>18</v>
      </c>
      <c r="B23" s="71" t="s">
        <v>417</v>
      </c>
      <c r="C23" s="93">
        <f t="shared" si="0"/>
        <v>579</v>
      </c>
      <c r="D23" s="93">
        <v>0</v>
      </c>
      <c r="G23" s="94" t="s">
        <v>82</v>
      </c>
      <c r="H23" s="93" t="s">
        <v>440</v>
      </c>
      <c r="I23" s="93">
        <v>333821</v>
      </c>
      <c r="J23" s="93">
        <v>131</v>
      </c>
      <c r="K23" s="93" t="s">
        <v>20</v>
      </c>
      <c r="L23" s="93">
        <v>1</v>
      </c>
      <c r="M23" s="103">
        <v>677419</v>
      </c>
      <c r="N23" s="103">
        <f t="shared" si="1"/>
        <v>677419</v>
      </c>
      <c r="O23" s="104" t="s">
        <v>21</v>
      </c>
      <c r="P23" s="93">
        <f t="shared" si="2"/>
        <v>10</v>
      </c>
    </row>
    <row r="24" spans="1:19" ht="15" customHeight="1" x14ac:dyDescent="0.25">
      <c r="A24" s="93" t="s">
        <v>18</v>
      </c>
      <c r="B24" s="71" t="s">
        <v>418</v>
      </c>
      <c r="C24" s="93">
        <f t="shared" si="0"/>
        <v>580</v>
      </c>
      <c r="D24" s="93">
        <v>1</v>
      </c>
      <c r="G24" s="94" t="s">
        <v>419</v>
      </c>
      <c r="H24" s="93" t="s">
        <v>780</v>
      </c>
      <c r="I24" s="93">
        <v>131</v>
      </c>
      <c r="J24" s="93">
        <v>5113</v>
      </c>
      <c r="K24" s="93" t="s">
        <v>20</v>
      </c>
      <c r="L24" s="93">
        <v>1</v>
      </c>
      <c r="M24" s="103">
        <v>21505377</v>
      </c>
      <c r="N24" s="103">
        <f t="shared" si="1"/>
        <v>21505377</v>
      </c>
      <c r="O24" s="104" t="s">
        <v>21</v>
      </c>
      <c r="P24" s="93">
        <f t="shared" si="2"/>
        <v>11</v>
      </c>
    </row>
    <row r="25" spans="1:19" ht="15" customHeight="1" x14ac:dyDescent="0.25">
      <c r="A25" s="93" t="s">
        <v>18</v>
      </c>
      <c r="B25" s="71" t="s">
        <v>418</v>
      </c>
      <c r="C25" s="93">
        <f t="shared" si="0"/>
        <v>580</v>
      </c>
      <c r="D25" s="93">
        <v>0</v>
      </c>
      <c r="G25" s="94" t="s">
        <v>419</v>
      </c>
      <c r="H25" s="93" t="s">
        <v>781</v>
      </c>
      <c r="I25" s="93">
        <v>333821</v>
      </c>
      <c r="J25" s="93">
        <v>131</v>
      </c>
      <c r="K25" s="93" t="s">
        <v>20</v>
      </c>
      <c r="L25" s="93">
        <v>1</v>
      </c>
      <c r="M25" s="103">
        <v>215054</v>
      </c>
      <c r="N25" s="103">
        <f t="shared" si="1"/>
        <v>215054</v>
      </c>
      <c r="O25" s="104" t="s">
        <v>21</v>
      </c>
      <c r="P25" s="93">
        <f t="shared" si="2"/>
        <v>11</v>
      </c>
    </row>
    <row r="26" spans="1:19" ht="15" customHeight="1" x14ac:dyDescent="0.25">
      <c r="A26" s="93" t="s">
        <v>18</v>
      </c>
      <c r="B26" s="71" t="s">
        <v>383</v>
      </c>
      <c r="C26" s="93">
        <f t="shared" si="0"/>
        <v>581</v>
      </c>
      <c r="D26" s="93">
        <v>1</v>
      </c>
      <c r="G26" s="94" t="s">
        <v>110</v>
      </c>
      <c r="H26" s="93" t="s">
        <v>430</v>
      </c>
      <c r="I26" s="93">
        <v>131</v>
      </c>
      <c r="J26" s="93">
        <v>5113</v>
      </c>
      <c r="K26" s="93" t="s">
        <v>20</v>
      </c>
      <c r="L26" s="93">
        <v>1</v>
      </c>
      <c r="M26" s="103">
        <v>53763441</v>
      </c>
      <c r="N26" s="103">
        <f t="shared" si="1"/>
        <v>53763441</v>
      </c>
      <c r="O26" s="104" t="s">
        <v>21</v>
      </c>
      <c r="P26" s="93">
        <f t="shared" si="2"/>
        <v>12</v>
      </c>
    </row>
    <row r="27" spans="1:19" ht="15" customHeight="1" x14ac:dyDescent="0.25">
      <c r="A27" s="93" t="s">
        <v>18</v>
      </c>
      <c r="B27" s="71" t="s">
        <v>383</v>
      </c>
      <c r="C27" s="93">
        <f t="shared" si="0"/>
        <v>581</v>
      </c>
      <c r="D27" s="93">
        <v>0</v>
      </c>
      <c r="G27" s="94" t="s">
        <v>110</v>
      </c>
      <c r="H27" s="93" t="s">
        <v>441</v>
      </c>
      <c r="I27" s="93">
        <v>333821</v>
      </c>
      <c r="J27" s="93">
        <v>131</v>
      </c>
      <c r="K27" s="93" t="s">
        <v>20</v>
      </c>
      <c r="L27" s="93">
        <v>1</v>
      </c>
      <c r="M27" s="103">
        <v>537634</v>
      </c>
      <c r="N27" s="103">
        <f t="shared" si="1"/>
        <v>537634</v>
      </c>
      <c r="O27" s="104" t="s">
        <v>21</v>
      </c>
      <c r="P27" s="93">
        <f t="shared" si="2"/>
        <v>12</v>
      </c>
    </row>
    <row r="28" spans="1:19" ht="15" customHeight="1" x14ac:dyDescent="0.25">
      <c r="A28" s="93" t="s">
        <v>18</v>
      </c>
      <c r="B28" s="71" t="s">
        <v>442</v>
      </c>
      <c r="C28" s="93">
        <f t="shared" si="0"/>
        <v>582</v>
      </c>
      <c r="D28" s="93">
        <v>1</v>
      </c>
      <c r="G28" s="94" t="s">
        <v>115</v>
      </c>
      <c r="H28" s="93" t="s">
        <v>782</v>
      </c>
      <c r="I28" s="93">
        <v>64277</v>
      </c>
      <c r="J28" s="93">
        <v>331</v>
      </c>
      <c r="K28" s="93" t="s">
        <v>20</v>
      </c>
      <c r="L28" s="93">
        <v>1</v>
      </c>
      <c r="M28" s="103">
        <v>34000</v>
      </c>
      <c r="N28" s="103">
        <f t="shared" si="1"/>
        <v>34000</v>
      </c>
      <c r="O28" s="104" t="s">
        <v>21</v>
      </c>
      <c r="P28" s="93">
        <f t="shared" si="2"/>
        <v>13</v>
      </c>
      <c r="S28" s="94"/>
    </row>
    <row r="29" spans="1:19" ht="15" customHeight="1" x14ac:dyDescent="0.25">
      <c r="A29" s="93" t="s">
        <v>18</v>
      </c>
      <c r="B29" s="71" t="s">
        <v>308</v>
      </c>
      <c r="C29" s="93">
        <f t="shared" si="0"/>
        <v>583</v>
      </c>
      <c r="D29" s="93">
        <v>1</v>
      </c>
      <c r="G29" s="94" t="s">
        <v>115</v>
      </c>
      <c r="H29" s="93" t="s">
        <v>783</v>
      </c>
      <c r="I29" s="93">
        <v>64277</v>
      </c>
      <c r="J29" s="93">
        <v>331</v>
      </c>
      <c r="K29" s="93" t="s">
        <v>20</v>
      </c>
      <c r="L29" s="93">
        <v>1</v>
      </c>
      <c r="M29" s="103">
        <v>51000</v>
      </c>
      <c r="N29" s="103">
        <f t="shared" si="1"/>
        <v>51000</v>
      </c>
      <c r="O29" s="104" t="s">
        <v>21</v>
      </c>
      <c r="P29" s="93">
        <f t="shared" si="2"/>
        <v>14</v>
      </c>
      <c r="S29" s="94"/>
    </row>
    <row r="30" spans="1:19" ht="15" customHeight="1" x14ac:dyDescent="0.25">
      <c r="A30" s="93" t="s">
        <v>18</v>
      </c>
      <c r="B30" s="71" t="s">
        <v>443</v>
      </c>
      <c r="C30" s="93">
        <f t="shared" si="0"/>
        <v>584</v>
      </c>
      <c r="D30" s="93">
        <v>1</v>
      </c>
      <c r="G30" s="94" t="s">
        <v>115</v>
      </c>
      <c r="H30" s="93" t="s">
        <v>784</v>
      </c>
      <c r="I30" s="93">
        <v>64277</v>
      </c>
      <c r="J30" s="93">
        <v>331</v>
      </c>
      <c r="K30" s="93" t="s">
        <v>20</v>
      </c>
      <c r="L30" s="93">
        <v>1</v>
      </c>
      <c r="M30" s="103">
        <v>62000</v>
      </c>
      <c r="N30" s="103">
        <f t="shared" si="1"/>
        <v>62000</v>
      </c>
      <c r="O30" s="104" t="s">
        <v>21</v>
      </c>
      <c r="P30" s="93">
        <f t="shared" si="2"/>
        <v>15</v>
      </c>
      <c r="S30" s="94"/>
    </row>
    <row r="31" spans="1:19" ht="15" customHeight="1" x14ac:dyDescent="0.25">
      <c r="A31" s="93" t="s">
        <v>18</v>
      </c>
      <c r="B31" s="71" t="s">
        <v>443</v>
      </c>
      <c r="C31" s="93">
        <f t="shared" si="0"/>
        <v>585</v>
      </c>
      <c r="D31" s="93">
        <v>1</v>
      </c>
      <c r="G31" s="94" t="s">
        <v>115</v>
      </c>
      <c r="H31" s="93" t="s">
        <v>785</v>
      </c>
      <c r="I31" s="93">
        <v>64277</v>
      </c>
      <c r="J31" s="93">
        <v>331</v>
      </c>
      <c r="K31" s="93" t="s">
        <v>20</v>
      </c>
      <c r="L31" s="93">
        <v>1</v>
      </c>
      <c r="M31" s="103">
        <v>115000</v>
      </c>
      <c r="N31" s="103">
        <f t="shared" si="1"/>
        <v>115000</v>
      </c>
      <c r="O31" s="104" t="s">
        <v>21</v>
      </c>
      <c r="P31" s="93">
        <f t="shared" si="2"/>
        <v>16</v>
      </c>
      <c r="S31" s="94"/>
    </row>
    <row r="32" spans="1:19" ht="15" customHeight="1" x14ac:dyDescent="0.25">
      <c r="A32" s="93" t="s">
        <v>18</v>
      </c>
      <c r="B32" s="71" t="s">
        <v>444</v>
      </c>
      <c r="C32" s="93">
        <f t="shared" si="0"/>
        <v>586</v>
      </c>
      <c r="D32" s="93">
        <v>1</v>
      </c>
      <c r="G32" s="94" t="s">
        <v>115</v>
      </c>
      <c r="H32" s="93" t="s">
        <v>786</v>
      </c>
      <c r="I32" s="93">
        <v>64277</v>
      </c>
      <c r="J32" s="93">
        <v>331</v>
      </c>
      <c r="K32" s="93" t="s">
        <v>20</v>
      </c>
      <c r="L32" s="93">
        <v>1</v>
      </c>
      <c r="M32" s="103">
        <v>42000</v>
      </c>
      <c r="N32" s="103">
        <f t="shared" si="1"/>
        <v>42000</v>
      </c>
      <c r="O32" s="104" t="s">
        <v>21</v>
      </c>
      <c r="P32" s="93">
        <f t="shared" si="2"/>
        <v>17</v>
      </c>
      <c r="S32" s="94"/>
    </row>
    <row r="33" spans="1:19" ht="15" customHeight="1" x14ac:dyDescent="0.25">
      <c r="A33" s="93" t="s">
        <v>18</v>
      </c>
      <c r="B33" s="71" t="s">
        <v>444</v>
      </c>
      <c r="C33" s="93">
        <f t="shared" si="0"/>
        <v>587</v>
      </c>
      <c r="D33" s="93">
        <v>1</v>
      </c>
      <c r="G33" s="94" t="s">
        <v>115</v>
      </c>
      <c r="H33" s="93" t="s">
        <v>787</v>
      </c>
      <c r="I33" s="93">
        <v>64277</v>
      </c>
      <c r="J33" s="93">
        <v>331</v>
      </c>
      <c r="K33" s="93" t="s">
        <v>20</v>
      </c>
      <c r="L33" s="93">
        <v>1</v>
      </c>
      <c r="M33" s="103">
        <v>60000</v>
      </c>
      <c r="N33" s="103">
        <f t="shared" si="1"/>
        <v>60000</v>
      </c>
      <c r="O33" s="104" t="s">
        <v>21</v>
      </c>
      <c r="P33" s="93">
        <f t="shared" si="2"/>
        <v>18</v>
      </c>
      <c r="S33" s="94"/>
    </row>
    <row r="34" spans="1:19" ht="15" customHeight="1" x14ac:dyDescent="0.25">
      <c r="A34" s="93" t="s">
        <v>18</v>
      </c>
      <c r="B34" s="71" t="s">
        <v>444</v>
      </c>
      <c r="C34" s="93">
        <f t="shared" si="0"/>
        <v>588</v>
      </c>
      <c r="D34" s="93">
        <v>1</v>
      </c>
      <c r="G34" s="94" t="s">
        <v>115</v>
      </c>
      <c r="H34" s="93" t="s">
        <v>788</v>
      </c>
      <c r="I34" s="93">
        <v>64277</v>
      </c>
      <c r="J34" s="93">
        <v>331</v>
      </c>
      <c r="K34" s="93" t="s">
        <v>20</v>
      </c>
      <c r="L34" s="93">
        <v>1</v>
      </c>
      <c r="M34" s="103">
        <v>60000</v>
      </c>
      <c r="N34" s="103">
        <f t="shared" si="1"/>
        <v>60000</v>
      </c>
      <c r="O34" s="104" t="s">
        <v>21</v>
      </c>
      <c r="P34" s="93">
        <f t="shared" si="2"/>
        <v>19</v>
      </c>
      <c r="S34" s="94"/>
    </row>
    <row r="35" spans="1:19" ht="15" customHeight="1" x14ac:dyDescent="0.25">
      <c r="A35" s="93" t="s">
        <v>18</v>
      </c>
      <c r="B35" s="71" t="s">
        <v>444</v>
      </c>
      <c r="C35" s="93">
        <f t="shared" si="0"/>
        <v>589</v>
      </c>
      <c r="D35" s="93">
        <v>1</v>
      </c>
      <c r="G35" s="94" t="s">
        <v>115</v>
      </c>
      <c r="H35" s="93" t="s">
        <v>789</v>
      </c>
      <c r="I35" s="93">
        <v>64277</v>
      </c>
      <c r="J35" s="93">
        <v>331</v>
      </c>
      <c r="K35" s="93" t="s">
        <v>20</v>
      </c>
      <c r="L35" s="93">
        <v>1</v>
      </c>
      <c r="M35" s="103">
        <v>37000</v>
      </c>
      <c r="N35" s="103">
        <f t="shared" si="1"/>
        <v>37000</v>
      </c>
      <c r="O35" s="104" t="s">
        <v>21</v>
      </c>
      <c r="P35" s="93">
        <f t="shared" si="2"/>
        <v>20</v>
      </c>
      <c r="S35" s="94"/>
    </row>
    <row r="36" spans="1:19" ht="15" customHeight="1" x14ac:dyDescent="0.25">
      <c r="A36" s="93" t="s">
        <v>18</v>
      </c>
      <c r="B36" s="71" t="s">
        <v>444</v>
      </c>
      <c r="C36" s="93">
        <f t="shared" ref="C36:C67" si="3">C35+D36</f>
        <v>590</v>
      </c>
      <c r="D36" s="93">
        <v>1</v>
      </c>
      <c r="G36" s="94" t="s">
        <v>115</v>
      </c>
      <c r="H36" s="93" t="s">
        <v>790</v>
      </c>
      <c r="I36" s="93">
        <v>64277</v>
      </c>
      <c r="J36" s="93">
        <v>331</v>
      </c>
      <c r="K36" s="93" t="s">
        <v>20</v>
      </c>
      <c r="L36" s="93">
        <v>1</v>
      </c>
      <c r="M36" s="103">
        <v>121000</v>
      </c>
      <c r="N36" s="103">
        <f t="shared" ref="N36:N67" si="4">L36*M36</f>
        <v>121000</v>
      </c>
      <c r="O36" s="104" t="s">
        <v>21</v>
      </c>
      <c r="P36" s="93">
        <f t="shared" si="2"/>
        <v>21</v>
      </c>
      <c r="S36" s="94"/>
    </row>
    <row r="37" spans="1:19" ht="15" customHeight="1" x14ac:dyDescent="0.25">
      <c r="A37" s="93" t="s">
        <v>18</v>
      </c>
      <c r="B37" s="71" t="s">
        <v>444</v>
      </c>
      <c r="C37" s="93">
        <f t="shared" si="3"/>
        <v>591</v>
      </c>
      <c r="D37" s="93">
        <v>1</v>
      </c>
      <c r="G37" s="94" t="s">
        <v>115</v>
      </c>
      <c r="H37" s="93" t="s">
        <v>791</v>
      </c>
      <c r="I37" s="93">
        <v>64277</v>
      </c>
      <c r="J37" s="93">
        <v>331</v>
      </c>
      <c r="K37" s="93" t="s">
        <v>20</v>
      </c>
      <c r="L37" s="93">
        <v>1</v>
      </c>
      <c r="M37" s="103">
        <v>113000</v>
      </c>
      <c r="N37" s="103">
        <f t="shared" si="4"/>
        <v>113000</v>
      </c>
      <c r="O37" s="104" t="s">
        <v>21</v>
      </c>
      <c r="P37" s="93">
        <f t="shared" si="2"/>
        <v>22</v>
      </c>
      <c r="S37" s="94"/>
    </row>
    <row r="38" spans="1:19" ht="15" customHeight="1" x14ac:dyDescent="0.25">
      <c r="A38" s="93" t="s">
        <v>18</v>
      </c>
      <c r="B38" s="71" t="s">
        <v>310</v>
      </c>
      <c r="C38" s="93">
        <f t="shared" si="3"/>
        <v>592</v>
      </c>
      <c r="D38" s="93">
        <v>1</v>
      </c>
      <c r="G38" s="94" t="s">
        <v>37</v>
      </c>
      <c r="H38" s="93" t="s">
        <v>463</v>
      </c>
      <c r="I38" s="93">
        <v>64277</v>
      </c>
      <c r="J38" s="93">
        <v>331</v>
      </c>
      <c r="K38" s="93" t="s">
        <v>20</v>
      </c>
      <c r="L38" s="93">
        <v>1</v>
      </c>
      <c r="M38" s="103">
        <v>3240000</v>
      </c>
      <c r="N38" s="103">
        <f t="shared" si="4"/>
        <v>3240000</v>
      </c>
      <c r="O38" s="104" t="s">
        <v>21</v>
      </c>
      <c r="P38" s="93">
        <f t="shared" si="2"/>
        <v>23</v>
      </c>
      <c r="S38" s="94"/>
    </row>
    <row r="39" spans="1:19" ht="15" customHeight="1" x14ac:dyDescent="0.25">
      <c r="A39" s="93" t="s">
        <v>18</v>
      </c>
      <c r="B39" s="71" t="s">
        <v>445</v>
      </c>
      <c r="C39" s="93">
        <f t="shared" si="3"/>
        <v>593</v>
      </c>
      <c r="D39" s="93">
        <v>1</v>
      </c>
      <c r="G39" s="94" t="s">
        <v>115</v>
      </c>
      <c r="H39" s="93" t="s">
        <v>792</v>
      </c>
      <c r="I39" s="93">
        <v>64277</v>
      </c>
      <c r="J39" s="93">
        <v>331</v>
      </c>
      <c r="K39" s="93" t="s">
        <v>20</v>
      </c>
      <c r="L39" s="93">
        <v>1</v>
      </c>
      <c r="M39" s="103">
        <v>41000</v>
      </c>
      <c r="N39" s="103">
        <f t="shared" si="4"/>
        <v>41000</v>
      </c>
      <c r="O39" s="104" t="s">
        <v>21</v>
      </c>
      <c r="P39" s="93">
        <f t="shared" si="2"/>
        <v>24</v>
      </c>
      <c r="S39" s="94"/>
    </row>
    <row r="40" spans="1:19" ht="15" customHeight="1" x14ac:dyDescent="0.25">
      <c r="A40" s="93" t="s">
        <v>18</v>
      </c>
      <c r="B40" s="71" t="s">
        <v>375</v>
      </c>
      <c r="C40" s="93">
        <f t="shared" si="3"/>
        <v>594</v>
      </c>
      <c r="D40" s="93">
        <v>1</v>
      </c>
      <c r="G40" s="94" t="s">
        <v>115</v>
      </c>
      <c r="H40" s="93" t="s">
        <v>793</v>
      </c>
      <c r="I40" s="93">
        <v>64277</v>
      </c>
      <c r="J40" s="93">
        <v>331</v>
      </c>
      <c r="K40" s="93" t="s">
        <v>20</v>
      </c>
      <c r="L40" s="93">
        <v>1</v>
      </c>
      <c r="M40" s="103">
        <v>56000</v>
      </c>
      <c r="N40" s="103">
        <f t="shared" si="4"/>
        <v>56000</v>
      </c>
      <c r="O40" s="104" t="s">
        <v>21</v>
      </c>
      <c r="P40" s="93">
        <f t="shared" si="2"/>
        <v>25</v>
      </c>
      <c r="S40" s="94"/>
    </row>
    <row r="41" spans="1:19" ht="15" customHeight="1" x14ac:dyDescent="0.25">
      <c r="A41" s="93" t="s">
        <v>18</v>
      </c>
      <c r="B41" s="71" t="s">
        <v>375</v>
      </c>
      <c r="C41" s="93">
        <f t="shared" si="3"/>
        <v>595</v>
      </c>
      <c r="D41" s="93">
        <v>1</v>
      </c>
      <c r="G41" s="94" t="s">
        <v>115</v>
      </c>
      <c r="H41" s="93" t="s">
        <v>794</v>
      </c>
      <c r="I41" s="93">
        <v>64277</v>
      </c>
      <c r="J41" s="93">
        <v>331</v>
      </c>
      <c r="K41" s="93" t="s">
        <v>20</v>
      </c>
      <c r="L41" s="93">
        <v>1</v>
      </c>
      <c r="M41" s="103">
        <v>27000</v>
      </c>
      <c r="N41" s="103">
        <f t="shared" si="4"/>
        <v>27000</v>
      </c>
      <c r="O41" s="104" t="s">
        <v>21</v>
      </c>
      <c r="P41" s="93">
        <f t="shared" si="2"/>
        <v>26</v>
      </c>
      <c r="S41" s="94"/>
    </row>
    <row r="42" spans="1:19" ht="15" customHeight="1" x14ac:dyDescent="0.25">
      <c r="A42" s="93" t="s">
        <v>18</v>
      </c>
      <c r="B42" s="71" t="s">
        <v>446</v>
      </c>
      <c r="C42" s="93">
        <f t="shared" si="3"/>
        <v>596</v>
      </c>
      <c r="D42" s="93">
        <v>1</v>
      </c>
      <c r="G42" s="94" t="s">
        <v>115</v>
      </c>
      <c r="H42" s="93" t="s">
        <v>795</v>
      </c>
      <c r="I42" s="93">
        <v>64277</v>
      </c>
      <c r="J42" s="93">
        <v>331</v>
      </c>
      <c r="K42" s="93" t="s">
        <v>20</v>
      </c>
      <c r="L42" s="93">
        <v>1</v>
      </c>
      <c r="M42" s="103">
        <v>33000</v>
      </c>
      <c r="N42" s="103">
        <f t="shared" si="4"/>
        <v>33000</v>
      </c>
      <c r="O42" s="104" t="s">
        <v>21</v>
      </c>
      <c r="P42" s="93">
        <f t="shared" si="2"/>
        <v>27</v>
      </c>
      <c r="S42" s="94"/>
    </row>
    <row r="43" spans="1:19" ht="15" customHeight="1" x14ac:dyDescent="0.25">
      <c r="A43" s="93" t="s">
        <v>18</v>
      </c>
      <c r="B43" s="71" t="s">
        <v>446</v>
      </c>
      <c r="C43" s="93">
        <f t="shared" si="3"/>
        <v>597</v>
      </c>
      <c r="D43" s="93">
        <v>1</v>
      </c>
      <c r="G43" s="94" t="s">
        <v>115</v>
      </c>
      <c r="H43" s="93" t="s">
        <v>796</v>
      </c>
      <c r="I43" s="93">
        <v>64277</v>
      </c>
      <c r="J43" s="93">
        <v>331</v>
      </c>
      <c r="K43" s="93" t="s">
        <v>20</v>
      </c>
      <c r="L43" s="93">
        <v>1</v>
      </c>
      <c r="M43" s="103">
        <v>22000</v>
      </c>
      <c r="N43" s="103">
        <f t="shared" si="4"/>
        <v>22000</v>
      </c>
      <c r="O43" s="104" t="s">
        <v>21</v>
      </c>
      <c r="P43" s="93">
        <f t="shared" si="2"/>
        <v>28</v>
      </c>
      <c r="S43" s="94"/>
    </row>
    <row r="44" spans="1:19" ht="15" customHeight="1" x14ac:dyDescent="0.25">
      <c r="A44" s="93" t="s">
        <v>18</v>
      </c>
      <c r="B44" s="71" t="s">
        <v>290</v>
      </c>
      <c r="C44" s="93">
        <f t="shared" si="3"/>
        <v>598</v>
      </c>
      <c r="D44" s="93">
        <v>1</v>
      </c>
      <c r="G44" s="94" t="s">
        <v>115</v>
      </c>
      <c r="H44" s="93" t="s">
        <v>797</v>
      </c>
      <c r="I44" s="93">
        <v>64277</v>
      </c>
      <c r="J44" s="93">
        <v>331</v>
      </c>
      <c r="K44" s="93" t="s">
        <v>20</v>
      </c>
      <c r="L44" s="93">
        <v>1</v>
      </c>
      <c r="M44" s="103">
        <v>22000</v>
      </c>
      <c r="N44" s="103">
        <f t="shared" si="4"/>
        <v>22000</v>
      </c>
      <c r="O44" s="104" t="s">
        <v>21</v>
      </c>
      <c r="P44" s="93">
        <f t="shared" si="2"/>
        <v>29</v>
      </c>
      <c r="S44" s="94"/>
    </row>
    <row r="45" spans="1:19" ht="15" customHeight="1" x14ac:dyDescent="0.25">
      <c r="A45" s="93" t="s">
        <v>18</v>
      </c>
      <c r="B45" s="71" t="s">
        <v>413</v>
      </c>
      <c r="C45" s="93">
        <f t="shared" si="3"/>
        <v>599</v>
      </c>
      <c r="D45" s="93">
        <v>1</v>
      </c>
      <c r="G45" s="94" t="s">
        <v>115</v>
      </c>
      <c r="H45" s="93" t="s">
        <v>798</v>
      </c>
      <c r="I45" s="93">
        <v>64277</v>
      </c>
      <c r="J45" s="93">
        <v>331</v>
      </c>
      <c r="K45" s="93" t="s">
        <v>20</v>
      </c>
      <c r="L45" s="93">
        <v>1</v>
      </c>
      <c r="M45" s="103">
        <v>22000</v>
      </c>
      <c r="N45" s="103">
        <f t="shared" si="4"/>
        <v>22000</v>
      </c>
      <c r="O45" s="104" t="s">
        <v>21</v>
      </c>
      <c r="P45" s="93">
        <f t="shared" si="2"/>
        <v>30</v>
      </c>
      <c r="S45" s="94"/>
    </row>
    <row r="46" spans="1:19" ht="15" customHeight="1" x14ac:dyDescent="0.25">
      <c r="A46" s="93" t="s">
        <v>18</v>
      </c>
      <c r="B46" s="71" t="s">
        <v>447</v>
      </c>
      <c r="C46" s="93">
        <f t="shared" si="3"/>
        <v>600</v>
      </c>
      <c r="D46" s="93">
        <v>1</v>
      </c>
      <c r="G46" s="94" t="s">
        <v>115</v>
      </c>
      <c r="H46" s="93" t="s">
        <v>799</v>
      </c>
      <c r="I46" s="93">
        <v>64277</v>
      </c>
      <c r="J46" s="93">
        <v>331</v>
      </c>
      <c r="K46" s="93" t="s">
        <v>20</v>
      </c>
      <c r="L46" s="93">
        <v>1</v>
      </c>
      <c r="M46" s="103">
        <v>22000</v>
      </c>
      <c r="N46" s="103">
        <f t="shared" si="4"/>
        <v>22000</v>
      </c>
      <c r="O46" s="104" t="s">
        <v>21</v>
      </c>
      <c r="P46" s="93">
        <f t="shared" si="2"/>
        <v>31</v>
      </c>
      <c r="S46" s="94"/>
    </row>
    <row r="47" spans="1:19" ht="15" customHeight="1" x14ac:dyDescent="0.25">
      <c r="A47" s="93" t="s">
        <v>18</v>
      </c>
      <c r="B47" s="71" t="s">
        <v>448</v>
      </c>
      <c r="C47" s="93">
        <f t="shared" si="3"/>
        <v>601</v>
      </c>
      <c r="D47" s="93">
        <v>1</v>
      </c>
      <c r="G47" s="94" t="s">
        <v>115</v>
      </c>
      <c r="H47" s="93" t="s">
        <v>800</v>
      </c>
      <c r="I47" s="93">
        <v>64277</v>
      </c>
      <c r="J47" s="93">
        <v>331</v>
      </c>
      <c r="K47" s="93" t="s">
        <v>20</v>
      </c>
      <c r="L47" s="93">
        <v>1</v>
      </c>
      <c r="M47" s="103">
        <v>36000</v>
      </c>
      <c r="N47" s="103">
        <f t="shared" si="4"/>
        <v>36000</v>
      </c>
      <c r="O47" s="104" t="s">
        <v>21</v>
      </c>
      <c r="P47" s="93">
        <f t="shared" si="2"/>
        <v>32</v>
      </c>
      <c r="S47" s="94"/>
    </row>
    <row r="48" spans="1:19" ht="15" customHeight="1" x14ac:dyDescent="0.25">
      <c r="A48" s="93" t="s">
        <v>18</v>
      </c>
      <c r="B48" s="71" t="s">
        <v>448</v>
      </c>
      <c r="C48" s="93">
        <f t="shared" si="3"/>
        <v>602</v>
      </c>
      <c r="D48" s="93">
        <v>1</v>
      </c>
      <c r="G48" s="94" t="s">
        <v>115</v>
      </c>
      <c r="H48" s="93" t="s">
        <v>801</v>
      </c>
      <c r="I48" s="93">
        <v>64277</v>
      </c>
      <c r="J48" s="93">
        <v>331</v>
      </c>
      <c r="K48" s="93" t="s">
        <v>20</v>
      </c>
      <c r="L48" s="93">
        <v>1</v>
      </c>
      <c r="M48" s="103">
        <v>77000</v>
      </c>
      <c r="N48" s="103">
        <f t="shared" si="4"/>
        <v>77000</v>
      </c>
      <c r="O48" s="104" t="s">
        <v>21</v>
      </c>
      <c r="P48" s="93">
        <f t="shared" si="2"/>
        <v>33</v>
      </c>
      <c r="S48" s="94"/>
    </row>
    <row r="49" spans="1:19" ht="15" customHeight="1" x14ac:dyDescent="0.25">
      <c r="A49" s="93" t="s">
        <v>18</v>
      </c>
      <c r="B49" s="71" t="s">
        <v>312</v>
      </c>
      <c r="C49" s="93">
        <f t="shared" si="3"/>
        <v>603</v>
      </c>
      <c r="D49" s="93">
        <v>1</v>
      </c>
      <c r="G49" s="94" t="s">
        <v>115</v>
      </c>
      <c r="H49" s="93" t="s">
        <v>802</v>
      </c>
      <c r="I49" s="93">
        <v>64277</v>
      </c>
      <c r="J49" s="93">
        <v>331</v>
      </c>
      <c r="K49" s="93" t="s">
        <v>20</v>
      </c>
      <c r="L49" s="93">
        <v>1</v>
      </c>
      <c r="M49" s="103">
        <v>52000</v>
      </c>
      <c r="N49" s="103">
        <f t="shared" si="4"/>
        <v>52000</v>
      </c>
      <c r="O49" s="104" t="s">
        <v>21</v>
      </c>
      <c r="P49" s="93">
        <f t="shared" si="2"/>
        <v>34</v>
      </c>
      <c r="S49" s="94"/>
    </row>
    <row r="50" spans="1:19" ht="15" customHeight="1" x14ac:dyDescent="0.25">
      <c r="A50" s="93" t="s">
        <v>18</v>
      </c>
      <c r="B50" s="71" t="s">
        <v>312</v>
      </c>
      <c r="C50" s="93">
        <f t="shared" si="3"/>
        <v>604</v>
      </c>
      <c r="D50" s="93">
        <v>1</v>
      </c>
      <c r="G50" s="94" t="s">
        <v>115</v>
      </c>
      <c r="H50" s="93" t="s">
        <v>803</v>
      </c>
      <c r="I50" s="93">
        <v>64277</v>
      </c>
      <c r="J50" s="93">
        <v>331</v>
      </c>
      <c r="K50" s="93" t="s">
        <v>20</v>
      </c>
      <c r="L50" s="93">
        <v>1</v>
      </c>
      <c r="M50" s="103">
        <v>65000</v>
      </c>
      <c r="N50" s="103">
        <f t="shared" si="4"/>
        <v>65000</v>
      </c>
      <c r="O50" s="104" t="s">
        <v>21</v>
      </c>
      <c r="P50" s="93">
        <f t="shared" si="2"/>
        <v>35</v>
      </c>
      <c r="S50" s="94"/>
    </row>
    <row r="51" spans="1:19" ht="15" customHeight="1" x14ac:dyDescent="0.25">
      <c r="A51" s="93" t="s">
        <v>18</v>
      </c>
      <c r="B51" s="71" t="s">
        <v>291</v>
      </c>
      <c r="C51" s="93">
        <f t="shared" si="3"/>
        <v>605</v>
      </c>
      <c r="D51" s="93">
        <v>1</v>
      </c>
      <c r="G51" s="94" t="s">
        <v>278</v>
      </c>
      <c r="H51" s="93" t="s">
        <v>464</v>
      </c>
      <c r="I51" s="93">
        <v>6425</v>
      </c>
      <c r="J51" s="93">
        <v>331</v>
      </c>
      <c r="K51" s="93" t="s">
        <v>20</v>
      </c>
      <c r="L51" s="93">
        <v>1</v>
      </c>
      <c r="M51" s="103">
        <v>62</v>
      </c>
      <c r="N51" s="103">
        <f t="shared" si="4"/>
        <v>62</v>
      </c>
      <c r="O51" s="104" t="s">
        <v>21</v>
      </c>
      <c r="P51" s="93">
        <f t="shared" si="2"/>
        <v>36</v>
      </c>
      <c r="S51" s="94"/>
    </row>
    <row r="52" spans="1:19" ht="15" customHeight="1" x14ac:dyDescent="0.25">
      <c r="A52" s="93" t="s">
        <v>18</v>
      </c>
      <c r="B52" s="71" t="s">
        <v>449</v>
      </c>
      <c r="C52" s="93">
        <f t="shared" si="3"/>
        <v>606</v>
      </c>
      <c r="D52" s="93">
        <v>1</v>
      </c>
      <c r="G52" s="94" t="s">
        <v>115</v>
      </c>
      <c r="H52" s="93" t="s">
        <v>804</v>
      </c>
      <c r="I52" s="93">
        <v>64277</v>
      </c>
      <c r="J52" s="93">
        <v>331</v>
      </c>
      <c r="K52" s="93" t="s">
        <v>20</v>
      </c>
      <c r="L52" s="93">
        <v>1</v>
      </c>
      <c r="M52" s="103">
        <v>46000</v>
      </c>
      <c r="N52" s="103">
        <f t="shared" si="4"/>
        <v>46000</v>
      </c>
      <c r="O52" s="104" t="s">
        <v>21</v>
      </c>
      <c r="P52" s="93">
        <f t="shared" si="2"/>
        <v>37</v>
      </c>
      <c r="S52" s="94"/>
    </row>
    <row r="53" spans="1:19" ht="15" customHeight="1" x14ac:dyDescent="0.25">
      <c r="A53" s="93" t="s">
        <v>18</v>
      </c>
      <c r="B53" s="71" t="s">
        <v>449</v>
      </c>
      <c r="C53" s="93">
        <f t="shared" si="3"/>
        <v>607</v>
      </c>
      <c r="D53" s="93">
        <v>1</v>
      </c>
      <c r="G53" s="94" t="s">
        <v>53</v>
      </c>
      <c r="H53" s="93" t="s">
        <v>805</v>
      </c>
      <c r="I53" s="93">
        <v>64277</v>
      </c>
      <c r="J53" s="93">
        <v>331</v>
      </c>
      <c r="K53" s="93" t="s">
        <v>20</v>
      </c>
      <c r="L53" s="93">
        <v>1</v>
      </c>
      <c r="M53" s="103">
        <v>1600560</v>
      </c>
      <c r="N53" s="103">
        <f t="shared" si="4"/>
        <v>1600560</v>
      </c>
      <c r="O53" s="104" t="s">
        <v>21</v>
      </c>
      <c r="P53" s="93">
        <f t="shared" si="2"/>
        <v>38</v>
      </c>
      <c r="S53" s="94"/>
    </row>
    <row r="54" spans="1:19" ht="15" customHeight="1" x14ac:dyDescent="0.25">
      <c r="A54" s="93" t="s">
        <v>18</v>
      </c>
      <c r="B54" s="71" t="s">
        <v>450</v>
      </c>
      <c r="C54" s="93">
        <f t="shared" si="3"/>
        <v>608</v>
      </c>
      <c r="D54" s="93">
        <v>1</v>
      </c>
      <c r="G54" s="94" t="s">
        <v>115</v>
      </c>
      <c r="H54" s="93" t="s">
        <v>806</v>
      </c>
      <c r="I54" s="93">
        <v>64277</v>
      </c>
      <c r="J54" s="93">
        <v>331</v>
      </c>
      <c r="K54" s="93" t="s">
        <v>20</v>
      </c>
      <c r="L54" s="93">
        <v>1</v>
      </c>
      <c r="M54" s="103">
        <v>56000</v>
      </c>
      <c r="N54" s="103">
        <f t="shared" si="4"/>
        <v>56000</v>
      </c>
      <c r="O54" s="104" t="s">
        <v>21</v>
      </c>
      <c r="P54" s="93">
        <f t="shared" si="2"/>
        <v>39</v>
      </c>
      <c r="S54" s="94"/>
    </row>
    <row r="55" spans="1:19" ht="15" customHeight="1" x14ac:dyDescent="0.25">
      <c r="A55" s="93" t="s">
        <v>18</v>
      </c>
      <c r="B55" s="71" t="s">
        <v>313</v>
      </c>
      <c r="C55" s="93">
        <f t="shared" si="3"/>
        <v>609</v>
      </c>
      <c r="D55" s="93">
        <v>1</v>
      </c>
      <c r="G55" s="94" t="s">
        <v>458</v>
      </c>
      <c r="H55" s="93" t="s">
        <v>807</v>
      </c>
      <c r="I55" s="93">
        <v>64277</v>
      </c>
      <c r="J55" s="93">
        <v>331</v>
      </c>
      <c r="K55" s="93" t="s">
        <v>20</v>
      </c>
      <c r="L55" s="93">
        <v>1</v>
      </c>
      <c r="M55" s="103">
        <v>1185034</v>
      </c>
      <c r="N55" s="103">
        <f t="shared" si="4"/>
        <v>1185034</v>
      </c>
      <c r="O55" s="104" t="s">
        <v>21</v>
      </c>
      <c r="P55" s="93">
        <f t="shared" si="2"/>
        <v>40</v>
      </c>
      <c r="S55" s="94"/>
    </row>
    <row r="56" spans="1:19" ht="15" customHeight="1" x14ac:dyDescent="0.25">
      <c r="A56" s="93" t="s">
        <v>18</v>
      </c>
      <c r="B56" s="71" t="s">
        <v>314</v>
      </c>
      <c r="C56" s="93">
        <f t="shared" si="3"/>
        <v>610</v>
      </c>
      <c r="D56" s="93">
        <v>1</v>
      </c>
      <c r="G56" s="94" t="s">
        <v>459</v>
      </c>
      <c r="H56" s="93" t="s">
        <v>808</v>
      </c>
      <c r="I56" s="93">
        <v>64277</v>
      </c>
      <c r="J56" s="93">
        <v>331</v>
      </c>
      <c r="K56" s="93" t="s">
        <v>20</v>
      </c>
      <c r="L56" s="93">
        <v>1</v>
      </c>
      <c r="M56" s="103">
        <v>584280</v>
      </c>
      <c r="N56" s="103">
        <f t="shared" si="4"/>
        <v>584280</v>
      </c>
      <c r="O56" s="104" t="s">
        <v>21</v>
      </c>
      <c r="P56" s="93">
        <f t="shared" si="2"/>
        <v>41</v>
      </c>
      <c r="S56" s="94"/>
    </row>
    <row r="57" spans="1:19" ht="15" customHeight="1" x14ac:dyDescent="0.25">
      <c r="A57" s="93" t="s">
        <v>18</v>
      </c>
      <c r="B57" s="71" t="s">
        <v>316</v>
      </c>
      <c r="C57" s="93">
        <f t="shared" si="3"/>
        <v>611</v>
      </c>
      <c r="D57" s="93">
        <v>1</v>
      </c>
      <c r="G57" s="94" t="s">
        <v>37</v>
      </c>
      <c r="H57" s="93" t="s">
        <v>465</v>
      </c>
      <c r="I57" s="93">
        <v>64277</v>
      </c>
      <c r="J57" s="93">
        <v>331</v>
      </c>
      <c r="K57" s="93" t="s">
        <v>20</v>
      </c>
      <c r="L57" s="93">
        <v>1</v>
      </c>
      <c r="M57" s="103">
        <v>3240000</v>
      </c>
      <c r="N57" s="103">
        <f t="shared" si="4"/>
        <v>3240000</v>
      </c>
      <c r="O57" s="104" t="s">
        <v>21</v>
      </c>
      <c r="P57" s="93">
        <f t="shared" si="2"/>
        <v>42</v>
      </c>
      <c r="S57" s="94"/>
    </row>
    <row r="58" spans="1:19" ht="15" customHeight="1" x14ac:dyDescent="0.25">
      <c r="A58" s="93" t="s">
        <v>18</v>
      </c>
      <c r="B58" s="71" t="s">
        <v>316</v>
      </c>
      <c r="C58" s="93">
        <f t="shared" si="3"/>
        <v>612</v>
      </c>
      <c r="D58" s="93">
        <v>1</v>
      </c>
      <c r="G58" s="94" t="s">
        <v>115</v>
      </c>
      <c r="H58" s="93" t="s">
        <v>809</v>
      </c>
      <c r="I58" s="93">
        <v>64277</v>
      </c>
      <c r="J58" s="93">
        <v>331</v>
      </c>
      <c r="K58" s="93" t="s">
        <v>20</v>
      </c>
      <c r="L58" s="93">
        <v>1</v>
      </c>
      <c r="M58" s="103">
        <v>42000</v>
      </c>
      <c r="N58" s="103">
        <f t="shared" si="4"/>
        <v>42000</v>
      </c>
      <c r="O58" s="104" t="s">
        <v>21</v>
      </c>
      <c r="P58" s="93">
        <f t="shared" si="2"/>
        <v>43</v>
      </c>
      <c r="S58" s="94"/>
    </row>
    <row r="59" spans="1:19" ht="15" customHeight="1" x14ac:dyDescent="0.25">
      <c r="A59" s="93" t="s">
        <v>18</v>
      </c>
      <c r="B59" s="71" t="s">
        <v>451</v>
      </c>
      <c r="C59" s="93">
        <f t="shared" si="3"/>
        <v>613</v>
      </c>
      <c r="D59" s="93">
        <v>1</v>
      </c>
      <c r="G59" s="94" t="s">
        <v>115</v>
      </c>
      <c r="H59" s="93" t="s">
        <v>810</v>
      </c>
      <c r="I59" s="93">
        <v>64277</v>
      </c>
      <c r="J59" s="93">
        <v>331</v>
      </c>
      <c r="K59" s="93" t="s">
        <v>20</v>
      </c>
      <c r="L59" s="93">
        <v>1</v>
      </c>
      <c r="M59" s="103">
        <v>25000</v>
      </c>
      <c r="N59" s="103">
        <f t="shared" si="4"/>
        <v>25000</v>
      </c>
      <c r="O59" s="104" t="s">
        <v>21</v>
      </c>
      <c r="P59" s="93">
        <f t="shared" si="2"/>
        <v>44</v>
      </c>
      <c r="S59" s="94"/>
    </row>
    <row r="60" spans="1:19" ht="15" customHeight="1" x14ac:dyDescent="0.25">
      <c r="A60" s="93" t="s">
        <v>18</v>
      </c>
      <c r="B60" s="71" t="s">
        <v>451</v>
      </c>
      <c r="C60" s="93">
        <f t="shared" si="3"/>
        <v>614</v>
      </c>
      <c r="D60" s="93">
        <v>1</v>
      </c>
      <c r="G60" s="94" t="s">
        <v>115</v>
      </c>
      <c r="H60" s="93" t="s">
        <v>811</v>
      </c>
      <c r="I60" s="93">
        <v>64277</v>
      </c>
      <c r="J60" s="93">
        <v>331</v>
      </c>
      <c r="K60" s="93" t="s">
        <v>20</v>
      </c>
      <c r="L60" s="93">
        <v>1</v>
      </c>
      <c r="M60" s="103">
        <v>17000</v>
      </c>
      <c r="N60" s="103">
        <f t="shared" si="4"/>
        <v>17000</v>
      </c>
      <c r="O60" s="104" t="s">
        <v>21</v>
      </c>
      <c r="P60" s="93">
        <f t="shared" si="2"/>
        <v>45</v>
      </c>
      <c r="S60" s="94"/>
    </row>
    <row r="61" spans="1:19" ht="15" customHeight="1" x14ac:dyDescent="0.25">
      <c r="A61" s="93" t="s">
        <v>18</v>
      </c>
      <c r="B61" s="71" t="s">
        <v>451</v>
      </c>
      <c r="C61" s="93">
        <f t="shared" si="3"/>
        <v>615</v>
      </c>
      <c r="D61" s="93">
        <v>1</v>
      </c>
      <c r="G61" s="94" t="s">
        <v>460</v>
      </c>
      <c r="H61" s="93" t="s">
        <v>812</v>
      </c>
      <c r="I61" s="93">
        <v>64277</v>
      </c>
      <c r="J61" s="93">
        <v>331</v>
      </c>
      <c r="K61" s="93" t="s">
        <v>20</v>
      </c>
      <c r="L61" s="93">
        <v>1</v>
      </c>
      <c r="M61" s="103">
        <v>699840</v>
      </c>
      <c r="N61" s="103">
        <f t="shared" si="4"/>
        <v>699840</v>
      </c>
      <c r="O61" s="104" t="s">
        <v>21</v>
      </c>
      <c r="P61" s="93">
        <f t="shared" si="2"/>
        <v>46</v>
      </c>
      <c r="S61" s="94"/>
    </row>
    <row r="62" spans="1:19" ht="15" customHeight="1" x14ac:dyDescent="0.25">
      <c r="A62" s="93" t="s">
        <v>18</v>
      </c>
      <c r="B62" s="71" t="s">
        <v>319</v>
      </c>
      <c r="C62" s="93">
        <f t="shared" si="3"/>
        <v>616</v>
      </c>
      <c r="D62" s="93">
        <v>1</v>
      </c>
      <c r="G62" s="94" t="s">
        <v>115</v>
      </c>
      <c r="H62" s="93" t="s">
        <v>813</v>
      </c>
      <c r="I62" s="93">
        <v>64277</v>
      </c>
      <c r="J62" s="93">
        <v>331</v>
      </c>
      <c r="K62" s="93" t="s">
        <v>20</v>
      </c>
      <c r="L62" s="93">
        <v>1</v>
      </c>
      <c r="M62" s="103">
        <v>12000</v>
      </c>
      <c r="N62" s="103">
        <f t="shared" si="4"/>
        <v>12000</v>
      </c>
      <c r="O62" s="104" t="s">
        <v>21</v>
      </c>
      <c r="P62" s="93">
        <f t="shared" si="2"/>
        <v>47</v>
      </c>
      <c r="S62" s="94"/>
    </row>
    <row r="63" spans="1:19" ht="15" customHeight="1" x14ac:dyDescent="0.25">
      <c r="A63" s="93" t="s">
        <v>18</v>
      </c>
      <c r="B63" s="71" t="s">
        <v>319</v>
      </c>
      <c r="C63" s="93">
        <f t="shared" si="3"/>
        <v>617</v>
      </c>
      <c r="D63" s="93">
        <v>1</v>
      </c>
      <c r="G63" s="94" t="s">
        <v>115</v>
      </c>
      <c r="H63" s="93" t="s">
        <v>814</v>
      </c>
      <c r="I63" s="93">
        <v>64277</v>
      </c>
      <c r="J63" s="93">
        <v>331</v>
      </c>
      <c r="K63" s="93" t="s">
        <v>20</v>
      </c>
      <c r="L63" s="93">
        <v>1</v>
      </c>
      <c r="M63" s="103">
        <v>27000</v>
      </c>
      <c r="N63" s="103">
        <f t="shared" si="4"/>
        <v>27000</v>
      </c>
      <c r="O63" s="104" t="s">
        <v>21</v>
      </c>
      <c r="P63" s="93">
        <f t="shared" si="2"/>
        <v>48</v>
      </c>
      <c r="S63" s="94"/>
    </row>
    <row r="64" spans="1:19" ht="15" customHeight="1" x14ac:dyDescent="0.25">
      <c r="A64" s="93" t="s">
        <v>18</v>
      </c>
      <c r="B64" s="71" t="s">
        <v>452</v>
      </c>
      <c r="C64" s="93">
        <f t="shared" si="3"/>
        <v>618</v>
      </c>
      <c r="D64" s="93">
        <v>1</v>
      </c>
      <c r="G64" s="94" t="s">
        <v>278</v>
      </c>
      <c r="H64" s="93" t="s">
        <v>466</v>
      </c>
      <c r="I64" s="93">
        <v>6425</v>
      </c>
      <c r="J64" s="93">
        <v>331</v>
      </c>
      <c r="K64" s="93" t="s">
        <v>20</v>
      </c>
      <c r="L64" s="93">
        <v>1</v>
      </c>
      <c r="M64" s="103">
        <v>60</v>
      </c>
      <c r="N64" s="103">
        <f t="shared" si="4"/>
        <v>60</v>
      </c>
      <c r="O64" s="104" t="s">
        <v>21</v>
      </c>
      <c r="P64" s="93">
        <f t="shared" si="2"/>
        <v>49</v>
      </c>
      <c r="S64" s="94"/>
    </row>
    <row r="65" spans="1:19" ht="15" customHeight="1" x14ac:dyDescent="0.25">
      <c r="A65" s="93" t="s">
        <v>18</v>
      </c>
      <c r="B65" s="71" t="s">
        <v>379</v>
      </c>
      <c r="C65" s="93">
        <f t="shared" si="3"/>
        <v>619</v>
      </c>
      <c r="D65" s="93">
        <v>1</v>
      </c>
      <c r="G65" s="94" t="s">
        <v>115</v>
      </c>
      <c r="H65" s="93" t="s">
        <v>815</v>
      </c>
      <c r="I65" s="93">
        <v>64277</v>
      </c>
      <c r="J65" s="93">
        <v>331</v>
      </c>
      <c r="K65" s="93" t="s">
        <v>20</v>
      </c>
      <c r="L65" s="93">
        <v>1</v>
      </c>
      <c r="M65" s="103">
        <v>39000</v>
      </c>
      <c r="N65" s="103">
        <f t="shared" si="4"/>
        <v>39000</v>
      </c>
      <c r="O65" s="104" t="s">
        <v>21</v>
      </c>
      <c r="P65" s="93">
        <f t="shared" si="2"/>
        <v>50</v>
      </c>
      <c r="S65" s="94"/>
    </row>
    <row r="66" spans="1:19" ht="15" customHeight="1" x14ac:dyDescent="0.25">
      <c r="A66" s="93" t="s">
        <v>18</v>
      </c>
      <c r="B66" s="71" t="s">
        <v>453</v>
      </c>
      <c r="C66" s="93">
        <f t="shared" si="3"/>
        <v>620</v>
      </c>
      <c r="D66" s="93">
        <v>1</v>
      </c>
      <c r="G66" s="94" t="s">
        <v>61</v>
      </c>
      <c r="H66" s="93" t="s">
        <v>816</v>
      </c>
      <c r="I66" s="93">
        <v>64277</v>
      </c>
      <c r="J66" s="93">
        <v>331</v>
      </c>
      <c r="K66" s="93" t="s">
        <v>20</v>
      </c>
      <c r="L66" s="93">
        <v>1</v>
      </c>
      <c r="M66" s="103">
        <v>2387880</v>
      </c>
      <c r="N66" s="103">
        <f t="shared" si="4"/>
        <v>2387880</v>
      </c>
      <c r="O66" s="104" t="s">
        <v>21</v>
      </c>
      <c r="P66" s="93">
        <f t="shared" si="2"/>
        <v>51</v>
      </c>
      <c r="S66" s="94"/>
    </row>
    <row r="67" spans="1:19" ht="15" customHeight="1" x14ac:dyDescent="0.25">
      <c r="A67" s="93" t="s">
        <v>18</v>
      </c>
      <c r="B67" s="71" t="s">
        <v>454</v>
      </c>
      <c r="C67" s="93">
        <f t="shared" si="3"/>
        <v>621</v>
      </c>
      <c r="D67" s="93">
        <v>1</v>
      </c>
      <c r="G67" s="94" t="s">
        <v>115</v>
      </c>
      <c r="H67" s="93" t="s">
        <v>817</v>
      </c>
      <c r="I67" s="93">
        <v>64277</v>
      </c>
      <c r="J67" s="93">
        <v>331</v>
      </c>
      <c r="K67" s="93" t="s">
        <v>20</v>
      </c>
      <c r="L67" s="93">
        <v>1</v>
      </c>
      <c r="M67" s="103">
        <v>70000</v>
      </c>
      <c r="N67" s="103">
        <f t="shared" si="4"/>
        <v>70000</v>
      </c>
      <c r="O67" s="104" t="s">
        <v>21</v>
      </c>
      <c r="P67" s="93">
        <f t="shared" si="2"/>
        <v>52</v>
      </c>
      <c r="S67" s="94"/>
    </row>
    <row r="68" spans="1:19" ht="15" customHeight="1" x14ac:dyDescent="0.25">
      <c r="A68" s="93" t="s">
        <v>18</v>
      </c>
      <c r="B68" s="71" t="s">
        <v>455</v>
      </c>
      <c r="C68" s="93">
        <f t="shared" ref="C68:C100" si="5">C67+D68</f>
        <v>622</v>
      </c>
      <c r="D68" s="93">
        <v>1</v>
      </c>
      <c r="G68" s="94" t="s">
        <v>461</v>
      </c>
      <c r="H68" s="93" t="s">
        <v>818</v>
      </c>
      <c r="I68" s="93">
        <v>64277</v>
      </c>
      <c r="J68" s="93">
        <v>331</v>
      </c>
      <c r="K68" s="93" t="s">
        <v>20</v>
      </c>
      <c r="L68" s="93">
        <v>1</v>
      </c>
      <c r="M68" s="103">
        <v>1159920</v>
      </c>
      <c r="N68" s="103">
        <f t="shared" ref="N68:N100" si="6">L68*M68</f>
        <v>1159920</v>
      </c>
      <c r="O68" s="104" t="s">
        <v>21</v>
      </c>
      <c r="P68" s="93">
        <f t="shared" si="2"/>
        <v>53</v>
      </c>
      <c r="S68" s="94"/>
    </row>
    <row r="69" spans="1:19" ht="15" customHeight="1" x14ac:dyDescent="0.25">
      <c r="A69" s="93" t="s">
        <v>18</v>
      </c>
      <c r="B69" s="71" t="s">
        <v>456</v>
      </c>
      <c r="C69" s="93">
        <f t="shared" si="5"/>
        <v>623</v>
      </c>
      <c r="D69" s="93">
        <v>1</v>
      </c>
      <c r="G69" s="94" t="s">
        <v>37</v>
      </c>
      <c r="H69" s="93" t="s">
        <v>467</v>
      </c>
      <c r="I69" s="93">
        <v>64277</v>
      </c>
      <c r="J69" s="93">
        <v>331</v>
      </c>
      <c r="K69" s="93" t="s">
        <v>20</v>
      </c>
      <c r="L69" s="93">
        <v>1</v>
      </c>
      <c r="M69" s="103">
        <v>3240000</v>
      </c>
      <c r="N69" s="103">
        <f t="shared" si="6"/>
        <v>3240000</v>
      </c>
      <c r="O69" s="104" t="s">
        <v>21</v>
      </c>
      <c r="P69" s="93">
        <f t="shared" si="2"/>
        <v>54</v>
      </c>
      <c r="S69" s="94"/>
    </row>
    <row r="70" spans="1:19" ht="15" customHeight="1" x14ac:dyDescent="0.25">
      <c r="A70" s="93" t="s">
        <v>18</v>
      </c>
      <c r="B70" s="71" t="s">
        <v>457</v>
      </c>
      <c r="C70" s="93">
        <f t="shared" si="5"/>
        <v>624</v>
      </c>
      <c r="D70" s="93">
        <v>1</v>
      </c>
      <c r="G70" s="94" t="s">
        <v>115</v>
      </c>
      <c r="H70" s="93" t="s">
        <v>819</v>
      </c>
      <c r="I70" s="93">
        <v>64277</v>
      </c>
      <c r="J70" s="93">
        <v>331</v>
      </c>
      <c r="K70" s="93" t="s">
        <v>20</v>
      </c>
      <c r="L70" s="93">
        <v>1</v>
      </c>
      <c r="M70" s="103">
        <v>-25000</v>
      </c>
      <c r="N70" s="103">
        <f t="shared" si="6"/>
        <v>-25000</v>
      </c>
      <c r="O70" s="104" t="s">
        <v>21</v>
      </c>
      <c r="P70" s="93">
        <f t="shared" ref="P70:P144" si="7">P69+D70</f>
        <v>55</v>
      </c>
      <c r="S70" s="94"/>
    </row>
    <row r="71" spans="1:19" ht="15" customHeight="1" x14ac:dyDescent="0.25">
      <c r="A71" s="93" t="s">
        <v>18</v>
      </c>
      <c r="B71" s="71" t="s">
        <v>457</v>
      </c>
      <c r="C71" s="93">
        <f t="shared" si="5"/>
        <v>625</v>
      </c>
      <c r="D71" s="93">
        <v>1</v>
      </c>
      <c r="G71" s="94" t="s">
        <v>115</v>
      </c>
      <c r="H71" s="93" t="s">
        <v>820</v>
      </c>
      <c r="I71" s="93">
        <v>64277</v>
      </c>
      <c r="J71" s="93">
        <v>331</v>
      </c>
      <c r="K71" s="93" t="s">
        <v>20</v>
      </c>
      <c r="L71" s="93">
        <v>1</v>
      </c>
      <c r="M71" s="103">
        <v>-12000</v>
      </c>
      <c r="N71" s="103">
        <f t="shared" si="6"/>
        <v>-12000</v>
      </c>
      <c r="O71" s="104" t="s">
        <v>21</v>
      </c>
      <c r="P71" s="93">
        <f t="shared" si="7"/>
        <v>56</v>
      </c>
      <c r="S71" s="94"/>
    </row>
    <row r="72" spans="1:19" ht="15" customHeight="1" x14ac:dyDescent="0.25">
      <c r="A72" s="93" t="s">
        <v>18</v>
      </c>
      <c r="B72" s="71" t="s">
        <v>457</v>
      </c>
      <c r="C72" s="93">
        <f t="shared" si="5"/>
        <v>626</v>
      </c>
      <c r="D72" s="93">
        <v>1</v>
      </c>
      <c r="G72" s="94" t="s">
        <v>115</v>
      </c>
      <c r="H72" s="93" t="s">
        <v>821</v>
      </c>
      <c r="I72" s="93">
        <v>64277</v>
      </c>
      <c r="J72" s="93">
        <v>331</v>
      </c>
      <c r="K72" s="93" t="s">
        <v>20</v>
      </c>
      <c r="L72" s="93">
        <v>1</v>
      </c>
      <c r="M72" s="103">
        <v>-12000</v>
      </c>
      <c r="N72" s="103">
        <f t="shared" si="6"/>
        <v>-12000</v>
      </c>
      <c r="O72" s="104" t="s">
        <v>21</v>
      </c>
      <c r="P72" s="93">
        <f t="shared" si="7"/>
        <v>57</v>
      </c>
      <c r="S72" s="94"/>
    </row>
    <row r="73" spans="1:19" ht="15" customHeight="1" x14ac:dyDescent="0.25">
      <c r="A73" s="93" t="s">
        <v>18</v>
      </c>
      <c r="B73" s="71" t="s">
        <v>457</v>
      </c>
      <c r="C73" s="93">
        <f t="shared" si="5"/>
        <v>627</v>
      </c>
      <c r="D73" s="93">
        <v>1</v>
      </c>
      <c r="G73" s="94" t="s">
        <v>115</v>
      </c>
      <c r="H73" s="93" t="s">
        <v>822</v>
      </c>
      <c r="I73" s="93">
        <v>64277</v>
      </c>
      <c r="J73" s="93">
        <v>331</v>
      </c>
      <c r="K73" s="93" t="s">
        <v>20</v>
      </c>
      <c r="L73" s="93">
        <v>1</v>
      </c>
      <c r="M73" s="103">
        <v>-12000</v>
      </c>
      <c r="N73" s="103">
        <f t="shared" si="6"/>
        <v>-12000</v>
      </c>
      <c r="O73" s="104" t="s">
        <v>21</v>
      </c>
      <c r="P73" s="93">
        <f t="shared" si="7"/>
        <v>58</v>
      </c>
      <c r="S73" s="94"/>
    </row>
    <row r="74" spans="1:19" ht="15" customHeight="1" x14ac:dyDescent="0.25">
      <c r="A74" s="93" t="s">
        <v>18</v>
      </c>
      <c r="B74" s="71" t="s">
        <v>457</v>
      </c>
      <c r="C74" s="93">
        <f t="shared" si="5"/>
        <v>628</v>
      </c>
      <c r="D74" s="93">
        <v>1</v>
      </c>
      <c r="G74" s="94" t="s">
        <v>115</v>
      </c>
      <c r="H74" s="93" t="s">
        <v>823</v>
      </c>
      <c r="I74" s="93">
        <v>64277</v>
      </c>
      <c r="J74" s="93">
        <v>331</v>
      </c>
      <c r="K74" s="93" t="s">
        <v>20</v>
      </c>
      <c r="L74" s="93">
        <v>1</v>
      </c>
      <c r="M74" s="103">
        <v>-12000</v>
      </c>
      <c r="N74" s="103">
        <f t="shared" si="6"/>
        <v>-12000</v>
      </c>
      <c r="O74" s="104" t="s">
        <v>21</v>
      </c>
      <c r="P74" s="93">
        <f t="shared" si="7"/>
        <v>59</v>
      </c>
      <c r="S74" s="94"/>
    </row>
    <row r="75" spans="1:19" ht="15" customHeight="1" x14ac:dyDescent="0.25">
      <c r="A75" s="93" t="s">
        <v>18</v>
      </c>
      <c r="B75" s="71" t="s">
        <v>457</v>
      </c>
      <c r="C75" s="93">
        <f t="shared" si="5"/>
        <v>629</v>
      </c>
      <c r="D75" s="93">
        <v>1</v>
      </c>
      <c r="G75" s="94" t="s">
        <v>115</v>
      </c>
      <c r="H75" s="93" t="s">
        <v>824</v>
      </c>
      <c r="I75" s="93">
        <v>64277</v>
      </c>
      <c r="J75" s="93">
        <v>331</v>
      </c>
      <c r="K75" s="93" t="s">
        <v>20</v>
      </c>
      <c r="L75" s="93">
        <v>1</v>
      </c>
      <c r="M75" s="103">
        <v>-12000</v>
      </c>
      <c r="N75" s="103">
        <f t="shared" si="6"/>
        <v>-12000</v>
      </c>
      <c r="O75" s="104" t="s">
        <v>21</v>
      </c>
      <c r="P75" s="93">
        <f t="shared" si="7"/>
        <v>60</v>
      </c>
      <c r="S75" s="94"/>
    </row>
    <row r="76" spans="1:19" ht="15" customHeight="1" x14ac:dyDescent="0.25">
      <c r="A76" s="93" t="s">
        <v>18</v>
      </c>
      <c r="B76" s="71" t="s">
        <v>457</v>
      </c>
      <c r="C76" s="93">
        <f t="shared" si="5"/>
        <v>630</v>
      </c>
      <c r="D76" s="93">
        <v>1</v>
      </c>
      <c r="G76" s="94" t="s">
        <v>115</v>
      </c>
      <c r="H76" s="93" t="s">
        <v>825</v>
      </c>
      <c r="I76" s="93">
        <v>64277</v>
      </c>
      <c r="J76" s="93">
        <v>331</v>
      </c>
      <c r="K76" s="93" t="s">
        <v>20</v>
      </c>
      <c r="L76" s="93">
        <v>1</v>
      </c>
      <c r="M76" s="103">
        <v>-12000</v>
      </c>
      <c r="N76" s="103">
        <f t="shared" si="6"/>
        <v>-12000</v>
      </c>
      <c r="O76" s="104" t="s">
        <v>21</v>
      </c>
      <c r="P76" s="93">
        <f t="shared" si="7"/>
        <v>61</v>
      </c>
      <c r="S76" s="94"/>
    </row>
    <row r="77" spans="1:19" ht="15" customHeight="1" x14ac:dyDescent="0.25">
      <c r="A77" s="93" t="s">
        <v>18</v>
      </c>
      <c r="B77" s="71" t="s">
        <v>457</v>
      </c>
      <c r="C77" s="93">
        <f t="shared" si="5"/>
        <v>631</v>
      </c>
      <c r="D77" s="93">
        <v>1</v>
      </c>
      <c r="G77" s="94" t="s">
        <v>115</v>
      </c>
      <c r="H77" s="93" t="s">
        <v>826</v>
      </c>
      <c r="I77" s="93">
        <v>64277</v>
      </c>
      <c r="J77" s="93">
        <v>331</v>
      </c>
      <c r="K77" s="93" t="s">
        <v>20</v>
      </c>
      <c r="L77" s="93">
        <v>1</v>
      </c>
      <c r="M77" s="103">
        <v>-12000</v>
      </c>
      <c r="N77" s="103">
        <f t="shared" si="6"/>
        <v>-12000</v>
      </c>
      <c r="O77" s="104" t="s">
        <v>21</v>
      </c>
      <c r="P77" s="93">
        <f t="shared" si="7"/>
        <v>62</v>
      </c>
      <c r="S77" s="94"/>
    </row>
    <row r="78" spans="1:19" ht="15" customHeight="1" x14ac:dyDescent="0.25">
      <c r="A78" s="93" t="s">
        <v>18</v>
      </c>
      <c r="B78" s="71" t="s">
        <v>457</v>
      </c>
      <c r="C78" s="93">
        <f t="shared" si="5"/>
        <v>632</v>
      </c>
      <c r="D78" s="93">
        <v>1</v>
      </c>
      <c r="G78" s="94" t="s">
        <v>462</v>
      </c>
      <c r="H78" s="93" t="s">
        <v>827</v>
      </c>
      <c r="I78" s="93">
        <v>64277</v>
      </c>
      <c r="J78" s="93">
        <v>331</v>
      </c>
      <c r="K78" s="93" t="s">
        <v>20</v>
      </c>
      <c r="L78" s="93">
        <v>1</v>
      </c>
      <c r="M78" s="103">
        <v>5897600</v>
      </c>
      <c r="N78" s="103">
        <f t="shared" si="6"/>
        <v>5897600</v>
      </c>
      <c r="O78" s="104" t="s">
        <v>21</v>
      </c>
      <c r="P78" s="93">
        <f t="shared" si="7"/>
        <v>63</v>
      </c>
      <c r="S78" s="94"/>
    </row>
    <row r="79" spans="1:19" ht="15" customHeight="1" x14ac:dyDescent="0.25">
      <c r="A79" s="93" t="s">
        <v>18</v>
      </c>
      <c r="B79" s="71" t="s">
        <v>320</v>
      </c>
      <c r="C79" s="93">
        <f t="shared" si="5"/>
        <v>633</v>
      </c>
      <c r="D79" s="93">
        <v>1</v>
      </c>
      <c r="G79" s="94" t="s">
        <v>115</v>
      </c>
      <c r="H79" s="93" t="s">
        <v>828</v>
      </c>
      <c r="I79" s="93">
        <v>64277</v>
      </c>
      <c r="J79" s="93">
        <v>331</v>
      </c>
      <c r="K79" s="93" t="s">
        <v>20</v>
      </c>
      <c r="L79" s="93">
        <v>1</v>
      </c>
      <c r="M79" s="103">
        <v>73000</v>
      </c>
      <c r="N79" s="103">
        <f t="shared" si="6"/>
        <v>73000</v>
      </c>
      <c r="O79" s="104" t="s">
        <v>21</v>
      </c>
      <c r="P79" s="93">
        <f t="shared" si="7"/>
        <v>64</v>
      </c>
      <c r="S79" s="94"/>
    </row>
    <row r="80" spans="1:19" ht="15" customHeight="1" x14ac:dyDescent="0.25">
      <c r="A80" s="93" t="s">
        <v>18</v>
      </c>
      <c r="B80" s="71" t="s">
        <v>320</v>
      </c>
      <c r="C80" s="93">
        <f t="shared" si="5"/>
        <v>634</v>
      </c>
      <c r="D80" s="93">
        <v>1</v>
      </c>
      <c r="G80" s="94" t="s">
        <v>115</v>
      </c>
      <c r="H80" s="93" t="s">
        <v>829</v>
      </c>
      <c r="I80" s="93">
        <v>64277</v>
      </c>
      <c r="J80" s="93">
        <v>331</v>
      </c>
      <c r="K80" s="93" t="s">
        <v>20</v>
      </c>
      <c r="L80" s="93">
        <v>1</v>
      </c>
      <c r="M80" s="103">
        <v>-22000</v>
      </c>
      <c r="N80" s="103">
        <f t="shared" si="6"/>
        <v>-22000</v>
      </c>
      <c r="O80" s="104" t="s">
        <v>21</v>
      </c>
      <c r="P80" s="93">
        <f t="shared" si="7"/>
        <v>65</v>
      </c>
      <c r="S80" s="94"/>
    </row>
    <row r="81" spans="1:19" ht="15" customHeight="1" x14ac:dyDescent="0.25">
      <c r="A81" s="93" t="s">
        <v>18</v>
      </c>
      <c r="B81" s="71" t="s">
        <v>320</v>
      </c>
      <c r="C81" s="93">
        <f t="shared" si="5"/>
        <v>635</v>
      </c>
      <c r="D81" s="93">
        <v>1</v>
      </c>
      <c r="G81" s="94" t="s">
        <v>115</v>
      </c>
      <c r="H81" s="93" t="s">
        <v>830</v>
      </c>
      <c r="I81" s="93">
        <v>64277</v>
      </c>
      <c r="J81" s="93">
        <v>331</v>
      </c>
      <c r="K81" s="93" t="s">
        <v>20</v>
      </c>
      <c r="L81" s="93">
        <v>1</v>
      </c>
      <c r="M81" s="103">
        <v>-22000</v>
      </c>
      <c r="N81" s="103">
        <f t="shared" si="6"/>
        <v>-22000</v>
      </c>
      <c r="O81" s="104" t="s">
        <v>21</v>
      </c>
      <c r="P81" s="93">
        <f t="shared" si="7"/>
        <v>66</v>
      </c>
      <c r="S81" s="94"/>
    </row>
    <row r="82" spans="1:19" ht="15" customHeight="1" x14ac:dyDescent="0.25">
      <c r="A82" s="93" t="s">
        <v>18</v>
      </c>
      <c r="B82" s="71" t="s">
        <v>320</v>
      </c>
      <c r="C82" s="93">
        <f t="shared" si="5"/>
        <v>636</v>
      </c>
      <c r="D82" s="93">
        <v>1</v>
      </c>
      <c r="G82" s="94" t="s">
        <v>115</v>
      </c>
      <c r="H82" s="93" t="s">
        <v>831</v>
      </c>
      <c r="I82" s="93">
        <v>64277</v>
      </c>
      <c r="J82" s="93">
        <v>331</v>
      </c>
      <c r="K82" s="93" t="s">
        <v>20</v>
      </c>
      <c r="L82" s="93">
        <v>1</v>
      </c>
      <c r="M82" s="103">
        <v>-22000</v>
      </c>
      <c r="N82" s="103">
        <f t="shared" si="6"/>
        <v>-22000</v>
      </c>
      <c r="O82" s="104" t="s">
        <v>21</v>
      </c>
      <c r="P82" s="93">
        <f t="shared" si="7"/>
        <v>67</v>
      </c>
      <c r="S82" s="94"/>
    </row>
    <row r="83" spans="1:19" ht="15" customHeight="1" x14ac:dyDescent="0.25">
      <c r="A83" s="93" t="s">
        <v>18</v>
      </c>
      <c r="B83" s="71" t="s">
        <v>320</v>
      </c>
      <c r="C83" s="93">
        <f t="shared" si="5"/>
        <v>637</v>
      </c>
      <c r="D83" s="93">
        <v>1</v>
      </c>
      <c r="G83" s="94" t="s">
        <v>35</v>
      </c>
      <c r="H83" s="93" t="s">
        <v>832</v>
      </c>
      <c r="I83" s="93">
        <v>64277</v>
      </c>
      <c r="J83" s="93">
        <v>331</v>
      </c>
      <c r="K83" s="93" t="s">
        <v>20</v>
      </c>
      <c r="L83" s="93">
        <v>1</v>
      </c>
      <c r="M83" s="103">
        <v>2057076</v>
      </c>
      <c r="N83" s="103">
        <f t="shared" si="6"/>
        <v>2057076</v>
      </c>
      <c r="O83" s="104" t="s">
        <v>21</v>
      </c>
      <c r="P83" s="93">
        <f t="shared" si="7"/>
        <v>68</v>
      </c>
      <c r="S83" s="94"/>
    </row>
    <row r="84" spans="1:19" ht="15" customHeight="1" x14ac:dyDescent="0.25">
      <c r="A84" s="93" t="s">
        <v>18</v>
      </c>
      <c r="B84" s="71">
        <v>45961</v>
      </c>
      <c r="C84" s="93">
        <f t="shared" si="5"/>
        <v>638</v>
      </c>
      <c r="D84" s="93">
        <v>1</v>
      </c>
      <c r="G84" s="94" t="s">
        <v>93</v>
      </c>
      <c r="H84" s="93" t="s">
        <v>4354</v>
      </c>
      <c r="I84" s="93">
        <v>64271</v>
      </c>
      <c r="J84" s="93">
        <v>3383</v>
      </c>
      <c r="K84" s="93" t="s">
        <v>20</v>
      </c>
      <c r="L84" s="93">
        <v>1</v>
      </c>
      <c r="M84" s="103">
        <v>690300</v>
      </c>
      <c r="N84" s="103">
        <f t="shared" si="6"/>
        <v>690300</v>
      </c>
      <c r="O84" s="104" t="s">
        <v>21</v>
      </c>
      <c r="P84" s="93">
        <f t="shared" si="7"/>
        <v>69</v>
      </c>
      <c r="S84" s="94"/>
    </row>
    <row r="85" spans="1:19" ht="15" customHeight="1" x14ac:dyDescent="0.25">
      <c r="A85" s="93" t="s">
        <v>18</v>
      </c>
      <c r="B85" s="71">
        <v>45991</v>
      </c>
      <c r="C85" s="93">
        <f t="shared" si="5"/>
        <v>639</v>
      </c>
      <c r="D85" s="93">
        <v>1</v>
      </c>
      <c r="G85" s="94" t="s">
        <v>93</v>
      </c>
      <c r="H85" s="93" t="s">
        <v>4355</v>
      </c>
      <c r="I85" s="93">
        <v>64271</v>
      </c>
      <c r="J85" s="93">
        <v>3383</v>
      </c>
      <c r="K85" s="93" t="s">
        <v>20</v>
      </c>
      <c r="L85" s="93">
        <v>1</v>
      </c>
      <c r="M85" s="103">
        <v>690300</v>
      </c>
      <c r="N85" s="103">
        <f t="shared" si="6"/>
        <v>690300</v>
      </c>
      <c r="O85" s="104" t="s">
        <v>21</v>
      </c>
      <c r="P85" s="93">
        <f t="shared" si="7"/>
        <v>70</v>
      </c>
      <c r="S85" s="94"/>
    </row>
    <row r="86" spans="1:19" ht="15" customHeight="1" x14ac:dyDescent="0.25">
      <c r="A86" s="93" t="s">
        <v>18</v>
      </c>
      <c r="B86" s="71">
        <v>46022</v>
      </c>
      <c r="C86" s="93">
        <f t="shared" si="5"/>
        <v>640</v>
      </c>
      <c r="D86" s="93">
        <v>1</v>
      </c>
      <c r="G86" s="94" t="s">
        <v>93</v>
      </c>
      <c r="H86" s="93" t="s">
        <v>4356</v>
      </c>
      <c r="I86" s="93">
        <v>64271</v>
      </c>
      <c r="J86" s="93">
        <v>3383</v>
      </c>
      <c r="K86" s="93" t="s">
        <v>20</v>
      </c>
      <c r="L86" s="93">
        <v>1</v>
      </c>
      <c r="M86" s="103">
        <v>690300</v>
      </c>
      <c r="N86" s="103">
        <f t="shared" si="6"/>
        <v>690300</v>
      </c>
      <c r="O86" s="104" t="s">
        <v>21</v>
      </c>
      <c r="P86" s="93">
        <f t="shared" si="7"/>
        <v>71</v>
      </c>
      <c r="S86" s="94"/>
    </row>
    <row r="87" spans="1:19" ht="15" customHeight="1" x14ac:dyDescent="0.25">
      <c r="A87" s="93" t="s">
        <v>18</v>
      </c>
      <c r="B87" s="71" t="s">
        <v>604</v>
      </c>
      <c r="C87" s="93">
        <f t="shared" si="5"/>
        <v>641</v>
      </c>
      <c r="D87" s="93">
        <v>1</v>
      </c>
      <c r="G87" s="94" t="s">
        <v>115</v>
      </c>
      <c r="H87" s="93" t="s">
        <v>2509</v>
      </c>
      <c r="I87" s="93">
        <v>64277</v>
      </c>
      <c r="J87" s="93">
        <v>331</v>
      </c>
      <c r="K87" s="93" t="s">
        <v>20</v>
      </c>
      <c r="L87" s="93">
        <v>1</v>
      </c>
      <c r="M87" s="103">
        <v>55000</v>
      </c>
      <c r="N87" s="103">
        <f t="shared" si="6"/>
        <v>55000</v>
      </c>
      <c r="O87" s="104" t="s">
        <v>21</v>
      </c>
      <c r="P87" s="93">
        <f t="shared" si="7"/>
        <v>72</v>
      </c>
      <c r="S87" s="94"/>
    </row>
    <row r="88" spans="1:19" ht="15" customHeight="1" x14ac:dyDescent="0.25">
      <c r="A88" s="93" t="s">
        <v>18</v>
      </c>
      <c r="B88" s="71" t="s">
        <v>604</v>
      </c>
      <c r="C88" s="93">
        <f t="shared" si="5"/>
        <v>642</v>
      </c>
      <c r="D88" s="93">
        <v>1</v>
      </c>
      <c r="G88" s="94" t="s">
        <v>115</v>
      </c>
      <c r="H88" s="93" t="s">
        <v>2510</v>
      </c>
      <c r="I88" s="93">
        <v>64277</v>
      </c>
      <c r="J88" s="93">
        <v>331</v>
      </c>
      <c r="K88" s="93" t="s">
        <v>20</v>
      </c>
      <c r="L88" s="93">
        <v>1</v>
      </c>
      <c r="M88" s="103">
        <v>97000</v>
      </c>
      <c r="N88" s="103">
        <f t="shared" si="6"/>
        <v>97000</v>
      </c>
      <c r="O88" s="104" t="s">
        <v>21</v>
      </c>
      <c r="P88" s="93">
        <f t="shared" si="7"/>
        <v>73</v>
      </c>
      <c r="S88" s="94"/>
    </row>
    <row r="89" spans="1:19" ht="15" customHeight="1" x14ac:dyDescent="0.25">
      <c r="A89" s="93" t="s">
        <v>18</v>
      </c>
      <c r="B89" s="71" t="s">
        <v>1930</v>
      </c>
      <c r="C89" s="93">
        <f t="shared" si="5"/>
        <v>643</v>
      </c>
      <c r="D89" s="93">
        <v>1</v>
      </c>
      <c r="G89" s="94" t="s">
        <v>115</v>
      </c>
      <c r="H89" s="93" t="s">
        <v>2511</v>
      </c>
      <c r="I89" s="93">
        <v>64277</v>
      </c>
      <c r="J89" s="93">
        <v>331</v>
      </c>
      <c r="K89" s="93" t="s">
        <v>20</v>
      </c>
      <c r="L89" s="93">
        <v>1</v>
      </c>
      <c r="M89" s="103">
        <v>90000</v>
      </c>
      <c r="N89" s="103">
        <f t="shared" si="6"/>
        <v>90000</v>
      </c>
      <c r="O89" s="104" t="s">
        <v>21</v>
      </c>
      <c r="P89" s="93">
        <f t="shared" si="7"/>
        <v>74</v>
      </c>
      <c r="S89" s="94"/>
    </row>
    <row r="90" spans="1:19" ht="15" customHeight="1" x14ac:dyDescent="0.25">
      <c r="A90" s="93" t="s">
        <v>18</v>
      </c>
      <c r="B90" s="71" t="s">
        <v>2504</v>
      </c>
      <c r="C90" s="93">
        <f t="shared" si="5"/>
        <v>644</v>
      </c>
      <c r="D90" s="93">
        <v>1</v>
      </c>
      <c r="G90" s="94" t="s">
        <v>115</v>
      </c>
      <c r="H90" s="93" t="s">
        <v>2512</v>
      </c>
      <c r="I90" s="93">
        <v>64277</v>
      </c>
      <c r="J90" s="93">
        <v>331</v>
      </c>
      <c r="K90" s="93" t="s">
        <v>20</v>
      </c>
      <c r="L90" s="93">
        <v>1</v>
      </c>
      <c r="M90" s="103">
        <v>28000</v>
      </c>
      <c r="N90" s="103">
        <f t="shared" si="6"/>
        <v>28000</v>
      </c>
      <c r="O90" s="104" t="s">
        <v>21</v>
      </c>
      <c r="P90" s="93">
        <f t="shared" si="7"/>
        <v>75</v>
      </c>
      <c r="S90" s="94"/>
    </row>
    <row r="91" spans="1:19" ht="15" customHeight="1" x14ac:dyDescent="0.25">
      <c r="A91" s="93" t="s">
        <v>18</v>
      </c>
      <c r="B91" s="71" t="s">
        <v>2513</v>
      </c>
      <c r="C91" s="93">
        <f t="shared" si="5"/>
        <v>645</v>
      </c>
      <c r="D91" s="93">
        <v>1</v>
      </c>
      <c r="G91" s="94" t="s">
        <v>278</v>
      </c>
      <c r="H91" s="93" t="s">
        <v>4274</v>
      </c>
      <c r="I91" s="93">
        <v>6425</v>
      </c>
      <c r="J91" s="93">
        <v>331</v>
      </c>
      <c r="K91" s="93" t="s">
        <v>20</v>
      </c>
      <c r="L91" s="93">
        <v>1</v>
      </c>
      <c r="M91" s="103">
        <v>60</v>
      </c>
      <c r="N91" s="103">
        <f t="shared" si="6"/>
        <v>60</v>
      </c>
      <c r="O91" s="104" t="s">
        <v>21</v>
      </c>
      <c r="P91" s="93">
        <f t="shared" si="7"/>
        <v>76</v>
      </c>
      <c r="S91" s="94"/>
    </row>
    <row r="92" spans="1:19" ht="15" customHeight="1" x14ac:dyDescent="0.25">
      <c r="A92" s="93" t="s">
        <v>18</v>
      </c>
      <c r="B92" s="71" t="s">
        <v>2382</v>
      </c>
      <c r="C92" s="93">
        <f t="shared" si="5"/>
        <v>646</v>
      </c>
      <c r="D92" s="93">
        <v>1</v>
      </c>
      <c r="G92" s="94" t="s">
        <v>32</v>
      </c>
      <c r="H92" s="93" t="s">
        <v>2515</v>
      </c>
      <c r="I92" s="93">
        <v>131</v>
      </c>
      <c r="J92" s="93">
        <v>5113</v>
      </c>
      <c r="K92" s="93" t="s">
        <v>20</v>
      </c>
      <c r="L92" s="93">
        <v>1</v>
      </c>
      <c r="M92" s="103">
        <v>96774194</v>
      </c>
      <c r="N92" s="103">
        <f t="shared" si="6"/>
        <v>96774194</v>
      </c>
      <c r="O92" s="104" t="s">
        <v>21</v>
      </c>
      <c r="P92" s="93">
        <f t="shared" si="7"/>
        <v>77</v>
      </c>
      <c r="S92" s="94"/>
    </row>
    <row r="93" spans="1:19" ht="15" customHeight="1" x14ac:dyDescent="0.25">
      <c r="A93" s="93" t="s">
        <v>18</v>
      </c>
      <c r="B93" s="71" t="s">
        <v>2382</v>
      </c>
      <c r="C93" s="93">
        <f t="shared" si="5"/>
        <v>646</v>
      </c>
      <c r="D93" s="93">
        <v>0</v>
      </c>
      <c r="G93" s="94" t="s">
        <v>32</v>
      </c>
      <c r="H93" s="93" t="s">
        <v>2520</v>
      </c>
      <c r="I93" s="93">
        <v>333821</v>
      </c>
      <c r="J93" s="93">
        <v>131</v>
      </c>
      <c r="K93" s="93" t="s">
        <v>20</v>
      </c>
      <c r="L93" s="93">
        <v>1</v>
      </c>
      <c r="M93" s="103">
        <v>967742</v>
      </c>
      <c r="N93" s="103">
        <f t="shared" si="6"/>
        <v>967742</v>
      </c>
      <c r="O93" s="104" t="s">
        <v>21</v>
      </c>
      <c r="P93" s="93">
        <f t="shared" si="7"/>
        <v>77</v>
      </c>
    </row>
    <row r="94" spans="1:19" ht="15" customHeight="1" x14ac:dyDescent="0.25">
      <c r="A94" s="93" t="s">
        <v>18</v>
      </c>
      <c r="B94" s="71" t="s">
        <v>2382</v>
      </c>
      <c r="C94" s="93">
        <f t="shared" si="5"/>
        <v>647</v>
      </c>
      <c r="D94" s="93">
        <v>1</v>
      </c>
      <c r="G94" s="94" t="s">
        <v>2514</v>
      </c>
      <c r="H94" s="93" t="s">
        <v>2516</v>
      </c>
      <c r="I94" s="93">
        <v>131</v>
      </c>
      <c r="J94" s="93">
        <v>5113</v>
      </c>
      <c r="K94" s="93" t="s">
        <v>20</v>
      </c>
      <c r="L94" s="93">
        <v>1</v>
      </c>
      <c r="M94" s="103">
        <v>86021505</v>
      </c>
      <c r="N94" s="103">
        <f t="shared" si="6"/>
        <v>86021505</v>
      </c>
      <c r="O94" s="104" t="s">
        <v>21</v>
      </c>
      <c r="P94" s="93">
        <f t="shared" si="7"/>
        <v>78</v>
      </c>
    </row>
    <row r="95" spans="1:19" ht="15" customHeight="1" x14ac:dyDescent="0.25">
      <c r="A95" s="93" t="s">
        <v>18</v>
      </c>
      <c r="B95" s="71" t="s">
        <v>2382</v>
      </c>
      <c r="C95" s="93">
        <f t="shared" si="5"/>
        <v>647</v>
      </c>
      <c r="D95" s="93">
        <v>0</v>
      </c>
      <c r="G95" s="94" t="s">
        <v>2514</v>
      </c>
      <c r="H95" s="93" t="s">
        <v>2521</v>
      </c>
      <c r="I95" s="93">
        <v>333821</v>
      </c>
      <c r="J95" s="93">
        <v>131</v>
      </c>
      <c r="K95" s="93" t="s">
        <v>20</v>
      </c>
      <c r="L95" s="93">
        <v>1</v>
      </c>
      <c r="M95" s="103">
        <v>860215</v>
      </c>
      <c r="N95" s="103">
        <f t="shared" si="6"/>
        <v>860215</v>
      </c>
      <c r="O95" s="104" t="s">
        <v>21</v>
      </c>
      <c r="P95" s="93">
        <f t="shared" si="7"/>
        <v>78</v>
      </c>
    </row>
    <row r="96" spans="1:19" ht="15" customHeight="1" x14ac:dyDescent="0.25">
      <c r="A96" s="93" t="s">
        <v>18</v>
      </c>
      <c r="B96" s="71" t="s">
        <v>2504</v>
      </c>
      <c r="C96" s="93">
        <f t="shared" si="5"/>
        <v>648</v>
      </c>
      <c r="D96" s="93">
        <v>1</v>
      </c>
      <c r="G96" s="94" t="s">
        <v>29</v>
      </c>
      <c r="H96" s="93" t="s">
        <v>2517</v>
      </c>
      <c r="I96" s="93">
        <v>131</v>
      </c>
      <c r="J96" s="93">
        <v>5113</v>
      </c>
      <c r="K96" s="93" t="s">
        <v>20</v>
      </c>
      <c r="L96" s="93">
        <v>1</v>
      </c>
      <c r="M96" s="103">
        <v>32258065</v>
      </c>
      <c r="N96" s="103">
        <f t="shared" si="6"/>
        <v>32258065</v>
      </c>
      <c r="O96" s="104" t="s">
        <v>21</v>
      </c>
      <c r="P96" s="93">
        <f t="shared" si="7"/>
        <v>79</v>
      </c>
    </row>
    <row r="97" spans="1:16" ht="15" customHeight="1" x14ac:dyDescent="0.25">
      <c r="A97" s="93" t="s">
        <v>18</v>
      </c>
      <c r="B97" s="71" t="s">
        <v>2504</v>
      </c>
      <c r="C97" s="93">
        <f t="shared" si="5"/>
        <v>648</v>
      </c>
      <c r="D97" s="93">
        <v>0</v>
      </c>
      <c r="G97" s="94" t="s">
        <v>29</v>
      </c>
      <c r="H97" s="93" t="s">
        <v>2522</v>
      </c>
      <c r="I97" s="93">
        <v>333821</v>
      </c>
      <c r="J97" s="93">
        <v>131</v>
      </c>
      <c r="K97" s="93" t="s">
        <v>20</v>
      </c>
      <c r="L97" s="93">
        <v>1</v>
      </c>
      <c r="M97" s="103">
        <v>322581</v>
      </c>
      <c r="N97" s="103">
        <f t="shared" si="6"/>
        <v>322581</v>
      </c>
      <c r="O97" s="104" t="s">
        <v>21</v>
      </c>
      <c r="P97" s="93">
        <f t="shared" si="7"/>
        <v>79</v>
      </c>
    </row>
    <row r="98" spans="1:16" ht="15" customHeight="1" x14ac:dyDescent="0.25">
      <c r="A98" s="93" t="s">
        <v>18</v>
      </c>
      <c r="B98" s="71" t="s">
        <v>2504</v>
      </c>
      <c r="C98" s="93">
        <f t="shared" si="5"/>
        <v>649</v>
      </c>
      <c r="D98" s="93">
        <v>1</v>
      </c>
      <c r="G98" s="94" t="s">
        <v>29</v>
      </c>
      <c r="H98" s="93" t="s">
        <v>2518</v>
      </c>
      <c r="I98" s="93">
        <v>131</v>
      </c>
      <c r="J98" s="93">
        <v>5113</v>
      </c>
      <c r="K98" s="93" t="s">
        <v>20</v>
      </c>
      <c r="L98" s="93">
        <v>1</v>
      </c>
      <c r="M98" s="103">
        <v>16129032</v>
      </c>
      <c r="N98" s="103">
        <f t="shared" si="6"/>
        <v>16129032</v>
      </c>
      <c r="O98" s="104" t="s">
        <v>21</v>
      </c>
      <c r="P98" s="93">
        <f t="shared" si="7"/>
        <v>80</v>
      </c>
    </row>
    <row r="99" spans="1:16" ht="15" customHeight="1" x14ac:dyDescent="0.25">
      <c r="A99" s="93" t="s">
        <v>18</v>
      </c>
      <c r="B99" s="71" t="s">
        <v>2504</v>
      </c>
      <c r="C99" s="93">
        <f t="shared" si="5"/>
        <v>649</v>
      </c>
      <c r="D99" s="93">
        <v>0</v>
      </c>
      <c r="G99" s="94" t="s">
        <v>29</v>
      </c>
      <c r="H99" s="93" t="s">
        <v>2523</v>
      </c>
      <c r="I99" s="93">
        <v>333821</v>
      </c>
      <c r="J99" s="93">
        <v>131</v>
      </c>
      <c r="K99" s="93" t="s">
        <v>20</v>
      </c>
      <c r="L99" s="93">
        <v>1</v>
      </c>
      <c r="M99" s="103">
        <v>161290</v>
      </c>
      <c r="N99" s="103">
        <f t="shared" si="6"/>
        <v>161290</v>
      </c>
      <c r="O99" s="104" t="s">
        <v>21</v>
      </c>
      <c r="P99" s="93">
        <f t="shared" si="7"/>
        <v>80</v>
      </c>
    </row>
    <row r="100" spans="1:16" ht="15" customHeight="1" x14ac:dyDescent="0.25">
      <c r="A100" s="93" t="s">
        <v>18</v>
      </c>
      <c r="B100" s="71" t="s">
        <v>2513</v>
      </c>
      <c r="C100" s="93">
        <f t="shared" si="5"/>
        <v>650</v>
      </c>
      <c r="D100" s="93">
        <v>1</v>
      </c>
      <c r="G100" s="94" t="s">
        <v>29</v>
      </c>
      <c r="H100" s="93" t="s">
        <v>2519</v>
      </c>
      <c r="I100" s="93">
        <v>131</v>
      </c>
      <c r="J100" s="93">
        <v>5113</v>
      </c>
      <c r="K100" s="93" t="s">
        <v>20</v>
      </c>
      <c r="L100" s="93">
        <v>1</v>
      </c>
      <c r="M100" s="103">
        <v>43010753</v>
      </c>
      <c r="N100" s="103">
        <f t="shared" si="6"/>
        <v>43010753</v>
      </c>
      <c r="O100" s="104" t="s">
        <v>21</v>
      </c>
      <c r="P100" s="93">
        <f t="shared" si="7"/>
        <v>81</v>
      </c>
    </row>
    <row r="101" spans="1:16" ht="15" customHeight="1" x14ac:dyDescent="0.25">
      <c r="A101" s="93" t="s">
        <v>18</v>
      </c>
      <c r="B101" s="71" t="s">
        <v>2513</v>
      </c>
      <c r="C101" s="93">
        <f t="shared" ref="C101:C171" si="8">C100+D101</f>
        <v>650</v>
      </c>
      <c r="D101" s="93">
        <v>0</v>
      </c>
      <c r="G101" s="94" t="s">
        <v>29</v>
      </c>
      <c r="H101" s="93" t="s">
        <v>2524</v>
      </c>
      <c r="I101" s="93">
        <v>333821</v>
      </c>
      <c r="J101" s="93">
        <v>131</v>
      </c>
      <c r="K101" s="93" t="s">
        <v>20</v>
      </c>
      <c r="L101" s="93">
        <v>1</v>
      </c>
      <c r="M101" s="103">
        <v>0</v>
      </c>
      <c r="N101" s="103">
        <f t="shared" ref="N101:N172" si="9">L101*M101</f>
        <v>0</v>
      </c>
      <c r="O101" s="104" t="s">
        <v>21</v>
      </c>
      <c r="P101" s="93">
        <f t="shared" si="7"/>
        <v>81</v>
      </c>
    </row>
    <row r="102" spans="1:16" ht="15" customHeight="1" x14ac:dyDescent="0.25">
      <c r="A102" s="93" t="s">
        <v>2679</v>
      </c>
      <c r="B102" s="71">
        <v>45937</v>
      </c>
      <c r="C102" s="93">
        <f t="shared" si="8"/>
        <v>651</v>
      </c>
      <c r="D102" s="93">
        <v>1</v>
      </c>
      <c r="G102" s="94" t="s">
        <v>29</v>
      </c>
      <c r="H102" s="93" t="s">
        <v>4275</v>
      </c>
      <c r="I102" s="93">
        <v>112111</v>
      </c>
      <c r="J102" s="93">
        <v>131</v>
      </c>
      <c r="K102" s="93" t="s">
        <v>20</v>
      </c>
      <c r="L102" s="93">
        <v>1</v>
      </c>
      <c r="M102" s="103">
        <v>53763441</v>
      </c>
      <c r="N102" s="103">
        <f t="shared" si="9"/>
        <v>53763441</v>
      </c>
      <c r="O102" s="93" t="s">
        <v>21</v>
      </c>
      <c r="P102" s="93">
        <f t="shared" si="7"/>
        <v>82</v>
      </c>
    </row>
    <row r="103" spans="1:16" ht="15" customHeight="1" x14ac:dyDescent="0.25">
      <c r="A103" s="93" t="s">
        <v>18</v>
      </c>
      <c r="B103" s="71">
        <v>45938</v>
      </c>
      <c r="C103" s="93">
        <f t="shared" ref="C103:C106" si="10">C102+D103</f>
        <v>652</v>
      </c>
      <c r="D103" s="93">
        <v>1</v>
      </c>
      <c r="G103" s="94" t="s">
        <v>43</v>
      </c>
      <c r="H103" s="93" t="s">
        <v>3161</v>
      </c>
      <c r="I103" s="93">
        <v>131</v>
      </c>
      <c r="J103" s="93">
        <v>5118</v>
      </c>
      <c r="K103" s="93" t="s">
        <v>20</v>
      </c>
      <c r="L103" s="93">
        <v>1</v>
      </c>
      <c r="M103" s="103">
        <v>27869640</v>
      </c>
      <c r="N103" s="103">
        <f t="shared" si="9"/>
        <v>27869640</v>
      </c>
      <c r="O103" s="93" t="s">
        <v>21</v>
      </c>
      <c r="P103" s="93">
        <f t="shared" si="7"/>
        <v>83</v>
      </c>
    </row>
    <row r="104" spans="1:16" ht="15" customHeight="1" x14ac:dyDescent="0.25">
      <c r="A104" s="93" t="s">
        <v>2679</v>
      </c>
      <c r="B104" s="71">
        <v>45938</v>
      </c>
      <c r="C104" s="93">
        <f t="shared" si="10"/>
        <v>653</v>
      </c>
      <c r="D104" s="93">
        <v>1</v>
      </c>
      <c r="G104" s="94" t="s">
        <v>43</v>
      </c>
      <c r="H104" s="93" t="s">
        <v>3162</v>
      </c>
      <c r="I104" s="93">
        <v>112111</v>
      </c>
      <c r="J104" s="93">
        <v>131</v>
      </c>
      <c r="K104" s="93" t="s">
        <v>20</v>
      </c>
      <c r="L104" s="93">
        <v>1</v>
      </c>
      <c r="M104" s="103">
        <v>27869640</v>
      </c>
      <c r="N104" s="103">
        <f t="shared" si="9"/>
        <v>27869640</v>
      </c>
      <c r="O104" s="93" t="s">
        <v>21</v>
      </c>
      <c r="P104" s="93">
        <f t="shared" si="7"/>
        <v>84</v>
      </c>
    </row>
    <row r="105" spans="1:16" ht="15" customHeight="1" x14ac:dyDescent="0.25">
      <c r="A105" s="93" t="s">
        <v>18</v>
      </c>
      <c r="B105" s="71">
        <v>45938</v>
      </c>
      <c r="C105" s="93">
        <f t="shared" si="10"/>
        <v>654</v>
      </c>
      <c r="D105" s="93">
        <v>1</v>
      </c>
      <c r="G105" s="94" t="s">
        <v>43</v>
      </c>
      <c r="H105" s="93" t="s">
        <v>3161</v>
      </c>
      <c r="I105" s="93">
        <v>131</v>
      </c>
      <c r="J105" s="93">
        <v>5118</v>
      </c>
      <c r="K105" s="93" t="s">
        <v>20</v>
      </c>
      <c r="L105" s="93">
        <v>1</v>
      </c>
      <c r="M105" s="103">
        <v>18316146</v>
      </c>
      <c r="N105" s="103">
        <f t="shared" si="9"/>
        <v>18316146</v>
      </c>
      <c r="O105" s="93" t="s">
        <v>21</v>
      </c>
      <c r="P105" s="93">
        <f t="shared" si="7"/>
        <v>85</v>
      </c>
    </row>
    <row r="106" spans="1:16" ht="15" customHeight="1" x14ac:dyDescent="0.25">
      <c r="A106" s="93" t="s">
        <v>2679</v>
      </c>
      <c r="B106" s="71">
        <v>45938</v>
      </c>
      <c r="C106" s="93">
        <f t="shared" si="10"/>
        <v>655</v>
      </c>
      <c r="D106" s="93">
        <v>1</v>
      </c>
      <c r="G106" s="94" t="s">
        <v>43</v>
      </c>
      <c r="H106" s="93" t="s">
        <v>3162</v>
      </c>
      <c r="I106" s="93">
        <v>112111</v>
      </c>
      <c r="J106" s="93">
        <v>131</v>
      </c>
      <c r="K106" s="93" t="s">
        <v>20</v>
      </c>
      <c r="L106" s="93">
        <v>1</v>
      </c>
      <c r="M106" s="103">
        <v>18316146</v>
      </c>
      <c r="N106" s="103">
        <f t="shared" si="9"/>
        <v>18316146</v>
      </c>
      <c r="O106" s="93" t="s">
        <v>21</v>
      </c>
      <c r="P106" s="93">
        <f t="shared" si="7"/>
        <v>86</v>
      </c>
    </row>
    <row r="107" spans="1:16" ht="15" customHeight="1" x14ac:dyDescent="0.25">
      <c r="A107" s="93" t="s">
        <v>2678</v>
      </c>
      <c r="B107" s="71">
        <v>45940</v>
      </c>
      <c r="C107" s="93">
        <f t="shared" si="8"/>
        <v>656</v>
      </c>
      <c r="D107" s="93">
        <v>1</v>
      </c>
      <c r="G107" s="94" t="s">
        <v>182</v>
      </c>
      <c r="H107" s="93" t="s">
        <v>3017</v>
      </c>
      <c r="I107" s="93">
        <v>1111</v>
      </c>
      <c r="J107" s="93">
        <v>112111</v>
      </c>
      <c r="K107" s="93" t="s">
        <v>20</v>
      </c>
      <c r="L107" s="93">
        <v>1</v>
      </c>
      <c r="M107" s="103">
        <v>100000000</v>
      </c>
      <c r="N107" s="103">
        <f t="shared" si="9"/>
        <v>100000000</v>
      </c>
      <c r="O107" s="93" t="s">
        <v>21</v>
      </c>
      <c r="P107" s="93">
        <f t="shared" si="7"/>
        <v>87</v>
      </c>
    </row>
    <row r="108" spans="1:16" ht="15" customHeight="1" x14ac:dyDescent="0.25">
      <c r="A108" s="93" t="s">
        <v>2679</v>
      </c>
      <c r="B108" s="71">
        <v>45944</v>
      </c>
      <c r="C108" s="93">
        <f t="shared" si="8"/>
        <v>657</v>
      </c>
      <c r="D108" s="93">
        <v>1</v>
      </c>
      <c r="G108" s="94" t="s">
        <v>42</v>
      </c>
      <c r="H108" s="93" t="s">
        <v>4276</v>
      </c>
      <c r="I108" s="93">
        <v>112111</v>
      </c>
      <c r="J108" s="93">
        <v>131</v>
      </c>
      <c r="K108" s="93" t="s">
        <v>20</v>
      </c>
      <c r="L108" s="93">
        <v>1</v>
      </c>
      <c r="M108" s="103">
        <v>56419355</v>
      </c>
      <c r="N108" s="103">
        <f t="shared" si="9"/>
        <v>56419355</v>
      </c>
      <c r="O108" s="93" t="s">
        <v>21</v>
      </c>
      <c r="P108" s="93">
        <f t="shared" si="7"/>
        <v>88</v>
      </c>
    </row>
    <row r="109" spans="1:16" ht="15" customHeight="1" x14ac:dyDescent="0.25">
      <c r="A109" s="93" t="s">
        <v>18</v>
      </c>
      <c r="B109" s="71">
        <v>45945</v>
      </c>
      <c r="C109" s="93">
        <f t="shared" ref="C109:C110" si="11">C108+D109</f>
        <v>658</v>
      </c>
      <c r="D109" s="93">
        <v>1</v>
      </c>
      <c r="G109" s="94" t="s">
        <v>43</v>
      </c>
      <c r="H109" s="93" t="s">
        <v>3161</v>
      </c>
      <c r="I109" s="93">
        <v>131</v>
      </c>
      <c r="J109" s="93">
        <v>5118</v>
      </c>
      <c r="K109" s="93" t="s">
        <v>20</v>
      </c>
      <c r="L109" s="93">
        <v>1</v>
      </c>
      <c r="M109" s="103">
        <v>46227443</v>
      </c>
      <c r="N109" s="103">
        <f t="shared" si="9"/>
        <v>46227443</v>
      </c>
      <c r="O109" s="93" t="s">
        <v>21</v>
      </c>
      <c r="P109" s="93">
        <f t="shared" si="7"/>
        <v>89</v>
      </c>
    </row>
    <row r="110" spans="1:16" ht="15" customHeight="1" x14ac:dyDescent="0.25">
      <c r="A110" s="93" t="s">
        <v>2679</v>
      </c>
      <c r="B110" s="71">
        <v>45945</v>
      </c>
      <c r="C110" s="93">
        <f t="shared" si="11"/>
        <v>659</v>
      </c>
      <c r="D110" s="93">
        <v>1</v>
      </c>
      <c r="G110" s="94" t="s">
        <v>43</v>
      </c>
      <c r="H110" s="93" t="s">
        <v>3162</v>
      </c>
      <c r="I110" s="93">
        <v>112111</v>
      </c>
      <c r="J110" s="93">
        <v>131</v>
      </c>
      <c r="K110" s="93" t="s">
        <v>20</v>
      </c>
      <c r="L110" s="93">
        <v>1</v>
      </c>
      <c r="M110" s="103">
        <v>46227443</v>
      </c>
      <c r="N110" s="103">
        <f t="shared" si="9"/>
        <v>46227443</v>
      </c>
      <c r="O110" s="93" t="s">
        <v>21</v>
      </c>
      <c r="P110" s="93">
        <f t="shared" si="7"/>
        <v>90</v>
      </c>
    </row>
    <row r="111" spans="1:16" ht="15" customHeight="1" x14ac:dyDescent="0.25">
      <c r="A111" s="93" t="s">
        <v>2679</v>
      </c>
      <c r="B111" s="71">
        <v>45947</v>
      </c>
      <c r="C111" s="93">
        <f t="shared" si="8"/>
        <v>660</v>
      </c>
      <c r="D111" s="93">
        <v>1</v>
      </c>
      <c r="G111" s="94" t="s">
        <v>47</v>
      </c>
      <c r="H111" s="93" t="s">
        <v>4278</v>
      </c>
      <c r="I111" s="93">
        <v>112111</v>
      </c>
      <c r="J111" s="93">
        <v>131</v>
      </c>
      <c r="K111" s="93" t="s">
        <v>20</v>
      </c>
      <c r="L111" s="93">
        <v>1</v>
      </c>
      <c r="M111" s="103">
        <v>42580645</v>
      </c>
      <c r="N111" s="103">
        <f t="shared" si="9"/>
        <v>42580645</v>
      </c>
      <c r="O111" s="93" t="s">
        <v>21</v>
      </c>
      <c r="P111" s="93">
        <f t="shared" si="7"/>
        <v>91</v>
      </c>
    </row>
    <row r="112" spans="1:16" ht="15" customHeight="1" x14ac:dyDescent="0.25">
      <c r="A112" s="93" t="s">
        <v>2678</v>
      </c>
      <c r="B112" s="71">
        <v>45951</v>
      </c>
      <c r="C112" s="93">
        <f t="shared" si="8"/>
        <v>661</v>
      </c>
      <c r="D112" s="93">
        <v>1</v>
      </c>
      <c r="G112" s="94" t="s">
        <v>4279</v>
      </c>
      <c r="H112" s="93" t="s">
        <v>2718</v>
      </c>
      <c r="I112" s="93">
        <v>8118</v>
      </c>
      <c r="J112" s="93">
        <v>112111</v>
      </c>
      <c r="K112" s="93" t="s">
        <v>20</v>
      </c>
      <c r="L112" s="93">
        <v>1</v>
      </c>
      <c r="M112" s="103">
        <v>5302</v>
      </c>
      <c r="N112" s="103">
        <f t="shared" si="9"/>
        <v>5302</v>
      </c>
      <c r="O112" s="93" t="s">
        <v>21</v>
      </c>
      <c r="P112" s="93">
        <f t="shared" si="7"/>
        <v>92</v>
      </c>
    </row>
    <row r="113" spans="1:16" ht="15" customHeight="1" x14ac:dyDescent="0.25">
      <c r="A113" s="93" t="s">
        <v>2678</v>
      </c>
      <c r="B113" s="71">
        <v>45951</v>
      </c>
      <c r="C113" s="93">
        <f t="shared" si="8"/>
        <v>662</v>
      </c>
      <c r="D113" s="93">
        <v>1</v>
      </c>
      <c r="G113" s="94" t="s">
        <v>4279</v>
      </c>
      <c r="H113" s="93" t="s">
        <v>2718</v>
      </c>
      <c r="I113" s="93">
        <v>333821</v>
      </c>
      <c r="J113" s="93">
        <v>112111</v>
      </c>
      <c r="K113" s="93" t="s">
        <v>20</v>
      </c>
      <c r="L113" s="93">
        <v>1</v>
      </c>
      <c r="M113" s="103">
        <v>35845608</v>
      </c>
      <c r="N113" s="103">
        <f t="shared" si="9"/>
        <v>35845608</v>
      </c>
      <c r="O113" s="93" t="s">
        <v>21</v>
      </c>
      <c r="P113" s="93">
        <f t="shared" si="7"/>
        <v>93</v>
      </c>
    </row>
    <row r="114" spans="1:16" ht="15" customHeight="1" x14ac:dyDescent="0.25">
      <c r="A114" s="93" t="s">
        <v>2678</v>
      </c>
      <c r="B114" s="71">
        <v>45951</v>
      </c>
      <c r="C114" s="93">
        <f t="shared" si="8"/>
        <v>663</v>
      </c>
      <c r="D114" s="93">
        <v>1</v>
      </c>
      <c r="G114" s="94" t="s">
        <v>4279</v>
      </c>
      <c r="H114" s="93" t="s">
        <v>2718</v>
      </c>
      <c r="I114" s="93">
        <v>333821</v>
      </c>
      <c r="J114" s="93">
        <v>112111</v>
      </c>
      <c r="K114" s="93" t="s">
        <v>20</v>
      </c>
      <c r="L114" s="93">
        <v>1</v>
      </c>
      <c r="M114" s="103">
        <v>52614532</v>
      </c>
      <c r="N114" s="103">
        <f t="shared" si="9"/>
        <v>52614532</v>
      </c>
      <c r="O114" s="93" t="s">
        <v>21</v>
      </c>
      <c r="P114" s="93">
        <f t="shared" si="7"/>
        <v>94</v>
      </c>
    </row>
    <row r="115" spans="1:16" ht="15" customHeight="1" x14ac:dyDescent="0.25">
      <c r="A115" s="93" t="s">
        <v>2678</v>
      </c>
      <c r="B115" s="71">
        <v>45951</v>
      </c>
      <c r="C115" s="93">
        <f t="shared" si="8"/>
        <v>664</v>
      </c>
      <c r="D115" s="93">
        <v>1</v>
      </c>
      <c r="G115" s="94" t="s">
        <v>182</v>
      </c>
      <c r="H115" s="93" t="s">
        <v>3017</v>
      </c>
      <c r="I115" s="93">
        <v>1111</v>
      </c>
      <c r="J115" s="93">
        <v>112111</v>
      </c>
      <c r="K115" s="93" t="s">
        <v>20</v>
      </c>
      <c r="L115" s="93">
        <v>1</v>
      </c>
      <c r="M115" s="103">
        <v>150000000</v>
      </c>
      <c r="N115" s="103">
        <f t="shared" si="9"/>
        <v>150000000</v>
      </c>
      <c r="O115" s="93" t="s">
        <v>21</v>
      </c>
      <c r="P115" s="93">
        <f t="shared" si="7"/>
        <v>95</v>
      </c>
    </row>
    <row r="116" spans="1:16" ht="15" customHeight="1" x14ac:dyDescent="0.25">
      <c r="A116" s="93" t="s">
        <v>18</v>
      </c>
      <c r="B116" s="71">
        <v>45951</v>
      </c>
      <c r="C116" s="93">
        <f t="shared" ref="C116:C117" si="12">C115+D116</f>
        <v>665</v>
      </c>
      <c r="D116" s="93">
        <v>1</v>
      </c>
      <c r="G116" s="94" t="s">
        <v>43</v>
      </c>
      <c r="H116" s="93" t="s">
        <v>3161</v>
      </c>
      <c r="I116" s="93">
        <v>131</v>
      </c>
      <c r="J116" s="93">
        <v>5118</v>
      </c>
      <c r="K116" s="93" t="s">
        <v>20</v>
      </c>
      <c r="L116" s="93">
        <v>1</v>
      </c>
      <c r="M116" s="103">
        <v>46749402</v>
      </c>
      <c r="N116" s="103">
        <f t="shared" si="9"/>
        <v>46749402</v>
      </c>
      <c r="O116" s="93" t="s">
        <v>21</v>
      </c>
      <c r="P116" s="93">
        <f t="shared" si="7"/>
        <v>96</v>
      </c>
    </row>
    <row r="117" spans="1:16" ht="15" customHeight="1" x14ac:dyDescent="0.25">
      <c r="A117" s="93" t="s">
        <v>2679</v>
      </c>
      <c r="B117" s="71">
        <v>45951</v>
      </c>
      <c r="C117" s="93">
        <f t="shared" si="12"/>
        <v>666</v>
      </c>
      <c r="D117" s="93">
        <v>1</v>
      </c>
      <c r="G117" s="94" t="s">
        <v>43</v>
      </c>
      <c r="H117" s="93" t="s">
        <v>3162</v>
      </c>
      <c r="I117" s="93">
        <v>112111</v>
      </c>
      <c r="J117" s="93">
        <v>131</v>
      </c>
      <c r="K117" s="93" t="s">
        <v>20</v>
      </c>
      <c r="L117" s="93">
        <v>1</v>
      </c>
      <c r="M117" s="103">
        <v>46749402</v>
      </c>
      <c r="N117" s="103">
        <f t="shared" si="9"/>
        <v>46749402</v>
      </c>
      <c r="O117" s="93" t="s">
        <v>21</v>
      </c>
      <c r="P117" s="93">
        <f t="shared" si="7"/>
        <v>97</v>
      </c>
    </row>
    <row r="118" spans="1:16" ht="15" customHeight="1" x14ac:dyDescent="0.25">
      <c r="A118" s="93" t="s">
        <v>2679</v>
      </c>
      <c r="B118" s="71">
        <v>45954</v>
      </c>
      <c r="C118" s="93">
        <f t="shared" si="8"/>
        <v>667</v>
      </c>
      <c r="D118" s="93">
        <v>1</v>
      </c>
      <c r="G118" s="94" t="s">
        <v>58</v>
      </c>
      <c r="H118" s="93" t="s">
        <v>4280</v>
      </c>
      <c r="I118" s="93">
        <v>112111</v>
      </c>
      <c r="J118" s="93">
        <v>131</v>
      </c>
      <c r="K118" s="93" t="s">
        <v>20</v>
      </c>
      <c r="L118" s="93">
        <v>1</v>
      </c>
      <c r="M118" s="103">
        <v>85161290</v>
      </c>
      <c r="N118" s="103">
        <f t="shared" si="9"/>
        <v>85161290</v>
      </c>
      <c r="O118" s="93" t="s">
        <v>21</v>
      </c>
      <c r="P118" s="93">
        <f t="shared" si="7"/>
        <v>98</v>
      </c>
    </row>
    <row r="119" spans="1:16" ht="15" customHeight="1" x14ac:dyDescent="0.25">
      <c r="A119" s="93" t="s">
        <v>18</v>
      </c>
      <c r="B119" s="71">
        <v>45955</v>
      </c>
      <c r="C119" s="93">
        <f t="shared" ref="C119:C120" si="13">C118+D119</f>
        <v>668</v>
      </c>
      <c r="D119" s="93">
        <v>1</v>
      </c>
      <c r="G119" s="94" t="s">
        <v>43</v>
      </c>
      <c r="H119" s="93" t="s">
        <v>3161</v>
      </c>
      <c r="I119" s="93">
        <v>131</v>
      </c>
      <c r="J119" s="93">
        <v>5118</v>
      </c>
      <c r="K119" s="93" t="s">
        <v>20</v>
      </c>
      <c r="L119" s="93">
        <v>1</v>
      </c>
      <c r="M119" s="103">
        <v>18623950</v>
      </c>
      <c r="N119" s="103">
        <f t="shared" ref="N119" si="14">L119*M119</f>
        <v>18623950</v>
      </c>
      <c r="O119" s="93" t="s">
        <v>21</v>
      </c>
      <c r="P119" s="93">
        <f t="shared" si="7"/>
        <v>99</v>
      </c>
    </row>
    <row r="120" spans="1:16" ht="15" customHeight="1" x14ac:dyDescent="0.25">
      <c r="A120" s="93" t="s">
        <v>2679</v>
      </c>
      <c r="B120" s="71">
        <v>45955</v>
      </c>
      <c r="C120" s="93">
        <f t="shared" si="13"/>
        <v>669</v>
      </c>
      <c r="D120" s="93">
        <v>1</v>
      </c>
      <c r="G120" s="94" t="s">
        <v>43</v>
      </c>
      <c r="H120" s="93" t="s">
        <v>3162</v>
      </c>
      <c r="I120" s="93">
        <v>112111</v>
      </c>
      <c r="J120" s="93">
        <v>131</v>
      </c>
      <c r="K120" s="93" t="s">
        <v>20</v>
      </c>
      <c r="L120" s="93">
        <v>1</v>
      </c>
      <c r="M120" s="103">
        <v>18623950</v>
      </c>
      <c r="N120" s="103">
        <f t="shared" si="9"/>
        <v>18623950</v>
      </c>
      <c r="O120" s="93" t="s">
        <v>21</v>
      </c>
      <c r="P120" s="93">
        <f t="shared" si="7"/>
        <v>100</v>
      </c>
    </row>
    <row r="121" spans="1:16" ht="15" customHeight="1" x14ac:dyDescent="0.25">
      <c r="A121" s="93" t="s">
        <v>2679</v>
      </c>
      <c r="B121" s="71">
        <v>45955</v>
      </c>
      <c r="C121" s="93">
        <f t="shared" si="8"/>
        <v>670</v>
      </c>
      <c r="D121" s="93">
        <v>1</v>
      </c>
      <c r="G121" s="94" t="s">
        <v>2680</v>
      </c>
      <c r="H121" s="93" t="s">
        <v>2687</v>
      </c>
      <c r="I121" s="93">
        <v>112111</v>
      </c>
      <c r="J121" s="93">
        <v>5154</v>
      </c>
      <c r="K121" s="93" t="s">
        <v>20</v>
      </c>
      <c r="L121" s="93">
        <v>1</v>
      </c>
      <c r="M121" s="103">
        <v>9509</v>
      </c>
      <c r="N121" s="103">
        <f t="shared" si="9"/>
        <v>9509</v>
      </c>
      <c r="O121" s="93" t="s">
        <v>21</v>
      </c>
      <c r="P121" s="93">
        <f t="shared" si="7"/>
        <v>101</v>
      </c>
    </row>
    <row r="122" spans="1:16" ht="15" customHeight="1" x14ac:dyDescent="0.25">
      <c r="A122" s="93" t="s">
        <v>18</v>
      </c>
      <c r="B122" s="71">
        <v>45957</v>
      </c>
      <c r="C122" s="93">
        <f t="shared" ref="C122:C123" si="15">C121+D122</f>
        <v>671</v>
      </c>
      <c r="D122" s="93">
        <v>1</v>
      </c>
      <c r="G122" s="94" t="s">
        <v>43</v>
      </c>
      <c r="H122" s="93" t="s">
        <v>3161</v>
      </c>
      <c r="I122" s="93">
        <v>131</v>
      </c>
      <c r="J122" s="93">
        <v>5118</v>
      </c>
      <c r="K122" s="93" t="s">
        <v>20</v>
      </c>
      <c r="L122" s="93">
        <v>1</v>
      </c>
      <c r="M122" s="103">
        <v>18921568</v>
      </c>
      <c r="N122" s="103">
        <f t="shared" si="9"/>
        <v>18921568</v>
      </c>
      <c r="O122" s="93" t="s">
        <v>21</v>
      </c>
      <c r="P122" s="93">
        <f t="shared" si="7"/>
        <v>102</v>
      </c>
    </row>
    <row r="123" spans="1:16" ht="15" customHeight="1" x14ac:dyDescent="0.25">
      <c r="A123" s="93" t="s">
        <v>2679</v>
      </c>
      <c r="B123" s="71">
        <v>45957</v>
      </c>
      <c r="C123" s="93">
        <f t="shared" si="15"/>
        <v>672</v>
      </c>
      <c r="D123" s="93">
        <v>1</v>
      </c>
      <c r="G123" s="94" t="s">
        <v>43</v>
      </c>
      <c r="H123" s="93" t="s">
        <v>3162</v>
      </c>
      <c r="I123" s="93">
        <v>112111</v>
      </c>
      <c r="J123" s="93">
        <v>131</v>
      </c>
      <c r="K123" s="93" t="s">
        <v>20</v>
      </c>
      <c r="L123" s="93">
        <v>1</v>
      </c>
      <c r="M123" s="103">
        <v>18921568</v>
      </c>
      <c r="N123" s="103">
        <f t="shared" si="9"/>
        <v>18921568</v>
      </c>
      <c r="O123" s="93" t="s">
        <v>21</v>
      </c>
      <c r="P123" s="93">
        <f t="shared" si="7"/>
        <v>103</v>
      </c>
    </row>
    <row r="124" spans="1:16" ht="15" customHeight="1" x14ac:dyDescent="0.25">
      <c r="A124" s="93" t="s">
        <v>2679</v>
      </c>
      <c r="B124" s="71">
        <v>45958</v>
      </c>
      <c r="C124" s="93">
        <f t="shared" si="8"/>
        <v>673</v>
      </c>
      <c r="D124" s="93">
        <v>1</v>
      </c>
      <c r="G124" s="94" t="s">
        <v>26</v>
      </c>
      <c r="H124" s="93" t="s">
        <v>4281</v>
      </c>
      <c r="I124" s="93">
        <v>112111</v>
      </c>
      <c r="J124" s="93">
        <v>131</v>
      </c>
      <c r="K124" s="93" t="s">
        <v>20</v>
      </c>
      <c r="L124" s="93">
        <v>1</v>
      </c>
      <c r="M124" s="103">
        <v>42580645</v>
      </c>
      <c r="N124" s="103">
        <f t="shared" si="9"/>
        <v>42580645</v>
      </c>
      <c r="O124" s="93" t="s">
        <v>21</v>
      </c>
      <c r="P124" s="93">
        <f t="shared" si="7"/>
        <v>104</v>
      </c>
    </row>
    <row r="125" spans="1:16" ht="15" customHeight="1" x14ac:dyDescent="0.25">
      <c r="A125" s="93" t="s">
        <v>2679</v>
      </c>
      <c r="B125" s="71">
        <v>45965</v>
      </c>
      <c r="C125" s="93">
        <f t="shared" si="8"/>
        <v>674</v>
      </c>
      <c r="D125" s="93">
        <v>1</v>
      </c>
      <c r="G125" s="94" t="s">
        <v>29</v>
      </c>
      <c r="H125" s="93" t="s">
        <v>4282</v>
      </c>
      <c r="I125" s="93">
        <v>112111</v>
      </c>
      <c r="J125" s="93">
        <v>131</v>
      </c>
      <c r="K125" s="93" t="s">
        <v>20</v>
      </c>
      <c r="L125" s="93">
        <v>1</v>
      </c>
      <c r="M125" s="103">
        <v>63870968</v>
      </c>
      <c r="N125" s="103">
        <f t="shared" si="9"/>
        <v>63870968</v>
      </c>
      <c r="O125" s="93" t="s">
        <v>21</v>
      </c>
      <c r="P125" s="93">
        <f t="shared" si="7"/>
        <v>105</v>
      </c>
    </row>
    <row r="126" spans="1:16" ht="15" customHeight="1" x14ac:dyDescent="0.25">
      <c r="A126" s="93" t="s">
        <v>2678</v>
      </c>
      <c r="B126" s="71">
        <v>45966</v>
      </c>
      <c r="C126" s="93">
        <f t="shared" si="8"/>
        <v>675</v>
      </c>
      <c r="D126" s="93">
        <v>1</v>
      </c>
      <c r="G126" s="94" t="s">
        <v>182</v>
      </c>
      <c r="H126" s="93" t="s">
        <v>3017</v>
      </c>
      <c r="I126" s="93">
        <v>1111</v>
      </c>
      <c r="J126" s="93">
        <v>112111</v>
      </c>
      <c r="K126" s="93" t="s">
        <v>20</v>
      </c>
      <c r="L126" s="93">
        <v>1</v>
      </c>
      <c r="M126" s="103">
        <v>100000000</v>
      </c>
      <c r="N126" s="103">
        <f t="shared" si="9"/>
        <v>100000000</v>
      </c>
      <c r="O126" s="93" t="s">
        <v>21</v>
      </c>
      <c r="P126" s="93">
        <f t="shared" si="7"/>
        <v>106</v>
      </c>
    </row>
    <row r="127" spans="1:16" ht="15" customHeight="1" x14ac:dyDescent="0.25">
      <c r="A127" s="93" t="s">
        <v>2678</v>
      </c>
      <c r="B127" s="71">
        <v>45967</v>
      </c>
      <c r="C127" s="93">
        <f t="shared" si="8"/>
        <v>676</v>
      </c>
      <c r="D127" s="93">
        <v>1</v>
      </c>
      <c r="G127" s="94" t="s">
        <v>182</v>
      </c>
      <c r="H127" s="93" t="s">
        <v>3017</v>
      </c>
      <c r="I127" s="93">
        <v>1111</v>
      </c>
      <c r="J127" s="93">
        <v>112111</v>
      </c>
      <c r="K127" s="93" t="s">
        <v>20</v>
      </c>
      <c r="L127" s="93">
        <v>1</v>
      </c>
      <c r="M127" s="103">
        <v>100000000</v>
      </c>
      <c r="N127" s="103">
        <f t="shared" si="9"/>
        <v>100000000</v>
      </c>
      <c r="O127" s="93" t="s">
        <v>21</v>
      </c>
      <c r="P127" s="93">
        <f t="shared" si="7"/>
        <v>107</v>
      </c>
    </row>
    <row r="128" spans="1:16" ht="15" customHeight="1" x14ac:dyDescent="0.25">
      <c r="A128" s="93" t="s">
        <v>2678</v>
      </c>
      <c r="B128" s="71">
        <v>45968</v>
      </c>
      <c r="C128" s="93">
        <f t="shared" si="8"/>
        <v>677</v>
      </c>
      <c r="D128" s="93">
        <v>1</v>
      </c>
      <c r="G128" s="94" t="s">
        <v>182</v>
      </c>
      <c r="H128" s="93" t="s">
        <v>3017</v>
      </c>
      <c r="I128" s="93">
        <v>1111</v>
      </c>
      <c r="J128" s="93">
        <v>112111</v>
      </c>
      <c r="K128" s="93" t="s">
        <v>20</v>
      </c>
      <c r="L128" s="93">
        <v>1</v>
      </c>
      <c r="M128" s="103">
        <v>100000000</v>
      </c>
      <c r="N128" s="103">
        <f t="shared" si="9"/>
        <v>100000000</v>
      </c>
      <c r="O128" s="93" t="s">
        <v>21</v>
      </c>
      <c r="P128" s="93">
        <f t="shared" si="7"/>
        <v>108</v>
      </c>
    </row>
    <row r="129" spans="1:16" ht="15" customHeight="1" x14ac:dyDescent="0.25">
      <c r="A129" s="93" t="s">
        <v>2679</v>
      </c>
      <c r="B129" s="71">
        <v>45968</v>
      </c>
      <c r="C129" s="93">
        <f t="shared" si="8"/>
        <v>678</v>
      </c>
      <c r="D129" s="93">
        <v>1</v>
      </c>
      <c r="G129" s="94" t="s">
        <v>129</v>
      </c>
      <c r="H129" s="93" t="s">
        <v>4283</v>
      </c>
      <c r="I129" s="93">
        <v>112111</v>
      </c>
      <c r="J129" s="93">
        <v>131</v>
      </c>
      <c r="K129" s="93" t="s">
        <v>20</v>
      </c>
      <c r="L129" s="93">
        <v>1</v>
      </c>
      <c r="M129" s="103">
        <v>42580645</v>
      </c>
      <c r="N129" s="103">
        <f t="shared" si="9"/>
        <v>42580645</v>
      </c>
      <c r="O129" s="93" t="s">
        <v>21</v>
      </c>
      <c r="P129" s="93">
        <f t="shared" si="7"/>
        <v>109</v>
      </c>
    </row>
    <row r="130" spans="1:16" ht="15" customHeight="1" x14ac:dyDescent="0.25">
      <c r="A130" s="93" t="s">
        <v>18</v>
      </c>
      <c r="B130" s="71">
        <v>45971</v>
      </c>
      <c r="C130" s="93">
        <f t="shared" ref="C130:C133" si="16">C129+D130</f>
        <v>679</v>
      </c>
      <c r="D130" s="93">
        <v>1</v>
      </c>
      <c r="G130" s="94" t="s">
        <v>43</v>
      </c>
      <c r="H130" s="93" t="s">
        <v>3161</v>
      </c>
      <c r="I130" s="93">
        <v>131</v>
      </c>
      <c r="J130" s="93">
        <v>5118</v>
      </c>
      <c r="K130" s="93" t="s">
        <v>20</v>
      </c>
      <c r="L130" s="93">
        <v>1</v>
      </c>
      <c r="M130" s="103">
        <v>13062673</v>
      </c>
      <c r="N130" s="103">
        <f t="shared" si="9"/>
        <v>13062673</v>
      </c>
      <c r="O130" s="93" t="s">
        <v>21</v>
      </c>
      <c r="P130" s="93">
        <f t="shared" si="7"/>
        <v>110</v>
      </c>
    </row>
    <row r="131" spans="1:16" ht="15" customHeight="1" x14ac:dyDescent="0.25">
      <c r="A131" s="93" t="s">
        <v>2679</v>
      </c>
      <c r="B131" s="71">
        <v>45971</v>
      </c>
      <c r="C131" s="93">
        <f t="shared" si="16"/>
        <v>680</v>
      </c>
      <c r="D131" s="93">
        <v>1</v>
      </c>
      <c r="G131" s="94" t="s">
        <v>43</v>
      </c>
      <c r="H131" s="93" t="s">
        <v>3162</v>
      </c>
      <c r="I131" s="93">
        <v>112111</v>
      </c>
      <c r="J131" s="93">
        <v>131</v>
      </c>
      <c r="K131" s="93" t="s">
        <v>20</v>
      </c>
      <c r="L131" s="93">
        <v>1</v>
      </c>
      <c r="M131" s="103">
        <v>13062673</v>
      </c>
      <c r="N131" s="103">
        <f t="shared" si="9"/>
        <v>13062673</v>
      </c>
      <c r="O131" s="93" t="s">
        <v>21</v>
      </c>
      <c r="P131" s="93">
        <f t="shared" si="7"/>
        <v>111</v>
      </c>
    </row>
    <row r="132" spans="1:16" ht="15" customHeight="1" x14ac:dyDescent="0.25">
      <c r="A132" s="93" t="s">
        <v>18</v>
      </c>
      <c r="B132" s="71">
        <v>45971</v>
      </c>
      <c r="C132" s="93">
        <f t="shared" si="16"/>
        <v>681</v>
      </c>
      <c r="D132" s="93">
        <v>1</v>
      </c>
      <c r="G132" s="94" t="s">
        <v>43</v>
      </c>
      <c r="H132" s="93" t="s">
        <v>3161</v>
      </c>
      <c r="I132" s="93">
        <v>131</v>
      </c>
      <c r="J132" s="93">
        <v>5118</v>
      </c>
      <c r="K132" s="93" t="s">
        <v>20</v>
      </c>
      <c r="L132" s="93">
        <v>1</v>
      </c>
      <c r="M132" s="103">
        <v>13135826</v>
      </c>
      <c r="N132" s="103">
        <f t="shared" si="9"/>
        <v>13135826</v>
      </c>
      <c r="O132" s="93" t="s">
        <v>21</v>
      </c>
      <c r="P132" s="93">
        <f t="shared" si="7"/>
        <v>112</v>
      </c>
    </row>
    <row r="133" spans="1:16" ht="15" customHeight="1" x14ac:dyDescent="0.25">
      <c r="A133" s="93" t="s">
        <v>2679</v>
      </c>
      <c r="B133" s="71">
        <v>45971</v>
      </c>
      <c r="C133" s="93">
        <f t="shared" si="16"/>
        <v>682</v>
      </c>
      <c r="D133" s="93">
        <v>1</v>
      </c>
      <c r="G133" s="94" t="s">
        <v>43</v>
      </c>
      <c r="H133" s="93" t="s">
        <v>3162</v>
      </c>
      <c r="I133" s="93">
        <v>112111</v>
      </c>
      <c r="J133" s="93">
        <v>131</v>
      </c>
      <c r="K133" s="93" t="s">
        <v>20</v>
      </c>
      <c r="L133" s="93">
        <v>1</v>
      </c>
      <c r="M133" s="103">
        <v>13135826</v>
      </c>
      <c r="N133" s="103">
        <f t="shared" si="9"/>
        <v>13135826</v>
      </c>
      <c r="O133" s="93" t="s">
        <v>21</v>
      </c>
      <c r="P133" s="93">
        <f t="shared" si="7"/>
        <v>113</v>
      </c>
    </row>
    <row r="134" spans="1:16" ht="15" customHeight="1" x14ac:dyDescent="0.25">
      <c r="A134" s="93" t="s">
        <v>2679</v>
      </c>
      <c r="B134" s="71">
        <v>45974</v>
      </c>
      <c r="C134" s="93">
        <f t="shared" si="8"/>
        <v>683</v>
      </c>
      <c r="D134" s="93">
        <v>1</v>
      </c>
      <c r="G134" s="94" t="s">
        <v>276</v>
      </c>
      <c r="H134" s="93" t="s">
        <v>4284</v>
      </c>
      <c r="I134" s="93">
        <v>112111</v>
      </c>
      <c r="J134" s="93">
        <v>131</v>
      </c>
      <c r="K134" s="93" t="s">
        <v>20</v>
      </c>
      <c r="L134" s="93">
        <v>1</v>
      </c>
      <c r="M134" s="103">
        <v>45241936</v>
      </c>
      <c r="N134" s="103">
        <f t="shared" si="9"/>
        <v>45241936</v>
      </c>
      <c r="O134" s="93" t="s">
        <v>21</v>
      </c>
      <c r="P134" s="93">
        <f t="shared" si="7"/>
        <v>114</v>
      </c>
    </row>
    <row r="135" spans="1:16" ht="15" customHeight="1" x14ac:dyDescent="0.25">
      <c r="A135" s="93" t="s">
        <v>2679</v>
      </c>
      <c r="B135" s="71">
        <v>45975</v>
      </c>
      <c r="C135" s="93">
        <f t="shared" si="8"/>
        <v>684</v>
      </c>
      <c r="D135" s="93">
        <v>1</v>
      </c>
      <c r="G135" s="94" t="s">
        <v>29</v>
      </c>
      <c r="H135" s="93" t="s">
        <v>4285</v>
      </c>
      <c r="I135" s="93">
        <v>112111</v>
      </c>
      <c r="J135" s="93">
        <v>131</v>
      </c>
      <c r="K135" s="93" t="s">
        <v>20</v>
      </c>
      <c r="L135" s="93">
        <v>1</v>
      </c>
      <c r="M135" s="103">
        <v>42580645</v>
      </c>
      <c r="N135" s="103">
        <f t="shared" si="9"/>
        <v>42580645</v>
      </c>
      <c r="O135" s="93" t="s">
        <v>21</v>
      </c>
      <c r="P135" s="93">
        <f t="shared" si="7"/>
        <v>115</v>
      </c>
    </row>
    <row r="136" spans="1:16" ht="15" customHeight="1" x14ac:dyDescent="0.25">
      <c r="A136" s="93" t="s">
        <v>18</v>
      </c>
      <c r="B136" s="71">
        <v>45975</v>
      </c>
      <c r="C136" s="93">
        <f t="shared" ref="C136:C141" si="17">C135+D136</f>
        <v>685</v>
      </c>
      <c r="D136" s="93">
        <v>1</v>
      </c>
      <c r="G136" s="94" t="s">
        <v>43</v>
      </c>
      <c r="H136" s="93" t="s">
        <v>3161</v>
      </c>
      <c r="I136" s="93">
        <v>131</v>
      </c>
      <c r="J136" s="93">
        <v>5118</v>
      </c>
      <c r="K136" s="93" t="s">
        <v>20</v>
      </c>
      <c r="L136" s="93">
        <v>1</v>
      </c>
      <c r="M136" s="103">
        <v>38845841</v>
      </c>
      <c r="N136" s="103">
        <f t="shared" si="9"/>
        <v>38845841</v>
      </c>
      <c r="O136" s="93" t="s">
        <v>21</v>
      </c>
      <c r="P136" s="93">
        <f t="shared" si="7"/>
        <v>116</v>
      </c>
    </row>
    <row r="137" spans="1:16" ht="15" customHeight="1" x14ac:dyDescent="0.25">
      <c r="A137" s="93" t="s">
        <v>2679</v>
      </c>
      <c r="B137" s="71">
        <v>45975</v>
      </c>
      <c r="C137" s="93">
        <f t="shared" si="17"/>
        <v>686</v>
      </c>
      <c r="D137" s="93">
        <v>1</v>
      </c>
      <c r="G137" s="94" t="s">
        <v>43</v>
      </c>
      <c r="H137" s="93" t="s">
        <v>3162</v>
      </c>
      <c r="I137" s="93">
        <v>112111</v>
      </c>
      <c r="J137" s="93">
        <v>131</v>
      </c>
      <c r="K137" s="93" t="s">
        <v>20</v>
      </c>
      <c r="L137" s="93">
        <v>1</v>
      </c>
      <c r="M137" s="103">
        <v>38845841</v>
      </c>
      <c r="N137" s="103">
        <f t="shared" si="9"/>
        <v>38845841</v>
      </c>
      <c r="O137" s="93" t="s">
        <v>21</v>
      </c>
      <c r="P137" s="93">
        <f t="shared" si="7"/>
        <v>117</v>
      </c>
    </row>
    <row r="138" spans="1:16" ht="15" customHeight="1" x14ac:dyDescent="0.25">
      <c r="A138" s="93" t="s">
        <v>18</v>
      </c>
      <c r="B138" s="71">
        <v>45978</v>
      </c>
      <c r="C138" s="93">
        <f t="shared" si="17"/>
        <v>687</v>
      </c>
      <c r="D138" s="93">
        <v>1</v>
      </c>
      <c r="G138" s="94" t="s">
        <v>43</v>
      </c>
      <c r="H138" s="93" t="s">
        <v>3161</v>
      </c>
      <c r="I138" s="93">
        <v>131</v>
      </c>
      <c r="J138" s="93">
        <v>5118</v>
      </c>
      <c r="K138" s="93" t="s">
        <v>20</v>
      </c>
      <c r="L138" s="93">
        <v>1</v>
      </c>
      <c r="M138" s="103">
        <v>46242095</v>
      </c>
      <c r="N138" s="103">
        <f t="shared" si="9"/>
        <v>46242095</v>
      </c>
      <c r="O138" s="93" t="s">
        <v>21</v>
      </c>
      <c r="P138" s="93">
        <f t="shared" si="7"/>
        <v>118</v>
      </c>
    </row>
    <row r="139" spans="1:16" ht="15" customHeight="1" x14ac:dyDescent="0.25">
      <c r="A139" s="93" t="s">
        <v>2679</v>
      </c>
      <c r="B139" s="71">
        <v>45978</v>
      </c>
      <c r="C139" s="93">
        <f t="shared" si="17"/>
        <v>688</v>
      </c>
      <c r="D139" s="93">
        <v>1</v>
      </c>
      <c r="G139" s="94" t="s">
        <v>43</v>
      </c>
      <c r="H139" s="93" t="s">
        <v>3162</v>
      </c>
      <c r="I139" s="93">
        <v>112111</v>
      </c>
      <c r="J139" s="93">
        <v>131</v>
      </c>
      <c r="K139" s="93" t="s">
        <v>20</v>
      </c>
      <c r="L139" s="93">
        <v>1</v>
      </c>
      <c r="M139" s="103">
        <v>46242095</v>
      </c>
      <c r="N139" s="103">
        <f t="shared" si="9"/>
        <v>46242095</v>
      </c>
      <c r="O139" s="93" t="s">
        <v>21</v>
      </c>
      <c r="P139" s="93">
        <f t="shared" si="7"/>
        <v>119</v>
      </c>
    </row>
    <row r="140" spans="1:16" ht="15" customHeight="1" x14ac:dyDescent="0.25">
      <c r="A140" s="93" t="s">
        <v>18</v>
      </c>
      <c r="B140" s="71">
        <v>45978</v>
      </c>
      <c r="C140" s="93">
        <f t="shared" si="17"/>
        <v>689</v>
      </c>
      <c r="D140" s="93">
        <v>1</v>
      </c>
      <c r="G140" s="94" t="s">
        <v>43</v>
      </c>
      <c r="H140" s="93" t="s">
        <v>3161</v>
      </c>
      <c r="I140" s="93">
        <v>131</v>
      </c>
      <c r="J140" s="93">
        <v>5118</v>
      </c>
      <c r="K140" s="93" t="s">
        <v>20</v>
      </c>
      <c r="L140" s="93">
        <v>1</v>
      </c>
      <c r="M140" s="103">
        <v>10219213</v>
      </c>
      <c r="N140" s="103">
        <f t="shared" si="9"/>
        <v>10219213</v>
      </c>
      <c r="O140" s="93" t="s">
        <v>21</v>
      </c>
      <c r="P140" s="93">
        <f t="shared" si="7"/>
        <v>120</v>
      </c>
    </row>
    <row r="141" spans="1:16" ht="15" customHeight="1" x14ac:dyDescent="0.25">
      <c r="A141" s="93" t="s">
        <v>2679</v>
      </c>
      <c r="B141" s="71">
        <v>45978</v>
      </c>
      <c r="C141" s="93">
        <f t="shared" si="17"/>
        <v>690</v>
      </c>
      <c r="D141" s="93">
        <v>1</v>
      </c>
      <c r="G141" s="94" t="s">
        <v>43</v>
      </c>
      <c r="H141" s="93" t="s">
        <v>3162</v>
      </c>
      <c r="I141" s="93">
        <v>112111</v>
      </c>
      <c r="J141" s="93">
        <v>131</v>
      </c>
      <c r="K141" s="93" t="s">
        <v>20</v>
      </c>
      <c r="L141" s="93">
        <v>1</v>
      </c>
      <c r="M141" s="103">
        <v>10219213</v>
      </c>
      <c r="N141" s="103">
        <f t="shared" si="9"/>
        <v>10219213</v>
      </c>
      <c r="O141" s="93" t="s">
        <v>21</v>
      </c>
      <c r="P141" s="93">
        <f t="shared" si="7"/>
        <v>121</v>
      </c>
    </row>
    <row r="142" spans="1:16" ht="15" customHeight="1" x14ac:dyDescent="0.25">
      <c r="A142" s="93" t="s">
        <v>2679</v>
      </c>
      <c r="B142" s="71">
        <v>45982</v>
      </c>
      <c r="C142" s="93">
        <f t="shared" si="8"/>
        <v>691</v>
      </c>
      <c r="D142" s="93">
        <v>1</v>
      </c>
      <c r="G142" s="94" t="s">
        <v>419</v>
      </c>
      <c r="H142" s="93" t="s">
        <v>4286</v>
      </c>
      <c r="I142" s="93">
        <v>112111</v>
      </c>
      <c r="J142" s="93">
        <v>131</v>
      </c>
      <c r="K142" s="93" t="s">
        <v>20</v>
      </c>
      <c r="L142" s="93">
        <v>1</v>
      </c>
      <c r="M142" s="103">
        <v>21290323</v>
      </c>
      <c r="N142" s="103">
        <f t="shared" si="9"/>
        <v>21290323</v>
      </c>
      <c r="O142" s="93" t="s">
        <v>21</v>
      </c>
      <c r="P142" s="93">
        <f t="shared" si="7"/>
        <v>122</v>
      </c>
    </row>
    <row r="143" spans="1:16" ht="15" customHeight="1" x14ac:dyDescent="0.25">
      <c r="A143" s="93" t="s">
        <v>2678</v>
      </c>
      <c r="B143" s="71">
        <v>45985</v>
      </c>
      <c r="C143" s="93">
        <f t="shared" si="8"/>
        <v>692</v>
      </c>
      <c r="D143" s="93">
        <v>1</v>
      </c>
      <c r="G143" s="94" t="s">
        <v>4279</v>
      </c>
      <c r="H143" s="93" t="s">
        <v>4290</v>
      </c>
      <c r="I143" s="93">
        <v>333822</v>
      </c>
      <c r="J143" s="93">
        <v>112111</v>
      </c>
      <c r="K143" s="93" t="s">
        <v>20</v>
      </c>
      <c r="L143" s="93">
        <v>1</v>
      </c>
      <c r="M143" s="103">
        <v>10721718</v>
      </c>
      <c r="N143" s="103">
        <f t="shared" si="9"/>
        <v>10721718</v>
      </c>
      <c r="O143" s="93" t="s">
        <v>21</v>
      </c>
      <c r="P143" s="93">
        <f t="shared" si="7"/>
        <v>123</v>
      </c>
    </row>
    <row r="144" spans="1:16" ht="15" customHeight="1" x14ac:dyDescent="0.25">
      <c r="A144" s="93" t="s">
        <v>18</v>
      </c>
      <c r="B144" s="71">
        <v>45987</v>
      </c>
      <c r="C144" s="93">
        <f t="shared" ref="C144:C147" si="18">C143+D144</f>
        <v>693</v>
      </c>
      <c r="D144" s="93">
        <v>1</v>
      </c>
      <c r="G144" s="94" t="s">
        <v>43</v>
      </c>
      <c r="H144" s="93" t="s">
        <v>3161</v>
      </c>
      <c r="I144" s="93">
        <v>131</v>
      </c>
      <c r="J144" s="93">
        <v>5118</v>
      </c>
      <c r="K144" s="93" t="s">
        <v>20</v>
      </c>
      <c r="L144" s="93">
        <v>1</v>
      </c>
      <c r="M144" s="103">
        <v>11008436</v>
      </c>
      <c r="N144" s="103">
        <f t="shared" si="9"/>
        <v>11008436</v>
      </c>
      <c r="O144" s="93" t="s">
        <v>21</v>
      </c>
      <c r="P144" s="93">
        <f t="shared" si="7"/>
        <v>124</v>
      </c>
    </row>
    <row r="145" spans="1:16" ht="15" customHeight="1" x14ac:dyDescent="0.25">
      <c r="A145" s="93" t="s">
        <v>2679</v>
      </c>
      <c r="B145" s="71">
        <v>45987</v>
      </c>
      <c r="C145" s="93">
        <f t="shared" si="18"/>
        <v>694</v>
      </c>
      <c r="D145" s="93">
        <v>1</v>
      </c>
      <c r="G145" s="94" t="s">
        <v>43</v>
      </c>
      <c r="H145" s="93" t="s">
        <v>3162</v>
      </c>
      <c r="I145" s="93">
        <v>112111</v>
      </c>
      <c r="J145" s="93">
        <v>131</v>
      </c>
      <c r="K145" s="93" t="s">
        <v>20</v>
      </c>
      <c r="L145" s="93">
        <v>1</v>
      </c>
      <c r="M145" s="103">
        <v>11008436</v>
      </c>
      <c r="N145" s="103">
        <f t="shared" si="9"/>
        <v>11008436</v>
      </c>
      <c r="O145" s="93" t="s">
        <v>21</v>
      </c>
      <c r="P145" s="93">
        <f t="shared" ref="P145:P147" si="19">P144+D145</f>
        <v>125</v>
      </c>
    </row>
    <row r="146" spans="1:16" ht="15" customHeight="1" x14ac:dyDescent="0.25">
      <c r="A146" s="93" t="s">
        <v>18</v>
      </c>
      <c r="B146" s="71">
        <v>45987</v>
      </c>
      <c r="C146" s="93">
        <f t="shared" si="18"/>
        <v>695</v>
      </c>
      <c r="D146" s="93">
        <v>1</v>
      </c>
      <c r="G146" s="94" t="s">
        <v>43</v>
      </c>
      <c r="H146" s="93" t="s">
        <v>3161</v>
      </c>
      <c r="I146" s="93">
        <v>131</v>
      </c>
      <c r="J146" s="93">
        <v>5118</v>
      </c>
      <c r="K146" s="93" t="s">
        <v>20</v>
      </c>
      <c r="L146" s="93">
        <v>1</v>
      </c>
      <c r="M146" s="103">
        <v>16536288</v>
      </c>
      <c r="N146" s="103">
        <f t="shared" si="9"/>
        <v>16536288</v>
      </c>
      <c r="O146" s="93" t="s">
        <v>21</v>
      </c>
      <c r="P146" s="93">
        <f t="shared" si="19"/>
        <v>126</v>
      </c>
    </row>
    <row r="147" spans="1:16" ht="15" customHeight="1" x14ac:dyDescent="0.25">
      <c r="A147" s="93" t="s">
        <v>2679</v>
      </c>
      <c r="B147" s="71">
        <v>45987</v>
      </c>
      <c r="C147" s="93">
        <f t="shared" si="18"/>
        <v>696</v>
      </c>
      <c r="D147" s="93">
        <v>1</v>
      </c>
      <c r="G147" s="94" t="s">
        <v>43</v>
      </c>
      <c r="H147" s="93" t="s">
        <v>3162</v>
      </c>
      <c r="I147" s="93">
        <v>112111</v>
      </c>
      <c r="J147" s="93">
        <v>131</v>
      </c>
      <c r="K147" s="93" t="s">
        <v>20</v>
      </c>
      <c r="L147" s="93">
        <v>1</v>
      </c>
      <c r="M147" s="103">
        <v>16536288</v>
      </c>
      <c r="N147" s="103">
        <f t="shared" si="9"/>
        <v>16536288</v>
      </c>
      <c r="O147" s="93" t="s">
        <v>21</v>
      </c>
      <c r="P147" s="93">
        <f t="shared" si="19"/>
        <v>127</v>
      </c>
    </row>
    <row r="148" spans="1:16" ht="15" customHeight="1" x14ac:dyDescent="0.25">
      <c r="A148" s="93" t="s">
        <v>2679</v>
      </c>
      <c r="B148" s="71">
        <v>45989</v>
      </c>
      <c r="C148" s="93">
        <f t="shared" si="8"/>
        <v>697</v>
      </c>
      <c r="D148" s="93">
        <v>1</v>
      </c>
      <c r="G148" s="94" t="s">
        <v>58</v>
      </c>
      <c r="H148" s="93" t="s">
        <v>4287</v>
      </c>
      <c r="I148" s="93">
        <v>112111</v>
      </c>
      <c r="J148" s="93">
        <v>131</v>
      </c>
      <c r="K148" s="93" t="s">
        <v>20</v>
      </c>
      <c r="L148" s="93">
        <v>1</v>
      </c>
      <c r="M148" s="103">
        <v>42580645</v>
      </c>
      <c r="N148" s="103">
        <f t="shared" si="9"/>
        <v>42580645</v>
      </c>
      <c r="O148" s="93" t="s">
        <v>21</v>
      </c>
      <c r="P148" s="93">
        <f t="shared" ref="P148:P211" si="20">P147+D148</f>
        <v>128</v>
      </c>
    </row>
    <row r="149" spans="1:16" ht="15" customHeight="1" x14ac:dyDescent="0.25">
      <c r="A149" s="93" t="s">
        <v>2678</v>
      </c>
      <c r="B149" s="71">
        <v>45990</v>
      </c>
      <c r="C149" s="93">
        <f t="shared" si="8"/>
        <v>698</v>
      </c>
      <c r="D149" s="93">
        <v>1</v>
      </c>
      <c r="G149" s="94" t="s">
        <v>182</v>
      </c>
      <c r="H149" s="93" t="s">
        <v>3017</v>
      </c>
      <c r="I149" s="93">
        <v>1111</v>
      </c>
      <c r="J149" s="93">
        <v>112111</v>
      </c>
      <c r="K149" s="93" t="s">
        <v>20</v>
      </c>
      <c r="L149" s="93">
        <v>1</v>
      </c>
      <c r="M149" s="103">
        <v>200000000</v>
      </c>
      <c r="N149" s="103">
        <f t="shared" si="9"/>
        <v>200000000</v>
      </c>
      <c r="O149" s="93" t="s">
        <v>21</v>
      </c>
      <c r="P149" s="93">
        <f t="shared" si="20"/>
        <v>129</v>
      </c>
    </row>
    <row r="150" spans="1:16" ht="15" customHeight="1" x14ac:dyDescent="0.25">
      <c r="A150" s="93" t="s">
        <v>2679</v>
      </c>
      <c r="B150" s="71">
        <v>45990</v>
      </c>
      <c r="C150" s="93">
        <f t="shared" si="8"/>
        <v>699</v>
      </c>
      <c r="D150" s="93">
        <v>1</v>
      </c>
      <c r="G150" s="94" t="s">
        <v>2680</v>
      </c>
      <c r="H150" s="93" t="s">
        <v>2687</v>
      </c>
      <c r="I150" s="93">
        <v>112111</v>
      </c>
      <c r="J150" s="93">
        <v>5154</v>
      </c>
      <c r="K150" s="93" t="s">
        <v>20</v>
      </c>
      <c r="L150" s="93">
        <v>1</v>
      </c>
      <c r="M150" s="103">
        <v>14163</v>
      </c>
      <c r="N150" s="103">
        <f t="shared" si="9"/>
        <v>14163</v>
      </c>
      <c r="O150" s="93" t="s">
        <v>21</v>
      </c>
      <c r="P150" s="93">
        <f t="shared" si="20"/>
        <v>130</v>
      </c>
    </row>
    <row r="151" spans="1:16" ht="15" customHeight="1" x14ac:dyDescent="0.25">
      <c r="A151" s="93" t="s">
        <v>18</v>
      </c>
      <c r="B151" s="71">
        <v>45992</v>
      </c>
      <c r="C151" s="93">
        <f t="shared" ref="C151:C154" si="21">C150+D151</f>
        <v>700</v>
      </c>
      <c r="D151" s="93">
        <v>1</v>
      </c>
      <c r="G151" s="94" t="s">
        <v>43</v>
      </c>
      <c r="H151" s="93" t="s">
        <v>3161</v>
      </c>
      <c r="I151" s="93">
        <v>131</v>
      </c>
      <c r="J151" s="93">
        <v>5118</v>
      </c>
      <c r="K151" s="93" t="s">
        <v>20</v>
      </c>
      <c r="L151" s="93">
        <v>1</v>
      </c>
      <c r="M151" s="103">
        <v>11518916</v>
      </c>
      <c r="N151" s="103">
        <f t="shared" si="9"/>
        <v>11518916</v>
      </c>
      <c r="O151" s="93" t="s">
        <v>21</v>
      </c>
      <c r="P151" s="93">
        <f t="shared" si="20"/>
        <v>131</v>
      </c>
    </row>
    <row r="152" spans="1:16" ht="15" customHeight="1" x14ac:dyDescent="0.25">
      <c r="A152" s="93" t="s">
        <v>2679</v>
      </c>
      <c r="B152" s="71">
        <v>45992</v>
      </c>
      <c r="C152" s="93">
        <f t="shared" si="21"/>
        <v>701</v>
      </c>
      <c r="D152" s="93">
        <v>1</v>
      </c>
      <c r="G152" s="94" t="s">
        <v>43</v>
      </c>
      <c r="H152" s="93" t="s">
        <v>3162</v>
      </c>
      <c r="I152" s="93">
        <v>112111</v>
      </c>
      <c r="J152" s="93">
        <v>131</v>
      </c>
      <c r="K152" s="93" t="s">
        <v>20</v>
      </c>
      <c r="L152" s="93">
        <v>1</v>
      </c>
      <c r="M152" s="103">
        <v>11518916</v>
      </c>
      <c r="N152" s="103">
        <f t="shared" si="9"/>
        <v>11518916</v>
      </c>
      <c r="O152" s="93" t="s">
        <v>21</v>
      </c>
      <c r="P152" s="93">
        <f t="shared" si="20"/>
        <v>132</v>
      </c>
    </row>
    <row r="153" spans="1:16" ht="15" customHeight="1" x14ac:dyDescent="0.25">
      <c r="A153" s="93" t="s">
        <v>18</v>
      </c>
      <c r="B153" s="71">
        <v>45992</v>
      </c>
      <c r="C153" s="93">
        <f t="shared" si="21"/>
        <v>702</v>
      </c>
      <c r="D153" s="93">
        <v>1</v>
      </c>
      <c r="G153" s="94" t="s">
        <v>43</v>
      </c>
      <c r="H153" s="93" t="s">
        <v>3161</v>
      </c>
      <c r="I153" s="93">
        <v>131</v>
      </c>
      <c r="J153" s="93">
        <v>5118</v>
      </c>
      <c r="K153" s="93" t="s">
        <v>20</v>
      </c>
      <c r="L153" s="93">
        <v>1</v>
      </c>
      <c r="M153" s="103">
        <v>13629432</v>
      </c>
      <c r="N153" s="103">
        <f t="shared" si="9"/>
        <v>13629432</v>
      </c>
      <c r="O153" s="93" t="s">
        <v>21</v>
      </c>
      <c r="P153" s="93">
        <f t="shared" si="20"/>
        <v>133</v>
      </c>
    </row>
    <row r="154" spans="1:16" ht="15" customHeight="1" x14ac:dyDescent="0.25">
      <c r="A154" s="93" t="s">
        <v>2679</v>
      </c>
      <c r="B154" s="71">
        <v>45992</v>
      </c>
      <c r="C154" s="93">
        <f t="shared" si="21"/>
        <v>703</v>
      </c>
      <c r="D154" s="93">
        <v>1</v>
      </c>
      <c r="G154" s="94" t="s">
        <v>43</v>
      </c>
      <c r="H154" s="93" t="s">
        <v>3162</v>
      </c>
      <c r="I154" s="93">
        <v>112111</v>
      </c>
      <c r="J154" s="93">
        <v>131</v>
      </c>
      <c r="K154" s="93" t="s">
        <v>20</v>
      </c>
      <c r="L154" s="93">
        <v>1</v>
      </c>
      <c r="M154" s="103">
        <v>13629432</v>
      </c>
      <c r="N154" s="103">
        <f t="shared" si="9"/>
        <v>13629432</v>
      </c>
      <c r="O154" s="93" t="s">
        <v>21</v>
      </c>
      <c r="P154" s="93">
        <f t="shared" si="20"/>
        <v>134</v>
      </c>
    </row>
    <row r="155" spans="1:16" ht="15" customHeight="1" x14ac:dyDescent="0.25">
      <c r="A155" s="93" t="s">
        <v>2679</v>
      </c>
      <c r="B155" s="71">
        <v>45993</v>
      </c>
      <c r="C155" s="93">
        <f t="shared" si="8"/>
        <v>704</v>
      </c>
      <c r="D155" s="93">
        <v>1</v>
      </c>
      <c r="G155" s="94" t="s">
        <v>66</v>
      </c>
      <c r="H155" s="93" t="s">
        <v>4288</v>
      </c>
      <c r="I155" s="93">
        <v>112111</v>
      </c>
      <c r="J155" s="93">
        <v>131</v>
      </c>
      <c r="K155" s="93" t="s">
        <v>20</v>
      </c>
      <c r="L155" s="93">
        <v>1</v>
      </c>
      <c r="M155" s="103">
        <v>67064516</v>
      </c>
      <c r="N155" s="103">
        <f t="shared" si="9"/>
        <v>67064516</v>
      </c>
      <c r="O155" s="93" t="s">
        <v>21</v>
      </c>
      <c r="P155" s="93">
        <f t="shared" si="20"/>
        <v>135</v>
      </c>
    </row>
    <row r="156" spans="1:16" ht="15" customHeight="1" x14ac:dyDescent="0.25">
      <c r="A156" s="93" t="s">
        <v>2678</v>
      </c>
      <c r="B156" s="71">
        <v>45994</v>
      </c>
      <c r="C156" s="93">
        <f t="shared" si="8"/>
        <v>705</v>
      </c>
      <c r="D156" s="93">
        <v>1</v>
      </c>
      <c r="G156" s="94" t="s">
        <v>182</v>
      </c>
      <c r="H156" s="93" t="s">
        <v>3017</v>
      </c>
      <c r="I156" s="93">
        <v>1111</v>
      </c>
      <c r="J156" s="93">
        <v>112111</v>
      </c>
      <c r="K156" s="93" t="s">
        <v>20</v>
      </c>
      <c r="L156" s="93">
        <v>1</v>
      </c>
      <c r="M156" s="103">
        <v>300000000</v>
      </c>
      <c r="N156" s="103">
        <f t="shared" si="9"/>
        <v>300000000</v>
      </c>
      <c r="O156" s="93" t="s">
        <v>21</v>
      </c>
      <c r="P156" s="93">
        <f t="shared" si="20"/>
        <v>136</v>
      </c>
    </row>
    <row r="157" spans="1:16" ht="15" customHeight="1" x14ac:dyDescent="0.25">
      <c r="A157" s="93" t="s">
        <v>18</v>
      </c>
      <c r="B157" s="71">
        <v>45996</v>
      </c>
      <c r="C157" s="93">
        <f t="shared" si="8"/>
        <v>706</v>
      </c>
      <c r="D157" s="93">
        <v>1</v>
      </c>
      <c r="G157" s="94" t="s">
        <v>43</v>
      </c>
      <c r="H157" s="93" t="s">
        <v>3161</v>
      </c>
      <c r="I157" s="93">
        <v>131</v>
      </c>
      <c r="J157" s="93">
        <v>5118</v>
      </c>
      <c r="K157" s="93" t="s">
        <v>20</v>
      </c>
      <c r="L157" s="93">
        <v>1</v>
      </c>
      <c r="M157" s="103">
        <v>19124401</v>
      </c>
      <c r="N157" s="103">
        <f t="shared" si="9"/>
        <v>19124401</v>
      </c>
      <c r="O157" s="93" t="s">
        <v>21</v>
      </c>
      <c r="P157" s="93">
        <f t="shared" si="20"/>
        <v>137</v>
      </c>
    </row>
    <row r="158" spans="1:16" ht="15" customHeight="1" x14ac:dyDescent="0.25">
      <c r="A158" s="93" t="s">
        <v>2679</v>
      </c>
      <c r="B158" s="71">
        <v>45996</v>
      </c>
      <c r="C158" s="93">
        <f t="shared" si="8"/>
        <v>707</v>
      </c>
      <c r="D158" s="93">
        <v>1</v>
      </c>
      <c r="G158" s="94" t="s">
        <v>43</v>
      </c>
      <c r="H158" s="93" t="s">
        <v>3162</v>
      </c>
      <c r="I158" s="93">
        <v>112111</v>
      </c>
      <c r="J158" s="93">
        <v>131</v>
      </c>
      <c r="K158" s="93" t="s">
        <v>20</v>
      </c>
      <c r="L158" s="93">
        <v>1</v>
      </c>
      <c r="M158" s="103">
        <v>19124401</v>
      </c>
      <c r="N158" s="103">
        <f t="shared" si="9"/>
        <v>19124401</v>
      </c>
      <c r="O158" s="93" t="s">
        <v>21</v>
      </c>
      <c r="P158" s="93">
        <f t="shared" si="20"/>
        <v>138</v>
      </c>
    </row>
    <row r="159" spans="1:16" ht="15" customHeight="1" x14ac:dyDescent="0.25">
      <c r="A159" s="93" t="s">
        <v>2678</v>
      </c>
      <c r="B159" s="71">
        <v>46000</v>
      </c>
      <c r="C159" s="93">
        <f t="shared" si="8"/>
        <v>708</v>
      </c>
      <c r="D159" s="93">
        <v>1</v>
      </c>
      <c r="G159" s="94" t="s">
        <v>93</v>
      </c>
      <c r="H159" s="93" t="s">
        <v>4360</v>
      </c>
      <c r="I159" s="93">
        <v>3383</v>
      </c>
      <c r="J159" s="93">
        <v>112111</v>
      </c>
      <c r="K159" s="93" t="s">
        <v>20</v>
      </c>
      <c r="L159" s="93">
        <v>1</v>
      </c>
      <c r="M159" s="103">
        <v>4810304</v>
      </c>
      <c r="N159" s="103">
        <f t="shared" si="9"/>
        <v>4810304</v>
      </c>
      <c r="O159" s="93" t="s">
        <v>21</v>
      </c>
      <c r="P159" s="93">
        <f t="shared" si="20"/>
        <v>139</v>
      </c>
    </row>
    <row r="160" spans="1:16" ht="15" customHeight="1" x14ac:dyDescent="0.25">
      <c r="A160" s="93" t="s">
        <v>2679</v>
      </c>
      <c r="B160" s="71">
        <v>46000</v>
      </c>
      <c r="C160" s="93">
        <f t="shared" si="8"/>
        <v>709</v>
      </c>
      <c r="D160" s="93">
        <v>1</v>
      </c>
      <c r="G160" s="94" t="s">
        <v>93</v>
      </c>
      <c r="H160" s="93" t="s">
        <v>4361</v>
      </c>
      <c r="I160" s="93">
        <v>112111</v>
      </c>
      <c r="J160" s="93">
        <v>3383</v>
      </c>
      <c r="K160" s="93" t="s">
        <v>20</v>
      </c>
      <c r="L160" s="93">
        <v>1</v>
      </c>
      <c r="M160" s="103">
        <v>4810304</v>
      </c>
      <c r="N160" s="103">
        <f t="shared" si="9"/>
        <v>4810304</v>
      </c>
      <c r="O160" s="93" t="s">
        <v>21</v>
      </c>
      <c r="P160" s="93">
        <f t="shared" si="20"/>
        <v>140</v>
      </c>
    </row>
    <row r="161" spans="1:18" ht="15" customHeight="1" x14ac:dyDescent="0.25">
      <c r="A161" s="93" t="s">
        <v>2678</v>
      </c>
      <c r="B161" s="71">
        <v>46000</v>
      </c>
      <c r="C161" s="93">
        <f t="shared" si="8"/>
        <v>710</v>
      </c>
      <c r="D161" s="93">
        <v>1</v>
      </c>
      <c r="G161" s="94" t="s">
        <v>93</v>
      </c>
      <c r="H161" s="93" t="s">
        <v>4360</v>
      </c>
      <c r="I161" s="93">
        <v>3383</v>
      </c>
      <c r="J161" s="93">
        <v>112111</v>
      </c>
      <c r="K161" s="93" t="s">
        <v>20</v>
      </c>
      <c r="L161" s="93">
        <v>1</v>
      </c>
      <c r="M161" s="103">
        <v>4800000</v>
      </c>
      <c r="N161" s="103">
        <f t="shared" si="9"/>
        <v>4800000</v>
      </c>
      <c r="O161" s="93" t="s">
        <v>21</v>
      </c>
      <c r="P161" s="93">
        <f t="shared" si="20"/>
        <v>141</v>
      </c>
    </row>
    <row r="162" spans="1:18" ht="15" customHeight="1" x14ac:dyDescent="0.25">
      <c r="A162" s="93" t="s">
        <v>2678</v>
      </c>
      <c r="B162" s="71">
        <v>46000</v>
      </c>
      <c r="C162" s="93">
        <f t="shared" ref="C162:C163" si="22">C161+D162</f>
        <v>710</v>
      </c>
      <c r="D162" s="93">
        <v>0</v>
      </c>
      <c r="G162" s="94" t="s">
        <v>93</v>
      </c>
      <c r="H162" s="93" t="s">
        <v>4360</v>
      </c>
      <c r="I162" s="93">
        <v>8118</v>
      </c>
      <c r="J162" s="93">
        <v>112111</v>
      </c>
      <c r="K162" s="93" t="s">
        <v>20</v>
      </c>
      <c r="L162" s="93">
        <v>1</v>
      </c>
      <c r="M162" s="103">
        <v>10304</v>
      </c>
      <c r="N162" s="103">
        <f t="shared" si="9"/>
        <v>10304</v>
      </c>
      <c r="O162" s="93" t="s">
        <v>21</v>
      </c>
      <c r="P162" s="93">
        <f t="shared" si="20"/>
        <v>141</v>
      </c>
    </row>
    <row r="163" spans="1:18" ht="15" customHeight="1" x14ac:dyDescent="0.25">
      <c r="A163" s="93" t="s">
        <v>2678</v>
      </c>
      <c r="B163" s="71">
        <v>46000</v>
      </c>
      <c r="C163" s="93">
        <f t="shared" si="22"/>
        <v>711</v>
      </c>
      <c r="D163" s="93">
        <v>1</v>
      </c>
      <c r="G163" s="94" t="s">
        <v>93</v>
      </c>
      <c r="H163" s="93" t="s">
        <v>4362</v>
      </c>
      <c r="I163" s="93">
        <v>3383</v>
      </c>
      <c r="J163" s="93">
        <v>112111</v>
      </c>
      <c r="K163" s="93" t="s">
        <v>20</v>
      </c>
      <c r="L163" s="93">
        <v>1</v>
      </c>
      <c r="M163" s="103">
        <v>2761200</v>
      </c>
      <c r="N163" s="103">
        <f t="shared" si="9"/>
        <v>2761200</v>
      </c>
      <c r="O163" s="93" t="s">
        <v>21</v>
      </c>
      <c r="P163" s="93">
        <f t="shared" si="20"/>
        <v>142</v>
      </c>
    </row>
    <row r="164" spans="1:18" ht="15" customHeight="1" x14ac:dyDescent="0.25">
      <c r="A164" s="93" t="s">
        <v>2678</v>
      </c>
      <c r="B164" s="71">
        <v>46000</v>
      </c>
      <c r="C164" s="93">
        <f t="shared" ref="C164" si="23">C163+D164</f>
        <v>711</v>
      </c>
      <c r="D164" s="93">
        <v>0</v>
      </c>
      <c r="G164" s="94" t="s">
        <v>93</v>
      </c>
      <c r="H164" s="93" t="s">
        <v>4362</v>
      </c>
      <c r="I164" s="93">
        <v>8118</v>
      </c>
      <c r="J164" s="93">
        <v>112111</v>
      </c>
      <c r="K164" s="93" t="s">
        <v>20</v>
      </c>
      <c r="L164" s="93">
        <v>1</v>
      </c>
      <c r="M164" s="103">
        <v>4805</v>
      </c>
      <c r="N164" s="103">
        <f t="shared" si="9"/>
        <v>4805</v>
      </c>
      <c r="O164" s="93" t="s">
        <v>21</v>
      </c>
      <c r="P164" s="93">
        <f t="shared" si="20"/>
        <v>142</v>
      </c>
    </row>
    <row r="165" spans="1:18" ht="15" customHeight="1" x14ac:dyDescent="0.25">
      <c r="A165" s="93" t="s">
        <v>18</v>
      </c>
      <c r="B165" s="71">
        <v>46003</v>
      </c>
      <c r="C165" s="93">
        <f t="shared" ref="C165:C166" si="24">C164+D165</f>
        <v>712</v>
      </c>
      <c r="D165" s="93">
        <v>1</v>
      </c>
      <c r="G165" s="94" t="s">
        <v>43</v>
      </c>
      <c r="H165" s="93" t="s">
        <v>3161</v>
      </c>
      <c r="I165" s="93">
        <v>131</v>
      </c>
      <c r="J165" s="93">
        <v>5118</v>
      </c>
      <c r="K165" s="93" t="s">
        <v>20</v>
      </c>
      <c r="L165" s="93">
        <v>1</v>
      </c>
      <c r="M165" s="103">
        <v>12568220</v>
      </c>
      <c r="N165" s="103">
        <f t="shared" ref="N165" si="25">L165*M165</f>
        <v>12568220</v>
      </c>
      <c r="O165" s="93" t="s">
        <v>21</v>
      </c>
      <c r="P165" s="93">
        <f t="shared" si="20"/>
        <v>143</v>
      </c>
    </row>
    <row r="166" spans="1:18" ht="15" customHeight="1" x14ac:dyDescent="0.25">
      <c r="A166" s="93" t="s">
        <v>2679</v>
      </c>
      <c r="B166" s="71">
        <v>46003</v>
      </c>
      <c r="C166" s="93">
        <f t="shared" si="24"/>
        <v>713</v>
      </c>
      <c r="D166" s="93">
        <v>1</v>
      </c>
      <c r="G166" s="94" t="s">
        <v>43</v>
      </c>
      <c r="H166" s="93" t="s">
        <v>3162</v>
      </c>
      <c r="I166" s="93">
        <v>112111</v>
      </c>
      <c r="J166" s="93">
        <v>131</v>
      </c>
      <c r="K166" s="93" t="s">
        <v>20</v>
      </c>
      <c r="L166" s="93">
        <v>1</v>
      </c>
      <c r="M166" s="103">
        <v>12568220</v>
      </c>
      <c r="N166" s="103">
        <f t="shared" si="9"/>
        <v>12568220</v>
      </c>
      <c r="O166" s="93" t="s">
        <v>21</v>
      </c>
      <c r="P166" s="93">
        <f t="shared" si="20"/>
        <v>144</v>
      </c>
    </row>
    <row r="167" spans="1:18" ht="15" customHeight="1" x14ac:dyDescent="0.25">
      <c r="A167" s="93" t="s">
        <v>2679</v>
      </c>
      <c r="B167" s="71">
        <v>46003</v>
      </c>
      <c r="C167" s="93">
        <f t="shared" si="8"/>
        <v>714</v>
      </c>
      <c r="D167" s="93">
        <v>1</v>
      </c>
      <c r="G167" s="94" t="s">
        <v>82</v>
      </c>
      <c r="H167" s="93" t="s">
        <v>4289</v>
      </c>
      <c r="I167" s="93">
        <v>112111</v>
      </c>
      <c r="J167" s="93">
        <v>131</v>
      </c>
      <c r="K167" s="93" t="s">
        <v>20</v>
      </c>
      <c r="L167" s="93">
        <v>1</v>
      </c>
      <c r="M167" s="103">
        <v>67064516</v>
      </c>
      <c r="N167" s="103">
        <f t="shared" si="9"/>
        <v>67064516</v>
      </c>
      <c r="O167" s="93" t="s">
        <v>21</v>
      </c>
      <c r="P167" s="93">
        <f t="shared" si="20"/>
        <v>145</v>
      </c>
    </row>
    <row r="168" spans="1:18" ht="15" customHeight="1" x14ac:dyDescent="0.25">
      <c r="A168" s="93" t="s">
        <v>2678</v>
      </c>
      <c r="B168" s="71">
        <v>46016</v>
      </c>
      <c r="C168" s="93">
        <f t="shared" si="8"/>
        <v>715</v>
      </c>
      <c r="D168" s="93">
        <v>1</v>
      </c>
      <c r="G168" s="94" t="s">
        <v>4279</v>
      </c>
      <c r="H168" s="93" t="s">
        <v>4291</v>
      </c>
      <c r="I168" s="93">
        <v>333822</v>
      </c>
      <c r="J168" s="93">
        <v>112111</v>
      </c>
      <c r="K168" s="93" t="s">
        <v>20</v>
      </c>
      <c r="L168" s="93">
        <v>1</v>
      </c>
      <c r="M168" s="103">
        <v>9044010</v>
      </c>
      <c r="N168" s="103">
        <f t="shared" si="9"/>
        <v>9044010</v>
      </c>
      <c r="O168" s="93" t="s">
        <v>21</v>
      </c>
      <c r="P168" s="93">
        <f t="shared" si="20"/>
        <v>146</v>
      </c>
    </row>
    <row r="169" spans="1:18" ht="15" customHeight="1" x14ac:dyDescent="0.25">
      <c r="A169" s="93" t="s">
        <v>2678</v>
      </c>
      <c r="B169" s="71">
        <v>46016</v>
      </c>
      <c r="C169" s="93">
        <f t="shared" si="8"/>
        <v>716</v>
      </c>
      <c r="D169" s="93">
        <v>1</v>
      </c>
      <c r="G169" s="94" t="s">
        <v>4279</v>
      </c>
      <c r="H169" s="93" t="s">
        <v>4291</v>
      </c>
      <c r="I169" s="93">
        <v>8118</v>
      </c>
      <c r="J169" s="93">
        <v>112111</v>
      </c>
      <c r="K169" s="93" t="s">
        <v>20</v>
      </c>
      <c r="L169" s="93">
        <v>1</v>
      </c>
      <c r="M169" s="103">
        <v>3217</v>
      </c>
      <c r="N169" s="103">
        <f t="shared" si="9"/>
        <v>3217</v>
      </c>
      <c r="O169" s="93" t="s">
        <v>21</v>
      </c>
      <c r="P169" s="93">
        <f t="shared" si="20"/>
        <v>147</v>
      </c>
    </row>
    <row r="170" spans="1:18" ht="15" customHeight="1" x14ac:dyDescent="0.25">
      <c r="A170" s="93" t="s">
        <v>2678</v>
      </c>
      <c r="B170" s="71">
        <v>46016</v>
      </c>
      <c r="C170" s="93">
        <f t="shared" si="8"/>
        <v>717</v>
      </c>
      <c r="D170" s="93">
        <v>1</v>
      </c>
      <c r="G170" s="94" t="s">
        <v>4279</v>
      </c>
      <c r="H170" s="93" t="s">
        <v>4291</v>
      </c>
      <c r="I170" s="93">
        <v>8118</v>
      </c>
      <c r="J170" s="93">
        <v>112111</v>
      </c>
      <c r="K170" s="93" t="s">
        <v>20</v>
      </c>
      <c r="L170" s="93">
        <v>1</v>
      </c>
      <c r="M170" s="103">
        <v>6433</v>
      </c>
      <c r="N170" s="103">
        <f t="shared" si="9"/>
        <v>6433</v>
      </c>
      <c r="O170" s="93" t="s">
        <v>21</v>
      </c>
      <c r="P170" s="93">
        <f t="shared" si="20"/>
        <v>148</v>
      </c>
    </row>
    <row r="171" spans="1:18" ht="15" customHeight="1" x14ac:dyDescent="0.25">
      <c r="A171" s="93" t="s">
        <v>2679</v>
      </c>
      <c r="B171" s="71">
        <v>46018</v>
      </c>
      <c r="C171" s="93">
        <f t="shared" si="8"/>
        <v>718</v>
      </c>
      <c r="D171" s="93">
        <v>1</v>
      </c>
      <c r="G171" s="94" t="s">
        <v>2680</v>
      </c>
      <c r="H171" s="93" t="s">
        <v>2687</v>
      </c>
      <c r="I171" s="93">
        <v>112111</v>
      </c>
      <c r="J171" s="93">
        <v>5154</v>
      </c>
      <c r="K171" s="93" t="s">
        <v>20</v>
      </c>
      <c r="L171" s="93">
        <v>1</v>
      </c>
      <c r="M171" s="103">
        <v>3845</v>
      </c>
      <c r="N171" s="103">
        <f t="shared" si="9"/>
        <v>3845</v>
      </c>
      <c r="O171" s="93" t="s">
        <v>21</v>
      </c>
      <c r="P171" s="93">
        <f t="shared" si="20"/>
        <v>149</v>
      </c>
    </row>
    <row r="172" spans="1:18" ht="15" customHeight="1" x14ac:dyDescent="0.25">
      <c r="A172" s="93" t="s">
        <v>2679</v>
      </c>
      <c r="B172" s="71">
        <v>46008</v>
      </c>
      <c r="C172" s="93">
        <f t="shared" ref="C172:C235" si="26">C171+D172</f>
        <v>719</v>
      </c>
      <c r="D172" s="93">
        <v>1</v>
      </c>
      <c r="G172" s="94" t="s">
        <v>45</v>
      </c>
      <c r="H172" s="93" t="s">
        <v>4369</v>
      </c>
      <c r="I172" s="93">
        <v>112121</v>
      </c>
      <c r="J172" s="93">
        <v>131</v>
      </c>
      <c r="K172" s="93" t="s">
        <v>20</v>
      </c>
      <c r="L172" s="93">
        <v>1</v>
      </c>
      <c r="M172" s="103">
        <v>17032258</v>
      </c>
      <c r="N172" s="103">
        <f t="shared" si="9"/>
        <v>17032258</v>
      </c>
      <c r="O172" s="93" t="s">
        <v>21</v>
      </c>
      <c r="P172" s="93">
        <f t="shared" si="20"/>
        <v>150</v>
      </c>
      <c r="R172" s="104"/>
    </row>
    <row r="173" spans="1:18" ht="15" customHeight="1" x14ac:dyDescent="0.25">
      <c r="A173" s="93" t="s">
        <v>2679</v>
      </c>
      <c r="B173" s="71">
        <v>46009</v>
      </c>
      <c r="C173" s="93">
        <f t="shared" si="26"/>
        <v>720</v>
      </c>
      <c r="D173" s="93">
        <v>1</v>
      </c>
      <c r="G173" s="94" t="s">
        <v>43</v>
      </c>
      <c r="H173" s="93" t="s">
        <v>3161</v>
      </c>
      <c r="I173" s="93">
        <v>131</v>
      </c>
      <c r="J173" s="93">
        <v>5118</v>
      </c>
      <c r="K173" s="93" t="s">
        <v>20</v>
      </c>
      <c r="L173" s="93">
        <v>1</v>
      </c>
      <c r="M173" s="103">
        <v>51696315</v>
      </c>
      <c r="N173" s="103">
        <f t="shared" ref="N173:N182" si="27">L173*M173</f>
        <v>51696315</v>
      </c>
      <c r="O173" s="93" t="s">
        <v>21</v>
      </c>
      <c r="P173" s="93">
        <f t="shared" si="20"/>
        <v>151</v>
      </c>
    </row>
    <row r="174" spans="1:18" ht="15" customHeight="1" x14ac:dyDescent="0.25">
      <c r="A174" s="93" t="s">
        <v>2679</v>
      </c>
      <c r="B174" s="71">
        <v>46009</v>
      </c>
      <c r="C174" s="93">
        <f t="shared" si="26"/>
        <v>721</v>
      </c>
      <c r="D174" s="93">
        <v>1</v>
      </c>
      <c r="G174" s="94" t="s">
        <v>43</v>
      </c>
      <c r="H174" s="93" t="s">
        <v>3162</v>
      </c>
      <c r="I174" s="93">
        <v>112121</v>
      </c>
      <c r="J174" s="93">
        <v>131</v>
      </c>
      <c r="K174" s="93" t="s">
        <v>20</v>
      </c>
      <c r="L174" s="93">
        <v>1</v>
      </c>
      <c r="M174" s="103">
        <v>51696315</v>
      </c>
      <c r="N174" s="103">
        <f t="shared" si="27"/>
        <v>51696315</v>
      </c>
      <c r="O174" s="93" t="s">
        <v>21</v>
      </c>
      <c r="P174" s="93">
        <f t="shared" si="20"/>
        <v>152</v>
      </c>
    </row>
    <row r="175" spans="1:18" ht="15" customHeight="1" x14ac:dyDescent="0.25">
      <c r="A175" s="93" t="s">
        <v>2679</v>
      </c>
      <c r="B175" s="71">
        <v>46011</v>
      </c>
      <c r="C175" s="93">
        <f t="shared" si="26"/>
        <v>722</v>
      </c>
      <c r="D175" s="93">
        <v>1</v>
      </c>
      <c r="G175" s="94" t="s">
        <v>43</v>
      </c>
      <c r="H175" s="93" t="s">
        <v>3161</v>
      </c>
      <c r="I175" s="93">
        <v>131</v>
      </c>
      <c r="J175" s="93">
        <v>5118</v>
      </c>
      <c r="K175" s="93" t="s">
        <v>20</v>
      </c>
      <c r="L175" s="93">
        <v>1</v>
      </c>
      <c r="M175" s="103">
        <v>11517919</v>
      </c>
      <c r="N175" s="103">
        <f t="shared" si="27"/>
        <v>11517919</v>
      </c>
      <c r="O175" s="93" t="s">
        <v>21</v>
      </c>
      <c r="P175" s="93">
        <f t="shared" si="20"/>
        <v>153</v>
      </c>
    </row>
    <row r="176" spans="1:18" ht="15" customHeight="1" x14ac:dyDescent="0.25">
      <c r="A176" s="93" t="s">
        <v>2679</v>
      </c>
      <c r="B176" s="71">
        <v>46011</v>
      </c>
      <c r="C176" s="93">
        <f t="shared" si="26"/>
        <v>723</v>
      </c>
      <c r="D176" s="93">
        <v>1</v>
      </c>
      <c r="G176" s="94" t="s">
        <v>43</v>
      </c>
      <c r="H176" s="93" t="s">
        <v>3162</v>
      </c>
      <c r="I176" s="93">
        <v>112121</v>
      </c>
      <c r="J176" s="93">
        <v>131</v>
      </c>
      <c r="K176" s="93" t="s">
        <v>20</v>
      </c>
      <c r="L176" s="93">
        <v>1</v>
      </c>
      <c r="M176" s="103">
        <v>11517919</v>
      </c>
      <c r="N176" s="103">
        <f t="shared" si="27"/>
        <v>11517919</v>
      </c>
      <c r="O176" s="93" t="s">
        <v>21</v>
      </c>
      <c r="P176" s="93">
        <f t="shared" si="20"/>
        <v>154</v>
      </c>
    </row>
    <row r="177" spans="1:16" ht="15" customHeight="1" x14ac:dyDescent="0.25">
      <c r="A177" s="93" t="s">
        <v>2679</v>
      </c>
      <c r="B177" s="71">
        <v>46013</v>
      </c>
      <c r="C177" s="93">
        <f t="shared" si="26"/>
        <v>724</v>
      </c>
      <c r="D177" s="93">
        <v>1</v>
      </c>
      <c r="G177" s="94" t="s">
        <v>43</v>
      </c>
      <c r="H177" s="93" t="s">
        <v>3161</v>
      </c>
      <c r="I177" s="93">
        <v>131</v>
      </c>
      <c r="J177" s="93">
        <v>5118</v>
      </c>
      <c r="K177" s="93" t="s">
        <v>20</v>
      </c>
      <c r="L177" s="93">
        <v>1</v>
      </c>
      <c r="M177" s="103">
        <v>18391192</v>
      </c>
      <c r="N177" s="103">
        <f t="shared" si="27"/>
        <v>18391192</v>
      </c>
      <c r="O177" s="93" t="s">
        <v>21</v>
      </c>
      <c r="P177" s="93">
        <f t="shared" si="20"/>
        <v>155</v>
      </c>
    </row>
    <row r="178" spans="1:16" ht="15" customHeight="1" x14ac:dyDescent="0.25">
      <c r="A178" s="93" t="s">
        <v>2679</v>
      </c>
      <c r="B178" s="71">
        <v>46013</v>
      </c>
      <c r="C178" s="93">
        <f t="shared" si="26"/>
        <v>725</v>
      </c>
      <c r="D178" s="93">
        <v>1</v>
      </c>
      <c r="G178" s="94" t="s">
        <v>43</v>
      </c>
      <c r="H178" s="93" t="s">
        <v>3162</v>
      </c>
      <c r="I178" s="93">
        <v>112121</v>
      </c>
      <c r="J178" s="93">
        <v>131</v>
      </c>
      <c r="K178" s="93" t="s">
        <v>20</v>
      </c>
      <c r="L178" s="93">
        <v>1</v>
      </c>
      <c r="M178" s="103">
        <v>18391192</v>
      </c>
      <c r="N178" s="103">
        <f t="shared" si="27"/>
        <v>18391192</v>
      </c>
      <c r="O178" s="93" t="s">
        <v>21</v>
      </c>
      <c r="P178" s="93">
        <f t="shared" si="20"/>
        <v>156</v>
      </c>
    </row>
    <row r="179" spans="1:16" ht="15" customHeight="1" x14ac:dyDescent="0.25">
      <c r="A179" s="93" t="s">
        <v>2679</v>
      </c>
      <c r="B179" s="71">
        <v>46021</v>
      </c>
      <c r="C179" s="93">
        <f t="shared" si="26"/>
        <v>726</v>
      </c>
      <c r="D179" s="93">
        <v>1</v>
      </c>
      <c r="G179" s="94" t="s">
        <v>43</v>
      </c>
      <c r="H179" s="93" t="s">
        <v>3161</v>
      </c>
      <c r="I179" s="93">
        <v>131</v>
      </c>
      <c r="J179" s="93">
        <v>5118</v>
      </c>
      <c r="K179" s="93" t="s">
        <v>20</v>
      </c>
      <c r="L179" s="93">
        <v>1</v>
      </c>
      <c r="M179" s="103">
        <v>10731578</v>
      </c>
      <c r="N179" s="103">
        <f t="shared" si="27"/>
        <v>10731578</v>
      </c>
      <c r="O179" s="93" t="s">
        <v>21</v>
      </c>
      <c r="P179" s="93">
        <f t="shared" si="20"/>
        <v>157</v>
      </c>
    </row>
    <row r="180" spans="1:16" ht="15" customHeight="1" x14ac:dyDescent="0.25">
      <c r="A180" s="93" t="s">
        <v>2679</v>
      </c>
      <c r="B180" s="71">
        <v>46021</v>
      </c>
      <c r="C180" s="93">
        <f t="shared" si="26"/>
        <v>727</v>
      </c>
      <c r="D180" s="93">
        <v>1</v>
      </c>
      <c r="G180" s="94" t="s">
        <v>43</v>
      </c>
      <c r="H180" s="93" t="s">
        <v>3162</v>
      </c>
      <c r="I180" s="93">
        <v>112121</v>
      </c>
      <c r="J180" s="93">
        <v>131</v>
      </c>
      <c r="K180" s="93" t="s">
        <v>20</v>
      </c>
      <c r="L180" s="93">
        <v>1</v>
      </c>
      <c r="M180" s="103">
        <v>10731578</v>
      </c>
      <c r="N180" s="103">
        <f t="shared" si="27"/>
        <v>10731578</v>
      </c>
      <c r="O180" s="93" t="s">
        <v>21</v>
      </c>
      <c r="P180" s="93">
        <f t="shared" si="20"/>
        <v>158</v>
      </c>
    </row>
    <row r="181" spans="1:16" ht="15" customHeight="1" x14ac:dyDescent="0.25">
      <c r="A181" s="93" t="s">
        <v>2679</v>
      </c>
      <c r="B181" s="71">
        <v>46022</v>
      </c>
      <c r="C181" s="93">
        <f t="shared" si="26"/>
        <v>728</v>
      </c>
      <c r="D181" s="93">
        <v>1</v>
      </c>
      <c r="G181" s="94" t="s">
        <v>2680</v>
      </c>
      <c r="H181" s="93" t="s">
        <v>2687</v>
      </c>
      <c r="I181" s="93">
        <v>112121</v>
      </c>
      <c r="J181" s="93">
        <v>5154</v>
      </c>
      <c r="K181" s="93" t="s">
        <v>20</v>
      </c>
      <c r="L181" s="93">
        <v>1</v>
      </c>
      <c r="M181" s="103">
        <v>3325</v>
      </c>
      <c r="N181" s="103">
        <f t="shared" si="27"/>
        <v>3325</v>
      </c>
      <c r="O181" s="93" t="s">
        <v>21</v>
      </c>
      <c r="P181" s="93">
        <f t="shared" si="20"/>
        <v>159</v>
      </c>
    </row>
    <row r="182" spans="1:16" ht="15" customHeight="1" x14ac:dyDescent="0.25">
      <c r="A182" s="93" t="s">
        <v>2679</v>
      </c>
      <c r="B182" s="71">
        <v>46022</v>
      </c>
      <c r="C182" s="93">
        <f t="shared" si="26"/>
        <v>729</v>
      </c>
      <c r="D182" s="93">
        <v>1</v>
      </c>
      <c r="G182" s="94" t="s">
        <v>110</v>
      </c>
      <c r="H182" s="93" t="s">
        <v>4292</v>
      </c>
      <c r="I182" s="93">
        <v>112121</v>
      </c>
      <c r="J182" s="93">
        <v>131</v>
      </c>
      <c r="K182" s="93" t="s">
        <v>20</v>
      </c>
      <c r="L182" s="93">
        <v>1</v>
      </c>
      <c r="M182" s="103">
        <v>53225807</v>
      </c>
      <c r="N182" s="103">
        <f t="shared" si="27"/>
        <v>53225807</v>
      </c>
      <c r="O182" s="93" t="s">
        <v>21</v>
      </c>
      <c r="P182" s="93">
        <f t="shared" si="20"/>
        <v>160</v>
      </c>
    </row>
    <row r="183" spans="1:16" ht="15" customHeight="1" x14ac:dyDescent="0.25">
      <c r="A183" s="93" t="s">
        <v>2719</v>
      </c>
      <c r="B183" s="71" t="s">
        <v>442</v>
      </c>
      <c r="C183" s="93">
        <f t="shared" si="26"/>
        <v>730</v>
      </c>
      <c r="D183" s="93">
        <v>1</v>
      </c>
      <c r="G183" s="94" t="s">
        <v>115</v>
      </c>
      <c r="H183" s="93" t="s">
        <v>4293</v>
      </c>
      <c r="I183" s="93">
        <v>331</v>
      </c>
      <c r="J183" s="93">
        <v>1111</v>
      </c>
      <c r="K183" s="93" t="s">
        <v>20</v>
      </c>
      <c r="L183" s="93">
        <v>1</v>
      </c>
      <c r="M183" s="103">
        <v>34000</v>
      </c>
      <c r="N183" s="103">
        <v>34000</v>
      </c>
      <c r="O183" s="93" t="s">
        <v>21</v>
      </c>
      <c r="P183" s="93">
        <f t="shared" si="20"/>
        <v>161</v>
      </c>
    </row>
    <row r="184" spans="1:16" ht="15" customHeight="1" x14ac:dyDescent="0.25">
      <c r="A184" s="93" t="s">
        <v>2719</v>
      </c>
      <c r="B184" s="71" t="s">
        <v>308</v>
      </c>
      <c r="C184" s="93">
        <f t="shared" si="26"/>
        <v>731</v>
      </c>
      <c r="D184" s="93">
        <v>1</v>
      </c>
      <c r="G184" s="94" t="s">
        <v>115</v>
      </c>
      <c r="H184" s="93" t="s">
        <v>4294</v>
      </c>
      <c r="I184" s="93">
        <v>331</v>
      </c>
      <c r="J184" s="93">
        <v>1111</v>
      </c>
      <c r="K184" s="93" t="s">
        <v>20</v>
      </c>
      <c r="L184" s="93">
        <v>1</v>
      </c>
      <c r="M184" s="103">
        <v>51000</v>
      </c>
      <c r="N184" s="103">
        <v>51000</v>
      </c>
      <c r="O184" s="93" t="s">
        <v>21</v>
      </c>
      <c r="P184" s="93">
        <f t="shared" si="20"/>
        <v>162</v>
      </c>
    </row>
    <row r="185" spans="1:16" ht="15" customHeight="1" x14ac:dyDescent="0.25">
      <c r="A185" s="93" t="s">
        <v>2719</v>
      </c>
      <c r="B185" s="71" t="s">
        <v>443</v>
      </c>
      <c r="C185" s="93">
        <f t="shared" si="26"/>
        <v>732</v>
      </c>
      <c r="D185" s="93">
        <v>1</v>
      </c>
      <c r="G185" s="94" t="s">
        <v>115</v>
      </c>
      <c r="H185" s="93" t="s">
        <v>4295</v>
      </c>
      <c r="I185" s="93">
        <v>331</v>
      </c>
      <c r="J185" s="93">
        <v>1111</v>
      </c>
      <c r="K185" s="93" t="s">
        <v>20</v>
      </c>
      <c r="L185" s="93">
        <v>1</v>
      </c>
      <c r="M185" s="103">
        <v>62000</v>
      </c>
      <c r="N185" s="103">
        <v>62000</v>
      </c>
      <c r="O185" s="93" t="s">
        <v>21</v>
      </c>
      <c r="P185" s="93">
        <f t="shared" si="20"/>
        <v>163</v>
      </c>
    </row>
    <row r="186" spans="1:16" ht="15" customHeight="1" x14ac:dyDescent="0.25">
      <c r="A186" s="93" t="s">
        <v>2719</v>
      </c>
      <c r="B186" s="71" t="s">
        <v>443</v>
      </c>
      <c r="C186" s="93">
        <f t="shared" si="26"/>
        <v>733</v>
      </c>
      <c r="D186" s="93">
        <v>1</v>
      </c>
      <c r="G186" s="94" t="s">
        <v>115</v>
      </c>
      <c r="H186" s="93" t="s">
        <v>4296</v>
      </c>
      <c r="I186" s="93">
        <v>331</v>
      </c>
      <c r="J186" s="93">
        <v>1111</v>
      </c>
      <c r="K186" s="93" t="s">
        <v>20</v>
      </c>
      <c r="L186" s="93">
        <v>1</v>
      </c>
      <c r="M186" s="103">
        <v>115000</v>
      </c>
      <c r="N186" s="103">
        <v>115000</v>
      </c>
      <c r="O186" s="93" t="s">
        <v>21</v>
      </c>
      <c r="P186" s="93">
        <f t="shared" si="20"/>
        <v>164</v>
      </c>
    </row>
    <row r="187" spans="1:16" ht="15" customHeight="1" x14ac:dyDescent="0.25">
      <c r="A187" s="93" t="s">
        <v>2719</v>
      </c>
      <c r="B187" s="71" t="s">
        <v>444</v>
      </c>
      <c r="C187" s="93">
        <f t="shared" si="26"/>
        <v>734</v>
      </c>
      <c r="D187" s="93">
        <v>1</v>
      </c>
      <c r="G187" s="94" t="s">
        <v>115</v>
      </c>
      <c r="H187" s="93" t="s">
        <v>4297</v>
      </c>
      <c r="I187" s="93">
        <v>331</v>
      </c>
      <c r="J187" s="93">
        <v>1111</v>
      </c>
      <c r="K187" s="93" t="s">
        <v>20</v>
      </c>
      <c r="L187" s="93">
        <v>1</v>
      </c>
      <c r="M187" s="103">
        <v>42000</v>
      </c>
      <c r="N187" s="103">
        <v>42000</v>
      </c>
      <c r="O187" s="93" t="s">
        <v>21</v>
      </c>
      <c r="P187" s="93">
        <f t="shared" si="20"/>
        <v>165</v>
      </c>
    </row>
    <row r="188" spans="1:16" ht="15" customHeight="1" x14ac:dyDescent="0.25">
      <c r="A188" s="93" t="s">
        <v>2719</v>
      </c>
      <c r="B188" s="71" t="s">
        <v>444</v>
      </c>
      <c r="C188" s="93">
        <f t="shared" si="26"/>
        <v>735</v>
      </c>
      <c r="D188" s="93">
        <v>1</v>
      </c>
      <c r="G188" s="94" t="s">
        <v>115</v>
      </c>
      <c r="H188" s="93" t="s">
        <v>4298</v>
      </c>
      <c r="I188" s="93">
        <v>331</v>
      </c>
      <c r="J188" s="93">
        <v>1111</v>
      </c>
      <c r="K188" s="93" t="s">
        <v>20</v>
      </c>
      <c r="L188" s="93">
        <v>1</v>
      </c>
      <c r="M188" s="103">
        <v>60000</v>
      </c>
      <c r="N188" s="103">
        <v>60000</v>
      </c>
      <c r="O188" s="93" t="s">
        <v>21</v>
      </c>
      <c r="P188" s="93">
        <f t="shared" si="20"/>
        <v>166</v>
      </c>
    </row>
    <row r="189" spans="1:16" ht="15" customHeight="1" x14ac:dyDescent="0.25">
      <c r="A189" s="93" t="s">
        <v>2719</v>
      </c>
      <c r="B189" s="71" t="s">
        <v>444</v>
      </c>
      <c r="C189" s="93">
        <f t="shared" si="26"/>
        <v>736</v>
      </c>
      <c r="D189" s="93">
        <v>1</v>
      </c>
      <c r="G189" s="94" t="s">
        <v>115</v>
      </c>
      <c r="H189" s="93" t="s">
        <v>4299</v>
      </c>
      <c r="I189" s="93">
        <v>331</v>
      </c>
      <c r="J189" s="93">
        <v>1111</v>
      </c>
      <c r="K189" s="93" t="s">
        <v>20</v>
      </c>
      <c r="L189" s="93">
        <v>1</v>
      </c>
      <c r="M189" s="103">
        <v>60000</v>
      </c>
      <c r="N189" s="103">
        <v>60000</v>
      </c>
      <c r="O189" s="93" t="s">
        <v>21</v>
      </c>
      <c r="P189" s="93">
        <f t="shared" si="20"/>
        <v>167</v>
      </c>
    </row>
    <row r="190" spans="1:16" ht="15" customHeight="1" x14ac:dyDescent="0.25">
      <c r="A190" s="93" t="s">
        <v>2719</v>
      </c>
      <c r="B190" s="71" t="s">
        <v>444</v>
      </c>
      <c r="C190" s="93">
        <f t="shared" si="26"/>
        <v>737</v>
      </c>
      <c r="D190" s="93">
        <v>1</v>
      </c>
      <c r="G190" s="94" t="s">
        <v>115</v>
      </c>
      <c r="H190" s="93" t="s">
        <v>4300</v>
      </c>
      <c r="I190" s="93">
        <v>331</v>
      </c>
      <c r="J190" s="93">
        <v>1111</v>
      </c>
      <c r="K190" s="93" t="s">
        <v>20</v>
      </c>
      <c r="L190" s="93">
        <v>1</v>
      </c>
      <c r="M190" s="103">
        <v>37000</v>
      </c>
      <c r="N190" s="103">
        <v>37000</v>
      </c>
      <c r="O190" s="93" t="s">
        <v>21</v>
      </c>
      <c r="P190" s="93">
        <f t="shared" si="20"/>
        <v>168</v>
      </c>
    </row>
    <row r="191" spans="1:16" ht="15" customHeight="1" x14ac:dyDescent="0.25">
      <c r="A191" s="93" t="s">
        <v>2719</v>
      </c>
      <c r="B191" s="71" t="s">
        <v>444</v>
      </c>
      <c r="C191" s="93">
        <f t="shared" si="26"/>
        <v>738</v>
      </c>
      <c r="D191" s="93">
        <v>1</v>
      </c>
      <c r="G191" s="94" t="s">
        <v>115</v>
      </c>
      <c r="H191" s="93" t="s">
        <v>4301</v>
      </c>
      <c r="I191" s="93">
        <v>331</v>
      </c>
      <c r="J191" s="93">
        <v>1111</v>
      </c>
      <c r="K191" s="93" t="s">
        <v>20</v>
      </c>
      <c r="L191" s="93">
        <v>1</v>
      </c>
      <c r="M191" s="103">
        <v>121000</v>
      </c>
      <c r="N191" s="103">
        <v>121000</v>
      </c>
      <c r="O191" s="93" t="s">
        <v>21</v>
      </c>
      <c r="P191" s="93">
        <f t="shared" si="20"/>
        <v>169</v>
      </c>
    </row>
    <row r="192" spans="1:16" ht="15" customHeight="1" x14ac:dyDescent="0.25">
      <c r="A192" s="93" t="s">
        <v>2719</v>
      </c>
      <c r="B192" s="71" t="s">
        <v>444</v>
      </c>
      <c r="C192" s="93">
        <f t="shared" si="26"/>
        <v>739</v>
      </c>
      <c r="D192" s="93">
        <v>1</v>
      </c>
      <c r="G192" s="94" t="s">
        <v>115</v>
      </c>
      <c r="H192" s="93" t="s">
        <v>4302</v>
      </c>
      <c r="I192" s="93">
        <v>331</v>
      </c>
      <c r="J192" s="93">
        <v>1111</v>
      </c>
      <c r="K192" s="93" t="s">
        <v>20</v>
      </c>
      <c r="L192" s="93">
        <v>1</v>
      </c>
      <c r="M192" s="103">
        <v>113000</v>
      </c>
      <c r="N192" s="103">
        <v>113000</v>
      </c>
      <c r="O192" s="93" t="s">
        <v>21</v>
      </c>
      <c r="P192" s="93">
        <f t="shared" si="20"/>
        <v>170</v>
      </c>
    </row>
    <row r="193" spans="1:16" ht="15" customHeight="1" x14ac:dyDescent="0.25">
      <c r="A193" s="93" t="s">
        <v>2719</v>
      </c>
      <c r="B193" s="71" t="s">
        <v>310</v>
      </c>
      <c r="C193" s="93">
        <f t="shared" si="26"/>
        <v>740</v>
      </c>
      <c r="D193" s="93">
        <v>1</v>
      </c>
      <c r="G193" s="94" t="s">
        <v>37</v>
      </c>
      <c r="H193" s="93" t="s">
        <v>4303</v>
      </c>
      <c r="I193" s="93">
        <v>331</v>
      </c>
      <c r="J193" s="93">
        <v>1111</v>
      </c>
      <c r="K193" s="93" t="s">
        <v>20</v>
      </c>
      <c r="L193" s="93">
        <v>1</v>
      </c>
      <c r="M193" s="103">
        <v>3240000</v>
      </c>
      <c r="N193" s="103">
        <v>3240000</v>
      </c>
      <c r="O193" s="93" t="s">
        <v>21</v>
      </c>
      <c r="P193" s="93">
        <f t="shared" si="20"/>
        <v>171</v>
      </c>
    </row>
    <row r="194" spans="1:16" ht="15" customHeight="1" x14ac:dyDescent="0.25">
      <c r="A194" s="93" t="s">
        <v>2719</v>
      </c>
      <c r="B194" s="71" t="s">
        <v>445</v>
      </c>
      <c r="C194" s="93">
        <f t="shared" si="26"/>
        <v>741</v>
      </c>
      <c r="D194" s="93">
        <v>1</v>
      </c>
      <c r="G194" s="94" t="s">
        <v>115</v>
      </c>
      <c r="H194" s="93" t="s">
        <v>4304</v>
      </c>
      <c r="I194" s="93">
        <v>331</v>
      </c>
      <c r="J194" s="93">
        <v>1111</v>
      </c>
      <c r="K194" s="93" t="s">
        <v>20</v>
      </c>
      <c r="L194" s="93">
        <v>1</v>
      </c>
      <c r="M194" s="103">
        <v>41000</v>
      </c>
      <c r="N194" s="103">
        <v>41000</v>
      </c>
      <c r="O194" s="93" t="s">
        <v>21</v>
      </c>
      <c r="P194" s="93">
        <f t="shared" si="20"/>
        <v>172</v>
      </c>
    </row>
    <row r="195" spans="1:16" ht="15" customHeight="1" x14ac:dyDescent="0.25">
      <c r="A195" s="93" t="s">
        <v>2719</v>
      </c>
      <c r="B195" s="71" t="s">
        <v>375</v>
      </c>
      <c r="C195" s="93">
        <f t="shared" si="26"/>
        <v>742</v>
      </c>
      <c r="D195" s="93">
        <v>1</v>
      </c>
      <c r="G195" s="94" t="s">
        <v>115</v>
      </c>
      <c r="H195" s="93" t="s">
        <v>4305</v>
      </c>
      <c r="I195" s="93">
        <v>331</v>
      </c>
      <c r="J195" s="93">
        <v>1111</v>
      </c>
      <c r="K195" s="93" t="s">
        <v>20</v>
      </c>
      <c r="L195" s="93">
        <v>1</v>
      </c>
      <c r="M195" s="103">
        <v>56000</v>
      </c>
      <c r="N195" s="103">
        <v>56000</v>
      </c>
      <c r="O195" s="93" t="s">
        <v>21</v>
      </c>
      <c r="P195" s="93">
        <f t="shared" si="20"/>
        <v>173</v>
      </c>
    </row>
    <row r="196" spans="1:16" ht="15" customHeight="1" x14ac:dyDescent="0.25">
      <c r="A196" s="93" t="s">
        <v>2719</v>
      </c>
      <c r="B196" s="71" t="s">
        <v>375</v>
      </c>
      <c r="C196" s="93">
        <f t="shared" si="26"/>
        <v>743</v>
      </c>
      <c r="D196" s="93">
        <v>1</v>
      </c>
      <c r="G196" s="94" t="s">
        <v>115</v>
      </c>
      <c r="H196" s="93" t="s">
        <v>4306</v>
      </c>
      <c r="I196" s="93">
        <v>331</v>
      </c>
      <c r="J196" s="93">
        <v>1111</v>
      </c>
      <c r="K196" s="93" t="s">
        <v>20</v>
      </c>
      <c r="L196" s="93">
        <v>1</v>
      </c>
      <c r="M196" s="103">
        <v>27000</v>
      </c>
      <c r="N196" s="103">
        <v>27000</v>
      </c>
      <c r="O196" s="93" t="s">
        <v>21</v>
      </c>
      <c r="P196" s="93">
        <f t="shared" si="20"/>
        <v>174</v>
      </c>
    </row>
    <row r="197" spans="1:16" ht="15" customHeight="1" x14ac:dyDescent="0.25">
      <c r="A197" s="93" t="s">
        <v>2719</v>
      </c>
      <c r="B197" s="71" t="s">
        <v>446</v>
      </c>
      <c r="C197" s="93">
        <f t="shared" si="26"/>
        <v>744</v>
      </c>
      <c r="D197" s="93">
        <v>1</v>
      </c>
      <c r="G197" s="94" t="s">
        <v>115</v>
      </c>
      <c r="H197" s="93" t="s">
        <v>4307</v>
      </c>
      <c r="I197" s="93">
        <v>331</v>
      </c>
      <c r="J197" s="93">
        <v>1111</v>
      </c>
      <c r="K197" s="93" t="s">
        <v>20</v>
      </c>
      <c r="L197" s="93">
        <v>1</v>
      </c>
      <c r="M197" s="103">
        <v>33000</v>
      </c>
      <c r="N197" s="103">
        <v>33000</v>
      </c>
      <c r="O197" s="93" t="s">
        <v>21</v>
      </c>
      <c r="P197" s="93">
        <f t="shared" si="20"/>
        <v>175</v>
      </c>
    </row>
    <row r="198" spans="1:16" ht="15" customHeight="1" x14ac:dyDescent="0.25">
      <c r="A198" s="93" t="s">
        <v>2719</v>
      </c>
      <c r="B198" s="71" t="s">
        <v>446</v>
      </c>
      <c r="C198" s="93">
        <f t="shared" si="26"/>
        <v>745</v>
      </c>
      <c r="D198" s="93">
        <v>1</v>
      </c>
      <c r="G198" s="94" t="s">
        <v>115</v>
      </c>
      <c r="H198" s="93" t="s">
        <v>4308</v>
      </c>
      <c r="I198" s="93">
        <v>331</v>
      </c>
      <c r="J198" s="93">
        <v>1111</v>
      </c>
      <c r="K198" s="93" t="s">
        <v>20</v>
      </c>
      <c r="L198" s="93">
        <v>1</v>
      </c>
      <c r="M198" s="103">
        <v>22000</v>
      </c>
      <c r="N198" s="103">
        <v>22000</v>
      </c>
      <c r="O198" s="93" t="s">
        <v>21</v>
      </c>
      <c r="P198" s="93">
        <f t="shared" si="20"/>
        <v>176</v>
      </c>
    </row>
    <row r="199" spans="1:16" ht="15" customHeight="1" x14ac:dyDescent="0.25">
      <c r="A199" s="93" t="s">
        <v>2719</v>
      </c>
      <c r="B199" s="71" t="s">
        <v>290</v>
      </c>
      <c r="C199" s="93">
        <f t="shared" si="26"/>
        <v>746</v>
      </c>
      <c r="D199" s="93">
        <v>1</v>
      </c>
      <c r="G199" s="94" t="s">
        <v>115</v>
      </c>
      <c r="H199" s="93" t="s">
        <v>4309</v>
      </c>
      <c r="I199" s="93">
        <v>331</v>
      </c>
      <c r="J199" s="93">
        <v>1111</v>
      </c>
      <c r="K199" s="93" t="s">
        <v>20</v>
      </c>
      <c r="L199" s="93">
        <v>1</v>
      </c>
      <c r="M199" s="103">
        <v>22000</v>
      </c>
      <c r="N199" s="103">
        <v>22000</v>
      </c>
      <c r="O199" s="93" t="s">
        <v>21</v>
      </c>
      <c r="P199" s="93">
        <f t="shared" si="20"/>
        <v>177</v>
      </c>
    </row>
    <row r="200" spans="1:16" ht="15" customHeight="1" x14ac:dyDescent="0.25">
      <c r="A200" s="93" t="s">
        <v>2719</v>
      </c>
      <c r="B200" s="71" t="s">
        <v>413</v>
      </c>
      <c r="C200" s="93">
        <f t="shared" si="26"/>
        <v>747</v>
      </c>
      <c r="D200" s="93">
        <v>1</v>
      </c>
      <c r="G200" s="94" t="s">
        <v>115</v>
      </c>
      <c r="H200" s="93" t="s">
        <v>4310</v>
      </c>
      <c r="I200" s="93">
        <v>331</v>
      </c>
      <c r="J200" s="93">
        <v>1111</v>
      </c>
      <c r="K200" s="93" t="s">
        <v>20</v>
      </c>
      <c r="L200" s="93">
        <v>1</v>
      </c>
      <c r="M200" s="103">
        <v>22000</v>
      </c>
      <c r="N200" s="103">
        <v>22000</v>
      </c>
      <c r="O200" s="93" t="s">
        <v>21</v>
      </c>
      <c r="P200" s="93">
        <f t="shared" si="20"/>
        <v>178</v>
      </c>
    </row>
    <row r="201" spans="1:16" ht="15" customHeight="1" x14ac:dyDescent="0.25">
      <c r="A201" s="93" t="s">
        <v>2719</v>
      </c>
      <c r="B201" s="71" t="s">
        <v>447</v>
      </c>
      <c r="C201" s="93">
        <f t="shared" si="26"/>
        <v>748</v>
      </c>
      <c r="D201" s="93">
        <v>1</v>
      </c>
      <c r="G201" s="94" t="s">
        <v>115</v>
      </c>
      <c r="H201" s="93" t="s">
        <v>4311</v>
      </c>
      <c r="I201" s="93">
        <v>331</v>
      </c>
      <c r="J201" s="93">
        <v>1111</v>
      </c>
      <c r="K201" s="93" t="s">
        <v>20</v>
      </c>
      <c r="L201" s="93">
        <v>1</v>
      </c>
      <c r="M201" s="103">
        <v>22000</v>
      </c>
      <c r="N201" s="103">
        <v>22000</v>
      </c>
      <c r="O201" s="93" t="s">
        <v>21</v>
      </c>
      <c r="P201" s="93">
        <f t="shared" si="20"/>
        <v>179</v>
      </c>
    </row>
    <row r="202" spans="1:16" ht="15" customHeight="1" x14ac:dyDescent="0.25">
      <c r="A202" s="93" t="s">
        <v>2719</v>
      </c>
      <c r="B202" s="71" t="s">
        <v>448</v>
      </c>
      <c r="C202" s="93">
        <f t="shared" si="26"/>
        <v>749</v>
      </c>
      <c r="D202" s="93">
        <v>1</v>
      </c>
      <c r="G202" s="94" t="s">
        <v>115</v>
      </c>
      <c r="H202" s="93" t="s">
        <v>4312</v>
      </c>
      <c r="I202" s="93">
        <v>331</v>
      </c>
      <c r="J202" s="93">
        <v>1111</v>
      </c>
      <c r="K202" s="93" t="s">
        <v>20</v>
      </c>
      <c r="L202" s="93">
        <v>1</v>
      </c>
      <c r="M202" s="103">
        <v>36000</v>
      </c>
      <c r="N202" s="103">
        <v>36000</v>
      </c>
      <c r="O202" s="93" t="s">
        <v>21</v>
      </c>
      <c r="P202" s="93">
        <f t="shared" si="20"/>
        <v>180</v>
      </c>
    </row>
    <row r="203" spans="1:16" ht="15" customHeight="1" x14ac:dyDescent="0.25">
      <c r="A203" s="93" t="s">
        <v>2719</v>
      </c>
      <c r="B203" s="71" t="s">
        <v>448</v>
      </c>
      <c r="C203" s="93">
        <f t="shared" si="26"/>
        <v>750</v>
      </c>
      <c r="D203" s="93">
        <v>1</v>
      </c>
      <c r="G203" s="94" t="s">
        <v>115</v>
      </c>
      <c r="H203" s="93" t="s">
        <v>4313</v>
      </c>
      <c r="I203" s="93">
        <v>331</v>
      </c>
      <c r="J203" s="93">
        <v>1111</v>
      </c>
      <c r="K203" s="93" t="s">
        <v>20</v>
      </c>
      <c r="L203" s="93">
        <v>1</v>
      </c>
      <c r="M203" s="103">
        <v>77000</v>
      </c>
      <c r="N203" s="103">
        <v>77000</v>
      </c>
      <c r="O203" s="93" t="s">
        <v>21</v>
      </c>
      <c r="P203" s="93">
        <f t="shared" si="20"/>
        <v>181</v>
      </c>
    </row>
    <row r="204" spans="1:16" ht="15" customHeight="1" x14ac:dyDescent="0.25">
      <c r="A204" s="93" t="s">
        <v>2719</v>
      </c>
      <c r="B204" s="71" t="s">
        <v>312</v>
      </c>
      <c r="C204" s="93">
        <f t="shared" si="26"/>
        <v>751</v>
      </c>
      <c r="D204" s="93">
        <v>1</v>
      </c>
      <c r="G204" s="94" t="s">
        <v>115</v>
      </c>
      <c r="H204" s="93" t="s">
        <v>4314</v>
      </c>
      <c r="I204" s="93">
        <v>331</v>
      </c>
      <c r="J204" s="93">
        <v>1111</v>
      </c>
      <c r="K204" s="93" t="s">
        <v>20</v>
      </c>
      <c r="L204" s="93">
        <v>1</v>
      </c>
      <c r="M204" s="103">
        <v>52000</v>
      </c>
      <c r="N204" s="103">
        <v>52000</v>
      </c>
      <c r="O204" s="93" t="s">
        <v>21</v>
      </c>
      <c r="P204" s="93">
        <f t="shared" si="20"/>
        <v>182</v>
      </c>
    </row>
    <row r="205" spans="1:16" ht="15" customHeight="1" x14ac:dyDescent="0.25">
      <c r="A205" s="93" t="s">
        <v>2719</v>
      </c>
      <c r="B205" s="71" t="s">
        <v>312</v>
      </c>
      <c r="C205" s="93">
        <f t="shared" si="26"/>
        <v>752</v>
      </c>
      <c r="D205" s="93">
        <v>1</v>
      </c>
      <c r="G205" s="94" t="s">
        <v>115</v>
      </c>
      <c r="H205" s="93" t="s">
        <v>4315</v>
      </c>
      <c r="I205" s="93">
        <v>331</v>
      </c>
      <c r="J205" s="93">
        <v>1111</v>
      </c>
      <c r="K205" s="93" t="s">
        <v>20</v>
      </c>
      <c r="L205" s="93">
        <v>1</v>
      </c>
      <c r="M205" s="103">
        <v>65000</v>
      </c>
      <c r="N205" s="103">
        <v>65000</v>
      </c>
      <c r="O205" s="93" t="s">
        <v>21</v>
      </c>
      <c r="P205" s="93">
        <f t="shared" si="20"/>
        <v>183</v>
      </c>
    </row>
    <row r="206" spans="1:16" ht="15" customHeight="1" x14ac:dyDescent="0.25">
      <c r="A206" s="93" t="s">
        <v>2719</v>
      </c>
      <c r="B206" s="71" t="s">
        <v>291</v>
      </c>
      <c r="C206" s="93">
        <f t="shared" si="26"/>
        <v>753</v>
      </c>
      <c r="D206" s="93">
        <v>1</v>
      </c>
      <c r="G206" s="94" t="s">
        <v>278</v>
      </c>
      <c r="H206" s="93" t="s">
        <v>4316</v>
      </c>
      <c r="I206" s="93">
        <v>331</v>
      </c>
      <c r="J206" s="93">
        <v>1111</v>
      </c>
      <c r="K206" s="93" t="s">
        <v>20</v>
      </c>
      <c r="L206" s="93">
        <v>1</v>
      </c>
      <c r="M206" s="103">
        <v>62</v>
      </c>
      <c r="N206" s="103">
        <v>62</v>
      </c>
      <c r="O206" s="93" t="s">
        <v>21</v>
      </c>
      <c r="P206" s="93">
        <f t="shared" si="20"/>
        <v>184</v>
      </c>
    </row>
    <row r="207" spans="1:16" ht="15" customHeight="1" x14ac:dyDescent="0.25">
      <c r="A207" s="93" t="s">
        <v>2719</v>
      </c>
      <c r="B207" s="71" t="s">
        <v>449</v>
      </c>
      <c r="C207" s="93">
        <f t="shared" si="26"/>
        <v>754</v>
      </c>
      <c r="D207" s="93">
        <v>1</v>
      </c>
      <c r="G207" s="94" t="s">
        <v>115</v>
      </c>
      <c r="H207" s="93" t="s">
        <v>4317</v>
      </c>
      <c r="I207" s="93">
        <v>331</v>
      </c>
      <c r="J207" s="93">
        <v>1111</v>
      </c>
      <c r="K207" s="93" t="s">
        <v>20</v>
      </c>
      <c r="L207" s="93">
        <v>1</v>
      </c>
      <c r="M207" s="103">
        <v>46000</v>
      </c>
      <c r="N207" s="103">
        <v>46000</v>
      </c>
      <c r="O207" s="93" t="s">
        <v>21</v>
      </c>
      <c r="P207" s="93">
        <f t="shared" si="20"/>
        <v>185</v>
      </c>
    </row>
    <row r="208" spans="1:16" ht="15" customHeight="1" x14ac:dyDescent="0.25">
      <c r="A208" s="93" t="s">
        <v>2719</v>
      </c>
      <c r="B208" s="71" t="s">
        <v>449</v>
      </c>
      <c r="C208" s="93">
        <f t="shared" si="26"/>
        <v>755</v>
      </c>
      <c r="D208" s="93">
        <v>1</v>
      </c>
      <c r="G208" s="94" t="s">
        <v>53</v>
      </c>
      <c r="H208" s="93" t="s">
        <v>4318</v>
      </c>
      <c r="I208" s="93">
        <v>331</v>
      </c>
      <c r="J208" s="93">
        <v>1111</v>
      </c>
      <c r="K208" s="93" t="s">
        <v>20</v>
      </c>
      <c r="L208" s="93">
        <v>1</v>
      </c>
      <c r="M208" s="103">
        <v>1600560</v>
      </c>
      <c r="N208" s="103">
        <v>1600560</v>
      </c>
      <c r="O208" s="93" t="s">
        <v>21</v>
      </c>
      <c r="P208" s="93">
        <f t="shared" si="20"/>
        <v>186</v>
      </c>
    </row>
    <row r="209" spans="1:16" ht="15" customHeight="1" x14ac:dyDescent="0.25">
      <c r="A209" s="93" t="s">
        <v>2719</v>
      </c>
      <c r="B209" s="71" t="s">
        <v>450</v>
      </c>
      <c r="C209" s="93">
        <f t="shared" si="26"/>
        <v>756</v>
      </c>
      <c r="D209" s="93">
        <v>1</v>
      </c>
      <c r="G209" s="94" t="s">
        <v>115</v>
      </c>
      <c r="H209" s="93" t="s">
        <v>4319</v>
      </c>
      <c r="I209" s="93">
        <v>331</v>
      </c>
      <c r="J209" s="93">
        <v>1111</v>
      </c>
      <c r="K209" s="93" t="s">
        <v>20</v>
      </c>
      <c r="L209" s="93">
        <v>1</v>
      </c>
      <c r="M209" s="103">
        <v>56000</v>
      </c>
      <c r="N209" s="103">
        <v>56000</v>
      </c>
      <c r="O209" s="93" t="s">
        <v>21</v>
      </c>
      <c r="P209" s="93">
        <f t="shared" si="20"/>
        <v>187</v>
      </c>
    </row>
    <row r="210" spans="1:16" ht="15" customHeight="1" x14ac:dyDescent="0.25">
      <c r="A210" s="93" t="s">
        <v>2719</v>
      </c>
      <c r="B210" s="71" t="s">
        <v>313</v>
      </c>
      <c r="C210" s="93">
        <f t="shared" si="26"/>
        <v>757</v>
      </c>
      <c r="D210" s="93">
        <v>1</v>
      </c>
      <c r="G210" s="94" t="s">
        <v>458</v>
      </c>
      <c r="H210" s="93" t="s">
        <v>4320</v>
      </c>
      <c r="I210" s="93">
        <v>331</v>
      </c>
      <c r="J210" s="93">
        <v>1111</v>
      </c>
      <c r="K210" s="93" t="s">
        <v>20</v>
      </c>
      <c r="L210" s="93">
        <v>1</v>
      </c>
      <c r="M210" s="103">
        <v>1185034</v>
      </c>
      <c r="N210" s="103">
        <v>1185034</v>
      </c>
      <c r="O210" s="93" t="s">
        <v>21</v>
      </c>
      <c r="P210" s="93">
        <f t="shared" si="20"/>
        <v>188</v>
      </c>
    </row>
    <row r="211" spans="1:16" ht="15" customHeight="1" x14ac:dyDescent="0.25">
      <c r="A211" s="93" t="s">
        <v>2719</v>
      </c>
      <c r="B211" s="71" t="s">
        <v>314</v>
      </c>
      <c r="C211" s="93">
        <f t="shared" si="26"/>
        <v>758</v>
      </c>
      <c r="D211" s="93">
        <v>1</v>
      </c>
      <c r="G211" s="94" t="s">
        <v>459</v>
      </c>
      <c r="H211" s="93" t="s">
        <v>4321</v>
      </c>
      <c r="I211" s="93">
        <v>331</v>
      </c>
      <c r="J211" s="93">
        <v>1111</v>
      </c>
      <c r="K211" s="93" t="s">
        <v>20</v>
      </c>
      <c r="L211" s="93">
        <v>1</v>
      </c>
      <c r="M211" s="103">
        <v>584280</v>
      </c>
      <c r="N211" s="103">
        <v>584280</v>
      </c>
      <c r="O211" s="93" t="s">
        <v>21</v>
      </c>
      <c r="P211" s="93">
        <f t="shared" si="20"/>
        <v>189</v>
      </c>
    </row>
    <row r="212" spans="1:16" ht="15" customHeight="1" x14ac:dyDescent="0.25">
      <c r="A212" s="93" t="s">
        <v>2719</v>
      </c>
      <c r="B212" s="71" t="s">
        <v>316</v>
      </c>
      <c r="C212" s="93">
        <f t="shared" si="26"/>
        <v>759</v>
      </c>
      <c r="D212" s="93">
        <v>1</v>
      </c>
      <c r="G212" s="94" t="s">
        <v>37</v>
      </c>
      <c r="H212" s="93" t="s">
        <v>4322</v>
      </c>
      <c r="I212" s="93">
        <v>331</v>
      </c>
      <c r="J212" s="93">
        <v>1111</v>
      </c>
      <c r="K212" s="93" t="s">
        <v>20</v>
      </c>
      <c r="L212" s="93">
        <v>1</v>
      </c>
      <c r="M212" s="103">
        <v>3240000</v>
      </c>
      <c r="N212" s="103">
        <v>3240000</v>
      </c>
      <c r="O212" s="93" t="s">
        <v>21</v>
      </c>
      <c r="P212" s="93">
        <f t="shared" ref="P212:P246" si="28">P211+D212</f>
        <v>190</v>
      </c>
    </row>
    <row r="213" spans="1:16" ht="15" customHeight="1" x14ac:dyDescent="0.25">
      <c r="A213" s="93" t="s">
        <v>2719</v>
      </c>
      <c r="B213" s="71" t="s">
        <v>316</v>
      </c>
      <c r="C213" s="93">
        <f t="shared" si="26"/>
        <v>760</v>
      </c>
      <c r="D213" s="93">
        <v>1</v>
      </c>
      <c r="G213" s="94" t="s">
        <v>115</v>
      </c>
      <c r="H213" s="93" t="s">
        <v>4323</v>
      </c>
      <c r="I213" s="93">
        <v>331</v>
      </c>
      <c r="J213" s="93">
        <v>1111</v>
      </c>
      <c r="K213" s="93" t="s">
        <v>20</v>
      </c>
      <c r="L213" s="93">
        <v>1</v>
      </c>
      <c r="M213" s="103">
        <v>42000</v>
      </c>
      <c r="N213" s="103">
        <v>42000</v>
      </c>
      <c r="O213" s="93" t="s">
        <v>21</v>
      </c>
      <c r="P213" s="93">
        <f t="shared" si="28"/>
        <v>191</v>
      </c>
    </row>
    <row r="214" spans="1:16" ht="15" customHeight="1" x14ac:dyDescent="0.25">
      <c r="A214" s="93" t="s">
        <v>2719</v>
      </c>
      <c r="B214" s="71" t="s">
        <v>451</v>
      </c>
      <c r="C214" s="93">
        <f t="shared" si="26"/>
        <v>761</v>
      </c>
      <c r="D214" s="93">
        <v>1</v>
      </c>
      <c r="G214" s="94" t="s">
        <v>115</v>
      </c>
      <c r="H214" s="93" t="s">
        <v>4324</v>
      </c>
      <c r="I214" s="93">
        <v>331</v>
      </c>
      <c r="J214" s="93">
        <v>1111</v>
      </c>
      <c r="K214" s="93" t="s">
        <v>20</v>
      </c>
      <c r="L214" s="93">
        <v>1</v>
      </c>
      <c r="M214" s="103">
        <v>25000</v>
      </c>
      <c r="N214" s="103">
        <v>25000</v>
      </c>
      <c r="O214" s="93" t="s">
        <v>21</v>
      </c>
      <c r="P214" s="93">
        <f t="shared" si="28"/>
        <v>192</v>
      </c>
    </row>
    <row r="215" spans="1:16" ht="15" customHeight="1" x14ac:dyDescent="0.25">
      <c r="A215" s="93" t="s">
        <v>2719</v>
      </c>
      <c r="B215" s="71" t="s">
        <v>451</v>
      </c>
      <c r="C215" s="93">
        <f t="shared" si="26"/>
        <v>762</v>
      </c>
      <c r="D215" s="93">
        <v>1</v>
      </c>
      <c r="G215" s="94" t="s">
        <v>115</v>
      </c>
      <c r="H215" s="93" t="s">
        <v>4325</v>
      </c>
      <c r="I215" s="93">
        <v>331</v>
      </c>
      <c r="J215" s="93">
        <v>1111</v>
      </c>
      <c r="K215" s="93" t="s">
        <v>20</v>
      </c>
      <c r="L215" s="93">
        <v>1</v>
      </c>
      <c r="M215" s="103">
        <v>17000</v>
      </c>
      <c r="N215" s="103">
        <v>17000</v>
      </c>
      <c r="O215" s="93" t="s">
        <v>21</v>
      </c>
      <c r="P215" s="93">
        <f t="shared" si="28"/>
        <v>193</v>
      </c>
    </row>
    <row r="216" spans="1:16" ht="15" customHeight="1" x14ac:dyDescent="0.25">
      <c r="A216" s="93" t="s">
        <v>2719</v>
      </c>
      <c r="B216" s="71" t="s">
        <v>451</v>
      </c>
      <c r="C216" s="93">
        <f t="shared" si="26"/>
        <v>763</v>
      </c>
      <c r="D216" s="93">
        <v>1</v>
      </c>
      <c r="G216" s="94" t="s">
        <v>460</v>
      </c>
      <c r="H216" s="93" t="s">
        <v>4326</v>
      </c>
      <c r="I216" s="93">
        <v>331</v>
      </c>
      <c r="J216" s="93">
        <v>1111</v>
      </c>
      <c r="K216" s="93" t="s">
        <v>20</v>
      </c>
      <c r="L216" s="93">
        <v>1</v>
      </c>
      <c r="M216" s="103">
        <v>699840</v>
      </c>
      <c r="N216" s="103">
        <v>699840</v>
      </c>
      <c r="O216" s="93" t="s">
        <v>21</v>
      </c>
      <c r="P216" s="93">
        <f t="shared" si="28"/>
        <v>194</v>
      </c>
    </row>
    <row r="217" spans="1:16" ht="15" customHeight="1" x14ac:dyDescent="0.25">
      <c r="A217" s="93" t="s">
        <v>2719</v>
      </c>
      <c r="B217" s="71" t="s">
        <v>319</v>
      </c>
      <c r="C217" s="93">
        <f t="shared" si="26"/>
        <v>764</v>
      </c>
      <c r="D217" s="93">
        <v>1</v>
      </c>
      <c r="G217" s="94" t="s">
        <v>115</v>
      </c>
      <c r="H217" s="93" t="s">
        <v>4327</v>
      </c>
      <c r="I217" s="93">
        <v>331</v>
      </c>
      <c r="J217" s="93">
        <v>1111</v>
      </c>
      <c r="K217" s="93" t="s">
        <v>20</v>
      </c>
      <c r="L217" s="93">
        <v>1</v>
      </c>
      <c r="M217" s="103">
        <v>12000</v>
      </c>
      <c r="N217" s="103">
        <v>12000</v>
      </c>
      <c r="O217" s="93" t="s">
        <v>21</v>
      </c>
      <c r="P217" s="93">
        <f t="shared" si="28"/>
        <v>195</v>
      </c>
    </row>
    <row r="218" spans="1:16" ht="15" customHeight="1" x14ac:dyDescent="0.25">
      <c r="A218" s="93" t="s">
        <v>2719</v>
      </c>
      <c r="B218" s="71" t="s">
        <v>319</v>
      </c>
      <c r="C218" s="93">
        <f t="shared" si="26"/>
        <v>765</v>
      </c>
      <c r="D218" s="93">
        <v>1</v>
      </c>
      <c r="G218" s="94" t="s">
        <v>115</v>
      </c>
      <c r="H218" s="93" t="s">
        <v>4328</v>
      </c>
      <c r="I218" s="93">
        <v>331</v>
      </c>
      <c r="J218" s="93">
        <v>1111</v>
      </c>
      <c r="K218" s="93" t="s">
        <v>20</v>
      </c>
      <c r="L218" s="93">
        <v>1</v>
      </c>
      <c r="M218" s="103">
        <v>27000</v>
      </c>
      <c r="N218" s="103">
        <v>27000</v>
      </c>
      <c r="O218" s="93" t="s">
        <v>21</v>
      </c>
      <c r="P218" s="93">
        <f t="shared" si="28"/>
        <v>196</v>
      </c>
    </row>
    <row r="219" spans="1:16" ht="15" customHeight="1" x14ac:dyDescent="0.25">
      <c r="A219" s="93" t="s">
        <v>2719</v>
      </c>
      <c r="B219" s="71" t="s">
        <v>452</v>
      </c>
      <c r="C219" s="93">
        <f t="shared" si="26"/>
        <v>766</v>
      </c>
      <c r="D219" s="93">
        <v>1</v>
      </c>
      <c r="G219" s="94" t="s">
        <v>278</v>
      </c>
      <c r="H219" s="93" t="s">
        <v>4329</v>
      </c>
      <c r="I219" s="93">
        <v>331</v>
      </c>
      <c r="J219" s="93">
        <v>1111</v>
      </c>
      <c r="K219" s="93" t="s">
        <v>20</v>
      </c>
      <c r="L219" s="93">
        <v>1</v>
      </c>
      <c r="M219" s="103">
        <v>60</v>
      </c>
      <c r="N219" s="103">
        <v>60</v>
      </c>
      <c r="O219" s="93" t="s">
        <v>21</v>
      </c>
      <c r="P219" s="93">
        <f t="shared" si="28"/>
        <v>197</v>
      </c>
    </row>
    <row r="220" spans="1:16" ht="15" customHeight="1" x14ac:dyDescent="0.25">
      <c r="A220" s="93" t="s">
        <v>2719</v>
      </c>
      <c r="B220" s="71" t="s">
        <v>379</v>
      </c>
      <c r="C220" s="93">
        <f t="shared" si="26"/>
        <v>767</v>
      </c>
      <c r="D220" s="93">
        <v>1</v>
      </c>
      <c r="G220" s="94" t="s">
        <v>115</v>
      </c>
      <c r="H220" s="93" t="s">
        <v>4330</v>
      </c>
      <c r="I220" s="93">
        <v>331</v>
      </c>
      <c r="J220" s="93">
        <v>1111</v>
      </c>
      <c r="K220" s="93" t="s">
        <v>20</v>
      </c>
      <c r="L220" s="93">
        <v>1</v>
      </c>
      <c r="M220" s="103">
        <v>39000</v>
      </c>
      <c r="N220" s="103">
        <v>39000</v>
      </c>
      <c r="O220" s="93" t="s">
        <v>21</v>
      </c>
      <c r="P220" s="93">
        <f t="shared" si="28"/>
        <v>198</v>
      </c>
    </row>
    <row r="221" spans="1:16" ht="15" customHeight="1" x14ac:dyDescent="0.25">
      <c r="A221" s="93" t="s">
        <v>2719</v>
      </c>
      <c r="B221" s="71" t="s">
        <v>453</v>
      </c>
      <c r="C221" s="93">
        <f t="shared" si="26"/>
        <v>768</v>
      </c>
      <c r="D221" s="93">
        <v>1</v>
      </c>
      <c r="G221" s="94" t="s">
        <v>61</v>
      </c>
      <c r="H221" s="93" t="s">
        <v>4331</v>
      </c>
      <c r="I221" s="93">
        <v>331</v>
      </c>
      <c r="J221" s="93">
        <v>1111</v>
      </c>
      <c r="K221" s="93" t="s">
        <v>20</v>
      </c>
      <c r="L221" s="93">
        <v>1</v>
      </c>
      <c r="M221" s="103">
        <v>2387880</v>
      </c>
      <c r="N221" s="103">
        <v>2387880</v>
      </c>
      <c r="O221" s="93" t="s">
        <v>21</v>
      </c>
      <c r="P221" s="93">
        <f t="shared" si="28"/>
        <v>199</v>
      </c>
    </row>
    <row r="222" spans="1:16" ht="15" customHeight="1" x14ac:dyDescent="0.25">
      <c r="A222" s="93" t="s">
        <v>2719</v>
      </c>
      <c r="B222" s="71" t="s">
        <v>454</v>
      </c>
      <c r="C222" s="93">
        <f t="shared" si="26"/>
        <v>769</v>
      </c>
      <c r="D222" s="93">
        <v>1</v>
      </c>
      <c r="G222" s="94" t="s">
        <v>115</v>
      </c>
      <c r="H222" s="93" t="s">
        <v>4332</v>
      </c>
      <c r="I222" s="93">
        <v>331</v>
      </c>
      <c r="J222" s="93">
        <v>1111</v>
      </c>
      <c r="K222" s="93" t="s">
        <v>20</v>
      </c>
      <c r="L222" s="93">
        <v>1</v>
      </c>
      <c r="M222" s="103">
        <v>70000</v>
      </c>
      <c r="N222" s="103">
        <v>70000</v>
      </c>
      <c r="O222" s="93" t="s">
        <v>21</v>
      </c>
      <c r="P222" s="93">
        <f t="shared" si="28"/>
        <v>200</v>
      </c>
    </row>
    <row r="223" spans="1:16" ht="15" customHeight="1" x14ac:dyDescent="0.25">
      <c r="A223" s="93" t="s">
        <v>2719</v>
      </c>
      <c r="B223" s="71" t="s">
        <v>455</v>
      </c>
      <c r="C223" s="93">
        <f t="shared" si="26"/>
        <v>770</v>
      </c>
      <c r="D223" s="93">
        <v>1</v>
      </c>
      <c r="G223" s="94" t="s">
        <v>461</v>
      </c>
      <c r="H223" s="93" t="s">
        <v>4333</v>
      </c>
      <c r="I223" s="93">
        <v>331</v>
      </c>
      <c r="J223" s="93">
        <v>1111</v>
      </c>
      <c r="K223" s="93" t="s">
        <v>20</v>
      </c>
      <c r="L223" s="93">
        <v>1</v>
      </c>
      <c r="M223" s="103">
        <v>1159920</v>
      </c>
      <c r="N223" s="103">
        <v>1159920</v>
      </c>
      <c r="O223" s="93" t="s">
        <v>21</v>
      </c>
      <c r="P223" s="93">
        <f t="shared" si="28"/>
        <v>201</v>
      </c>
    </row>
    <row r="224" spans="1:16" ht="15" customHeight="1" x14ac:dyDescent="0.25">
      <c r="A224" s="93" t="s">
        <v>2719</v>
      </c>
      <c r="B224" s="71" t="s">
        <v>456</v>
      </c>
      <c r="C224" s="93">
        <f t="shared" si="26"/>
        <v>771</v>
      </c>
      <c r="D224" s="93">
        <v>1</v>
      </c>
      <c r="G224" s="94" t="s">
        <v>37</v>
      </c>
      <c r="H224" s="93" t="s">
        <v>4334</v>
      </c>
      <c r="I224" s="93">
        <v>331</v>
      </c>
      <c r="J224" s="93">
        <v>1111</v>
      </c>
      <c r="K224" s="93" t="s">
        <v>20</v>
      </c>
      <c r="L224" s="93">
        <v>1</v>
      </c>
      <c r="M224" s="103">
        <v>3240000</v>
      </c>
      <c r="N224" s="103">
        <v>3240000</v>
      </c>
      <c r="O224" s="93" t="s">
        <v>21</v>
      </c>
      <c r="P224" s="93">
        <f t="shared" si="28"/>
        <v>202</v>
      </c>
    </row>
    <row r="225" spans="1:16" ht="15" customHeight="1" x14ac:dyDescent="0.25">
      <c r="A225" s="93" t="s">
        <v>2719</v>
      </c>
      <c r="B225" s="71" t="s">
        <v>457</v>
      </c>
      <c r="C225" s="93">
        <f t="shared" si="26"/>
        <v>772</v>
      </c>
      <c r="D225" s="93">
        <v>1</v>
      </c>
      <c r="G225" s="94" t="s">
        <v>115</v>
      </c>
      <c r="H225" s="93" t="s">
        <v>4335</v>
      </c>
      <c r="I225" s="93">
        <v>331</v>
      </c>
      <c r="J225" s="93">
        <v>1111</v>
      </c>
      <c r="K225" s="93" t="s">
        <v>20</v>
      </c>
      <c r="L225" s="93">
        <v>1</v>
      </c>
      <c r="M225" s="103">
        <v>-25000</v>
      </c>
      <c r="N225" s="103">
        <v>-25000</v>
      </c>
      <c r="O225" s="93" t="s">
        <v>21</v>
      </c>
      <c r="P225" s="93">
        <f t="shared" si="28"/>
        <v>203</v>
      </c>
    </row>
    <row r="226" spans="1:16" ht="15" customHeight="1" x14ac:dyDescent="0.25">
      <c r="A226" s="93" t="s">
        <v>2719</v>
      </c>
      <c r="B226" s="71" t="s">
        <v>457</v>
      </c>
      <c r="C226" s="93">
        <f t="shared" si="26"/>
        <v>773</v>
      </c>
      <c r="D226" s="93">
        <v>1</v>
      </c>
      <c r="G226" s="94" t="s">
        <v>115</v>
      </c>
      <c r="H226" s="93" t="s">
        <v>4336</v>
      </c>
      <c r="I226" s="93">
        <v>331</v>
      </c>
      <c r="J226" s="93">
        <v>1111</v>
      </c>
      <c r="K226" s="93" t="s">
        <v>20</v>
      </c>
      <c r="L226" s="93">
        <v>1</v>
      </c>
      <c r="M226" s="103">
        <v>-12000</v>
      </c>
      <c r="N226" s="103">
        <v>-12000</v>
      </c>
      <c r="O226" s="93" t="s">
        <v>21</v>
      </c>
      <c r="P226" s="93">
        <f t="shared" si="28"/>
        <v>204</v>
      </c>
    </row>
    <row r="227" spans="1:16" ht="15" customHeight="1" x14ac:dyDescent="0.25">
      <c r="A227" s="93" t="s">
        <v>2719</v>
      </c>
      <c r="B227" s="71" t="s">
        <v>457</v>
      </c>
      <c r="C227" s="93">
        <f t="shared" si="26"/>
        <v>774</v>
      </c>
      <c r="D227" s="93">
        <v>1</v>
      </c>
      <c r="G227" s="94" t="s">
        <v>115</v>
      </c>
      <c r="H227" s="93" t="s">
        <v>4337</v>
      </c>
      <c r="I227" s="93">
        <v>331</v>
      </c>
      <c r="J227" s="93">
        <v>1111</v>
      </c>
      <c r="K227" s="93" t="s">
        <v>20</v>
      </c>
      <c r="L227" s="93">
        <v>1</v>
      </c>
      <c r="M227" s="103">
        <v>-12000</v>
      </c>
      <c r="N227" s="103">
        <v>-12000</v>
      </c>
      <c r="O227" s="93" t="s">
        <v>21</v>
      </c>
      <c r="P227" s="93">
        <f t="shared" si="28"/>
        <v>205</v>
      </c>
    </row>
    <row r="228" spans="1:16" ht="15" customHeight="1" x14ac:dyDescent="0.25">
      <c r="A228" s="93" t="s">
        <v>2719</v>
      </c>
      <c r="B228" s="71" t="s">
        <v>457</v>
      </c>
      <c r="C228" s="93">
        <f t="shared" si="26"/>
        <v>775</v>
      </c>
      <c r="D228" s="93">
        <v>1</v>
      </c>
      <c r="G228" s="94" t="s">
        <v>115</v>
      </c>
      <c r="H228" s="93" t="s">
        <v>4338</v>
      </c>
      <c r="I228" s="93">
        <v>331</v>
      </c>
      <c r="J228" s="93">
        <v>1111</v>
      </c>
      <c r="K228" s="93" t="s">
        <v>20</v>
      </c>
      <c r="L228" s="93">
        <v>1</v>
      </c>
      <c r="M228" s="103">
        <v>-12000</v>
      </c>
      <c r="N228" s="103">
        <v>-12000</v>
      </c>
      <c r="O228" s="93" t="s">
        <v>21</v>
      </c>
      <c r="P228" s="93">
        <f t="shared" si="28"/>
        <v>206</v>
      </c>
    </row>
    <row r="229" spans="1:16" ht="15" customHeight="1" x14ac:dyDescent="0.25">
      <c r="A229" s="93" t="s">
        <v>2719</v>
      </c>
      <c r="B229" s="71" t="s">
        <v>457</v>
      </c>
      <c r="C229" s="93">
        <f t="shared" si="26"/>
        <v>776</v>
      </c>
      <c r="D229" s="93">
        <v>1</v>
      </c>
      <c r="G229" s="94" t="s">
        <v>115</v>
      </c>
      <c r="H229" s="93" t="s">
        <v>4339</v>
      </c>
      <c r="I229" s="93">
        <v>331</v>
      </c>
      <c r="J229" s="93">
        <v>1111</v>
      </c>
      <c r="K229" s="93" t="s">
        <v>20</v>
      </c>
      <c r="L229" s="93">
        <v>1</v>
      </c>
      <c r="M229" s="103">
        <v>-12000</v>
      </c>
      <c r="N229" s="103">
        <v>-12000</v>
      </c>
      <c r="O229" s="93" t="s">
        <v>21</v>
      </c>
      <c r="P229" s="93">
        <f t="shared" si="28"/>
        <v>207</v>
      </c>
    </row>
    <row r="230" spans="1:16" ht="15" customHeight="1" x14ac:dyDescent="0.25">
      <c r="A230" s="93" t="s">
        <v>2719</v>
      </c>
      <c r="B230" s="71" t="s">
        <v>457</v>
      </c>
      <c r="C230" s="93">
        <f t="shared" si="26"/>
        <v>777</v>
      </c>
      <c r="D230" s="93">
        <v>1</v>
      </c>
      <c r="G230" s="94" t="s">
        <v>115</v>
      </c>
      <c r="H230" s="93" t="s">
        <v>4340</v>
      </c>
      <c r="I230" s="93">
        <v>331</v>
      </c>
      <c r="J230" s="93">
        <v>1111</v>
      </c>
      <c r="K230" s="93" t="s">
        <v>20</v>
      </c>
      <c r="L230" s="93">
        <v>1</v>
      </c>
      <c r="M230" s="103">
        <v>-12000</v>
      </c>
      <c r="N230" s="103">
        <v>-12000</v>
      </c>
      <c r="O230" s="93" t="s">
        <v>21</v>
      </c>
      <c r="P230" s="93">
        <f t="shared" si="28"/>
        <v>208</v>
      </c>
    </row>
    <row r="231" spans="1:16" ht="15" customHeight="1" x14ac:dyDescent="0.25">
      <c r="A231" s="93" t="s">
        <v>2719</v>
      </c>
      <c r="B231" s="71" t="s">
        <v>457</v>
      </c>
      <c r="C231" s="93">
        <f t="shared" si="26"/>
        <v>778</v>
      </c>
      <c r="D231" s="93">
        <v>1</v>
      </c>
      <c r="G231" s="94" t="s">
        <v>115</v>
      </c>
      <c r="H231" s="93" t="s">
        <v>4341</v>
      </c>
      <c r="I231" s="93">
        <v>331</v>
      </c>
      <c r="J231" s="93">
        <v>1111</v>
      </c>
      <c r="K231" s="93" t="s">
        <v>20</v>
      </c>
      <c r="L231" s="93">
        <v>1</v>
      </c>
      <c r="M231" s="103">
        <v>-12000</v>
      </c>
      <c r="N231" s="103">
        <v>-12000</v>
      </c>
      <c r="O231" s="93" t="s">
        <v>21</v>
      </c>
      <c r="P231" s="93">
        <f t="shared" si="28"/>
        <v>209</v>
      </c>
    </row>
    <row r="232" spans="1:16" ht="15" customHeight="1" x14ac:dyDescent="0.25">
      <c r="A232" s="93" t="s">
        <v>2719</v>
      </c>
      <c r="B232" s="71" t="s">
        <v>457</v>
      </c>
      <c r="C232" s="93">
        <f t="shared" si="26"/>
        <v>779</v>
      </c>
      <c r="D232" s="93">
        <v>1</v>
      </c>
      <c r="G232" s="94" t="s">
        <v>115</v>
      </c>
      <c r="H232" s="93" t="s">
        <v>4342</v>
      </c>
      <c r="I232" s="93">
        <v>331</v>
      </c>
      <c r="J232" s="93">
        <v>1111</v>
      </c>
      <c r="K232" s="93" t="s">
        <v>20</v>
      </c>
      <c r="L232" s="93">
        <v>1</v>
      </c>
      <c r="M232" s="103">
        <v>-12000</v>
      </c>
      <c r="N232" s="103">
        <v>-12000</v>
      </c>
      <c r="O232" s="93" t="s">
        <v>21</v>
      </c>
      <c r="P232" s="93">
        <f t="shared" si="28"/>
        <v>210</v>
      </c>
    </row>
    <row r="233" spans="1:16" ht="15" customHeight="1" x14ac:dyDescent="0.25">
      <c r="A233" s="93" t="s">
        <v>2719</v>
      </c>
      <c r="B233" s="71" t="s">
        <v>457</v>
      </c>
      <c r="C233" s="93">
        <f t="shared" si="26"/>
        <v>780</v>
      </c>
      <c r="D233" s="93">
        <v>1</v>
      </c>
      <c r="G233" s="94" t="s">
        <v>462</v>
      </c>
      <c r="H233" s="93" t="s">
        <v>4343</v>
      </c>
      <c r="I233" s="93">
        <v>331</v>
      </c>
      <c r="J233" s="93">
        <v>1111</v>
      </c>
      <c r="K233" s="93" t="s">
        <v>20</v>
      </c>
      <c r="L233" s="93">
        <v>1</v>
      </c>
      <c r="M233" s="103">
        <v>5897600</v>
      </c>
      <c r="N233" s="103">
        <v>5897600</v>
      </c>
      <c r="O233" s="93" t="s">
        <v>21</v>
      </c>
      <c r="P233" s="93">
        <f t="shared" si="28"/>
        <v>211</v>
      </c>
    </row>
    <row r="234" spans="1:16" ht="15" customHeight="1" x14ac:dyDescent="0.25">
      <c r="A234" s="93" t="s">
        <v>2719</v>
      </c>
      <c r="B234" s="71" t="s">
        <v>320</v>
      </c>
      <c r="C234" s="93">
        <f t="shared" si="26"/>
        <v>781</v>
      </c>
      <c r="D234" s="93">
        <v>1</v>
      </c>
      <c r="G234" s="94" t="s">
        <v>115</v>
      </c>
      <c r="H234" s="93" t="s">
        <v>4344</v>
      </c>
      <c r="I234" s="93">
        <v>331</v>
      </c>
      <c r="J234" s="93">
        <v>1111</v>
      </c>
      <c r="K234" s="93" t="s">
        <v>20</v>
      </c>
      <c r="L234" s="93">
        <v>1</v>
      </c>
      <c r="M234" s="103">
        <v>73000</v>
      </c>
      <c r="N234" s="103">
        <v>73000</v>
      </c>
      <c r="O234" s="93" t="s">
        <v>21</v>
      </c>
      <c r="P234" s="93">
        <f t="shared" si="28"/>
        <v>212</v>
      </c>
    </row>
    <row r="235" spans="1:16" ht="15" customHeight="1" x14ac:dyDescent="0.25">
      <c r="A235" s="93" t="s">
        <v>2719</v>
      </c>
      <c r="B235" s="71" t="s">
        <v>320</v>
      </c>
      <c r="C235" s="93">
        <f t="shared" si="26"/>
        <v>782</v>
      </c>
      <c r="D235" s="93">
        <v>1</v>
      </c>
      <c r="G235" s="94" t="s">
        <v>115</v>
      </c>
      <c r="H235" s="93" t="s">
        <v>4345</v>
      </c>
      <c r="I235" s="93">
        <v>331</v>
      </c>
      <c r="J235" s="93">
        <v>1111</v>
      </c>
      <c r="K235" s="93" t="s">
        <v>20</v>
      </c>
      <c r="L235" s="93">
        <v>1</v>
      </c>
      <c r="M235" s="103">
        <v>-22000</v>
      </c>
      <c r="N235" s="103">
        <v>-22000</v>
      </c>
      <c r="O235" s="93" t="s">
        <v>21</v>
      </c>
      <c r="P235" s="93">
        <f t="shared" si="28"/>
        <v>213</v>
      </c>
    </row>
    <row r="236" spans="1:16" ht="15" customHeight="1" x14ac:dyDescent="0.25">
      <c r="A236" s="93" t="s">
        <v>2719</v>
      </c>
      <c r="B236" s="71" t="s">
        <v>320</v>
      </c>
      <c r="C236" s="93">
        <f t="shared" ref="C236:C246" si="29">C235+D236</f>
        <v>783</v>
      </c>
      <c r="D236" s="93">
        <v>1</v>
      </c>
      <c r="G236" s="94" t="s">
        <v>115</v>
      </c>
      <c r="H236" s="93" t="s">
        <v>4346</v>
      </c>
      <c r="I236" s="93">
        <v>331</v>
      </c>
      <c r="J236" s="93">
        <v>1111</v>
      </c>
      <c r="K236" s="93" t="s">
        <v>20</v>
      </c>
      <c r="L236" s="93">
        <v>1</v>
      </c>
      <c r="M236" s="103">
        <v>-22000</v>
      </c>
      <c r="N236" s="103">
        <v>-22000</v>
      </c>
      <c r="O236" s="93" t="s">
        <v>21</v>
      </c>
      <c r="P236" s="93">
        <f t="shared" si="28"/>
        <v>214</v>
      </c>
    </row>
    <row r="237" spans="1:16" ht="15" customHeight="1" x14ac:dyDescent="0.25">
      <c r="A237" s="93" t="s">
        <v>2719</v>
      </c>
      <c r="B237" s="71" t="s">
        <v>320</v>
      </c>
      <c r="C237" s="93">
        <f t="shared" si="29"/>
        <v>784</v>
      </c>
      <c r="D237" s="93">
        <v>1</v>
      </c>
      <c r="G237" s="94" t="s">
        <v>115</v>
      </c>
      <c r="H237" s="93" t="s">
        <v>4347</v>
      </c>
      <c r="I237" s="93">
        <v>331</v>
      </c>
      <c r="J237" s="93">
        <v>1111</v>
      </c>
      <c r="K237" s="93" t="s">
        <v>20</v>
      </c>
      <c r="L237" s="93">
        <v>1</v>
      </c>
      <c r="M237" s="103">
        <v>-22000</v>
      </c>
      <c r="N237" s="103">
        <v>-22000</v>
      </c>
      <c r="O237" s="93" t="s">
        <v>21</v>
      </c>
      <c r="P237" s="93">
        <f t="shared" si="28"/>
        <v>215</v>
      </c>
    </row>
    <row r="238" spans="1:16" ht="15" customHeight="1" x14ac:dyDescent="0.25">
      <c r="A238" s="93" t="s">
        <v>2719</v>
      </c>
      <c r="B238" s="71" t="s">
        <v>320</v>
      </c>
      <c r="C238" s="93">
        <f t="shared" si="29"/>
        <v>785</v>
      </c>
      <c r="D238" s="93">
        <v>1</v>
      </c>
      <c r="G238" s="94" t="s">
        <v>35</v>
      </c>
      <c r="H238" s="93" t="s">
        <v>4348</v>
      </c>
      <c r="I238" s="93">
        <v>331</v>
      </c>
      <c r="J238" s="93">
        <v>1111</v>
      </c>
      <c r="K238" s="93" t="s">
        <v>20</v>
      </c>
      <c r="L238" s="93">
        <v>1</v>
      </c>
      <c r="M238" s="103">
        <v>2057076</v>
      </c>
      <c r="N238" s="103">
        <v>2057076</v>
      </c>
      <c r="O238" s="93" t="s">
        <v>21</v>
      </c>
      <c r="P238" s="93">
        <f t="shared" si="28"/>
        <v>216</v>
      </c>
    </row>
    <row r="239" spans="1:16" ht="15" customHeight="1" x14ac:dyDescent="0.25">
      <c r="A239" s="93" t="s">
        <v>2719</v>
      </c>
      <c r="B239" s="71" t="s">
        <v>604</v>
      </c>
      <c r="C239" s="93">
        <f t="shared" si="29"/>
        <v>786</v>
      </c>
      <c r="D239" s="93">
        <v>1</v>
      </c>
      <c r="G239" s="94" t="s">
        <v>115</v>
      </c>
      <c r="H239" s="93" t="s">
        <v>4349</v>
      </c>
      <c r="I239" s="93">
        <v>331</v>
      </c>
      <c r="J239" s="93">
        <v>1111</v>
      </c>
      <c r="K239" s="93" t="s">
        <v>20</v>
      </c>
      <c r="L239" s="93">
        <v>1</v>
      </c>
      <c r="M239" s="103">
        <v>55000</v>
      </c>
      <c r="N239" s="103">
        <v>55000</v>
      </c>
      <c r="O239" s="93" t="s">
        <v>21</v>
      </c>
      <c r="P239" s="93">
        <f t="shared" si="28"/>
        <v>217</v>
      </c>
    </row>
    <row r="240" spans="1:16" ht="15" customHeight="1" x14ac:dyDescent="0.25">
      <c r="A240" s="93" t="s">
        <v>2719</v>
      </c>
      <c r="B240" s="71" t="s">
        <v>604</v>
      </c>
      <c r="C240" s="93">
        <f t="shared" si="29"/>
        <v>787</v>
      </c>
      <c r="D240" s="93">
        <v>1</v>
      </c>
      <c r="G240" s="94" t="s">
        <v>115</v>
      </c>
      <c r="H240" s="93" t="s">
        <v>4350</v>
      </c>
      <c r="I240" s="93">
        <v>331</v>
      </c>
      <c r="J240" s="93">
        <v>1111</v>
      </c>
      <c r="K240" s="93" t="s">
        <v>20</v>
      </c>
      <c r="L240" s="93">
        <v>1</v>
      </c>
      <c r="M240" s="103">
        <v>97000</v>
      </c>
      <c r="N240" s="103">
        <v>97000</v>
      </c>
      <c r="O240" s="93" t="s">
        <v>21</v>
      </c>
      <c r="P240" s="93">
        <f t="shared" si="28"/>
        <v>218</v>
      </c>
    </row>
    <row r="241" spans="1:16" ht="15" customHeight="1" x14ac:dyDescent="0.25">
      <c r="A241" s="93" t="s">
        <v>2719</v>
      </c>
      <c r="B241" s="71" t="s">
        <v>1930</v>
      </c>
      <c r="C241" s="93">
        <f t="shared" si="29"/>
        <v>788</v>
      </c>
      <c r="D241" s="93">
        <v>1</v>
      </c>
      <c r="G241" s="94" t="s">
        <v>115</v>
      </c>
      <c r="H241" s="93" t="s">
        <v>4351</v>
      </c>
      <c r="I241" s="93">
        <v>331</v>
      </c>
      <c r="J241" s="93">
        <v>1111</v>
      </c>
      <c r="K241" s="93" t="s">
        <v>20</v>
      </c>
      <c r="L241" s="93">
        <v>1</v>
      </c>
      <c r="M241" s="103">
        <v>90000</v>
      </c>
      <c r="N241" s="103">
        <v>90000</v>
      </c>
      <c r="O241" s="93" t="s">
        <v>21</v>
      </c>
      <c r="P241" s="93">
        <f t="shared" si="28"/>
        <v>219</v>
      </c>
    </row>
    <row r="242" spans="1:16" ht="15" customHeight="1" x14ac:dyDescent="0.25">
      <c r="A242" s="93" t="s">
        <v>2719</v>
      </c>
      <c r="B242" s="71" t="s">
        <v>2504</v>
      </c>
      <c r="C242" s="93">
        <f t="shared" si="29"/>
        <v>789</v>
      </c>
      <c r="D242" s="93">
        <v>1</v>
      </c>
      <c r="G242" s="94" t="s">
        <v>115</v>
      </c>
      <c r="H242" s="93" t="s">
        <v>4352</v>
      </c>
      <c r="I242" s="93">
        <v>331</v>
      </c>
      <c r="J242" s="93">
        <v>1111</v>
      </c>
      <c r="K242" s="93" t="s">
        <v>20</v>
      </c>
      <c r="L242" s="93">
        <v>1</v>
      </c>
      <c r="M242" s="103">
        <v>28000</v>
      </c>
      <c r="N242" s="103">
        <v>28000</v>
      </c>
      <c r="O242" s="93" t="s">
        <v>21</v>
      </c>
      <c r="P242" s="93">
        <f t="shared" si="28"/>
        <v>220</v>
      </c>
    </row>
    <row r="243" spans="1:16" ht="15" customHeight="1" x14ac:dyDescent="0.25">
      <c r="A243" s="93" t="s">
        <v>2719</v>
      </c>
      <c r="B243" s="71" t="s">
        <v>2513</v>
      </c>
      <c r="C243" s="93">
        <f t="shared" si="29"/>
        <v>790</v>
      </c>
      <c r="D243" s="93">
        <v>1</v>
      </c>
      <c r="G243" s="94" t="s">
        <v>278</v>
      </c>
      <c r="H243" s="93" t="s">
        <v>4353</v>
      </c>
      <c r="I243" s="93">
        <v>331</v>
      </c>
      <c r="J243" s="93">
        <v>1111</v>
      </c>
      <c r="K243" s="93" t="s">
        <v>20</v>
      </c>
      <c r="L243" s="93">
        <v>1</v>
      </c>
      <c r="M243" s="103">
        <v>60</v>
      </c>
      <c r="N243" s="103">
        <v>60</v>
      </c>
      <c r="O243" s="93" t="s">
        <v>21</v>
      </c>
      <c r="P243" s="93">
        <f t="shared" si="28"/>
        <v>221</v>
      </c>
    </row>
    <row r="244" spans="1:16" ht="15" customHeight="1" x14ac:dyDescent="0.25">
      <c r="A244" s="93" t="s">
        <v>18</v>
      </c>
      <c r="B244" s="71">
        <v>45961</v>
      </c>
      <c r="C244" s="93">
        <f t="shared" si="29"/>
        <v>791</v>
      </c>
      <c r="D244" s="93">
        <v>1</v>
      </c>
      <c r="G244" s="94" t="s">
        <v>93</v>
      </c>
      <c r="H244" s="93" t="s">
        <v>4357</v>
      </c>
      <c r="I244" s="93">
        <v>64271</v>
      </c>
      <c r="J244" s="93">
        <v>3383</v>
      </c>
      <c r="K244" s="93" t="s">
        <v>20</v>
      </c>
      <c r="L244" s="93">
        <v>1</v>
      </c>
      <c r="M244" s="103">
        <v>1600000</v>
      </c>
      <c r="N244" s="103">
        <f t="shared" ref="N244:N249" si="30">L244*M244</f>
        <v>1600000</v>
      </c>
      <c r="O244" s="104" t="s">
        <v>21</v>
      </c>
      <c r="P244" s="93">
        <f t="shared" si="28"/>
        <v>222</v>
      </c>
    </row>
    <row r="245" spans="1:16" ht="15" customHeight="1" x14ac:dyDescent="0.25">
      <c r="A245" s="93" t="s">
        <v>18</v>
      </c>
      <c r="B245" s="71">
        <v>45991</v>
      </c>
      <c r="C245" s="93">
        <f t="shared" si="29"/>
        <v>792</v>
      </c>
      <c r="D245" s="93">
        <v>1</v>
      </c>
      <c r="G245" s="94" t="s">
        <v>93</v>
      </c>
      <c r="H245" s="93" t="s">
        <v>4358</v>
      </c>
      <c r="I245" s="93">
        <v>64271</v>
      </c>
      <c r="J245" s="93">
        <v>3383</v>
      </c>
      <c r="K245" s="93" t="s">
        <v>20</v>
      </c>
      <c r="L245" s="93">
        <v>1</v>
      </c>
      <c r="M245" s="103">
        <v>1600000</v>
      </c>
      <c r="N245" s="103">
        <f t="shared" si="30"/>
        <v>1600000</v>
      </c>
      <c r="O245" s="104" t="s">
        <v>21</v>
      </c>
      <c r="P245" s="93">
        <f t="shared" si="28"/>
        <v>223</v>
      </c>
    </row>
    <row r="246" spans="1:16" ht="15" customHeight="1" x14ac:dyDescent="0.25">
      <c r="A246" s="93" t="s">
        <v>18</v>
      </c>
      <c r="B246" s="71">
        <v>46022</v>
      </c>
      <c r="C246" s="93">
        <f t="shared" si="29"/>
        <v>793</v>
      </c>
      <c r="D246" s="93">
        <v>1</v>
      </c>
      <c r="G246" s="94" t="s">
        <v>93</v>
      </c>
      <c r="H246" s="93" t="s">
        <v>4277</v>
      </c>
      <c r="I246" s="93">
        <v>64271</v>
      </c>
      <c r="J246" s="93">
        <v>3383</v>
      </c>
      <c r="K246" s="93" t="s">
        <v>20</v>
      </c>
      <c r="L246" s="93">
        <v>1</v>
      </c>
      <c r="M246" s="103">
        <v>1600000</v>
      </c>
      <c r="N246" s="103">
        <f t="shared" si="30"/>
        <v>1600000</v>
      </c>
      <c r="O246" s="104" t="s">
        <v>21</v>
      </c>
      <c r="P246" s="93">
        <f t="shared" si="28"/>
        <v>224</v>
      </c>
    </row>
    <row r="247" spans="1:16" ht="15" customHeight="1" x14ac:dyDescent="0.25">
      <c r="A247" s="93" t="s">
        <v>2678</v>
      </c>
      <c r="B247" s="71">
        <v>45937</v>
      </c>
      <c r="C247" s="93">
        <f t="shared" ref="C247" si="31">C246+D247</f>
        <v>794</v>
      </c>
      <c r="D247" s="93">
        <v>1</v>
      </c>
      <c r="G247" s="94" t="s">
        <v>93</v>
      </c>
      <c r="H247" s="93" t="s">
        <v>4359</v>
      </c>
      <c r="I247" s="93">
        <v>3383</v>
      </c>
      <c r="J247" s="93">
        <v>112111</v>
      </c>
      <c r="K247" s="93" t="s">
        <v>20</v>
      </c>
      <c r="L247" s="93">
        <v>1</v>
      </c>
      <c r="M247" s="103">
        <v>1600000</v>
      </c>
      <c r="N247" s="103">
        <f t="shared" si="30"/>
        <v>1600000</v>
      </c>
      <c r="O247" s="104" t="s">
        <v>21</v>
      </c>
      <c r="P247" s="93">
        <f t="shared" ref="P247:P251" si="32">P246+D247</f>
        <v>225</v>
      </c>
    </row>
    <row r="248" spans="1:16" ht="15" customHeight="1" x14ac:dyDescent="0.25">
      <c r="A248" s="93" t="s">
        <v>2678</v>
      </c>
      <c r="B248" s="71">
        <v>45937</v>
      </c>
      <c r="C248" s="93">
        <f t="shared" ref="C248" si="33">C247+D248</f>
        <v>795</v>
      </c>
      <c r="D248" s="93">
        <v>1</v>
      </c>
      <c r="G248" s="94" t="s">
        <v>93</v>
      </c>
      <c r="H248" s="93" t="s">
        <v>4363</v>
      </c>
      <c r="I248" s="93">
        <v>3383</v>
      </c>
      <c r="J248" s="93">
        <v>112111</v>
      </c>
      <c r="K248" s="93" t="s">
        <v>20</v>
      </c>
      <c r="L248" s="93">
        <v>1</v>
      </c>
      <c r="M248" s="103">
        <v>690300</v>
      </c>
      <c r="N248" s="103">
        <f t="shared" si="30"/>
        <v>690300</v>
      </c>
      <c r="O248" s="104" t="s">
        <v>21</v>
      </c>
      <c r="P248" s="93">
        <f t="shared" si="32"/>
        <v>226</v>
      </c>
    </row>
    <row r="249" spans="1:16" ht="15" customHeight="1" x14ac:dyDescent="0.25">
      <c r="A249" s="93" t="s">
        <v>2719</v>
      </c>
      <c r="B249" s="71">
        <v>45940</v>
      </c>
      <c r="C249" s="93">
        <f t="shared" ref="C249:C251" si="34">C248+D249</f>
        <v>796</v>
      </c>
      <c r="D249" s="93">
        <v>1</v>
      </c>
      <c r="G249" s="94" t="s">
        <v>182</v>
      </c>
      <c r="H249" s="93" t="s">
        <v>4364</v>
      </c>
      <c r="I249" s="93">
        <v>3341</v>
      </c>
      <c r="J249" s="93">
        <v>1111</v>
      </c>
      <c r="K249" s="93" t="s">
        <v>20</v>
      </c>
      <c r="L249" s="93">
        <v>1</v>
      </c>
      <c r="M249" s="103">
        <v>11000000</v>
      </c>
      <c r="N249" s="103">
        <f t="shared" si="30"/>
        <v>11000000</v>
      </c>
      <c r="O249" s="104" t="s">
        <v>21</v>
      </c>
      <c r="P249" s="93">
        <f t="shared" si="32"/>
        <v>227</v>
      </c>
    </row>
    <row r="250" spans="1:16" ht="15" customHeight="1" x14ac:dyDescent="0.25">
      <c r="A250" s="93" t="s">
        <v>2719</v>
      </c>
      <c r="B250" s="71">
        <v>45971</v>
      </c>
      <c r="C250" s="93">
        <f t="shared" si="34"/>
        <v>797</v>
      </c>
      <c r="D250" s="93">
        <v>1</v>
      </c>
      <c r="G250" s="94" t="s">
        <v>182</v>
      </c>
      <c r="H250" s="93" t="s">
        <v>4365</v>
      </c>
      <c r="I250" s="93">
        <v>3341</v>
      </c>
      <c r="J250" s="93">
        <v>1111</v>
      </c>
      <c r="K250" s="93" t="s">
        <v>20</v>
      </c>
      <c r="L250" s="93">
        <v>1</v>
      </c>
      <c r="M250" s="103">
        <v>11000000</v>
      </c>
      <c r="N250" s="103">
        <f t="shared" ref="N250:N251" si="35">L250*M250</f>
        <v>11000000</v>
      </c>
      <c r="O250" s="104" t="s">
        <v>21</v>
      </c>
      <c r="P250" s="93">
        <f t="shared" si="32"/>
        <v>228</v>
      </c>
    </row>
    <row r="251" spans="1:16" ht="15" customHeight="1" x14ac:dyDescent="0.25">
      <c r="A251" s="93" t="s">
        <v>2719</v>
      </c>
      <c r="B251" s="71">
        <v>46001</v>
      </c>
      <c r="C251" s="93">
        <f t="shared" si="34"/>
        <v>798</v>
      </c>
      <c r="D251" s="93">
        <v>1</v>
      </c>
      <c r="G251" s="94" t="s">
        <v>182</v>
      </c>
      <c r="H251" s="93" t="s">
        <v>4366</v>
      </c>
      <c r="I251" s="93">
        <v>3341</v>
      </c>
      <c r="J251" s="93">
        <v>1111</v>
      </c>
      <c r="K251" s="93" t="s">
        <v>20</v>
      </c>
      <c r="L251" s="93">
        <v>1</v>
      </c>
      <c r="M251" s="103">
        <v>11000000</v>
      </c>
      <c r="N251" s="103">
        <f t="shared" si="35"/>
        <v>11000000</v>
      </c>
      <c r="O251" s="104" t="s">
        <v>21</v>
      </c>
      <c r="P251" s="93">
        <f t="shared" si="32"/>
        <v>229</v>
      </c>
    </row>
    <row r="252" spans="1:16" ht="15" customHeight="1" x14ac:dyDescent="0.25">
      <c r="A252" s="93" t="s">
        <v>2719</v>
      </c>
      <c r="B252" s="71">
        <v>46022</v>
      </c>
      <c r="C252" s="93">
        <f t="shared" ref="C252" si="36">C251+D252</f>
        <v>799</v>
      </c>
      <c r="D252" s="93">
        <v>1</v>
      </c>
      <c r="G252" s="94" t="s">
        <v>182</v>
      </c>
      <c r="H252" s="93" t="s">
        <v>4367</v>
      </c>
      <c r="I252" s="93">
        <v>3341</v>
      </c>
      <c r="J252" s="93">
        <v>1111</v>
      </c>
      <c r="K252" s="93" t="s">
        <v>20</v>
      </c>
      <c r="L252" s="93">
        <v>1</v>
      </c>
      <c r="M252" s="103">
        <v>11000000</v>
      </c>
      <c r="N252" s="103">
        <f t="shared" ref="N252" si="37">L252*M252</f>
        <v>11000000</v>
      </c>
      <c r="O252" s="104" t="s">
        <v>21</v>
      </c>
      <c r="P252" s="93">
        <f t="shared" ref="P252:P255" si="38">P251+D252</f>
        <v>230</v>
      </c>
    </row>
    <row r="253" spans="1:16" ht="15" customHeight="1" x14ac:dyDescent="0.25">
      <c r="A253" s="93" t="s">
        <v>18</v>
      </c>
      <c r="B253" s="71">
        <v>45961</v>
      </c>
      <c r="C253" s="93">
        <f t="shared" ref="C253:C255" si="39">C252+D253</f>
        <v>800</v>
      </c>
      <c r="D253" s="93">
        <v>1</v>
      </c>
      <c r="G253" s="94" t="s">
        <v>182</v>
      </c>
      <c r="H253" s="93" t="s">
        <v>4368</v>
      </c>
      <c r="I253" s="93">
        <v>64271</v>
      </c>
      <c r="J253" s="93">
        <v>3341</v>
      </c>
      <c r="K253" s="93" t="s">
        <v>20</v>
      </c>
      <c r="L253" s="93">
        <v>1</v>
      </c>
      <c r="M253" s="103">
        <v>11000000</v>
      </c>
      <c r="N253" s="103">
        <f t="shared" ref="N253:N255" si="40">L253*M253</f>
        <v>11000000</v>
      </c>
      <c r="O253" s="104" t="s">
        <v>21</v>
      </c>
      <c r="P253" s="93">
        <f t="shared" si="38"/>
        <v>231</v>
      </c>
    </row>
    <row r="254" spans="1:16" ht="15" customHeight="1" x14ac:dyDescent="0.25">
      <c r="A254" s="93" t="s">
        <v>18</v>
      </c>
      <c r="B254" s="71">
        <v>45991</v>
      </c>
      <c r="C254" s="93">
        <f t="shared" si="39"/>
        <v>801</v>
      </c>
      <c r="D254" s="93">
        <v>1</v>
      </c>
      <c r="G254" s="94" t="s">
        <v>182</v>
      </c>
      <c r="H254" s="93" t="s">
        <v>4368</v>
      </c>
      <c r="I254" s="93">
        <v>64271</v>
      </c>
      <c r="J254" s="93">
        <v>3341</v>
      </c>
      <c r="K254" s="93" t="s">
        <v>20</v>
      </c>
      <c r="L254" s="93">
        <v>1</v>
      </c>
      <c r="M254" s="103">
        <v>11000000</v>
      </c>
      <c r="N254" s="103">
        <f t="shared" si="40"/>
        <v>11000000</v>
      </c>
      <c r="O254" s="104" t="s">
        <v>21</v>
      </c>
      <c r="P254" s="93">
        <f t="shared" si="38"/>
        <v>232</v>
      </c>
    </row>
    <row r="255" spans="1:16" ht="15" customHeight="1" x14ac:dyDescent="0.25">
      <c r="A255" s="93" t="s">
        <v>18</v>
      </c>
      <c r="B255" s="71">
        <v>46022</v>
      </c>
      <c r="C255" s="93">
        <f t="shared" si="39"/>
        <v>802</v>
      </c>
      <c r="D255" s="93">
        <v>1</v>
      </c>
      <c r="G255" s="94" t="s">
        <v>182</v>
      </c>
      <c r="H255" s="93" t="s">
        <v>4368</v>
      </c>
      <c r="I255" s="93">
        <v>64271</v>
      </c>
      <c r="J255" s="93">
        <v>3341</v>
      </c>
      <c r="K255" s="93" t="s">
        <v>20</v>
      </c>
      <c r="L255" s="93">
        <v>1</v>
      </c>
      <c r="M255" s="103">
        <v>11000000</v>
      </c>
      <c r="N255" s="103">
        <f t="shared" si="40"/>
        <v>11000000</v>
      </c>
      <c r="O255" s="104" t="s">
        <v>21</v>
      </c>
      <c r="P255" s="93">
        <f t="shared" si="38"/>
        <v>233</v>
      </c>
    </row>
  </sheetData>
  <autoFilter ref="A3:P247" xr:uid="{00000000-0009-0000-0000-000003000000}">
    <sortState xmlns:xlrd2="http://schemas.microsoft.com/office/spreadsheetml/2017/richdata2" ref="A4:P100">
      <sortCondition ref="P3:P86"/>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P192"/>
  <sheetViews>
    <sheetView topLeftCell="A155" workbookViewId="0">
      <selection activeCell="C192" sqref="C192"/>
    </sheetView>
  </sheetViews>
  <sheetFormatPr defaultRowHeight="15" x14ac:dyDescent="0.25"/>
  <cols>
    <col min="2" max="2" width="9.140625" style="108"/>
    <col min="7" max="7" width="13" style="60" customWidth="1"/>
    <col min="8" max="8" width="42.7109375" customWidth="1"/>
    <col min="13" max="14" width="10.42578125" bestFit="1" customWidth="1"/>
  </cols>
  <sheetData>
    <row r="1" spans="1:16" x14ac:dyDescent="0.25">
      <c r="A1" s="165" t="s">
        <v>0</v>
      </c>
      <c r="B1" s="200" t="s">
        <v>1</v>
      </c>
      <c r="C1" s="165" t="s">
        <v>2</v>
      </c>
      <c r="D1" s="167" t="s">
        <v>3</v>
      </c>
      <c r="E1" s="167" t="s">
        <v>4</v>
      </c>
      <c r="F1" s="167" t="s">
        <v>760</v>
      </c>
      <c r="G1" s="159" t="s">
        <v>6</v>
      </c>
      <c r="H1" s="161" t="s">
        <v>7</v>
      </c>
      <c r="I1" s="163" t="s">
        <v>8</v>
      </c>
      <c r="J1" s="164"/>
      <c r="K1" s="165" t="s">
        <v>9</v>
      </c>
      <c r="L1" s="165" t="s">
        <v>10</v>
      </c>
      <c r="M1" s="165" t="s">
        <v>98</v>
      </c>
      <c r="N1" s="165" t="s">
        <v>99</v>
      </c>
      <c r="O1" s="39" t="s">
        <v>100</v>
      </c>
      <c r="P1" s="152" t="s">
        <v>3991</v>
      </c>
    </row>
    <row r="2" spans="1:16" x14ac:dyDescent="0.25">
      <c r="A2" s="166"/>
      <c r="B2" s="201"/>
      <c r="C2" s="166"/>
      <c r="D2" s="171"/>
      <c r="E2" s="171"/>
      <c r="F2" s="168"/>
      <c r="G2" s="160"/>
      <c r="H2" s="162"/>
      <c r="I2" s="40" t="s">
        <v>13</v>
      </c>
      <c r="J2" s="41" t="s">
        <v>14</v>
      </c>
      <c r="K2" s="166"/>
      <c r="L2" s="166"/>
      <c r="M2" s="166"/>
      <c r="N2" s="166"/>
      <c r="O2" s="37" t="s">
        <v>100</v>
      </c>
      <c r="P2" s="37"/>
    </row>
    <row r="3" spans="1:16" x14ac:dyDescent="0.25">
      <c r="A3" s="42"/>
      <c r="B3" s="106"/>
      <c r="C3" s="42">
        <v>154</v>
      </c>
      <c r="D3" s="43"/>
      <c r="E3" s="43"/>
      <c r="F3" s="43"/>
      <c r="G3" s="58" t="s">
        <v>15</v>
      </c>
      <c r="H3" s="44"/>
      <c r="I3" s="44"/>
      <c r="J3" s="44"/>
      <c r="K3" s="42"/>
      <c r="L3" s="42"/>
      <c r="M3" s="42"/>
      <c r="N3" s="42"/>
      <c r="O3" s="37" t="s">
        <v>16</v>
      </c>
      <c r="P3" s="37" t="s">
        <v>17</v>
      </c>
    </row>
    <row r="4" spans="1:16" x14ac:dyDescent="0.25">
      <c r="A4" s="37" t="s">
        <v>18</v>
      </c>
      <c r="B4" s="107" t="s">
        <v>308</v>
      </c>
      <c r="C4" s="37">
        <f t="shared" ref="C4:C35" si="0">C3+D4</f>
        <v>155</v>
      </c>
      <c r="D4" s="37">
        <v>1</v>
      </c>
      <c r="E4" s="37"/>
      <c r="F4" s="37"/>
      <c r="G4" s="59" t="s">
        <v>113</v>
      </c>
      <c r="H4" s="37" t="s">
        <v>473</v>
      </c>
      <c r="I4" s="37">
        <v>131</v>
      </c>
      <c r="J4" s="37">
        <v>5113</v>
      </c>
      <c r="K4" s="37" t="s">
        <v>20</v>
      </c>
      <c r="L4" s="37">
        <v>1</v>
      </c>
      <c r="M4" s="105">
        <v>10752688</v>
      </c>
      <c r="N4" s="105">
        <f t="shared" ref="N4:N35" si="1">L4*M4</f>
        <v>10752688</v>
      </c>
      <c r="O4" s="38" t="s">
        <v>21</v>
      </c>
      <c r="P4" s="37">
        <v>1</v>
      </c>
    </row>
    <row r="5" spans="1:16" x14ac:dyDescent="0.25">
      <c r="A5" s="37" t="s">
        <v>18</v>
      </c>
      <c r="B5" s="107" t="s">
        <v>308</v>
      </c>
      <c r="C5" s="37">
        <f t="shared" si="0"/>
        <v>155</v>
      </c>
      <c r="D5" s="37">
        <v>0</v>
      </c>
      <c r="E5" s="37"/>
      <c r="F5" s="37"/>
      <c r="G5" s="59" t="s">
        <v>113</v>
      </c>
      <c r="H5" s="37" t="s">
        <v>492</v>
      </c>
      <c r="I5" s="37">
        <v>333821</v>
      </c>
      <c r="J5" s="37">
        <v>131</v>
      </c>
      <c r="K5" s="37" t="s">
        <v>20</v>
      </c>
      <c r="L5" s="37">
        <v>1</v>
      </c>
      <c r="M5" s="105">
        <v>107527</v>
      </c>
      <c r="N5" s="105">
        <f t="shared" si="1"/>
        <v>107527</v>
      </c>
      <c r="O5" s="38" t="s">
        <v>21</v>
      </c>
      <c r="P5" s="37">
        <f>P4+D5</f>
        <v>1</v>
      </c>
    </row>
    <row r="6" spans="1:16" x14ac:dyDescent="0.25">
      <c r="A6" s="37" t="s">
        <v>18</v>
      </c>
      <c r="B6" s="107" t="s">
        <v>445</v>
      </c>
      <c r="C6" s="37">
        <f t="shared" si="0"/>
        <v>156</v>
      </c>
      <c r="D6" s="37">
        <v>1</v>
      </c>
      <c r="E6" s="37"/>
      <c r="F6" s="37"/>
      <c r="G6" s="59" t="s">
        <v>72</v>
      </c>
      <c r="H6" s="37" t="s">
        <v>474</v>
      </c>
      <c r="I6" s="37">
        <v>131</v>
      </c>
      <c r="J6" s="37">
        <v>5113</v>
      </c>
      <c r="K6" s="37" t="s">
        <v>20</v>
      </c>
      <c r="L6" s="37">
        <v>1</v>
      </c>
      <c r="M6" s="105">
        <v>9677419</v>
      </c>
      <c r="N6" s="105">
        <f t="shared" si="1"/>
        <v>9677419</v>
      </c>
      <c r="O6" s="38" t="s">
        <v>21</v>
      </c>
      <c r="P6" s="37">
        <f t="shared" ref="P6:P69" si="2">P5+D6</f>
        <v>2</v>
      </c>
    </row>
    <row r="7" spans="1:16" x14ac:dyDescent="0.25">
      <c r="A7" s="37" t="s">
        <v>18</v>
      </c>
      <c r="B7" s="107" t="s">
        <v>445</v>
      </c>
      <c r="C7" s="37">
        <f t="shared" si="0"/>
        <v>156</v>
      </c>
      <c r="D7" s="37">
        <v>0</v>
      </c>
      <c r="E7" s="37"/>
      <c r="F7" s="37"/>
      <c r="G7" s="59" t="s">
        <v>72</v>
      </c>
      <c r="H7" s="37" t="s">
        <v>493</v>
      </c>
      <c r="I7" s="37">
        <v>333821</v>
      </c>
      <c r="J7" s="37">
        <v>131</v>
      </c>
      <c r="K7" s="37" t="s">
        <v>20</v>
      </c>
      <c r="L7" s="37">
        <v>1</v>
      </c>
      <c r="M7" s="105">
        <v>96774</v>
      </c>
      <c r="N7" s="105">
        <f t="shared" si="1"/>
        <v>96774</v>
      </c>
      <c r="O7" s="38" t="s">
        <v>21</v>
      </c>
      <c r="P7" s="37">
        <f t="shared" si="2"/>
        <v>2</v>
      </c>
    </row>
    <row r="8" spans="1:16" x14ac:dyDescent="0.25">
      <c r="A8" s="37" t="s">
        <v>18</v>
      </c>
      <c r="B8" s="107" t="s">
        <v>290</v>
      </c>
      <c r="C8" s="37">
        <f t="shared" si="0"/>
        <v>157</v>
      </c>
      <c r="D8" s="37">
        <v>1</v>
      </c>
      <c r="E8" s="37"/>
      <c r="F8" s="37"/>
      <c r="G8" s="59" t="s">
        <v>66</v>
      </c>
      <c r="H8" s="37" t="s">
        <v>475</v>
      </c>
      <c r="I8" s="37">
        <v>131</v>
      </c>
      <c r="J8" s="37">
        <v>5113</v>
      </c>
      <c r="K8" s="37" t="s">
        <v>20</v>
      </c>
      <c r="L8" s="37">
        <v>1</v>
      </c>
      <c r="M8" s="105">
        <v>10752688</v>
      </c>
      <c r="N8" s="105">
        <f t="shared" si="1"/>
        <v>10752688</v>
      </c>
      <c r="O8" s="38" t="s">
        <v>21</v>
      </c>
      <c r="P8" s="37">
        <f t="shared" si="2"/>
        <v>3</v>
      </c>
    </row>
    <row r="9" spans="1:16" x14ac:dyDescent="0.25">
      <c r="A9" s="37" t="s">
        <v>18</v>
      </c>
      <c r="B9" s="107" t="s">
        <v>290</v>
      </c>
      <c r="C9" s="37">
        <f t="shared" si="0"/>
        <v>157</v>
      </c>
      <c r="D9" s="37">
        <v>0</v>
      </c>
      <c r="E9" s="37"/>
      <c r="F9" s="37"/>
      <c r="G9" s="59" t="s">
        <v>66</v>
      </c>
      <c r="H9" s="37" t="s">
        <v>494</v>
      </c>
      <c r="I9" s="37">
        <v>333821</v>
      </c>
      <c r="J9" s="37">
        <v>131</v>
      </c>
      <c r="K9" s="37" t="s">
        <v>20</v>
      </c>
      <c r="L9" s="37">
        <v>1</v>
      </c>
      <c r="M9" s="105">
        <v>107527</v>
      </c>
      <c r="N9" s="105">
        <f t="shared" si="1"/>
        <v>107527</v>
      </c>
      <c r="O9" s="38" t="s">
        <v>21</v>
      </c>
      <c r="P9" s="37">
        <f t="shared" si="2"/>
        <v>3</v>
      </c>
    </row>
    <row r="10" spans="1:16" x14ac:dyDescent="0.25">
      <c r="A10" s="37" t="s">
        <v>18</v>
      </c>
      <c r="B10" s="107" t="s">
        <v>413</v>
      </c>
      <c r="C10" s="37">
        <f t="shared" si="0"/>
        <v>158</v>
      </c>
      <c r="D10" s="37">
        <v>1</v>
      </c>
      <c r="E10" s="37"/>
      <c r="F10" s="37"/>
      <c r="G10" s="59" t="s">
        <v>29</v>
      </c>
      <c r="H10" s="37" t="s">
        <v>476</v>
      </c>
      <c r="I10" s="37">
        <v>131</v>
      </c>
      <c r="J10" s="37">
        <v>5113</v>
      </c>
      <c r="K10" s="37" t="s">
        <v>20</v>
      </c>
      <c r="L10" s="37">
        <v>1</v>
      </c>
      <c r="M10" s="105">
        <v>10752688</v>
      </c>
      <c r="N10" s="105">
        <f t="shared" si="1"/>
        <v>10752688</v>
      </c>
      <c r="O10" s="38" t="s">
        <v>21</v>
      </c>
      <c r="P10" s="37">
        <f t="shared" si="2"/>
        <v>4</v>
      </c>
    </row>
    <row r="11" spans="1:16" x14ac:dyDescent="0.25">
      <c r="A11" s="37" t="s">
        <v>18</v>
      </c>
      <c r="B11" s="107" t="s">
        <v>413</v>
      </c>
      <c r="C11" s="37">
        <f t="shared" si="0"/>
        <v>158</v>
      </c>
      <c r="D11" s="37">
        <v>0</v>
      </c>
      <c r="E11" s="37"/>
      <c r="F11" s="37"/>
      <c r="G11" s="59" t="s">
        <v>29</v>
      </c>
      <c r="H11" s="37" t="s">
        <v>495</v>
      </c>
      <c r="I11" s="37">
        <v>333821</v>
      </c>
      <c r="J11" s="37">
        <v>131</v>
      </c>
      <c r="K11" s="37" t="s">
        <v>20</v>
      </c>
      <c r="L11" s="37">
        <v>1</v>
      </c>
      <c r="M11" s="105">
        <v>0</v>
      </c>
      <c r="N11" s="105">
        <f t="shared" si="1"/>
        <v>0</v>
      </c>
      <c r="O11" s="38" t="s">
        <v>21</v>
      </c>
      <c r="P11" s="37">
        <f t="shared" si="2"/>
        <v>4</v>
      </c>
    </row>
    <row r="12" spans="1:16" x14ac:dyDescent="0.25">
      <c r="A12" s="37" t="s">
        <v>18</v>
      </c>
      <c r="B12" s="107" t="s">
        <v>468</v>
      </c>
      <c r="C12" s="37">
        <f t="shared" si="0"/>
        <v>159</v>
      </c>
      <c r="D12" s="37">
        <v>1</v>
      </c>
      <c r="E12" s="37"/>
      <c r="F12" s="37"/>
      <c r="G12" s="59" t="s">
        <v>26</v>
      </c>
      <c r="H12" s="37" t="s">
        <v>477</v>
      </c>
      <c r="I12" s="37">
        <v>131</v>
      </c>
      <c r="J12" s="37">
        <v>5113</v>
      </c>
      <c r="K12" s="37" t="s">
        <v>20</v>
      </c>
      <c r="L12" s="37">
        <v>1</v>
      </c>
      <c r="M12" s="105">
        <v>10752688</v>
      </c>
      <c r="N12" s="105">
        <f t="shared" si="1"/>
        <v>10752688</v>
      </c>
      <c r="O12" s="38" t="s">
        <v>21</v>
      </c>
      <c r="P12" s="37">
        <f t="shared" si="2"/>
        <v>5</v>
      </c>
    </row>
    <row r="13" spans="1:16" x14ac:dyDescent="0.25">
      <c r="A13" s="37" t="s">
        <v>18</v>
      </c>
      <c r="B13" s="107" t="s">
        <v>468</v>
      </c>
      <c r="C13" s="37">
        <f t="shared" si="0"/>
        <v>159</v>
      </c>
      <c r="D13" s="37">
        <v>0</v>
      </c>
      <c r="E13" s="37"/>
      <c r="F13" s="37"/>
      <c r="G13" s="59" t="s">
        <v>26</v>
      </c>
      <c r="H13" s="37" t="s">
        <v>496</v>
      </c>
      <c r="I13" s="37">
        <v>333821</v>
      </c>
      <c r="J13" s="37">
        <v>131</v>
      </c>
      <c r="K13" s="37" t="s">
        <v>20</v>
      </c>
      <c r="L13" s="37">
        <v>1</v>
      </c>
      <c r="M13" s="105">
        <v>107527</v>
      </c>
      <c r="N13" s="105">
        <f t="shared" si="1"/>
        <v>107527</v>
      </c>
      <c r="O13" s="38" t="s">
        <v>21</v>
      </c>
      <c r="P13" s="37">
        <f t="shared" si="2"/>
        <v>5</v>
      </c>
    </row>
    <row r="14" spans="1:16" x14ac:dyDescent="0.25">
      <c r="A14" s="37" t="s">
        <v>18</v>
      </c>
      <c r="B14" s="107" t="s">
        <v>469</v>
      </c>
      <c r="C14" s="37">
        <f t="shared" si="0"/>
        <v>160</v>
      </c>
      <c r="D14" s="37">
        <v>1</v>
      </c>
      <c r="E14" s="37"/>
      <c r="F14" s="37"/>
      <c r="G14" s="59" t="s">
        <v>113</v>
      </c>
      <c r="H14" s="37" t="s">
        <v>478</v>
      </c>
      <c r="I14" s="37">
        <v>131</v>
      </c>
      <c r="J14" s="37">
        <v>5113</v>
      </c>
      <c r="K14" s="37" t="s">
        <v>20</v>
      </c>
      <c r="L14" s="37">
        <v>1</v>
      </c>
      <c r="M14" s="105">
        <v>4323232</v>
      </c>
      <c r="N14" s="105">
        <f t="shared" si="1"/>
        <v>4323232</v>
      </c>
      <c r="O14" s="38" t="s">
        <v>21</v>
      </c>
      <c r="P14" s="37">
        <f t="shared" si="2"/>
        <v>6</v>
      </c>
    </row>
    <row r="15" spans="1:16" x14ac:dyDescent="0.25">
      <c r="A15" s="37" t="s">
        <v>18</v>
      </c>
      <c r="B15" s="107" t="s">
        <v>469</v>
      </c>
      <c r="C15" s="37">
        <f t="shared" si="0"/>
        <v>160</v>
      </c>
      <c r="D15" s="37">
        <v>0</v>
      </c>
      <c r="E15" s="37"/>
      <c r="F15" s="37"/>
      <c r="G15" s="59" t="s">
        <v>113</v>
      </c>
      <c r="H15" s="37" t="s">
        <v>497</v>
      </c>
      <c r="I15" s="37">
        <v>333821</v>
      </c>
      <c r="J15" s="37">
        <v>131</v>
      </c>
      <c r="K15" s="37" t="s">
        <v>20</v>
      </c>
      <c r="L15" s="37">
        <v>1</v>
      </c>
      <c r="M15" s="105">
        <v>43232</v>
      </c>
      <c r="N15" s="105">
        <f t="shared" si="1"/>
        <v>43232</v>
      </c>
      <c r="O15" s="38" t="s">
        <v>21</v>
      </c>
      <c r="P15" s="37">
        <f t="shared" si="2"/>
        <v>6</v>
      </c>
    </row>
    <row r="16" spans="1:16" x14ac:dyDescent="0.25">
      <c r="A16" s="37" t="s">
        <v>18</v>
      </c>
      <c r="B16" s="107" t="s">
        <v>312</v>
      </c>
      <c r="C16" s="37">
        <f t="shared" si="0"/>
        <v>161</v>
      </c>
      <c r="D16" s="37">
        <v>1</v>
      </c>
      <c r="E16" s="37"/>
      <c r="F16" s="37"/>
      <c r="G16" s="59" t="s">
        <v>82</v>
      </c>
      <c r="H16" s="37" t="s">
        <v>479</v>
      </c>
      <c r="I16" s="37">
        <v>131</v>
      </c>
      <c r="J16" s="37">
        <v>5113</v>
      </c>
      <c r="K16" s="37" t="s">
        <v>20</v>
      </c>
      <c r="L16" s="37">
        <v>1</v>
      </c>
      <c r="M16" s="105">
        <v>10752688</v>
      </c>
      <c r="N16" s="105">
        <f t="shared" si="1"/>
        <v>10752688</v>
      </c>
      <c r="O16" s="38" t="s">
        <v>21</v>
      </c>
      <c r="P16" s="37">
        <f t="shared" si="2"/>
        <v>7</v>
      </c>
    </row>
    <row r="17" spans="1:16" x14ac:dyDescent="0.25">
      <c r="A17" s="37" t="s">
        <v>18</v>
      </c>
      <c r="B17" s="107" t="s">
        <v>312</v>
      </c>
      <c r="C17" s="37">
        <f t="shared" si="0"/>
        <v>161</v>
      </c>
      <c r="D17" s="37">
        <v>0</v>
      </c>
      <c r="E17" s="37"/>
      <c r="F17" s="37"/>
      <c r="G17" s="59" t="s">
        <v>82</v>
      </c>
      <c r="H17" s="37" t="s">
        <v>498</v>
      </c>
      <c r="I17" s="37">
        <v>333821</v>
      </c>
      <c r="J17" s="37">
        <v>131</v>
      </c>
      <c r="K17" s="37" t="s">
        <v>20</v>
      </c>
      <c r="L17" s="37">
        <v>1</v>
      </c>
      <c r="M17" s="105">
        <v>107527</v>
      </c>
      <c r="N17" s="105">
        <f t="shared" si="1"/>
        <v>107527</v>
      </c>
      <c r="O17" s="38" t="s">
        <v>21</v>
      </c>
      <c r="P17" s="37">
        <f t="shared" si="2"/>
        <v>7</v>
      </c>
    </row>
    <row r="18" spans="1:16" x14ac:dyDescent="0.25">
      <c r="A18" s="37" t="s">
        <v>18</v>
      </c>
      <c r="B18" s="107" t="s">
        <v>291</v>
      </c>
      <c r="C18" s="37">
        <f t="shared" si="0"/>
        <v>162</v>
      </c>
      <c r="D18" s="37">
        <v>1</v>
      </c>
      <c r="E18" s="37"/>
      <c r="F18" s="37"/>
      <c r="G18" s="59" t="s">
        <v>107</v>
      </c>
      <c r="H18" s="37" t="s">
        <v>480</v>
      </c>
      <c r="I18" s="37">
        <v>131</v>
      </c>
      <c r="J18" s="37">
        <v>5113</v>
      </c>
      <c r="K18" s="37" t="s">
        <v>20</v>
      </c>
      <c r="L18" s="37">
        <v>1</v>
      </c>
      <c r="M18" s="105">
        <v>10752688</v>
      </c>
      <c r="N18" s="105">
        <f t="shared" si="1"/>
        <v>10752688</v>
      </c>
      <c r="O18" s="38" t="s">
        <v>21</v>
      </c>
      <c r="P18" s="37">
        <f t="shared" si="2"/>
        <v>8</v>
      </c>
    </row>
    <row r="19" spans="1:16" x14ac:dyDescent="0.25">
      <c r="A19" s="37" t="s">
        <v>18</v>
      </c>
      <c r="B19" s="107" t="s">
        <v>291</v>
      </c>
      <c r="C19" s="37">
        <f t="shared" si="0"/>
        <v>162</v>
      </c>
      <c r="D19" s="37">
        <v>0</v>
      </c>
      <c r="E19" s="37"/>
      <c r="F19" s="37"/>
      <c r="G19" s="59" t="s">
        <v>107</v>
      </c>
      <c r="H19" s="37" t="s">
        <v>499</v>
      </c>
      <c r="I19" s="37">
        <v>333821</v>
      </c>
      <c r="J19" s="37">
        <v>131</v>
      </c>
      <c r="K19" s="37" t="s">
        <v>20</v>
      </c>
      <c r="L19" s="37">
        <v>1</v>
      </c>
      <c r="M19" s="105">
        <v>107527</v>
      </c>
      <c r="N19" s="105">
        <f t="shared" si="1"/>
        <v>107527</v>
      </c>
      <c r="O19" s="38" t="s">
        <v>21</v>
      </c>
      <c r="P19" s="37">
        <f t="shared" si="2"/>
        <v>8</v>
      </c>
    </row>
    <row r="20" spans="1:16" x14ac:dyDescent="0.25">
      <c r="A20" s="37" t="s">
        <v>18</v>
      </c>
      <c r="B20" s="107" t="s">
        <v>291</v>
      </c>
      <c r="C20" s="37">
        <f t="shared" si="0"/>
        <v>163</v>
      </c>
      <c r="D20" s="37">
        <v>1</v>
      </c>
      <c r="E20" s="37"/>
      <c r="F20" s="37"/>
      <c r="G20" s="59" t="s">
        <v>50</v>
      </c>
      <c r="H20" s="37" t="s">
        <v>481</v>
      </c>
      <c r="I20" s="37">
        <v>131</v>
      </c>
      <c r="J20" s="37">
        <v>5113</v>
      </c>
      <c r="K20" s="37" t="s">
        <v>20</v>
      </c>
      <c r="L20" s="37">
        <v>1</v>
      </c>
      <c r="M20" s="105">
        <v>10752688</v>
      </c>
      <c r="N20" s="105">
        <f t="shared" si="1"/>
        <v>10752688</v>
      </c>
      <c r="O20" s="38" t="s">
        <v>21</v>
      </c>
      <c r="P20" s="37">
        <f t="shared" si="2"/>
        <v>9</v>
      </c>
    </row>
    <row r="21" spans="1:16" x14ac:dyDescent="0.25">
      <c r="A21" s="37" t="s">
        <v>18</v>
      </c>
      <c r="B21" s="107" t="s">
        <v>291</v>
      </c>
      <c r="C21" s="37">
        <f t="shared" si="0"/>
        <v>163</v>
      </c>
      <c r="D21" s="37">
        <v>0</v>
      </c>
      <c r="E21" s="37"/>
      <c r="F21" s="37"/>
      <c r="G21" s="59" t="s">
        <v>50</v>
      </c>
      <c r="H21" s="37" t="s">
        <v>500</v>
      </c>
      <c r="I21" s="37">
        <v>333821</v>
      </c>
      <c r="J21" s="37">
        <v>131</v>
      </c>
      <c r="K21" s="37" t="s">
        <v>20</v>
      </c>
      <c r="L21" s="37">
        <v>1</v>
      </c>
      <c r="M21" s="105">
        <v>107527</v>
      </c>
      <c r="N21" s="105">
        <f t="shared" si="1"/>
        <v>107527</v>
      </c>
      <c r="O21" s="38" t="s">
        <v>21</v>
      </c>
      <c r="P21" s="37">
        <f t="shared" si="2"/>
        <v>9</v>
      </c>
    </row>
    <row r="22" spans="1:16" x14ac:dyDescent="0.25">
      <c r="A22" s="37" t="s">
        <v>18</v>
      </c>
      <c r="B22" s="107" t="s">
        <v>315</v>
      </c>
      <c r="C22" s="37">
        <f t="shared" si="0"/>
        <v>164</v>
      </c>
      <c r="D22" s="37">
        <v>1</v>
      </c>
      <c r="E22" s="37"/>
      <c r="F22" s="37"/>
      <c r="G22" s="59" t="s">
        <v>66</v>
      </c>
      <c r="H22" s="37" t="s">
        <v>482</v>
      </c>
      <c r="I22" s="37">
        <v>131</v>
      </c>
      <c r="J22" s="37">
        <v>5113</v>
      </c>
      <c r="K22" s="37" t="s">
        <v>20</v>
      </c>
      <c r="L22" s="37">
        <v>1</v>
      </c>
      <c r="M22" s="105">
        <v>19354839</v>
      </c>
      <c r="N22" s="105">
        <f t="shared" si="1"/>
        <v>19354839</v>
      </c>
      <c r="O22" s="38" t="s">
        <v>21</v>
      </c>
      <c r="P22" s="37">
        <f t="shared" si="2"/>
        <v>10</v>
      </c>
    </row>
    <row r="23" spans="1:16" x14ac:dyDescent="0.25">
      <c r="A23" s="37" t="s">
        <v>18</v>
      </c>
      <c r="B23" s="107" t="s">
        <v>315</v>
      </c>
      <c r="C23" s="37">
        <f t="shared" si="0"/>
        <v>164</v>
      </c>
      <c r="D23" s="37">
        <v>0</v>
      </c>
      <c r="E23" s="37"/>
      <c r="F23" s="37"/>
      <c r="G23" s="59" t="s">
        <v>66</v>
      </c>
      <c r="H23" s="37" t="s">
        <v>501</v>
      </c>
      <c r="I23" s="37">
        <v>333821</v>
      </c>
      <c r="J23" s="37">
        <v>131</v>
      </c>
      <c r="K23" s="37" t="s">
        <v>20</v>
      </c>
      <c r="L23" s="37">
        <v>1</v>
      </c>
      <c r="M23" s="105">
        <v>193549</v>
      </c>
      <c r="N23" s="105">
        <f t="shared" si="1"/>
        <v>193549</v>
      </c>
      <c r="O23" s="38" t="s">
        <v>21</v>
      </c>
      <c r="P23" s="37">
        <f t="shared" si="2"/>
        <v>10</v>
      </c>
    </row>
    <row r="24" spans="1:16" x14ac:dyDescent="0.25">
      <c r="A24" s="37" t="s">
        <v>18</v>
      </c>
      <c r="B24" s="107" t="s">
        <v>470</v>
      </c>
      <c r="C24" s="37">
        <f t="shared" si="0"/>
        <v>165</v>
      </c>
      <c r="D24" s="37">
        <v>1</v>
      </c>
      <c r="E24" s="37"/>
      <c r="F24" s="37"/>
      <c r="G24" s="59" t="s">
        <v>289</v>
      </c>
      <c r="H24" s="37" t="s">
        <v>483</v>
      </c>
      <c r="I24" s="37">
        <v>131</v>
      </c>
      <c r="J24" s="37">
        <v>5113</v>
      </c>
      <c r="K24" s="37" t="s">
        <v>20</v>
      </c>
      <c r="L24" s="37">
        <v>1</v>
      </c>
      <c r="M24" s="105">
        <v>12903226</v>
      </c>
      <c r="N24" s="105">
        <f t="shared" si="1"/>
        <v>12903226</v>
      </c>
      <c r="O24" s="38" t="s">
        <v>21</v>
      </c>
      <c r="P24" s="37">
        <f t="shared" si="2"/>
        <v>11</v>
      </c>
    </row>
    <row r="25" spans="1:16" x14ac:dyDescent="0.25">
      <c r="A25" s="37" t="s">
        <v>18</v>
      </c>
      <c r="B25" s="107" t="s">
        <v>470</v>
      </c>
      <c r="C25" s="37">
        <f t="shared" si="0"/>
        <v>165</v>
      </c>
      <c r="D25" s="37">
        <v>0</v>
      </c>
      <c r="E25" s="37"/>
      <c r="F25" s="37"/>
      <c r="G25" s="59" t="s">
        <v>289</v>
      </c>
      <c r="H25" s="37" t="s">
        <v>502</v>
      </c>
      <c r="I25" s="37">
        <v>333821</v>
      </c>
      <c r="J25" s="37">
        <v>131</v>
      </c>
      <c r="K25" s="37" t="s">
        <v>20</v>
      </c>
      <c r="L25" s="37">
        <v>1</v>
      </c>
      <c r="M25" s="105">
        <v>129032</v>
      </c>
      <c r="N25" s="105">
        <f t="shared" si="1"/>
        <v>129032</v>
      </c>
      <c r="O25" s="38" t="s">
        <v>21</v>
      </c>
      <c r="P25" s="37">
        <f t="shared" si="2"/>
        <v>11</v>
      </c>
    </row>
    <row r="26" spans="1:16" x14ac:dyDescent="0.25">
      <c r="A26" s="37" t="s">
        <v>18</v>
      </c>
      <c r="B26" s="107" t="s">
        <v>470</v>
      </c>
      <c r="C26" s="37">
        <f t="shared" si="0"/>
        <v>166</v>
      </c>
      <c r="D26" s="37">
        <v>1</v>
      </c>
      <c r="E26" s="37"/>
      <c r="F26" s="37"/>
      <c r="G26" s="59" t="s">
        <v>472</v>
      </c>
      <c r="H26" s="37" t="s">
        <v>484</v>
      </c>
      <c r="I26" s="37">
        <v>131</v>
      </c>
      <c r="J26" s="37">
        <v>5113</v>
      </c>
      <c r="K26" s="37" t="s">
        <v>20</v>
      </c>
      <c r="L26" s="37">
        <v>1</v>
      </c>
      <c r="M26" s="105">
        <v>18279570</v>
      </c>
      <c r="N26" s="105">
        <f t="shared" si="1"/>
        <v>18279570</v>
      </c>
      <c r="O26" s="38" t="s">
        <v>21</v>
      </c>
      <c r="P26" s="37">
        <f t="shared" si="2"/>
        <v>12</v>
      </c>
    </row>
    <row r="27" spans="1:16" x14ac:dyDescent="0.25">
      <c r="A27" s="37" t="s">
        <v>18</v>
      </c>
      <c r="B27" s="107" t="s">
        <v>470</v>
      </c>
      <c r="C27" s="37">
        <f t="shared" si="0"/>
        <v>166</v>
      </c>
      <c r="D27" s="37">
        <v>0</v>
      </c>
      <c r="E27" s="37"/>
      <c r="F27" s="37"/>
      <c r="G27" s="59" t="s">
        <v>472</v>
      </c>
      <c r="H27" s="37" t="s">
        <v>503</v>
      </c>
      <c r="I27" s="37">
        <v>333821</v>
      </c>
      <c r="J27" s="37">
        <v>131</v>
      </c>
      <c r="K27" s="37" t="s">
        <v>20</v>
      </c>
      <c r="L27" s="37">
        <v>1</v>
      </c>
      <c r="M27" s="105">
        <v>182796</v>
      </c>
      <c r="N27" s="105">
        <f t="shared" si="1"/>
        <v>182796</v>
      </c>
      <c r="O27" s="38" t="s">
        <v>21</v>
      </c>
      <c r="P27" s="37">
        <f t="shared" si="2"/>
        <v>12</v>
      </c>
    </row>
    <row r="28" spans="1:16" x14ac:dyDescent="0.25">
      <c r="A28" s="37" t="s">
        <v>18</v>
      </c>
      <c r="B28" s="107" t="s">
        <v>378</v>
      </c>
      <c r="C28" s="37">
        <f t="shared" si="0"/>
        <v>167</v>
      </c>
      <c r="D28" s="37">
        <v>1</v>
      </c>
      <c r="E28" s="37"/>
      <c r="F28" s="37"/>
      <c r="G28" s="59" t="s">
        <v>66</v>
      </c>
      <c r="H28" s="37" t="s">
        <v>485</v>
      </c>
      <c r="I28" s="37">
        <v>131</v>
      </c>
      <c r="J28" s="37">
        <v>5113</v>
      </c>
      <c r="K28" s="37" t="s">
        <v>20</v>
      </c>
      <c r="L28" s="37">
        <v>1</v>
      </c>
      <c r="M28" s="105">
        <v>10752688</v>
      </c>
      <c r="N28" s="105">
        <f t="shared" si="1"/>
        <v>10752688</v>
      </c>
      <c r="O28" s="38" t="s">
        <v>21</v>
      </c>
      <c r="P28" s="37">
        <f t="shared" si="2"/>
        <v>13</v>
      </c>
    </row>
    <row r="29" spans="1:16" x14ac:dyDescent="0.25">
      <c r="A29" s="37" t="s">
        <v>18</v>
      </c>
      <c r="B29" s="107" t="s">
        <v>378</v>
      </c>
      <c r="C29" s="37">
        <f t="shared" si="0"/>
        <v>167</v>
      </c>
      <c r="D29" s="37">
        <v>0</v>
      </c>
      <c r="E29" s="37"/>
      <c r="F29" s="37"/>
      <c r="G29" s="59" t="s">
        <v>66</v>
      </c>
      <c r="H29" s="37" t="s">
        <v>504</v>
      </c>
      <c r="I29" s="37">
        <v>333821</v>
      </c>
      <c r="J29" s="37">
        <v>131</v>
      </c>
      <c r="K29" s="37" t="s">
        <v>20</v>
      </c>
      <c r="L29" s="37">
        <v>1</v>
      </c>
      <c r="M29" s="105">
        <v>107527</v>
      </c>
      <c r="N29" s="105">
        <f t="shared" si="1"/>
        <v>107527</v>
      </c>
      <c r="O29" s="38" t="s">
        <v>21</v>
      </c>
      <c r="P29" s="37">
        <f t="shared" si="2"/>
        <v>13</v>
      </c>
    </row>
    <row r="30" spans="1:16" x14ac:dyDescent="0.25">
      <c r="A30" s="37" t="s">
        <v>18</v>
      </c>
      <c r="B30" s="107" t="s">
        <v>471</v>
      </c>
      <c r="C30" s="37">
        <f t="shared" si="0"/>
        <v>168</v>
      </c>
      <c r="D30" s="37">
        <v>1</v>
      </c>
      <c r="E30" s="37"/>
      <c r="F30" s="37"/>
      <c r="G30" s="59" t="s">
        <v>59</v>
      </c>
      <c r="H30" s="37" t="s">
        <v>486</v>
      </c>
      <c r="I30" s="37">
        <v>131</v>
      </c>
      <c r="J30" s="37">
        <v>5113</v>
      </c>
      <c r="K30" s="37" t="s">
        <v>20</v>
      </c>
      <c r="L30" s="37">
        <v>1</v>
      </c>
      <c r="M30" s="105">
        <v>6451613</v>
      </c>
      <c r="N30" s="105">
        <f t="shared" si="1"/>
        <v>6451613</v>
      </c>
      <c r="O30" s="38" t="s">
        <v>21</v>
      </c>
      <c r="P30" s="37">
        <f t="shared" si="2"/>
        <v>14</v>
      </c>
    </row>
    <row r="31" spans="1:16" x14ac:dyDescent="0.25">
      <c r="A31" s="37" t="s">
        <v>18</v>
      </c>
      <c r="B31" s="107" t="s">
        <v>471</v>
      </c>
      <c r="C31" s="37">
        <f t="shared" si="0"/>
        <v>168</v>
      </c>
      <c r="D31" s="37">
        <v>0</v>
      </c>
      <c r="E31" s="37"/>
      <c r="F31" s="37"/>
      <c r="G31" s="59" t="s">
        <v>59</v>
      </c>
      <c r="H31" s="37" t="s">
        <v>505</v>
      </c>
      <c r="I31" s="37">
        <v>333821</v>
      </c>
      <c r="J31" s="37">
        <v>131</v>
      </c>
      <c r="K31" s="37" t="s">
        <v>20</v>
      </c>
      <c r="L31" s="37">
        <v>1</v>
      </c>
      <c r="M31" s="105">
        <v>64516</v>
      </c>
      <c r="N31" s="105">
        <f t="shared" si="1"/>
        <v>64516</v>
      </c>
      <c r="O31" s="38" t="s">
        <v>21</v>
      </c>
      <c r="P31" s="37">
        <f t="shared" si="2"/>
        <v>14</v>
      </c>
    </row>
    <row r="32" spans="1:16" x14ac:dyDescent="0.25">
      <c r="A32" s="37" t="s">
        <v>18</v>
      </c>
      <c r="B32" s="107" t="s">
        <v>318</v>
      </c>
      <c r="C32" s="37">
        <f t="shared" si="0"/>
        <v>169</v>
      </c>
      <c r="D32" s="37">
        <v>1</v>
      </c>
      <c r="E32" s="37"/>
      <c r="F32" s="37"/>
      <c r="G32" s="59" t="s">
        <v>66</v>
      </c>
      <c r="H32" s="37" t="s">
        <v>487</v>
      </c>
      <c r="I32" s="37">
        <v>131</v>
      </c>
      <c r="J32" s="37">
        <v>5113</v>
      </c>
      <c r="K32" s="37" t="s">
        <v>20</v>
      </c>
      <c r="L32" s="37">
        <v>1</v>
      </c>
      <c r="M32" s="105">
        <v>10752688</v>
      </c>
      <c r="N32" s="105">
        <f t="shared" si="1"/>
        <v>10752688</v>
      </c>
      <c r="O32" s="38" t="s">
        <v>21</v>
      </c>
      <c r="P32" s="37">
        <f t="shared" si="2"/>
        <v>15</v>
      </c>
    </row>
    <row r="33" spans="1:16" x14ac:dyDescent="0.25">
      <c r="A33" s="37" t="s">
        <v>18</v>
      </c>
      <c r="B33" s="107" t="s">
        <v>318</v>
      </c>
      <c r="C33" s="37">
        <f t="shared" si="0"/>
        <v>169</v>
      </c>
      <c r="D33" s="37">
        <v>0</v>
      </c>
      <c r="E33" s="37"/>
      <c r="F33" s="37"/>
      <c r="G33" s="59" t="s">
        <v>66</v>
      </c>
      <c r="H33" s="37" t="s">
        <v>506</v>
      </c>
      <c r="I33" s="37">
        <v>333821</v>
      </c>
      <c r="J33" s="37">
        <v>131</v>
      </c>
      <c r="K33" s="37" t="s">
        <v>20</v>
      </c>
      <c r="L33" s="37">
        <v>1</v>
      </c>
      <c r="M33" s="105">
        <v>107527</v>
      </c>
      <c r="N33" s="105">
        <f t="shared" si="1"/>
        <v>107527</v>
      </c>
      <c r="O33" s="38" t="s">
        <v>21</v>
      </c>
      <c r="P33" s="37">
        <f t="shared" si="2"/>
        <v>15</v>
      </c>
    </row>
    <row r="34" spans="1:16" x14ac:dyDescent="0.25">
      <c r="A34" s="37" t="s">
        <v>18</v>
      </c>
      <c r="B34" s="107" t="s">
        <v>318</v>
      </c>
      <c r="C34" s="37">
        <f t="shared" si="0"/>
        <v>170</v>
      </c>
      <c r="D34" s="37">
        <v>1</v>
      </c>
      <c r="E34" s="37"/>
      <c r="F34" s="37"/>
      <c r="G34" s="59" t="s">
        <v>118</v>
      </c>
      <c r="H34" s="37" t="s">
        <v>488</v>
      </c>
      <c r="I34" s="37">
        <v>131</v>
      </c>
      <c r="J34" s="37">
        <v>5113</v>
      </c>
      <c r="K34" s="37" t="s">
        <v>20</v>
      </c>
      <c r="L34" s="37">
        <v>1</v>
      </c>
      <c r="M34" s="105">
        <v>10752688</v>
      </c>
      <c r="N34" s="105">
        <f t="shared" si="1"/>
        <v>10752688</v>
      </c>
      <c r="O34" s="38" t="s">
        <v>21</v>
      </c>
      <c r="P34" s="37">
        <f t="shared" si="2"/>
        <v>16</v>
      </c>
    </row>
    <row r="35" spans="1:16" x14ac:dyDescent="0.25">
      <c r="A35" s="37" t="s">
        <v>18</v>
      </c>
      <c r="B35" s="107" t="s">
        <v>318</v>
      </c>
      <c r="C35" s="37">
        <f t="shared" si="0"/>
        <v>170</v>
      </c>
      <c r="D35" s="37">
        <v>0</v>
      </c>
      <c r="E35" s="37"/>
      <c r="F35" s="37"/>
      <c r="G35" s="59" t="s">
        <v>118</v>
      </c>
      <c r="H35" s="37" t="s">
        <v>507</v>
      </c>
      <c r="I35" s="37">
        <v>333821</v>
      </c>
      <c r="J35" s="37">
        <v>131</v>
      </c>
      <c r="K35" s="37" t="s">
        <v>20</v>
      </c>
      <c r="L35" s="37">
        <v>1</v>
      </c>
      <c r="M35" s="105">
        <v>107527</v>
      </c>
      <c r="N35" s="105">
        <f t="shared" si="1"/>
        <v>107527</v>
      </c>
      <c r="O35" s="38" t="s">
        <v>21</v>
      </c>
      <c r="P35" s="37">
        <f t="shared" si="2"/>
        <v>16</v>
      </c>
    </row>
    <row r="36" spans="1:16" x14ac:dyDescent="0.25">
      <c r="A36" s="37" t="s">
        <v>18</v>
      </c>
      <c r="B36" s="107" t="s">
        <v>318</v>
      </c>
      <c r="C36" s="37">
        <f t="shared" ref="C36:C67" si="3">C35+D36</f>
        <v>171</v>
      </c>
      <c r="D36" s="37">
        <v>1</v>
      </c>
      <c r="E36" s="37"/>
      <c r="F36" s="37"/>
      <c r="G36" s="59" t="s">
        <v>113</v>
      </c>
      <c r="H36" s="37" t="s">
        <v>489</v>
      </c>
      <c r="I36" s="37">
        <v>131</v>
      </c>
      <c r="J36" s="37">
        <v>5113</v>
      </c>
      <c r="K36" s="37" t="s">
        <v>20</v>
      </c>
      <c r="L36" s="37">
        <v>1</v>
      </c>
      <c r="M36" s="105">
        <v>5404040</v>
      </c>
      <c r="N36" s="105">
        <f t="shared" ref="N36:N67" si="4">L36*M36</f>
        <v>5404040</v>
      </c>
      <c r="O36" s="38" t="s">
        <v>21</v>
      </c>
      <c r="P36" s="37">
        <f t="shared" si="2"/>
        <v>17</v>
      </c>
    </row>
    <row r="37" spans="1:16" x14ac:dyDescent="0.25">
      <c r="A37" s="37" t="s">
        <v>18</v>
      </c>
      <c r="B37" s="107" t="s">
        <v>318</v>
      </c>
      <c r="C37" s="37">
        <f t="shared" si="3"/>
        <v>171</v>
      </c>
      <c r="D37" s="37">
        <v>0</v>
      </c>
      <c r="E37" s="37"/>
      <c r="F37" s="37"/>
      <c r="G37" s="59" t="s">
        <v>113</v>
      </c>
      <c r="H37" s="37" t="s">
        <v>508</v>
      </c>
      <c r="I37" s="37">
        <v>333821</v>
      </c>
      <c r="J37" s="37">
        <v>131</v>
      </c>
      <c r="K37" s="37" t="s">
        <v>20</v>
      </c>
      <c r="L37" s="37">
        <v>1</v>
      </c>
      <c r="M37" s="105">
        <v>54040</v>
      </c>
      <c r="N37" s="105">
        <f t="shared" si="4"/>
        <v>54040</v>
      </c>
      <c r="O37" s="38" t="s">
        <v>21</v>
      </c>
      <c r="P37" s="37">
        <f t="shared" si="2"/>
        <v>17</v>
      </c>
    </row>
    <row r="38" spans="1:16" x14ac:dyDescent="0.25">
      <c r="A38" s="37" t="s">
        <v>18</v>
      </c>
      <c r="B38" s="107" t="s">
        <v>418</v>
      </c>
      <c r="C38" s="37">
        <f t="shared" si="3"/>
        <v>172</v>
      </c>
      <c r="D38" s="37">
        <v>1</v>
      </c>
      <c r="E38" s="37"/>
      <c r="F38" s="37"/>
      <c r="G38" s="59" t="s">
        <v>91</v>
      </c>
      <c r="H38" s="37" t="s">
        <v>490</v>
      </c>
      <c r="I38" s="37">
        <v>131</v>
      </c>
      <c r="J38" s="37">
        <v>5113</v>
      </c>
      <c r="K38" s="37" t="s">
        <v>20</v>
      </c>
      <c r="L38" s="37">
        <v>1</v>
      </c>
      <c r="M38" s="105">
        <v>10752688</v>
      </c>
      <c r="N38" s="105">
        <f t="shared" si="4"/>
        <v>10752688</v>
      </c>
      <c r="O38" s="38" t="s">
        <v>21</v>
      </c>
      <c r="P38" s="37">
        <f t="shared" si="2"/>
        <v>18</v>
      </c>
    </row>
    <row r="39" spans="1:16" x14ac:dyDescent="0.25">
      <c r="A39" s="37" t="s">
        <v>18</v>
      </c>
      <c r="B39" s="107" t="s">
        <v>418</v>
      </c>
      <c r="C39" s="37">
        <f t="shared" si="3"/>
        <v>172</v>
      </c>
      <c r="D39" s="37">
        <v>0</v>
      </c>
      <c r="E39" s="37"/>
      <c r="F39" s="37"/>
      <c r="G39" s="59" t="s">
        <v>91</v>
      </c>
      <c r="H39" s="37" t="s">
        <v>509</v>
      </c>
      <c r="I39" s="37">
        <v>333821</v>
      </c>
      <c r="J39" s="37">
        <v>131</v>
      </c>
      <c r="K39" s="37" t="s">
        <v>20</v>
      </c>
      <c r="L39" s="37">
        <v>1</v>
      </c>
      <c r="M39" s="105">
        <v>107527</v>
      </c>
      <c r="N39" s="105">
        <f t="shared" si="4"/>
        <v>107527</v>
      </c>
      <c r="O39" s="38" t="s">
        <v>21</v>
      </c>
      <c r="P39" s="37">
        <f t="shared" si="2"/>
        <v>18</v>
      </c>
    </row>
    <row r="40" spans="1:16" x14ac:dyDescent="0.25">
      <c r="A40" s="37" t="s">
        <v>18</v>
      </c>
      <c r="B40" s="107" t="s">
        <v>452</v>
      </c>
      <c r="C40" s="37">
        <f t="shared" si="3"/>
        <v>173</v>
      </c>
      <c r="D40" s="37">
        <v>1</v>
      </c>
      <c r="E40" s="37"/>
      <c r="F40" s="37"/>
      <c r="G40" s="59" t="s">
        <v>26</v>
      </c>
      <c r="H40" s="37" t="s">
        <v>491</v>
      </c>
      <c r="I40" s="37">
        <v>131</v>
      </c>
      <c r="J40" s="37">
        <v>5113</v>
      </c>
      <c r="K40" s="37" t="s">
        <v>20</v>
      </c>
      <c r="L40" s="37">
        <v>1</v>
      </c>
      <c r="M40" s="105">
        <v>10752688</v>
      </c>
      <c r="N40" s="105">
        <f t="shared" si="4"/>
        <v>10752688</v>
      </c>
      <c r="O40" s="38" t="s">
        <v>21</v>
      </c>
      <c r="P40" s="37">
        <f t="shared" si="2"/>
        <v>19</v>
      </c>
    </row>
    <row r="41" spans="1:16" x14ac:dyDescent="0.25">
      <c r="A41" s="37" t="s">
        <v>18</v>
      </c>
      <c r="B41" s="107" t="s">
        <v>452</v>
      </c>
      <c r="C41" s="37">
        <f t="shared" si="3"/>
        <v>173</v>
      </c>
      <c r="D41" s="37">
        <v>0</v>
      </c>
      <c r="E41" s="37"/>
      <c r="F41" s="37"/>
      <c r="G41" s="59" t="s">
        <v>26</v>
      </c>
      <c r="H41" s="37" t="s">
        <v>510</v>
      </c>
      <c r="I41" s="37">
        <v>333821</v>
      </c>
      <c r="J41" s="37">
        <v>131</v>
      </c>
      <c r="K41" s="37" t="s">
        <v>20</v>
      </c>
      <c r="L41" s="37">
        <v>1</v>
      </c>
      <c r="M41" s="105">
        <v>107527</v>
      </c>
      <c r="N41" s="105">
        <f t="shared" si="4"/>
        <v>107527</v>
      </c>
      <c r="O41" s="38" t="s">
        <v>21</v>
      </c>
      <c r="P41" s="37">
        <f t="shared" si="2"/>
        <v>19</v>
      </c>
    </row>
    <row r="42" spans="1:16" x14ac:dyDescent="0.25">
      <c r="A42" s="37" t="s">
        <v>18</v>
      </c>
      <c r="B42" s="107">
        <v>45961</v>
      </c>
      <c r="C42" s="37">
        <f t="shared" si="3"/>
        <v>174</v>
      </c>
      <c r="D42" s="37">
        <v>1</v>
      </c>
      <c r="E42" s="37"/>
      <c r="F42" s="37"/>
      <c r="G42" s="59" t="s">
        <v>43</v>
      </c>
      <c r="H42" s="37" t="s">
        <v>371</v>
      </c>
      <c r="I42" s="37">
        <v>64271</v>
      </c>
      <c r="J42" s="37">
        <v>3383</v>
      </c>
      <c r="K42" s="37" t="s">
        <v>20</v>
      </c>
      <c r="L42" s="37">
        <v>1</v>
      </c>
      <c r="M42" s="105">
        <v>690300</v>
      </c>
      <c r="N42" s="105">
        <f t="shared" si="4"/>
        <v>690300</v>
      </c>
      <c r="O42" s="38" t="s">
        <v>21</v>
      </c>
      <c r="P42" s="37">
        <f t="shared" si="2"/>
        <v>20</v>
      </c>
    </row>
    <row r="43" spans="1:16" x14ac:dyDescent="0.25">
      <c r="A43" s="37" t="s">
        <v>18</v>
      </c>
      <c r="B43" s="107">
        <v>45991</v>
      </c>
      <c r="C43" s="37">
        <f t="shared" si="3"/>
        <v>175</v>
      </c>
      <c r="D43" s="37">
        <v>1</v>
      </c>
      <c r="E43" s="37"/>
      <c r="F43" s="37"/>
      <c r="G43" s="59" t="s">
        <v>43</v>
      </c>
      <c r="H43" s="37" t="s">
        <v>372</v>
      </c>
      <c r="I43" s="37">
        <v>64271</v>
      </c>
      <c r="J43" s="37">
        <v>3383</v>
      </c>
      <c r="K43" s="37" t="s">
        <v>20</v>
      </c>
      <c r="L43" s="37">
        <v>1</v>
      </c>
      <c r="M43" s="105">
        <v>690300</v>
      </c>
      <c r="N43" s="105">
        <f t="shared" si="4"/>
        <v>690300</v>
      </c>
      <c r="O43" s="38" t="s">
        <v>21</v>
      </c>
      <c r="P43" s="37">
        <f t="shared" si="2"/>
        <v>21</v>
      </c>
    </row>
    <row r="44" spans="1:16" x14ac:dyDescent="0.25">
      <c r="A44" s="37" t="s">
        <v>18</v>
      </c>
      <c r="B44" s="107">
        <v>46022</v>
      </c>
      <c r="C44" s="37">
        <f t="shared" si="3"/>
        <v>176</v>
      </c>
      <c r="D44" s="37">
        <v>1</v>
      </c>
      <c r="E44" s="37"/>
      <c r="F44" s="37"/>
      <c r="G44" s="59" t="s">
        <v>43</v>
      </c>
      <c r="H44" s="37" t="s">
        <v>373</v>
      </c>
      <c r="I44" s="37">
        <v>64271</v>
      </c>
      <c r="J44" s="37">
        <v>3383</v>
      </c>
      <c r="K44" s="37" t="s">
        <v>20</v>
      </c>
      <c r="L44" s="37">
        <v>1</v>
      </c>
      <c r="M44" s="105">
        <v>690300</v>
      </c>
      <c r="N44" s="105">
        <f t="shared" si="4"/>
        <v>690300</v>
      </c>
      <c r="O44" s="38" t="s">
        <v>21</v>
      </c>
      <c r="P44" s="37">
        <f t="shared" si="2"/>
        <v>22</v>
      </c>
    </row>
    <row r="45" spans="1:16" x14ac:dyDescent="0.25">
      <c r="A45" s="37" t="s">
        <v>18</v>
      </c>
      <c r="B45" s="107" t="s">
        <v>308</v>
      </c>
      <c r="C45" s="37">
        <f t="shared" si="3"/>
        <v>177</v>
      </c>
      <c r="D45" s="37">
        <v>1</v>
      </c>
      <c r="E45" s="37"/>
      <c r="F45" s="37"/>
      <c r="G45" s="59" t="s">
        <v>24</v>
      </c>
      <c r="H45" s="37" t="s">
        <v>833</v>
      </c>
      <c r="I45" s="37">
        <v>64277</v>
      </c>
      <c r="J45" s="37">
        <v>331</v>
      </c>
      <c r="K45" s="37" t="s">
        <v>20</v>
      </c>
      <c r="L45" s="37">
        <v>1</v>
      </c>
      <c r="M45" s="105">
        <v>186000</v>
      </c>
      <c r="N45" s="105">
        <f t="shared" si="4"/>
        <v>186000</v>
      </c>
      <c r="O45" s="38" t="s">
        <v>21</v>
      </c>
      <c r="P45" s="37">
        <f t="shared" si="2"/>
        <v>23</v>
      </c>
    </row>
    <row r="46" spans="1:16" x14ac:dyDescent="0.25">
      <c r="A46" s="37" t="s">
        <v>18</v>
      </c>
      <c r="B46" s="107" t="s">
        <v>308</v>
      </c>
      <c r="C46" s="37">
        <f t="shared" si="3"/>
        <v>178</v>
      </c>
      <c r="D46" s="37">
        <v>1</v>
      </c>
      <c r="E46" s="37"/>
      <c r="F46" s="37"/>
      <c r="G46" s="59" t="s">
        <v>24</v>
      </c>
      <c r="H46" s="37" t="s">
        <v>834</v>
      </c>
      <c r="I46" s="37">
        <v>64277</v>
      </c>
      <c r="J46" s="37">
        <v>331</v>
      </c>
      <c r="K46" s="37" t="s">
        <v>20</v>
      </c>
      <c r="L46" s="37">
        <v>1</v>
      </c>
      <c r="M46" s="105">
        <v>191000</v>
      </c>
      <c r="N46" s="105">
        <f t="shared" si="4"/>
        <v>191000</v>
      </c>
      <c r="O46" s="38" t="s">
        <v>21</v>
      </c>
      <c r="P46" s="37">
        <f t="shared" si="2"/>
        <v>24</v>
      </c>
    </row>
    <row r="47" spans="1:16" x14ac:dyDescent="0.25">
      <c r="A47" s="37" t="s">
        <v>18</v>
      </c>
      <c r="B47" s="107" t="s">
        <v>309</v>
      </c>
      <c r="C47" s="37">
        <f t="shared" si="3"/>
        <v>179</v>
      </c>
      <c r="D47" s="37">
        <v>1</v>
      </c>
      <c r="E47" s="37"/>
      <c r="F47" s="37"/>
      <c r="G47" s="59" t="s">
        <v>37</v>
      </c>
      <c r="H47" s="37" t="s">
        <v>517</v>
      </c>
      <c r="I47" s="37">
        <v>64277</v>
      </c>
      <c r="J47" s="37">
        <v>331</v>
      </c>
      <c r="K47" s="37" t="s">
        <v>20</v>
      </c>
      <c r="L47" s="37">
        <v>1</v>
      </c>
      <c r="M47" s="105">
        <v>2916000</v>
      </c>
      <c r="N47" s="105">
        <f t="shared" si="4"/>
        <v>2916000</v>
      </c>
      <c r="O47" s="38" t="s">
        <v>21</v>
      </c>
      <c r="P47" s="37">
        <f t="shared" si="2"/>
        <v>25</v>
      </c>
    </row>
    <row r="48" spans="1:16" x14ac:dyDescent="0.25">
      <c r="A48" s="37" t="s">
        <v>18</v>
      </c>
      <c r="B48" s="107" t="s">
        <v>443</v>
      </c>
      <c r="C48" s="37">
        <f t="shared" si="3"/>
        <v>180</v>
      </c>
      <c r="D48" s="37">
        <v>1</v>
      </c>
      <c r="E48" s="37"/>
      <c r="F48" s="37"/>
      <c r="G48" s="59" t="s">
        <v>393</v>
      </c>
      <c r="H48" s="37" t="s">
        <v>518</v>
      </c>
      <c r="I48" s="37">
        <v>64277</v>
      </c>
      <c r="J48" s="37">
        <v>331</v>
      </c>
      <c r="K48" s="37" t="s">
        <v>20</v>
      </c>
      <c r="L48" s="37">
        <v>1</v>
      </c>
      <c r="M48" s="105">
        <v>2275509</v>
      </c>
      <c r="N48" s="105">
        <f t="shared" si="4"/>
        <v>2275509</v>
      </c>
      <c r="O48" s="38" t="s">
        <v>21</v>
      </c>
      <c r="P48" s="37">
        <f t="shared" si="2"/>
        <v>26</v>
      </c>
    </row>
    <row r="49" spans="1:16" x14ac:dyDescent="0.25">
      <c r="A49" s="37" t="s">
        <v>18</v>
      </c>
      <c r="B49" s="107" t="s">
        <v>511</v>
      </c>
      <c r="C49" s="37">
        <f t="shared" si="3"/>
        <v>181</v>
      </c>
      <c r="D49" s="37">
        <v>1</v>
      </c>
      <c r="E49" s="37"/>
      <c r="F49" s="37"/>
      <c r="G49" s="59" t="s">
        <v>24</v>
      </c>
      <c r="H49" s="37" t="s">
        <v>835</v>
      </c>
      <c r="I49" s="37">
        <v>64277</v>
      </c>
      <c r="J49" s="37">
        <v>331</v>
      </c>
      <c r="K49" s="37" t="s">
        <v>20</v>
      </c>
      <c r="L49" s="37">
        <v>1</v>
      </c>
      <c r="M49" s="105">
        <v>56000</v>
      </c>
      <c r="N49" s="105">
        <f t="shared" si="4"/>
        <v>56000</v>
      </c>
      <c r="O49" s="38" t="s">
        <v>21</v>
      </c>
      <c r="P49" s="37">
        <f t="shared" si="2"/>
        <v>27</v>
      </c>
    </row>
    <row r="50" spans="1:16" x14ac:dyDescent="0.25">
      <c r="A50" s="37" t="s">
        <v>18</v>
      </c>
      <c r="B50" s="107" t="s">
        <v>448</v>
      </c>
      <c r="C50" s="37">
        <f t="shared" si="3"/>
        <v>182</v>
      </c>
      <c r="D50" s="37">
        <v>1</v>
      </c>
      <c r="E50" s="37"/>
      <c r="F50" s="37"/>
      <c r="G50" s="59" t="s">
        <v>24</v>
      </c>
      <c r="H50" s="37" t="s">
        <v>836</v>
      </c>
      <c r="I50" s="37">
        <v>64277</v>
      </c>
      <c r="J50" s="37">
        <v>331</v>
      </c>
      <c r="K50" s="37" t="s">
        <v>20</v>
      </c>
      <c r="L50" s="37">
        <v>1</v>
      </c>
      <c r="M50" s="105">
        <v>117000</v>
      </c>
      <c r="N50" s="105">
        <f t="shared" si="4"/>
        <v>117000</v>
      </c>
      <c r="O50" s="38" t="s">
        <v>21</v>
      </c>
      <c r="P50" s="37">
        <f t="shared" si="2"/>
        <v>28</v>
      </c>
    </row>
    <row r="51" spans="1:16" x14ac:dyDescent="0.25">
      <c r="A51" s="37" t="s">
        <v>18</v>
      </c>
      <c r="B51" s="107" t="s">
        <v>512</v>
      </c>
      <c r="C51" s="37">
        <f t="shared" si="3"/>
        <v>183</v>
      </c>
      <c r="D51" s="37">
        <v>1</v>
      </c>
      <c r="E51" s="37"/>
      <c r="F51" s="37"/>
      <c r="G51" s="59" t="s">
        <v>19</v>
      </c>
      <c r="H51" s="37" t="s">
        <v>837</v>
      </c>
      <c r="I51" s="37">
        <v>64277</v>
      </c>
      <c r="J51" s="37">
        <v>331</v>
      </c>
      <c r="K51" s="37" t="s">
        <v>20</v>
      </c>
      <c r="L51" s="37">
        <v>1</v>
      </c>
      <c r="M51" s="105">
        <v>86000</v>
      </c>
      <c r="N51" s="105">
        <f t="shared" si="4"/>
        <v>86000</v>
      </c>
      <c r="O51" s="38" t="s">
        <v>21</v>
      </c>
      <c r="P51" s="37">
        <f t="shared" si="2"/>
        <v>29</v>
      </c>
    </row>
    <row r="52" spans="1:16" x14ac:dyDescent="0.25">
      <c r="A52" s="37" t="s">
        <v>18</v>
      </c>
      <c r="B52" s="107" t="s">
        <v>312</v>
      </c>
      <c r="C52" s="37">
        <f t="shared" si="3"/>
        <v>184</v>
      </c>
      <c r="D52" s="37">
        <v>1</v>
      </c>
      <c r="E52" s="37"/>
      <c r="F52" s="37"/>
      <c r="G52" s="59" t="s">
        <v>281</v>
      </c>
      <c r="H52" s="37" t="s">
        <v>519</v>
      </c>
      <c r="I52" s="37">
        <v>64276</v>
      </c>
      <c r="J52" s="37">
        <v>331</v>
      </c>
      <c r="K52" s="37" t="s">
        <v>20</v>
      </c>
      <c r="L52" s="37">
        <v>1</v>
      </c>
      <c r="M52" s="105">
        <v>2010000</v>
      </c>
      <c r="N52" s="105">
        <f t="shared" si="4"/>
        <v>2010000</v>
      </c>
      <c r="O52" s="38" t="s">
        <v>21</v>
      </c>
      <c r="P52" s="37">
        <f t="shared" si="2"/>
        <v>30</v>
      </c>
    </row>
    <row r="53" spans="1:16" x14ac:dyDescent="0.25">
      <c r="A53" s="37" t="s">
        <v>18</v>
      </c>
      <c r="B53" s="107" t="s">
        <v>377</v>
      </c>
      <c r="C53" s="37">
        <f t="shared" si="3"/>
        <v>185</v>
      </c>
      <c r="D53" s="37">
        <v>1</v>
      </c>
      <c r="E53" s="37"/>
      <c r="F53" s="37"/>
      <c r="G53" s="59" t="s">
        <v>37</v>
      </c>
      <c r="H53" s="37" t="s">
        <v>520</v>
      </c>
      <c r="I53" s="37">
        <v>64277</v>
      </c>
      <c r="J53" s="37">
        <v>331</v>
      </c>
      <c r="K53" s="37" t="s">
        <v>20</v>
      </c>
      <c r="L53" s="37">
        <v>1</v>
      </c>
      <c r="M53" s="105">
        <v>2916000</v>
      </c>
      <c r="N53" s="105">
        <f t="shared" si="4"/>
        <v>2916000</v>
      </c>
      <c r="O53" s="38" t="s">
        <v>21</v>
      </c>
      <c r="P53" s="37">
        <f t="shared" si="2"/>
        <v>31</v>
      </c>
    </row>
    <row r="54" spans="1:16" x14ac:dyDescent="0.25">
      <c r="A54" s="37" t="s">
        <v>18</v>
      </c>
      <c r="B54" s="107" t="s">
        <v>291</v>
      </c>
      <c r="C54" s="37">
        <f t="shared" si="3"/>
        <v>186</v>
      </c>
      <c r="D54" s="37">
        <v>1</v>
      </c>
      <c r="E54" s="37"/>
      <c r="F54" s="37"/>
      <c r="G54" s="59" t="s">
        <v>24</v>
      </c>
      <c r="H54" s="37" t="s">
        <v>838</v>
      </c>
      <c r="I54" s="37">
        <v>64277</v>
      </c>
      <c r="J54" s="37">
        <v>331</v>
      </c>
      <c r="K54" s="37" t="s">
        <v>20</v>
      </c>
      <c r="L54" s="37">
        <v>1</v>
      </c>
      <c r="M54" s="105">
        <v>35000</v>
      </c>
      <c r="N54" s="105">
        <f t="shared" si="4"/>
        <v>35000</v>
      </c>
      <c r="O54" s="38" t="s">
        <v>21</v>
      </c>
      <c r="P54" s="37">
        <f t="shared" si="2"/>
        <v>32</v>
      </c>
    </row>
    <row r="55" spans="1:16" x14ac:dyDescent="0.25">
      <c r="A55" s="37" t="s">
        <v>18</v>
      </c>
      <c r="B55" s="107" t="s">
        <v>291</v>
      </c>
      <c r="C55" s="37">
        <f t="shared" si="3"/>
        <v>187</v>
      </c>
      <c r="D55" s="37">
        <v>1</v>
      </c>
      <c r="E55" s="37"/>
      <c r="F55" s="37"/>
      <c r="G55" s="59" t="s">
        <v>24</v>
      </c>
      <c r="H55" s="37" t="s">
        <v>839</v>
      </c>
      <c r="I55" s="37">
        <v>64277</v>
      </c>
      <c r="J55" s="37">
        <v>331</v>
      </c>
      <c r="K55" s="37" t="s">
        <v>20</v>
      </c>
      <c r="L55" s="37">
        <v>1</v>
      </c>
      <c r="M55" s="105">
        <v>16000</v>
      </c>
      <c r="N55" s="105">
        <f t="shared" si="4"/>
        <v>16000</v>
      </c>
      <c r="O55" s="38" t="s">
        <v>21</v>
      </c>
      <c r="P55" s="37">
        <f t="shared" si="2"/>
        <v>33</v>
      </c>
    </row>
    <row r="56" spans="1:16" x14ac:dyDescent="0.25">
      <c r="A56" s="37" t="s">
        <v>18</v>
      </c>
      <c r="B56" s="107" t="s">
        <v>449</v>
      </c>
      <c r="C56" s="37">
        <f t="shared" si="3"/>
        <v>188</v>
      </c>
      <c r="D56" s="37">
        <v>1</v>
      </c>
      <c r="E56" s="37"/>
      <c r="F56" s="37"/>
      <c r="G56" s="59" t="s">
        <v>19</v>
      </c>
      <c r="H56" s="37" t="s">
        <v>840</v>
      </c>
      <c r="I56" s="37">
        <v>64277</v>
      </c>
      <c r="J56" s="37">
        <v>331</v>
      </c>
      <c r="K56" s="37" t="s">
        <v>20</v>
      </c>
      <c r="L56" s="37">
        <v>1</v>
      </c>
      <c r="M56" s="105">
        <v>93000</v>
      </c>
      <c r="N56" s="105">
        <f t="shared" si="4"/>
        <v>93000</v>
      </c>
      <c r="O56" s="38" t="s">
        <v>21</v>
      </c>
      <c r="P56" s="37">
        <f t="shared" si="2"/>
        <v>34</v>
      </c>
    </row>
    <row r="57" spans="1:16" x14ac:dyDescent="0.25">
      <c r="A57" s="37" t="s">
        <v>18</v>
      </c>
      <c r="B57" s="107" t="s">
        <v>449</v>
      </c>
      <c r="C57" s="37">
        <f t="shared" si="3"/>
        <v>189</v>
      </c>
      <c r="D57" s="37">
        <v>1</v>
      </c>
      <c r="E57" s="37"/>
      <c r="F57" s="37"/>
      <c r="G57" s="59" t="s">
        <v>19</v>
      </c>
      <c r="H57" s="37" t="s">
        <v>841</v>
      </c>
      <c r="I57" s="37">
        <v>64277</v>
      </c>
      <c r="J57" s="37">
        <v>331</v>
      </c>
      <c r="K57" s="37" t="s">
        <v>20</v>
      </c>
      <c r="L57" s="37">
        <v>1</v>
      </c>
      <c r="M57" s="105">
        <v>66000</v>
      </c>
      <c r="N57" s="105">
        <f t="shared" si="4"/>
        <v>66000</v>
      </c>
      <c r="O57" s="38" t="s">
        <v>21</v>
      </c>
      <c r="P57" s="37">
        <f t="shared" si="2"/>
        <v>35</v>
      </c>
    </row>
    <row r="58" spans="1:16" x14ac:dyDescent="0.25">
      <c r="A58" s="37" t="s">
        <v>18</v>
      </c>
      <c r="B58" s="107" t="s">
        <v>418</v>
      </c>
      <c r="C58" s="37">
        <f t="shared" si="3"/>
        <v>190</v>
      </c>
      <c r="D58" s="37">
        <v>1</v>
      </c>
      <c r="E58" s="37"/>
      <c r="F58" s="37"/>
      <c r="G58" s="59" t="s">
        <v>137</v>
      </c>
      <c r="H58" s="37" t="s">
        <v>842</v>
      </c>
      <c r="I58" s="37">
        <v>64277</v>
      </c>
      <c r="J58" s="37">
        <v>331</v>
      </c>
      <c r="K58" s="37" t="s">
        <v>20</v>
      </c>
      <c r="L58" s="37">
        <v>1</v>
      </c>
      <c r="M58" s="105">
        <v>804600</v>
      </c>
      <c r="N58" s="105">
        <f t="shared" si="4"/>
        <v>804600</v>
      </c>
      <c r="O58" s="38" t="s">
        <v>21</v>
      </c>
      <c r="P58" s="37">
        <f t="shared" si="2"/>
        <v>36</v>
      </c>
    </row>
    <row r="59" spans="1:16" x14ac:dyDescent="0.25">
      <c r="A59" s="37" t="s">
        <v>18</v>
      </c>
      <c r="B59" s="107" t="s">
        <v>513</v>
      </c>
      <c r="C59" s="37">
        <f t="shared" si="3"/>
        <v>191</v>
      </c>
      <c r="D59" s="37">
        <v>1</v>
      </c>
      <c r="E59" s="37"/>
      <c r="F59" s="37"/>
      <c r="G59" s="59" t="s">
        <v>24</v>
      </c>
      <c r="H59" s="37" t="s">
        <v>843</v>
      </c>
      <c r="I59" s="37">
        <v>64277</v>
      </c>
      <c r="J59" s="37">
        <v>331</v>
      </c>
      <c r="K59" s="37" t="s">
        <v>20</v>
      </c>
      <c r="L59" s="37">
        <v>1</v>
      </c>
      <c r="M59" s="105">
        <v>142000</v>
      </c>
      <c r="N59" s="105">
        <f t="shared" si="4"/>
        <v>142000</v>
      </c>
      <c r="O59" s="38" t="s">
        <v>21</v>
      </c>
      <c r="P59" s="37">
        <f t="shared" si="2"/>
        <v>37</v>
      </c>
    </row>
    <row r="60" spans="1:16" x14ac:dyDescent="0.25">
      <c r="A60" s="37" t="s">
        <v>18</v>
      </c>
      <c r="B60" s="107" t="s">
        <v>514</v>
      </c>
      <c r="C60" s="37">
        <f t="shared" si="3"/>
        <v>192</v>
      </c>
      <c r="D60" s="37">
        <v>1</v>
      </c>
      <c r="E60" s="37"/>
      <c r="F60" s="37"/>
      <c r="G60" s="59" t="s">
        <v>24</v>
      </c>
      <c r="H60" s="37" t="s">
        <v>844</v>
      </c>
      <c r="I60" s="37">
        <v>64277</v>
      </c>
      <c r="J60" s="37">
        <v>331</v>
      </c>
      <c r="K60" s="37" t="s">
        <v>20</v>
      </c>
      <c r="L60" s="37">
        <v>1</v>
      </c>
      <c r="M60" s="105">
        <v>155000</v>
      </c>
      <c r="N60" s="105">
        <f t="shared" si="4"/>
        <v>155000</v>
      </c>
      <c r="O60" s="38" t="s">
        <v>21</v>
      </c>
      <c r="P60" s="37">
        <f t="shared" si="2"/>
        <v>38</v>
      </c>
    </row>
    <row r="61" spans="1:16" x14ac:dyDescent="0.25">
      <c r="A61" s="37" t="s">
        <v>18</v>
      </c>
      <c r="B61" s="107" t="s">
        <v>379</v>
      </c>
      <c r="C61" s="37">
        <f t="shared" si="3"/>
        <v>193</v>
      </c>
      <c r="D61" s="37">
        <v>1</v>
      </c>
      <c r="E61" s="37"/>
      <c r="F61" s="37"/>
      <c r="G61" s="59" t="s">
        <v>37</v>
      </c>
      <c r="H61" s="37" t="s">
        <v>521</v>
      </c>
      <c r="I61" s="37">
        <v>64277</v>
      </c>
      <c r="J61" s="37">
        <v>331</v>
      </c>
      <c r="K61" s="37" t="s">
        <v>20</v>
      </c>
      <c r="L61" s="37">
        <v>1</v>
      </c>
      <c r="M61" s="105">
        <v>2916000</v>
      </c>
      <c r="N61" s="105">
        <f t="shared" si="4"/>
        <v>2916000</v>
      </c>
      <c r="O61" s="38" t="s">
        <v>21</v>
      </c>
      <c r="P61" s="37">
        <f t="shared" si="2"/>
        <v>39</v>
      </c>
    </row>
    <row r="62" spans="1:16" x14ac:dyDescent="0.25">
      <c r="A62" s="37" t="s">
        <v>18</v>
      </c>
      <c r="B62" s="107" t="s">
        <v>515</v>
      </c>
      <c r="C62" s="37">
        <f t="shared" si="3"/>
        <v>194</v>
      </c>
      <c r="D62" s="37">
        <v>1</v>
      </c>
      <c r="E62" s="37"/>
      <c r="F62" s="37"/>
      <c r="G62" s="59" t="s">
        <v>24</v>
      </c>
      <c r="H62" s="37" t="s">
        <v>845</v>
      </c>
      <c r="I62" s="37">
        <v>64277</v>
      </c>
      <c r="J62" s="37">
        <v>331</v>
      </c>
      <c r="K62" s="37" t="s">
        <v>20</v>
      </c>
      <c r="L62" s="37">
        <v>1</v>
      </c>
      <c r="M62" s="105">
        <v>35000</v>
      </c>
      <c r="N62" s="105">
        <f t="shared" si="4"/>
        <v>35000</v>
      </c>
      <c r="O62" s="38" t="s">
        <v>21</v>
      </c>
      <c r="P62" s="37">
        <f t="shared" si="2"/>
        <v>40</v>
      </c>
    </row>
    <row r="63" spans="1:16" x14ac:dyDescent="0.25">
      <c r="A63" s="37" t="s">
        <v>18</v>
      </c>
      <c r="B63" s="107" t="s">
        <v>515</v>
      </c>
      <c r="C63" s="37">
        <f t="shared" si="3"/>
        <v>195</v>
      </c>
      <c r="D63" s="37">
        <v>1</v>
      </c>
      <c r="E63" s="37"/>
      <c r="F63" s="37"/>
      <c r="G63" s="59" t="s">
        <v>24</v>
      </c>
      <c r="H63" s="37" t="s">
        <v>846</v>
      </c>
      <c r="I63" s="37">
        <v>64277</v>
      </c>
      <c r="J63" s="37">
        <v>331</v>
      </c>
      <c r="K63" s="37" t="s">
        <v>20</v>
      </c>
      <c r="L63" s="37">
        <v>1</v>
      </c>
      <c r="M63" s="105">
        <v>38000</v>
      </c>
      <c r="N63" s="105">
        <f t="shared" si="4"/>
        <v>38000</v>
      </c>
      <c r="O63" s="38" t="s">
        <v>21</v>
      </c>
      <c r="P63" s="37">
        <f t="shared" si="2"/>
        <v>41</v>
      </c>
    </row>
    <row r="64" spans="1:16" x14ac:dyDescent="0.25">
      <c r="A64" s="37" t="s">
        <v>18</v>
      </c>
      <c r="B64" s="107" t="s">
        <v>382</v>
      </c>
      <c r="C64" s="37">
        <f t="shared" si="3"/>
        <v>196</v>
      </c>
      <c r="D64" s="37">
        <v>1</v>
      </c>
      <c r="E64" s="37"/>
      <c r="F64" s="37"/>
      <c r="G64" s="59" t="s">
        <v>24</v>
      </c>
      <c r="H64" s="37" t="s">
        <v>847</v>
      </c>
      <c r="I64" s="37">
        <v>64277</v>
      </c>
      <c r="J64" s="37">
        <v>331</v>
      </c>
      <c r="K64" s="37" t="s">
        <v>20</v>
      </c>
      <c r="L64" s="37">
        <v>1</v>
      </c>
      <c r="M64" s="105">
        <v>137000</v>
      </c>
      <c r="N64" s="105">
        <f t="shared" si="4"/>
        <v>137000</v>
      </c>
      <c r="O64" s="38" t="s">
        <v>21</v>
      </c>
      <c r="P64" s="37">
        <f t="shared" si="2"/>
        <v>42</v>
      </c>
    </row>
    <row r="65" spans="1:16" x14ac:dyDescent="0.25">
      <c r="A65" s="37" t="s">
        <v>18</v>
      </c>
      <c r="B65" s="107" t="s">
        <v>516</v>
      </c>
      <c r="C65" s="37">
        <f t="shared" si="3"/>
        <v>197</v>
      </c>
      <c r="D65" s="37">
        <v>1</v>
      </c>
      <c r="E65" s="37"/>
      <c r="F65" s="37"/>
      <c r="G65" s="59" t="s">
        <v>24</v>
      </c>
      <c r="H65" s="37" t="s">
        <v>848</v>
      </c>
      <c r="I65" s="37">
        <v>64277</v>
      </c>
      <c r="J65" s="37">
        <v>331</v>
      </c>
      <c r="K65" s="37" t="s">
        <v>20</v>
      </c>
      <c r="L65" s="37">
        <v>1</v>
      </c>
      <c r="M65" s="105">
        <v>69000</v>
      </c>
      <c r="N65" s="105">
        <f t="shared" si="4"/>
        <v>69000</v>
      </c>
      <c r="O65" s="38" t="s">
        <v>21</v>
      </c>
      <c r="P65" s="37">
        <f t="shared" si="2"/>
        <v>43</v>
      </c>
    </row>
    <row r="66" spans="1:16" x14ac:dyDescent="0.25">
      <c r="A66" s="37" t="s">
        <v>18</v>
      </c>
      <c r="B66" s="107">
        <v>46021</v>
      </c>
      <c r="C66" s="37">
        <f t="shared" si="3"/>
        <v>198</v>
      </c>
      <c r="D66" s="37">
        <v>1</v>
      </c>
      <c r="E66" s="37"/>
      <c r="F66" s="37"/>
      <c r="G66" s="59" t="s">
        <v>2525</v>
      </c>
      <c r="H66" s="37" t="s">
        <v>2526</v>
      </c>
      <c r="I66" s="37">
        <v>64276</v>
      </c>
      <c r="J66" s="37">
        <v>331</v>
      </c>
      <c r="K66" s="37" t="s">
        <v>20</v>
      </c>
      <c r="L66" s="37">
        <v>1</v>
      </c>
      <c r="M66" s="105">
        <v>1390000</v>
      </c>
      <c r="N66" s="105">
        <f t="shared" si="4"/>
        <v>1390000</v>
      </c>
      <c r="O66" s="38" t="s">
        <v>21</v>
      </c>
      <c r="P66" s="37">
        <f t="shared" si="2"/>
        <v>44</v>
      </c>
    </row>
    <row r="67" spans="1:16" x14ac:dyDescent="0.25">
      <c r="A67" s="37" t="s">
        <v>18</v>
      </c>
      <c r="B67" s="107" t="s">
        <v>523</v>
      </c>
      <c r="C67" s="37">
        <f t="shared" si="3"/>
        <v>199</v>
      </c>
      <c r="D67" s="37">
        <v>1</v>
      </c>
      <c r="E67" s="37"/>
      <c r="F67" s="37"/>
      <c r="G67" s="59" t="s">
        <v>60</v>
      </c>
      <c r="H67" s="37" t="s">
        <v>2531</v>
      </c>
      <c r="I67" s="37">
        <v>131</v>
      </c>
      <c r="J67" s="37">
        <v>5113</v>
      </c>
      <c r="K67" s="37" t="s">
        <v>20</v>
      </c>
      <c r="L67" s="37">
        <v>1</v>
      </c>
      <c r="M67" s="105">
        <v>10752688</v>
      </c>
      <c r="N67" s="105">
        <f t="shared" si="4"/>
        <v>10752688</v>
      </c>
      <c r="O67" s="38" t="s">
        <v>21</v>
      </c>
      <c r="P67" s="37">
        <f t="shared" si="2"/>
        <v>45</v>
      </c>
    </row>
    <row r="68" spans="1:16" x14ac:dyDescent="0.25">
      <c r="A68" s="37" t="s">
        <v>18</v>
      </c>
      <c r="B68" s="107" t="s">
        <v>523</v>
      </c>
      <c r="C68" s="37">
        <f t="shared" ref="C68:C118" si="5">C67+D68</f>
        <v>199</v>
      </c>
      <c r="D68" s="37">
        <v>0</v>
      </c>
      <c r="E68" s="37"/>
      <c r="F68" s="37"/>
      <c r="G68" s="59" t="s">
        <v>60</v>
      </c>
      <c r="H68" s="37" t="s">
        <v>2546</v>
      </c>
      <c r="I68" s="37">
        <v>333821</v>
      </c>
      <c r="J68" s="37">
        <v>131</v>
      </c>
      <c r="K68" s="37" t="s">
        <v>20</v>
      </c>
      <c r="L68" s="37">
        <v>1</v>
      </c>
      <c r="M68" s="105">
        <v>107527</v>
      </c>
      <c r="N68" s="105">
        <f t="shared" ref="N68:N153" si="6">L68*M68</f>
        <v>107527</v>
      </c>
      <c r="O68" s="38" t="s">
        <v>21</v>
      </c>
      <c r="P68" s="37">
        <f t="shared" si="2"/>
        <v>45</v>
      </c>
    </row>
    <row r="69" spans="1:16" x14ac:dyDescent="0.25">
      <c r="A69" s="37" t="s">
        <v>18</v>
      </c>
      <c r="B69" s="107" t="s">
        <v>456</v>
      </c>
      <c r="C69" s="37">
        <f t="shared" si="5"/>
        <v>200</v>
      </c>
      <c r="D69" s="37">
        <v>1</v>
      </c>
      <c r="E69" s="37"/>
      <c r="F69" s="37"/>
      <c r="G69" s="59" t="s">
        <v>66</v>
      </c>
      <c r="H69" s="37" t="s">
        <v>2532</v>
      </c>
      <c r="I69" s="37">
        <v>131</v>
      </c>
      <c r="J69" s="37">
        <v>5113</v>
      </c>
      <c r="K69" s="37" t="s">
        <v>20</v>
      </c>
      <c r="L69" s="37">
        <v>1</v>
      </c>
      <c r="M69" s="105">
        <v>6451613</v>
      </c>
      <c r="N69" s="105">
        <f t="shared" si="6"/>
        <v>6451613</v>
      </c>
      <c r="O69" s="38" t="s">
        <v>21</v>
      </c>
      <c r="P69" s="37">
        <f t="shared" si="2"/>
        <v>46</v>
      </c>
    </row>
    <row r="70" spans="1:16" x14ac:dyDescent="0.25">
      <c r="A70" s="37" t="s">
        <v>18</v>
      </c>
      <c r="B70" s="107" t="s">
        <v>456</v>
      </c>
      <c r="C70" s="37">
        <f t="shared" si="5"/>
        <v>200</v>
      </c>
      <c r="D70" s="37">
        <v>0</v>
      </c>
      <c r="E70" s="37"/>
      <c r="F70" s="37"/>
      <c r="G70" s="59" t="s">
        <v>66</v>
      </c>
      <c r="H70" s="37" t="s">
        <v>2547</v>
      </c>
      <c r="I70" s="37">
        <v>333821</v>
      </c>
      <c r="J70" s="37">
        <v>131</v>
      </c>
      <c r="K70" s="37" t="s">
        <v>20</v>
      </c>
      <c r="L70" s="37">
        <v>1</v>
      </c>
      <c r="M70" s="105">
        <v>64516</v>
      </c>
      <c r="N70" s="105">
        <f t="shared" si="6"/>
        <v>64516</v>
      </c>
      <c r="O70" s="38" t="s">
        <v>21</v>
      </c>
      <c r="P70" s="37">
        <f t="shared" ref="P70:P155" si="7">P69+D70</f>
        <v>46</v>
      </c>
    </row>
    <row r="71" spans="1:16" x14ac:dyDescent="0.25">
      <c r="A71" s="37" t="s">
        <v>18</v>
      </c>
      <c r="B71" s="107" t="s">
        <v>456</v>
      </c>
      <c r="C71" s="37">
        <f t="shared" si="5"/>
        <v>201</v>
      </c>
      <c r="D71" s="37">
        <v>1</v>
      </c>
      <c r="E71" s="37"/>
      <c r="F71" s="37"/>
      <c r="G71" s="59" t="s">
        <v>2527</v>
      </c>
      <c r="H71" s="37" t="s">
        <v>2533</v>
      </c>
      <c r="I71" s="37">
        <v>131</v>
      </c>
      <c r="J71" s="37">
        <v>5113</v>
      </c>
      <c r="K71" s="37" t="s">
        <v>20</v>
      </c>
      <c r="L71" s="37">
        <v>1</v>
      </c>
      <c r="M71" s="105">
        <v>10707071</v>
      </c>
      <c r="N71" s="105">
        <f t="shared" si="6"/>
        <v>10707071</v>
      </c>
      <c r="O71" s="38" t="s">
        <v>21</v>
      </c>
      <c r="P71" s="37">
        <f t="shared" si="7"/>
        <v>47</v>
      </c>
    </row>
    <row r="72" spans="1:16" x14ac:dyDescent="0.25">
      <c r="A72" s="37" t="s">
        <v>18</v>
      </c>
      <c r="B72" s="107" t="s">
        <v>456</v>
      </c>
      <c r="C72" s="37">
        <f t="shared" si="5"/>
        <v>201</v>
      </c>
      <c r="D72" s="37">
        <v>0</v>
      </c>
      <c r="E72" s="37"/>
      <c r="F72" s="37"/>
      <c r="G72" s="59" t="s">
        <v>2527</v>
      </c>
      <c r="H72" s="37" t="s">
        <v>2548</v>
      </c>
      <c r="I72" s="37">
        <v>333821</v>
      </c>
      <c r="J72" s="37">
        <v>131</v>
      </c>
      <c r="K72" s="37" t="s">
        <v>20</v>
      </c>
      <c r="L72" s="37">
        <v>1</v>
      </c>
      <c r="M72" s="105">
        <v>107071</v>
      </c>
      <c r="N72" s="105">
        <f t="shared" si="6"/>
        <v>107071</v>
      </c>
      <c r="O72" s="38" t="s">
        <v>21</v>
      </c>
      <c r="P72" s="37">
        <f t="shared" si="7"/>
        <v>47</v>
      </c>
    </row>
    <row r="73" spans="1:16" x14ac:dyDescent="0.25">
      <c r="A73" s="37" t="s">
        <v>18</v>
      </c>
      <c r="B73" s="107" t="s">
        <v>456</v>
      </c>
      <c r="C73" s="37">
        <f t="shared" si="5"/>
        <v>202</v>
      </c>
      <c r="D73" s="37">
        <v>1</v>
      </c>
      <c r="E73" s="37"/>
      <c r="F73" s="37"/>
      <c r="G73" s="59" t="s">
        <v>66</v>
      </c>
      <c r="H73" s="37" t="s">
        <v>2534</v>
      </c>
      <c r="I73" s="37">
        <v>131</v>
      </c>
      <c r="J73" s="37">
        <v>5113</v>
      </c>
      <c r="K73" s="37" t="s">
        <v>20</v>
      </c>
      <c r="L73" s="37">
        <v>1</v>
      </c>
      <c r="M73" s="105">
        <v>10752688</v>
      </c>
      <c r="N73" s="105">
        <f t="shared" si="6"/>
        <v>10752688</v>
      </c>
      <c r="O73" s="38" t="s">
        <v>21</v>
      </c>
      <c r="P73" s="37">
        <f t="shared" si="7"/>
        <v>48</v>
      </c>
    </row>
    <row r="74" spans="1:16" x14ac:dyDescent="0.25">
      <c r="A74" s="37" t="s">
        <v>18</v>
      </c>
      <c r="B74" s="107" t="s">
        <v>456</v>
      </c>
      <c r="C74" s="37">
        <f t="shared" si="5"/>
        <v>202</v>
      </c>
      <c r="D74" s="37">
        <v>0</v>
      </c>
      <c r="E74" s="37"/>
      <c r="F74" s="37"/>
      <c r="G74" s="59" t="s">
        <v>66</v>
      </c>
      <c r="H74" s="37" t="s">
        <v>2549</v>
      </c>
      <c r="I74" s="37">
        <v>333821</v>
      </c>
      <c r="J74" s="37">
        <v>131</v>
      </c>
      <c r="K74" s="37" t="s">
        <v>20</v>
      </c>
      <c r="L74" s="37">
        <v>1</v>
      </c>
      <c r="M74" s="105">
        <v>107527</v>
      </c>
      <c r="N74" s="105">
        <f t="shared" si="6"/>
        <v>107527</v>
      </c>
      <c r="O74" s="38" t="s">
        <v>21</v>
      </c>
      <c r="P74" s="37">
        <f t="shared" si="7"/>
        <v>48</v>
      </c>
    </row>
    <row r="75" spans="1:16" x14ac:dyDescent="0.25">
      <c r="A75" s="37" t="s">
        <v>18</v>
      </c>
      <c r="B75" s="107" t="s">
        <v>525</v>
      </c>
      <c r="C75" s="37">
        <f t="shared" si="5"/>
        <v>203</v>
      </c>
      <c r="D75" s="37">
        <v>1</v>
      </c>
      <c r="E75" s="37"/>
      <c r="F75" s="37"/>
      <c r="G75" s="59" t="s">
        <v>59</v>
      </c>
      <c r="H75" s="37" t="s">
        <v>2535</v>
      </c>
      <c r="I75" s="37">
        <v>131</v>
      </c>
      <c r="J75" s="37">
        <v>5113</v>
      </c>
      <c r="K75" s="37" t="s">
        <v>20</v>
      </c>
      <c r="L75" s="37">
        <v>1</v>
      </c>
      <c r="M75" s="105">
        <v>10752688</v>
      </c>
      <c r="N75" s="105">
        <f t="shared" si="6"/>
        <v>10752688</v>
      </c>
      <c r="O75" s="38" t="s">
        <v>21</v>
      </c>
      <c r="P75" s="37">
        <f t="shared" si="7"/>
        <v>49</v>
      </c>
    </row>
    <row r="76" spans="1:16" x14ac:dyDescent="0.25">
      <c r="A76" s="37" t="s">
        <v>18</v>
      </c>
      <c r="B76" s="107" t="s">
        <v>525</v>
      </c>
      <c r="C76" s="37">
        <f t="shared" si="5"/>
        <v>203</v>
      </c>
      <c r="D76" s="37">
        <v>0</v>
      </c>
      <c r="E76" s="37"/>
      <c r="F76" s="37"/>
      <c r="G76" s="59" t="s">
        <v>59</v>
      </c>
      <c r="H76" s="37" t="s">
        <v>2550</v>
      </c>
      <c r="I76" s="37">
        <v>333821</v>
      </c>
      <c r="J76" s="37">
        <v>131</v>
      </c>
      <c r="K76" s="37" t="s">
        <v>20</v>
      </c>
      <c r="L76" s="37">
        <v>1</v>
      </c>
      <c r="M76" s="105">
        <v>107527</v>
      </c>
      <c r="N76" s="105">
        <f t="shared" si="6"/>
        <v>107527</v>
      </c>
      <c r="O76" s="38" t="s">
        <v>21</v>
      </c>
      <c r="P76" s="37">
        <f t="shared" si="7"/>
        <v>49</v>
      </c>
    </row>
    <row r="77" spans="1:16" x14ac:dyDescent="0.25">
      <c r="A77" s="37" t="s">
        <v>18</v>
      </c>
      <c r="B77" s="107" t="s">
        <v>525</v>
      </c>
      <c r="C77" s="37">
        <f t="shared" si="5"/>
        <v>204</v>
      </c>
      <c r="D77" s="37">
        <v>1</v>
      </c>
      <c r="E77" s="37"/>
      <c r="F77" s="37"/>
      <c r="G77" s="59" t="s">
        <v>2393</v>
      </c>
      <c r="H77" s="37" t="s">
        <v>2536</v>
      </c>
      <c r="I77" s="37">
        <v>131</v>
      </c>
      <c r="J77" s="37">
        <v>5113</v>
      </c>
      <c r="K77" s="37" t="s">
        <v>20</v>
      </c>
      <c r="L77" s="37">
        <v>1</v>
      </c>
      <c r="M77" s="105">
        <v>10752688</v>
      </c>
      <c r="N77" s="105">
        <f t="shared" si="6"/>
        <v>10752688</v>
      </c>
      <c r="O77" s="38" t="s">
        <v>21</v>
      </c>
      <c r="P77" s="37">
        <f t="shared" si="7"/>
        <v>50</v>
      </c>
    </row>
    <row r="78" spans="1:16" x14ac:dyDescent="0.25">
      <c r="A78" s="37" t="s">
        <v>18</v>
      </c>
      <c r="B78" s="107" t="s">
        <v>525</v>
      </c>
      <c r="C78" s="37">
        <f t="shared" si="5"/>
        <v>204</v>
      </c>
      <c r="D78" s="37">
        <v>0</v>
      </c>
      <c r="E78" s="37"/>
      <c r="F78" s="37"/>
      <c r="G78" s="59" t="s">
        <v>2393</v>
      </c>
      <c r="H78" s="37" t="s">
        <v>2551</v>
      </c>
      <c r="I78" s="37">
        <v>333821</v>
      </c>
      <c r="J78" s="37">
        <v>131</v>
      </c>
      <c r="K78" s="37" t="s">
        <v>20</v>
      </c>
      <c r="L78" s="37">
        <v>1</v>
      </c>
      <c r="M78" s="105">
        <v>107527</v>
      </c>
      <c r="N78" s="105">
        <f t="shared" si="6"/>
        <v>107527</v>
      </c>
      <c r="O78" s="38" t="s">
        <v>21</v>
      </c>
      <c r="P78" s="37">
        <f t="shared" si="7"/>
        <v>50</v>
      </c>
    </row>
    <row r="79" spans="1:16" x14ac:dyDescent="0.25">
      <c r="A79" s="37" t="s">
        <v>18</v>
      </c>
      <c r="B79" s="107" t="s">
        <v>526</v>
      </c>
      <c r="C79" s="37">
        <f t="shared" si="5"/>
        <v>205</v>
      </c>
      <c r="D79" s="37">
        <v>1</v>
      </c>
      <c r="E79" s="37"/>
      <c r="F79" s="37"/>
      <c r="G79" s="59" t="s">
        <v>2056</v>
      </c>
      <c r="H79" s="37" t="s">
        <v>2537</v>
      </c>
      <c r="I79" s="37">
        <v>131</v>
      </c>
      <c r="J79" s="37">
        <v>5113</v>
      </c>
      <c r="K79" s="37" t="s">
        <v>20</v>
      </c>
      <c r="L79" s="37">
        <v>1</v>
      </c>
      <c r="M79" s="105">
        <v>10752688</v>
      </c>
      <c r="N79" s="105">
        <f t="shared" si="6"/>
        <v>10752688</v>
      </c>
      <c r="O79" s="38" t="s">
        <v>21</v>
      </c>
      <c r="P79" s="37">
        <f t="shared" si="7"/>
        <v>51</v>
      </c>
    </row>
    <row r="80" spans="1:16" x14ac:dyDescent="0.25">
      <c r="A80" s="37" t="s">
        <v>18</v>
      </c>
      <c r="B80" s="107" t="s">
        <v>526</v>
      </c>
      <c r="C80" s="37">
        <f t="shared" si="5"/>
        <v>205</v>
      </c>
      <c r="D80" s="37">
        <v>0</v>
      </c>
      <c r="E80" s="37"/>
      <c r="F80" s="37"/>
      <c r="G80" s="59" t="s">
        <v>2056</v>
      </c>
      <c r="H80" s="37" t="s">
        <v>2552</v>
      </c>
      <c r="I80" s="37">
        <v>333821</v>
      </c>
      <c r="J80" s="37">
        <v>131</v>
      </c>
      <c r="K80" s="37" t="s">
        <v>20</v>
      </c>
      <c r="L80" s="37">
        <v>1</v>
      </c>
      <c r="M80" s="105">
        <v>107527</v>
      </c>
      <c r="N80" s="105">
        <f t="shared" si="6"/>
        <v>107527</v>
      </c>
      <c r="O80" s="38" t="s">
        <v>21</v>
      </c>
      <c r="P80" s="37">
        <f t="shared" si="7"/>
        <v>51</v>
      </c>
    </row>
    <row r="81" spans="1:16" x14ac:dyDescent="0.25">
      <c r="A81" s="37" t="s">
        <v>18</v>
      </c>
      <c r="B81" s="107" t="s">
        <v>526</v>
      </c>
      <c r="C81" s="37">
        <f t="shared" si="5"/>
        <v>206</v>
      </c>
      <c r="D81" s="37">
        <v>1</v>
      </c>
      <c r="E81" s="37"/>
      <c r="F81" s="37"/>
      <c r="G81" s="59" t="s">
        <v>59</v>
      </c>
      <c r="H81" s="37" t="s">
        <v>2538</v>
      </c>
      <c r="I81" s="37">
        <v>131</v>
      </c>
      <c r="J81" s="37">
        <v>5113</v>
      </c>
      <c r="K81" s="37" t="s">
        <v>20</v>
      </c>
      <c r="L81" s="37">
        <v>1</v>
      </c>
      <c r="M81" s="105">
        <v>8602151</v>
      </c>
      <c r="N81" s="105">
        <f t="shared" si="6"/>
        <v>8602151</v>
      </c>
      <c r="O81" s="38" t="s">
        <v>21</v>
      </c>
      <c r="P81" s="37">
        <f t="shared" si="7"/>
        <v>52</v>
      </c>
    </row>
    <row r="82" spans="1:16" x14ac:dyDescent="0.25">
      <c r="A82" s="37" t="s">
        <v>18</v>
      </c>
      <c r="B82" s="107" t="s">
        <v>526</v>
      </c>
      <c r="C82" s="37">
        <f t="shared" si="5"/>
        <v>206</v>
      </c>
      <c r="D82" s="37">
        <v>0</v>
      </c>
      <c r="E82" s="37"/>
      <c r="F82" s="37"/>
      <c r="G82" s="59" t="s">
        <v>59</v>
      </c>
      <c r="H82" s="37" t="s">
        <v>2553</v>
      </c>
      <c r="I82" s="37">
        <v>333821</v>
      </c>
      <c r="J82" s="37">
        <v>131</v>
      </c>
      <c r="K82" s="37" t="s">
        <v>20</v>
      </c>
      <c r="L82" s="37">
        <v>1</v>
      </c>
      <c r="M82" s="105">
        <v>86022</v>
      </c>
      <c r="N82" s="105">
        <f t="shared" si="6"/>
        <v>86022</v>
      </c>
      <c r="O82" s="38" t="s">
        <v>21</v>
      </c>
      <c r="P82" s="37">
        <f t="shared" si="7"/>
        <v>52</v>
      </c>
    </row>
    <row r="83" spans="1:16" x14ac:dyDescent="0.25">
      <c r="A83" s="37" t="s">
        <v>18</v>
      </c>
      <c r="B83" s="107" t="s">
        <v>604</v>
      </c>
      <c r="C83" s="37">
        <f t="shared" si="5"/>
        <v>207</v>
      </c>
      <c r="D83" s="37">
        <v>1</v>
      </c>
      <c r="E83" s="37"/>
      <c r="F83" s="37"/>
      <c r="G83" s="59" t="s">
        <v>2528</v>
      </c>
      <c r="H83" s="37" t="s">
        <v>2539</v>
      </c>
      <c r="I83" s="37">
        <v>131</v>
      </c>
      <c r="J83" s="37">
        <v>5113</v>
      </c>
      <c r="K83" s="37" t="s">
        <v>20</v>
      </c>
      <c r="L83" s="37">
        <v>1</v>
      </c>
      <c r="M83" s="105">
        <v>10752688</v>
      </c>
      <c r="N83" s="105">
        <f t="shared" si="6"/>
        <v>10752688</v>
      </c>
      <c r="O83" s="38" t="s">
        <v>21</v>
      </c>
      <c r="P83" s="37">
        <f t="shared" si="7"/>
        <v>53</v>
      </c>
    </row>
    <row r="84" spans="1:16" x14ac:dyDescent="0.25">
      <c r="A84" s="37" t="s">
        <v>18</v>
      </c>
      <c r="B84" s="107" t="s">
        <v>604</v>
      </c>
      <c r="C84" s="37">
        <f t="shared" si="5"/>
        <v>207</v>
      </c>
      <c r="D84" s="37">
        <v>0</v>
      </c>
      <c r="E84" s="37"/>
      <c r="F84" s="37"/>
      <c r="G84" s="59" t="s">
        <v>2528</v>
      </c>
      <c r="H84" s="37" t="s">
        <v>2554</v>
      </c>
      <c r="I84" s="37">
        <v>333821</v>
      </c>
      <c r="J84" s="37">
        <v>131</v>
      </c>
      <c r="K84" s="37" t="s">
        <v>20</v>
      </c>
      <c r="L84" s="37">
        <v>1</v>
      </c>
      <c r="M84" s="105">
        <v>107527</v>
      </c>
      <c r="N84" s="105">
        <f t="shared" si="6"/>
        <v>107527</v>
      </c>
      <c r="O84" s="38" t="s">
        <v>21</v>
      </c>
      <c r="P84" s="37">
        <f t="shared" si="7"/>
        <v>53</v>
      </c>
    </row>
    <row r="85" spans="1:16" x14ac:dyDescent="0.25">
      <c r="A85" s="37" t="s">
        <v>18</v>
      </c>
      <c r="B85" s="107" t="s">
        <v>604</v>
      </c>
      <c r="C85" s="37">
        <f t="shared" si="5"/>
        <v>208</v>
      </c>
      <c r="D85" s="37">
        <v>1</v>
      </c>
      <c r="E85" s="37"/>
      <c r="F85" s="37"/>
      <c r="G85" s="59" t="s">
        <v>82</v>
      </c>
      <c r="H85" s="37" t="s">
        <v>2540</v>
      </c>
      <c r="I85" s="37">
        <v>131</v>
      </c>
      <c r="J85" s="37">
        <v>5113</v>
      </c>
      <c r="K85" s="37" t="s">
        <v>20</v>
      </c>
      <c r="L85" s="37">
        <v>1</v>
      </c>
      <c r="M85" s="105">
        <v>10752688</v>
      </c>
      <c r="N85" s="105">
        <f t="shared" si="6"/>
        <v>10752688</v>
      </c>
      <c r="O85" s="38" t="s">
        <v>21</v>
      </c>
      <c r="P85" s="37">
        <f t="shared" si="7"/>
        <v>54</v>
      </c>
    </row>
    <row r="86" spans="1:16" x14ac:dyDescent="0.25">
      <c r="A86" s="37" t="s">
        <v>18</v>
      </c>
      <c r="B86" s="107" t="s">
        <v>604</v>
      </c>
      <c r="C86" s="37">
        <f t="shared" si="5"/>
        <v>208</v>
      </c>
      <c r="D86" s="37">
        <v>0</v>
      </c>
      <c r="E86" s="37"/>
      <c r="F86" s="37"/>
      <c r="G86" s="59" t="s">
        <v>82</v>
      </c>
      <c r="H86" s="37" t="s">
        <v>2555</v>
      </c>
      <c r="I86" s="37">
        <v>333821</v>
      </c>
      <c r="J86" s="37">
        <v>131</v>
      </c>
      <c r="K86" s="37" t="s">
        <v>20</v>
      </c>
      <c r="L86" s="37">
        <v>1</v>
      </c>
      <c r="M86" s="105">
        <v>107527</v>
      </c>
      <c r="N86" s="105">
        <f t="shared" si="6"/>
        <v>107527</v>
      </c>
      <c r="O86" s="38" t="s">
        <v>21</v>
      </c>
      <c r="P86" s="37">
        <f t="shared" si="7"/>
        <v>54</v>
      </c>
    </row>
    <row r="87" spans="1:16" x14ac:dyDescent="0.25">
      <c r="A87" s="37" t="s">
        <v>18</v>
      </c>
      <c r="B87" s="107" t="s">
        <v>604</v>
      </c>
      <c r="C87" s="37">
        <f t="shared" si="5"/>
        <v>209</v>
      </c>
      <c r="D87" s="37">
        <v>1</v>
      </c>
      <c r="E87" s="37"/>
      <c r="F87" s="37"/>
      <c r="G87" s="59" t="s">
        <v>2529</v>
      </c>
      <c r="H87" s="37" t="s">
        <v>2541</v>
      </c>
      <c r="I87" s="37">
        <v>131</v>
      </c>
      <c r="J87" s="37">
        <v>5113</v>
      </c>
      <c r="K87" s="37" t="s">
        <v>20</v>
      </c>
      <c r="L87" s="37">
        <v>1</v>
      </c>
      <c r="M87" s="105">
        <v>8602150</v>
      </c>
      <c r="N87" s="105">
        <f t="shared" si="6"/>
        <v>8602150</v>
      </c>
      <c r="O87" s="38" t="s">
        <v>21</v>
      </c>
      <c r="P87" s="37">
        <f t="shared" si="7"/>
        <v>55</v>
      </c>
    </row>
    <row r="88" spans="1:16" x14ac:dyDescent="0.25">
      <c r="A88" s="37" t="s">
        <v>18</v>
      </c>
      <c r="B88" s="107" t="s">
        <v>604</v>
      </c>
      <c r="C88" s="37">
        <f t="shared" si="5"/>
        <v>209</v>
      </c>
      <c r="D88" s="37">
        <v>0</v>
      </c>
      <c r="E88" s="37"/>
      <c r="F88" s="37"/>
      <c r="G88" s="59" t="s">
        <v>2529</v>
      </c>
      <c r="H88" s="37" t="s">
        <v>2556</v>
      </c>
      <c r="I88" s="37">
        <v>333821</v>
      </c>
      <c r="J88" s="37">
        <v>131</v>
      </c>
      <c r="K88" s="37" t="s">
        <v>20</v>
      </c>
      <c r="L88" s="37">
        <v>1</v>
      </c>
      <c r="M88" s="105">
        <v>86021</v>
      </c>
      <c r="N88" s="105">
        <f t="shared" si="6"/>
        <v>86021</v>
      </c>
      <c r="O88" s="38" t="s">
        <v>21</v>
      </c>
      <c r="P88" s="37">
        <f t="shared" si="7"/>
        <v>55</v>
      </c>
    </row>
    <row r="89" spans="1:16" x14ac:dyDescent="0.25">
      <c r="A89" s="37" t="s">
        <v>18</v>
      </c>
      <c r="B89" s="107" t="s">
        <v>604</v>
      </c>
      <c r="C89" s="37">
        <f t="shared" si="5"/>
        <v>210</v>
      </c>
      <c r="D89" s="37">
        <v>1</v>
      </c>
      <c r="E89" s="37"/>
      <c r="F89" s="37"/>
      <c r="G89" s="59" t="s">
        <v>2530</v>
      </c>
      <c r="H89" s="37" t="s">
        <v>2542</v>
      </c>
      <c r="I89" s="37">
        <v>131</v>
      </c>
      <c r="J89" s="37">
        <v>5113</v>
      </c>
      <c r="K89" s="37" t="s">
        <v>20</v>
      </c>
      <c r="L89" s="37">
        <v>1</v>
      </c>
      <c r="M89" s="105">
        <v>12258065</v>
      </c>
      <c r="N89" s="105">
        <f t="shared" si="6"/>
        <v>12258065</v>
      </c>
      <c r="O89" s="38" t="s">
        <v>21</v>
      </c>
      <c r="P89" s="37">
        <f t="shared" si="7"/>
        <v>56</v>
      </c>
    </row>
    <row r="90" spans="1:16" x14ac:dyDescent="0.25">
      <c r="A90" s="37" t="s">
        <v>18</v>
      </c>
      <c r="B90" s="107" t="s">
        <v>604</v>
      </c>
      <c r="C90" s="37">
        <f t="shared" si="5"/>
        <v>210</v>
      </c>
      <c r="D90" s="37">
        <v>0</v>
      </c>
      <c r="E90" s="37"/>
      <c r="F90" s="37"/>
      <c r="G90" s="59" t="s">
        <v>2530</v>
      </c>
      <c r="H90" s="37" t="s">
        <v>2557</v>
      </c>
      <c r="I90" s="37">
        <v>333821</v>
      </c>
      <c r="J90" s="37">
        <v>131</v>
      </c>
      <c r="K90" s="37" t="s">
        <v>20</v>
      </c>
      <c r="L90" s="37">
        <v>1</v>
      </c>
      <c r="M90" s="105">
        <v>122581</v>
      </c>
      <c r="N90" s="105">
        <f t="shared" si="6"/>
        <v>122581</v>
      </c>
      <c r="O90" s="38" t="s">
        <v>21</v>
      </c>
      <c r="P90" s="37">
        <f t="shared" si="7"/>
        <v>56</v>
      </c>
    </row>
    <row r="91" spans="1:16" x14ac:dyDescent="0.25">
      <c r="A91" s="37" t="s">
        <v>18</v>
      </c>
      <c r="B91" s="107" t="s">
        <v>604</v>
      </c>
      <c r="C91" s="37">
        <f t="shared" si="5"/>
        <v>211</v>
      </c>
      <c r="D91" s="37">
        <v>1</v>
      </c>
      <c r="E91" s="37"/>
      <c r="F91" s="37"/>
      <c r="G91" s="59" t="s">
        <v>66</v>
      </c>
      <c r="H91" s="37" t="s">
        <v>2543</v>
      </c>
      <c r="I91" s="37">
        <v>131</v>
      </c>
      <c r="J91" s="37">
        <v>5113</v>
      </c>
      <c r="K91" s="37" t="s">
        <v>20</v>
      </c>
      <c r="L91" s="37">
        <v>1</v>
      </c>
      <c r="M91" s="105">
        <v>10752688</v>
      </c>
      <c r="N91" s="105">
        <f t="shared" si="6"/>
        <v>10752688</v>
      </c>
      <c r="O91" s="38" t="s">
        <v>21</v>
      </c>
      <c r="P91" s="37">
        <f t="shared" si="7"/>
        <v>57</v>
      </c>
    </row>
    <row r="92" spans="1:16" x14ac:dyDescent="0.25">
      <c r="A92" s="37" t="s">
        <v>18</v>
      </c>
      <c r="B92" s="107" t="s">
        <v>604</v>
      </c>
      <c r="C92" s="37">
        <f t="shared" si="5"/>
        <v>211</v>
      </c>
      <c r="D92" s="37">
        <v>0</v>
      </c>
      <c r="E92" s="37"/>
      <c r="F92" s="37"/>
      <c r="G92" s="59" t="s">
        <v>66</v>
      </c>
      <c r="H92" s="37" t="s">
        <v>2558</v>
      </c>
      <c r="I92" s="37">
        <v>333821</v>
      </c>
      <c r="J92" s="37">
        <v>131</v>
      </c>
      <c r="K92" s="37" t="s">
        <v>20</v>
      </c>
      <c r="L92" s="37">
        <v>1</v>
      </c>
      <c r="M92" s="105">
        <v>107527</v>
      </c>
      <c r="N92" s="105">
        <f t="shared" si="6"/>
        <v>107527</v>
      </c>
      <c r="O92" s="38" t="s">
        <v>21</v>
      </c>
      <c r="P92" s="37">
        <f t="shared" si="7"/>
        <v>57</v>
      </c>
    </row>
    <row r="93" spans="1:16" x14ac:dyDescent="0.25">
      <c r="A93" s="37" t="s">
        <v>18</v>
      </c>
      <c r="B93" s="107" t="s">
        <v>604</v>
      </c>
      <c r="C93" s="37">
        <f t="shared" si="5"/>
        <v>212</v>
      </c>
      <c r="D93" s="37">
        <v>1</v>
      </c>
      <c r="E93" s="37"/>
      <c r="F93" s="37"/>
      <c r="G93" s="59" t="s">
        <v>66</v>
      </c>
      <c r="H93" s="37" t="s">
        <v>2544</v>
      </c>
      <c r="I93" s="37">
        <v>131</v>
      </c>
      <c r="J93" s="37">
        <v>5113</v>
      </c>
      <c r="K93" s="37" t="s">
        <v>20</v>
      </c>
      <c r="L93" s="37">
        <v>1</v>
      </c>
      <c r="M93" s="105">
        <v>10752688</v>
      </c>
      <c r="N93" s="105">
        <f t="shared" si="6"/>
        <v>10752688</v>
      </c>
      <c r="O93" s="38" t="s">
        <v>21</v>
      </c>
      <c r="P93" s="37">
        <f t="shared" si="7"/>
        <v>58</v>
      </c>
    </row>
    <row r="94" spans="1:16" x14ac:dyDescent="0.25">
      <c r="A94" s="37" t="s">
        <v>18</v>
      </c>
      <c r="B94" s="107" t="s">
        <v>604</v>
      </c>
      <c r="C94" s="37">
        <f t="shared" si="5"/>
        <v>212</v>
      </c>
      <c r="D94" s="37">
        <v>0</v>
      </c>
      <c r="E94" s="37"/>
      <c r="F94" s="37"/>
      <c r="G94" s="59" t="s">
        <v>66</v>
      </c>
      <c r="H94" s="37" t="s">
        <v>2559</v>
      </c>
      <c r="I94" s="37">
        <v>333821</v>
      </c>
      <c r="J94" s="37">
        <v>131</v>
      </c>
      <c r="K94" s="37" t="s">
        <v>20</v>
      </c>
      <c r="L94" s="37">
        <v>1</v>
      </c>
      <c r="M94" s="105">
        <v>107527</v>
      </c>
      <c r="N94" s="105">
        <f t="shared" si="6"/>
        <v>107527</v>
      </c>
      <c r="O94" s="38" t="s">
        <v>21</v>
      </c>
      <c r="P94" s="37">
        <f t="shared" si="7"/>
        <v>58</v>
      </c>
    </row>
    <row r="95" spans="1:16" x14ac:dyDescent="0.25">
      <c r="A95" s="37" t="s">
        <v>18</v>
      </c>
      <c r="B95" s="107" t="s">
        <v>604</v>
      </c>
      <c r="C95" s="37">
        <f t="shared" si="5"/>
        <v>213</v>
      </c>
      <c r="D95" s="37">
        <v>1</v>
      </c>
      <c r="E95" s="37"/>
      <c r="F95" s="37"/>
      <c r="G95" s="59" t="s">
        <v>66</v>
      </c>
      <c r="H95" s="37" t="s">
        <v>2545</v>
      </c>
      <c r="I95" s="37">
        <v>131</v>
      </c>
      <c r="J95" s="37">
        <v>5113</v>
      </c>
      <c r="K95" s="37" t="s">
        <v>20</v>
      </c>
      <c r="L95" s="37">
        <v>1</v>
      </c>
      <c r="M95" s="105">
        <v>10752688</v>
      </c>
      <c r="N95" s="105">
        <f t="shared" si="6"/>
        <v>10752688</v>
      </c>
      <c r="O95" s="38" t="s">
        <v>21</v>
      </c>
      <c r="P95" s="37">
        <f t="shared" si="7"/>
        <v>59</v>
      </c>
    </row>
    <row r="96" spans="1:16" x14ac:dyDescent="0.25">
      <c r="A96" s="37" t="s">
        <v>18</v>
      </c>
      <c r="B96" s="107" t="s">
        <v>604</v>
      </c>
      <c r="C96" s="37">
        <f t="shared" si="5"/>
        <v>213</v>
      </c>
      <c r="D96" s="37">
        <v>0</v>
      </c>
      <c r="E96" s="37"/>
      <c r="F96" s="37"/>
      <c r="G96" s="59" t="s">
        <v>66</v>
      </c>
      <c r="H96" s="37" t="s">
        <v>2560</v>
      </c>
      <c r="I96" s="37">
        <v>333821</v>
      </c>
      <c r="J96" s="37">
        <v>131</v>
      </c>
      <c r="K96" s="37" t="s">
        <v>20</v>
      </c>
      <c r="L96" s="37">
        <v>1</v>
      </c>
      <c r="M96" s="105">
        <v>107527</v>
      </c>
      <c r="N96" s="105">
        <f t="shared" si="6"/>
        <v>107527</v>
      </c>
      <c r="O96" s="38" t="s">
        <v>21</v>
      </c>
      <c r="P96" s="37">
        <f t="shared" si="7"/>
        <v>59</v>
      </c>
    </row>
    <row r="97" spans="1:16" x14ac:dyDescent="0.25">
      <c r="A97" s="37" t="s">
        <v>2679</v>
      </c>
      <c r="B97" s="107">
        <v>45931</v>
      </c>
      <c r="C97" s="37">
        <f t="shared" si="5"/>
        <v>214</v>
      </c>
      <c r="D97" s="37">
        <v>1</v>
      </c>
      <c r="E97" s="37"/>
      <c r="F97" s="37"/>
      <c r="G97" s="59" t="s">
        <v>110</v>
      </c>
      <c r="H97" s="37" t="s">
        <v>4910</v>
      </c>
      <c r="I97" s="37">
        <v>112111</v>
      </c>
      <c r="J97" s="37">
        <v>131</v>
      </c>
      <c r="K97" s="37" t="s">
        <v>20</v>
      </c>
      <c r="L97" s="37">
        <v>1</v>
      </c>
      <c r="M97" s="105">
        <v>10645161</v>
      </c>
      <c r="N97" s="105">
        <f t="shared" si="6"/>
        <v>10645161</v>
      </c>
      <c r="O97" s="38" t="s">
        <v>21</v>
      </c>
      <c r="P97" s="37">
        <f t="shared" si="7"/>
        <v>60</v>
      </c>
    </row>
    <row r="98" spans="1:16" x14ac:dyDescent="0.25">
      <c r="A98" s="37" t="s">
        <v>2679</v>
      </c>
      <c r="B98" s="107">
        <v>45931</v>
      </c>
      <c r="C98" s="37">
        <f t="shared" si="5"/>
        <v>215</v>
      </c>
      <c r="D98" s="37">
        <v>1</v>
      </c>
      <c r="E98" s="37"/>
      <c r="F98" s="37"/>
      <c r="G98" s="59" t="s">
        <v>138</v>
      </c>
      <c r="H98" s="37" t="s">
        <v>4841</v>
      </c>
      <c r="I98" s="37">
        <v>112111</v>
      </c>
      <c r="J98" s="37">
        <v>1111</v>
      </c>
      <c r="K98" s="37" t="s">
        <v>20</v>
      </c>
      <c r="L98" s="37">
        <v>1</v>
      </c>
      <c r="M98" s="105">
        <v>10000000</v>
      </c>
      <c r="N98" s="105">
        <f t="shared" si="6"/>
        <v>10000000</v>
      </c>
      <c r="O98" s="38" t="s">
        <v>21</v>
      </c>
      <c r="P98" s="37">
        <f t="shared" si="7"/>
        <v>61</v>
      </c>
    </row>
    <row r="99" spans="1:16" x14ac:dyDescent="0.25">
      <c r="A99" s="37" t="s">
        <v>2678</v>
      </c>
      <c r="B99" s="107">
        <v>45931</v>
      </c>
      <c r="C99" s="37">
        <f t="shared" si="5"/>
        <v>216</v>
      </c>
      <c r="D99" s="37">
        <v>1</v>
      </c>
      <c r="E99" s="37"/>
      <c r="F99" s="37"/>
      <c r="G99" s="59" t="s">
        <v>138</v>
      </c>
      <c r="H99" s="37" t="s">
        <v>3017</v>
      </c>
      <c r="I99" s="37">
        <v>1111</v>
      </c>
      <c r="J99" s="37">
        <v>112111</v>
      </c>
      <c r="K99" s="37" t="s">
        <v>20</v>
      </c>
      <c r="L99" s="37">
        <v>1</v>
      </c>
      <c r="M99" s="105">
        <v>10000000</v>
      </c>
      <c r="N99" s="105">
        <f t="shared" si="6"/>
        <v>10000000</v>
      </c>
      <c r="O99" s="38" t="s">
        <v>21</v>
      </c>
      <c r="P99" s="37">
        <f t="shared" si="7"/>
        <v>62</v>
      </c>
    </row>
    <row r="100" spans="1:16" x14ac:dyDescent="0.25">
      <c r="A100" s="37" t="s">
        <v>2678</v>
      </c>
      <c r="B100" s="107">
        <v>45931</v>
      </c>
      <c r="C100" s="37">
        <f t="shared" si="5"/>
        <v>217</v>
      </c>
      <c r="D100" s="37">
        <v>1</v>
      </c>
      <c r="E100" s="37"/>
      <c r="F100" s="37"/>
      <c r="G100" s="59" t="s">
        <v>138</v>
      </c>
      <c r="H100" s="37" t="s">
        <v>3017</v>
      </c>
      <c r="I100" s="37">
        <v>1111</v>
      </c>
      <c r="J100" s="37">
        <v>112111</v>
      </c>
      <c r="K100" s="37" t="s">
        <v>20</v>
      </c>
      <c r="L100" s="37">
        <v>1</v>
      </c>
      <c r="M100" s="105">
        <v>10000000</v>
      </c>
      <c r="N100" s="105">
        <f t="shared" si="6"/>
        <v>10000000</v>
      </c>
      <c r="O100" s="38" t="s">
        <v>21</v>
      </c>
      <c r="P100" s="37">
        <f t="shared" si="7"/>
        <v>63</v>
      </c>
    </row>
    <row r="101" spans="1:16" x14ac:dyDescent="0.25">
      <c r="A101" s="37" t="s">
        <v>2679</v>
      </c>
      <c r="B101" s="107">
        <v>45933</v>
      </c>
      <c r="C101" s="37">
        <f t="shared" si="5"/>
        <v>218</v>
      </c>
      <c r="D101" s="37">
        <v>1</v>
      </c>
      <c r="E101" s="37"/>
      <c r="F101" s="37"/>
      <c r="G101" s="59" t="s">
        <v>4880</v>
      </c>
      <c r="H101" s="37" t="s">
        <v>4881</v>
      </c>
      <c r="I101" s="37">
        <v>112111</v>
      </c>
      <c r="J101" s="37">
        <v>131</v>
      </c>
      <c r="K101" s="37" t="s">
        <v>20</v>
      </c>
      <c r="L101" s="37">
        <v>1</v>
      </c>
      <c r="M101" s="105">
        <v>10645161</v>
      </c>
      <c r="N101" s="105">
        <f t="shared" si="6"/>
        <v>10645161</v>
      </c>
      <c r="O101" s="38" t="s">
        <v>21</v>
      </c>
      <c r="P101" s="37">
        <f t="shared" si="7"/>
        <v>64</v>
      </c>
    </row>
    <row r="102" spans="1:16" x14ac:dyDescent="0.25">
      <c r="A102" s="37" t="s">
        <v>2678</v>
      </c>
      <c r="B102" s="107">
        <v>45934</v>
      </c>
      <c r="C102" s="37">
        <f t="shared" si="5"/>
        <v>219</v>
      </c>
      <c r="D102" s="37">
        <v>1</v>
      </c>
      <c r="E102" s="37"/>
      <c r="F102" s="37"/>
      <c r="G102" s="59" t="s">
        <v>138</v>
      </c>
      <c r="H102" s="37" t="s">
        <v>3017</v>
      </c>
      <c r="I102" s="37">
        <v>1111</v>
      </c>
      <c r="J102" s="37">
        <v>112111</v>
      </c>
      <c r="K102" s="37" t="s">
        <v>20</v>
      </c>
      <c r="L102" s="37">
        <v>1</v>
      </c>
      <c r="M102" s="105">
        <v>10000000</v>
      </c>
      <c r="N102" s="105">
        <f t="shared" si="6"/>
        <v>10000000</v>
      </c>
      <c r="O102" s="38" t="s">
        <v>21</v>
      </c>
      <c r="P102" s="37">
        <f t="shared" si="7"/>
        <v>65</v>
      </c>
    </row>
    <row r="103" spans="1:16" x14ac:dyDescent="0.25">
      <c r="A103" s="37" t="s">
        <v>2678</v>
      </c>
      <c r="B103" s="107">
        <v>45936</v>
      </c>
      <c r="C103" s="37">
        <f t="shared" si="5"/>
        <v>220</v>
      </c>
      <c r="D103" s="37">
        <v>1</v>
      </c>
      <c r="E103" s="37"/>
      <c r="F103" s="37"/>
      <c r="G103" s="59" t="s">
        <v>138</v>
      </c>
      <c r="H103" s="37" t="s">
        <v>3017</v>
      </c>
      <c r="I103" s="37">
        <v>1111</v>
      </c>
      <c r="J103" s="37">
        <v>112111</v>
      </c>
      <c r="K103" s="37" t="s">
        <v>20</v>
      </c>
      <c r="L103" s="37">
        <v>1</v>
      </c>
      <c r="M103" s="105">
        <v>10000000</v>
      </c>
      <c r="N103" s="105">
        <f t="shared" si="6"/>
        <v>10000000</v>
      </c>
      <c r="O103" s="38" t="s">
        <v>21</v>
      </c>
      <c r="P103" s="37">
        <f t="shared" si="7"/>
        <v>66</v>
      </c>
    </row>
    <row r="104" spans="1:16" x14ac:dyDescent="0.25">
      <c r="A104" s="37" t="s">
        <v>2679</v>
      </c>
      <c r="B104" s="107">
        <v>45937</v>
      </c>
      <c r="C104" s="37">
        <f t="shared" si="5"/>
        <v>221</v>
      </c>
      <c r="D104" s="37">
        <v>1</v>
      </c>
      <c r="E104" s="37"/>
      <c r="F104" s="37"/>
      <c r="G104" s="59" t="s">
        <v>113</v>
      </c>
      <c r="H104" s="37" t="s">
        <v>4911</v>
      </c>
      <c r="I104" s="37">
        <v>112111</v>
      </c>
      <c r="J104" s="37">
        <v>131</v>
      </c>
      <c r="K104" s="37" t="s">
        <v>20</v>
      </c>
      <c r="L104" s="37">
        <v>1</v>
      </c>
      <c r="M104" s="105">
        <v>10645161</v>
      </c>
      <c r="N104" s="105">
        <f t="shared" si="6"/>
        <v>10645161</v>
      </c>
      <c r="O104" s="38" t="s">
        <v>21</v>
      </c>
      <c r="P104" s="37">
        <f t="shared" si="7"/>
        <v>67</v>
      </c>
    </row>
    <row r="105" spans="1:16" x14ac:dyDescent="0.25">
      <c r="A105" s="37" t="s">
        <v>18</v>
      </c>
      <c r="B105" s="107">
        <v>45943</v>
      </c>
      <c r="C105" s="37">
        <f t="shared" ref="C105:C106" si="8">C104+D105</f>
        <v>222</v>
      </c>
      <c r="D105" s="37">
        <v>1</v>
      </c>
      <c r="E105" s="37"/>
      <c r="F105" s="37"/>
      <c r="G105" s="59" t="s">
        <v>3003</v>
      </c>
      <c r="H105" s="37" t="s">
        <v>3004</v>
      </c>
      <c r="I105" s="37">
        <v>131</v>
      </c>
      <c r="J105" s="37">
        <v>5118</v>
      </c>
      <c r="K105" s="37" t="s">
        <v>20</v>
      </c>
      <c r="L105" s="37">
        <v>1</v>
      </c>
      <c r="M105" s="105">
        <v>29625200</v>
      </c>
      <c r="N105" s="105">
        <f t="shared" si="6"/>
        <v>29625200</v>
      </c>
      <c r="O105" s="38" t="s">
        <v>21</v>
      </c>
      <c r="P105" s="37">
        <f t="shared" si="7"/>
        <v>68</v>
      </c>
    </row>
    <row r="106" spans="1:16" x14ac:dyDescent="0.25">
      <c r="A106" s="37" t="s">
        <v>2679</v>
      </c>
      <c r="B106" s="107">
        <v>45943</v>
      </c>
      <c r="C106" s="37">
        <f t="shared" si="8"/>
        <v>223</v>
      </c>
      <c r="D106" s="37">
        <v>1</v>
      </c>
      <c r="E106" s="37"/>
      <c r="F106" s="37"/>
      <c r="G106" s="59" t="s">
        <v>3003</v>
      </c>
      <c r="H106" s="37" t="s">
        <v>3005</v>
      </c>
      <c r="I106" s="37">
        <v>112111</v>
      </c>
      <c r="J106" s="37">
        <v>131</v>
      </c>
      <c r="K106" s="37" t="s">
        <v>20</v>
      </c>
      <c r="L106" s="37">
        <v>1</v>
      </c>
      <c r="M106" s="105">
        <v>29625200</v>
      </c>
      <c r="N106" s="105">
        <f t="shared" si="6"/>
        <v>29625200</v>
      </c>
      <c r="O106" s="38" t="s">
        <v>21</v>
      </c>
      <c r="P106" s="37">
        <f t="shared" si="7"/>
        <v>69</v>
      </c>
    </row>
    <row r="107" spans="1:16" x14ac:dyDescent="0.25">
      <c r="A107" s="37" t="s">
        <v>2679</v>
      </c>
      <c r="B107" s="107">
        <v>45945</v>
      </c>
      <c r="C107" s="37">
        <f t="shared" si="5"/>
        <v>224</v>
      </c>
      <c r="D107" s="37">
        <v>1</v>
      </c>
      <c r="E107" s="37"/>
      <c r="F107" s="37"/>
      <c r="G107" s="59" t="s">
        <v>72</v>
      </c>
      <c r="H107" s="37" t="s">
        <v>4886</v>
      </c>
      <c r="I107" s="37">
        <v>112111</v>
      </c>
      <c r="J107" s="37">
        <v>131</v>
      </c>
      <c r="K107" s="37" t="s">
        <v>20</v>
      </c>
      <c r="L107" s="37">
        <v>1</v>
      </c>
      <c r="M107" s="105">
        <v>9580645</v>
      </c>
      <c r="N107" s="105">
        <f t="shared" si="6"/>
        <v>9580645</v>
      </c>
      <c r="O107" s="38" t="s">
        <v>21</v>
      </c>
      <c r="P107" s="37">
        <f t="shared" si="7"/>
        <v>70</v>
      </c>
    </row>
    <row r="108" spans="1:16" x14ac:dyDescent="0.25">
      <c r="A108" s="37" t="s">
        <v>2679</v>
      </c>
      <c r="B108" s="107">
        <v>45947</v>
      </c>
      <c r="C108" s="37">
        <f t="shared" si="5"/>
        <v>225</v>
      </c>
      <c r="D108" s="37">
        <v>1</v>
      </c>
      <c r="E108" s="37"/>
      <c r="F108" s="37"/>
      <c r="G108" s="59" t="s">
        <v>66</v>
      </c>
      <c r="H108" s="37" t="s">
        <v>4887</v>
      </c>
      <c r="I108" s="37">
        <v>112111</v>
      </c>
      <c r="J108" s="37">
        <v>131</v>
      </c>
      <c r="K108" s="37" t="s">
        <v>20</v>
      </c>
      <c r="L108" s="37">
        <v>1</v>
      </c>
      <c r="M108" s="105">
        <v>10645161</v>
      </c>
      <c r="N108" s="105">
        <f t="shared" si="6"/>
        <v>10645161</v>
      </c>
      <c r="O108" s="38" t="s">
        <v>21</v>
      </c>
      <c r="P108" s="37">
        <f t="shared" si="7"/>
        <v>71</v>
      </c>
    </row>
    <row r="109" spans="1:16" x14ac:dyDescent="0.25">
      <c r="A109" s="37" t="s">
        <v>2678</v>
      </c>
      <c r="B109" s="107">
        <v>45947</v>
      </c>
      <c r="C109" s="37">
        <f t="shared" si="5"/>
        <v>226</v>
      </c>
      <c r="D109" s="37">
        <v>1</v>
      </c>
      <c r="E109" s="37"/>
      <c r="F109" s="37"/>
      <c r="G109" s="59" t="s">
        <v>138</v>
      </c>
      <c r="H109" s="37" t="s">
        <v>3017</v>
      </c>
      <c r="I109" s="37">
        <v>1111</v>
      </c>
      <c r="J109" s="37">
        <v>112111</v>
      </c>
      <c r="K109" s="37" t="s">
        <v>20</v>
      </c>
      <c r="L109" s="37">
        <v>1</v>
      </c>
      <c r="M109" s="105">
        <v>5000000</v>
      </c>
      <c r="N109" s="105">
        <f t="shared" si="6"/>
        <v>5000000</v>
      </c>
      <c r="O109" s="38" t="s">
        <v>21</v>
      </c>
      <c r="P109" s="37">
        <f t="shared" si="7"/>
        <v>72</v>
      </c>
    </row>
    <row r="110" spans="1:16" x14ac:dyDescent="0.25">
      <c r="A110" s="37" t="s">
        <v>2679</v>
      </c>
      <c r="B110" s="107">
        <v>45947</v>
      </c>
      <c r="C110" s="37">
        <f t="shared" si="5"/>
        <v>227</v>
      </c>
      <c r="D110" s="37">
        <v>1</v>
      </c>
      <c r="E110" s="37"/>
      <c r="F110" s="37"/>
      <c r="G110" s="59" t="s">
        <v>54</v>
      </c>
      <c r="H110" s="37" t="s">
        <v>4882</v>
      </c>
      <c r="I110" s="37">
        <v>112111</v>
      </c>
      <c r="J110" s="37">
        <v>131</v>
      </c>
      <c r="K110" s="37" t="s">
        <v>20</v>
      </c>
      <c r="L110" s="37">
        <v>1</v>
      </c>
      <c r="M110" s="105">
        <v>10645161</v>
      </c>
      <c r="N110" s="105">
        <f t="shared" si="6"/>
        <v>10645161</v>
      </c>
      <c r="O110" s="38" t="s">
        <v>21</v>
      </c>
      <c r="P110" s="37">
        <f t="shared" si="7"/>
        <v>73</v>
      </c>
    </row>
    <row r="111" spans="1:16" x14ac:dyDescent="0.25">
      <c r="A111" s="37" t="s">
        <v>2678</v>
      </c>
      <c r="B111" s="107">
        <v>45950</v>
      </c>
      <c r="C111" s="37">
        <f t="shared" si="5"/>
        <v>228</v>
      </c>
      <c r="D111" s="37">
        <v>1</v>
      </c>
      <c r="E111" s="37"/>
      <c r="F111" s="37"/>
      <c r="G111" s="59" t="s">
        <v>138</v>
      </c>
      <c r="H111" s="37" t="s">
        <v>3017</v>
      </c>
      <c r="I111" s="37">
        <v>1111</v>
      </c>
      <c r="J111" s="37">
        <v>112111</v>
      </c>
      <c r="K111" s="37" t="s">
        <v>20</v>
      </c>
      <c r="L111" s="37">
        <v>1</v>
      </c>
      <c r="M111" s="105">
        <v>10000000</v>
      </c>
      <c r="N111" s="105">
        <f t="shared" si="6"/>
        <v>10000000</v>
      </c>
      <c r="O111" s="38" t="s">
        <v>21</v>
      </c>
      <c r="P111" s="37">
        <f t="shared" si="7"/>
        <v>74</v>
      </c>
    </row>
    <row r="112" spans="1:16" x14ac:dyDescent="0.25">
      <c r="A112" s="37" t="s">
        <v>2679</v>
      </c>
      <c r="B112" s="107">
        <v>45951</v>
      </c>
      <c r="C112" s="37">
        <f t="shared" si="5"/>
        <v>229</v>
      </c>
      <c r="D112" s="37">
        <v>1</v>
      </c>
      <c r="E112" s="37"/>
      <c r="F112" s="37"/>
      <c r="G112" s="59" t="s">
        <v>66</v>
      </c>
      <c r="H112" s="37" t="s">
        <v>4888</v>
      </c>
      <c r="I112" s="37">
        <v>112111</v>
      </c>
      <c r="J112" s="37">
        <v>131</v>
      </c>
      <c r="K112" s="37" t="s">
        <v>20</v>
      </c>
      <c r="L112" s="37">
        <v>1</v>
      </c>
      <c r="M112" s="105">
        <v>10645161</v>
      </c>
      <c r="N112" s="105">
        <f t="shared" si="6"/>
        <v>10645161</v>
      </c>
      <c r="O112" s="38" t="s">
        <v>21</v>
      </c>
      <c r="P112" s="37">
        <f t="shared" si="7"/>
        <v>75</v>
      </c>
    </row>
    <row r="113" spans="1:16" x14ac:dyDescent="0.25">
      <c r="A113" s="37" t="s">
        <v>2678</v>
      </c>
      <c r="B113" s="107">
        <v>45959</v>
      </c>
      <c r="C113" s="37">
        <f t="shared" si="5"/>
        <v>230</v>
      </c>
      <c r="D113" s="37">
        <v>1</v>
      </c>
      <c r="E113" s="37"/>
      <c r="F113" s="37"/>
      <c r="G113" s="59" t="s">
        <v>138</v>
      </c>
      <c r="H113" s="37" t="s">
        <v>3017</v>
      </c>
      <c r="I113" s="37">
        <v>1111</v>
      </c>
      <c r="J113" s="37">
        <v>112111</v>
      </c>
      <c r="K113" s="37" t="s">
        <v>20</v>
      </c>
      <c r="L113" s="37">
        <v>1</v>
      </c>
      <c r="M113" s="105">
        <v>10000000</v>
      </c>
      <c r="N113" s="105">
        <f t="shared" si="6"/>
        <v>10000000</v>
      </c>
      <c r="O113" s="38" t="s">
        <v>21</v>
      </c>
      <c r="P113" s="37">
        <f t="shared" si="7"/>
        <v>76</v>
      </c>
    </row>
    <row r="114" spans="1:16" x14ac:dyDescent="0.25">
      <c r="A114" s="37" t="s">
        <v>2678</v>
      </c>
      <c r="B114" s="107">
        <v>45959</v>
      </c>
      <c r="C114" s="37">
        <f t="shared" si="5"/>
        <v>231</v>
      </c>
      <c r="D114" s="37">
        <v>1</v>
      </c>
      <c r="E114" s="37"/>
      <c r="F114" s="37"/>
      <c r="G114" s="59" t="s">
        <v>43</v>
      </c>
      <c r="H114" s="37" t="s">
        <v>2684</v>
      </c>
      <c r="I114" s="37">
        <v>338</v>
      </c>
      <c r="J114" s="37">
        <v>112111</v>
      </c>
      <c r="K114" s="37" t="s">
        <v>20</v>
      </c>
      <c r="L114" s="37">
        <v>1</v>
      </c>
      <c r="M114" s="105">
        <v>690300</v>
      </c>
      <c r="N114" s="105">
        <f t="shared" si="6"/>
        <v>690300</v>
      </c>
      <c r="O114" s="38" t="s">
        <v>21</v>
      </c>
      <c r="P114" s="37">
        <f t="shared" si="7"/>
        <v>77</v>
      </c>
    </row>
    <row r="115" spans="1:16" x14ac:dyDescent="0.25">
      <c r="A115" s="37" t="s">
        <v>2679</v>
      </c>
      <c r="B115" s="107">
        <v>45959</v>
      </c>
      <c r="C115" s="37">
        <f t="shared" si="5"/>
        <v>232</v>
      </c>
      <c r="D115" s="37">
        <v>1</v>
      </c>
      <c r="E115" s="37"/>
      <c r="F115" s="37"/>
      <c r="G115" s="59" t="s">
        <v>113</v>
      </c>
      <c r="H115" s="37" t="s">
        <v>4883</v>
      </c>
      <c r="I115" s="37">
        <v>112111</v>
      </c>
      <c r="J115" s="37">
        <v>131</v>
      </c>
      <c r="K115" s="37" t="s">
        <v>20</v>
      </c>
      <c r="L115" s="37">
        <v>1</v>
      </c>
      <c r="M115" s="105">
        <v>10645161</v>
      </c>
      <c r="N115" s="105">
        <f t="shared" si="6"/>
        <v>10645161</v>
      </c>
      <c r="O115" s="38" t="s">
        <v>21</v>
      </c>
      <c r="P115" s="37">
        <f t="shared" si="7"/>
        <v>78</v>
      </c>
    </row>
    <row r="116" spans="1:16" x14ac:dyDescent="0.25">
      <c r="A116" s="37" t="s">
        <v>2678</v>
      </c>
      <c r="B116" s="107">
        <v>45959</v>
      </c>
      <c r="C116" s="37">
        <f t="shared" si="5"/>
        <v>233</v>
      </c>
      <c r="D116" s="37">
        <v>1</v>
      </c>
      <c r="E116" s="37"/>
      <c r="F116" s="37"/>
      <c r="G116" s="59" t="s">
        <v>4884</v>
      </c>
      <c r="H116" s="37" t="s">
        <v>2718</v>
      </c>
      <c r="I116" s="37">
        <v>333821</v>
      </c>
      <c r="J116" s="37">
        <v>112111</v>
      </c>
      <c r="K116" s="37" t="s">
        <v>20</v>
      </c>
      <c r="L116" s="37">
        <v>1</v>
      </c>
      <c r="M116" s="105">
        <v>15890344</v>
      </c>
      <c r="N116" s="105">
        <f t="shared" si="6"/>
        <v>15890344</v>
      </c>
      <c r="O116" s="38" t="s">
        <v>21</v>
      </c>
      <c r="P116" s="37">
        <f t="shared" si="7"/>
        <v>79</v>
      </c>
    </row>
    <row r="117" spans="1:16" x14ac:dyDescent="0.25">
      <c r="A117" s="37" t="s">
        <v>2679</v>
      </c>
      <c r="B117" s="107">
        <v>45961</v>
      </c>
      <c r="C117" s="37">
        <f t="shared" si="5"/>
        <v>234</v>
      </c>
      <c r="D117" s="37">
        <v>1</v>
      </c>
      <c r="E117" s="37"/>
      <c r="F117" s="37"/>
      <c r="G117" s="59" t="s">
        <v>29</v>
      </c>
      <c r="H117" s="37" t="s">
        <v>4885</v>
      </c>
      <c r="I117" s="37">
        <v>112111</v>
      </c>
      <c r="J117" s="37">
        <v>131</v>
      </c>
      <c r="K117" s="37" t="s">
        <v>20</v>
      </c>
      <c r="L117" s="37">
        <v>1</v>
      </c>
      <c r="M117" s="105">
        <v>10752688</v>
      </c>
      <c r="N117" s="105">
        <f t="shared" si="6"/>
        <v>10752688</v>
      </c>
      <c r="O117" s="38" t="s">
        <v>21</v>
      </c>
      <c r="P117" s="37">
        <f t="shared" si="7"/>
        <v>80</v>
      </c>
    </row>
    <row r="118" spans="1:16" x14ac:dyDescent="0.25">
      <c r="A118" s="37" t="s">
        <v>2679</v>
      </c>
      <c r="B118" s="107">
        <v>45962</v>
      </c>
      <c r="C118" s="37">
        <f t="shared" si="5"/>
        <v>235</v>
      </c>
      <c r="D118" s="37">
        <v>1</v>
      </c>
      <c r="E118" s="37"/>
      <c r="F118" s="37"/>
      <c r="G118" s="59" t="s">
        <v>2680</v>
      </c>
      <c r="H118" s="37" t="s">
        <v>2687</v>
      </c>
      <c r="I118" s="37">
        <v>112111</v>
      </c>
      <c r="J118" s="37">
        <v>5154</v>
      </c>
      <c r="K118" s="37" t="s">
        <v>20</v>
      </c>
      <c r="L118" s="37">
        <v>1</v>
      </c>
      <c r="M118" s="105">
        <v>544</v>
      </c>
      <c r="N118" s="105">
        <f t="shared" si="6"/>
        <v>544</v>
      </c>
      <c r="O118" s="38" t="s">
        <v>21</v>
      </c>
      <c r="P118" s="37">
        <f t="shared" si="7"/>
        <v>81</v>
      </c>
    </row>
    <row r="119" spans="1:16" x14ac:dyDescent="0.25">
      <c r="A119" s="37" t="s">
        <v>2679</v>
      </c>
      <c r="B119" s="107">
        <v>45964</v>
      </c>
      <c r="C119" s="37">
        <f t="shared" ref="C119:C181" si="9">C118+D119</f>
        <v>236</v>
      </c>
      <c r="D119" s="37">
        <v>1</v>
      </c>
      <c r="E119" s="37"/>
      <c r="F119" s="37"/>
      <c r="G119" s="59" t="s">
        <v>62</v>
      </c>
      <c r="H119" s="37" t="s">
        <v>4866</v>
      </c>
      <c r="I119" s="37">
        <v>112111</v>
      </c>
      <c r="J119" s="37">
        <v>131</v>
      </c>
      <c r="K119" s="37" t="s">
        <v>20</v>
      </c>
      <c r="L119" s="37">
        <v>1</v>
      </c>
      <c r="M119" s="105">
        <v>12000000</v>
      </c>
      <c r="N119" s="105">
        <f t="shared" si="6"/>
        <v>12000000</v>
      </c>
      <c r="O119" s="38" t="s">
        <v>21</v>
      </c>
      <c r="P119" s="37">
        <f t="shared" si="7"/>
        <v>82</v>
      </c>
    </row>
    <row r="120" spans="1:16" x14ac:dyDescent="0.25">
      <c r="A120" s="37" t="s">
        <v>2679</v>
      </c>
      <c r="B120" s="107">
        <v>45964</v>
      </c>
      <c r="C120" s="37">
        <f t="shared" si="9"/>
        <v>237</v>
      </c>
      <c r="D120" s="37">
        <v>1</v>
      </c>
      <c r="E120" s="37"/>
      <c r="F120" s="37"/>
      <c r="G120" s="59" t="s">
        <v>62</v>
      </c>
      <c r="H120" s="37" t="s">
        <v>4866</v>
      </c>
      <c r="I120" s="37">
        <v>112111</v>
      </c>
      <c r="J120" s="37">
        <v>131</v>
      </c>
      <c r="K120" s="37" t="s">
        <v>20</v>
      </c>
      <c r="L120" s="37">
        <v>1</v>
      </c>
      <c r="M120" s="105">
        <v>774194</v>
      </c>
      <c r="N120" s="105">
        <f t="shared" si="6"/>
        <v>774194</v>
      </c>
      <c r="O120" s="38" t="s">
        <v>21</v>
      </c>
      <c r="P120" s="37">
        <f t="shared" si="7"/>
        <v>83</v>
      </c>
    </row>
    <row r="121" spans="1:16" x14ac:dyDescent="0.25">
      <c r="A121" s="37" t="s">
        <v>2679</v>
      </c>
      <c r="B121" s="107">
        <v>45965</v>
      </c>
      <c r="C121" s="37">
        <f t="shared" si="9"/>
        <v>238</v>
      </c>
      <c r="D121" s="37">
        <v>1</v>
      </c>
      <c r="E121" s="37"/>
      <c r="F121" s="37"/>
      <c r="G121" s="59" t="s">
        <v>82</v>
      </c>
      <c r="H121" s="37" t="s">
        <v>4889</v>
      </c>
      <c r="I121" s="37">
        <v>112111</v>
      </c>
      <c r="J121" s="37">
        <v>131</v>
      </c>
      <c r="K121" s="37" t="s">
        <v>20</v>
      </c>
      <c r="L121" s="37">
        <v>1</v>
      </c>
      <c r="M121" s="105">
        <v>10645161</v>
      </c>
      <c r="N121" s="105">
        <f t="shared" si="6"/>
        <v>10645161</v>
      </c>
      <c r="O121" s="38" t="s">
        <v>21</v>
      </c>
      <c r="P121" s="37">
        <f t="shared" si="7"/>
        <v>84</v>
      </c>
    </row>
    <row r="122" spans="1:16" x14ac:dyDescent="0.25">
      <c r="A122" s="37" t="s">
        <v>2679</v>
      </c>
      <c r="B122" s="107">
        <v>45966</v>
      </c>
      <c r="C122" s="37">
        <f t="shared" si="9"/>
        <v>239</v>
      </c>
      <c r="D122" s="37">
        <v>1</v>
      </c>
      <c r="E122" s="37"/>
      <c r="F122" s="37"/>
      <c r="G122" s="59" t="s">
        <v>60</v>
      </c>
      <c r="H122" s="37" t="s">
        <v>4916</v>
      </c>
      <c r="I122" s="37">
        <v>112111</v>
      </c>
      <c r="J122" s="37">
        <v>131</v>
      </c>
      <c r="K122" s="37" t="s">
        <v>20</v>
      </c>
      <c r="L122" s="37">
        <v>1</v>
      </c>
      <c r="M122" s="105">
        <v>10645161</v>
      </c>
      <c r="N122" s="105">
        <f t="shared" si="6"/>
        <v>10645161</v>
      </c>
      <c r="O122" s="38" t="s">
        <v>21</v>
      </c>
      <c r="P122" s="37">
        <f t="shared" si="7"/>
        <v>85</v>
      </c>
    </row>
    <row r="123" spans="1:16" x14ac:dyDescent="0.25">
      <c r="A123" s="37" t="s">
        <v>2679</v>
      </c>
      <c r="B123" s="107">
        <v>45972</v>
      </c>
      <c r="C123" s="37">
        <f t="shared" si="9"/>
        <v>240</v>
      </c>
      <c r="D123" s="37">
        <v>1</v>
      </c>
      <c r="E123" s="37"/>
      <c r="F123" s="37"/>
      <c r="G123" s="59" t="s">
        <v>289</v>
      </c>
      <c r="H123" s="37" t="s">
        <v>4896</v>
      </c>
      <c r="I123" s="37">
        <v>112111</v>
      </c>
      <c r="J123" s="37">
        <v>131</v>
      </c>
      <c r="K123" s="37" t="s">
        <v>20</v>
      </c>
      <c r="L123" s="37">
        <v>1</v>
      </c>
      <c r="M123" s="105">
        <v>12840000</v>
      </c>
      <c r="N123" s="105">
        <f t="shared" si="6"/>
        <v>12840000</v>
      </c>
      <c r="O123" s="38" t="s">
        <v>21</v>
      </c>
      <c r="P123" s="37">
        <f t="shared" si="7"/>
        <v>86</v>
      </c>
    </row>
    <row r="124" spans="1:16" x14ac:dyDescent="0.25">
      <c r="A124" s="37" t="s">
        <v>2678</v>
      </c>
      <c r="B124" s="107">
        <v>45972</v>
      </c>
      <c r="C124" s="37">
        <f t="shared" si="9"/>
        <v>241</v>
      </c>
      <c r="D124" s="37">
        <v>1</v>
      </c>
      <c r="E124" s="37"/>
      <c r="F124" s="37"/>
      <c r="G124" s="59" t="s">
        <v>138</v>
      </c>
      <c r="H124" s="37" t="s">
        <v>3017</v>
      </c>
      <c r="I124" s="37">
        <v>1111</v>
      </c>
      <c r="J124" s="37">
        <v>112111</v>
      </c>
      <c r="K124" s="37" t="s">
        <v>20</v>
      </c>
      <c r="L124" s="37">
        <v>1</v>
      </c>
      <c r="M124" s="105">
        <v>132000000</v>
      </c>
      <c r="N124" s="105">
        <f t="shared" si="6"/>
        <v>132000000</v>
      </c>
      <c r="O124" s="38" t="s">
        <v>21</v>
      </c>
      <c r="P124" s="37">
        <f t="shared" si="7"/>
        <v>87</v>
      </c>
    </row>
    <row r="125" spans="1:16" x14ac:dyDescent="0.25">
      <c r="A125" s="37" t="s">
        <v>2679</v>
      </c>
      <c r="B125" s="107">
        <v>45979</v>
      </c>
      <c r="C125" s="37">
        <f t="shared" si="9"/>
        <v>242</v>
      </c>
      <c r="D125" s="37">
        <v>1</v>
      </c>
      <c r="E125" s="37"/>
      <c r="F125" s="37"/>
      <c r="G125" s="59" t="s">
        <v>66</v>
      </c>
      <c r="H125" s="37" t="s">
        <v>4890</v>
      </c>
      <c r="I125" s="37">
        <v>112111</v>
      </c>
      <c r="J125" s="37">
        <v>131</v>
      </c>
      <c r="K125" s="37" t="s">
        <v>20</v>
      </c>
      <c r="L125" s="37">
        <v>1</v>
      </c>
      <c r="M125" s="105">
        <v>10645161</v>
      </c>
      <c r="N125" s="105">
        <f t="shared" si="6"/>
        <v>10645161</v>
      </c>
      <c r="O125" s="38" t="s">
        <v>21</v>
      </c>
      <c r="P125" s="37">
        <f t="shared" si="7"/>
        <v>88</v>
      </c>
    </row>
    <row r="126" spans="1:16" x14ac:dyDescent="0.25">
      <c r="A126" s="37" t="s">
        <v>2679</v>
      </c>
      <c r="B126" s="107">
        <v>45981</v>
      </c>
      <c r="C126" s="37">
        <f t="shared" si="9"/>
        <v>243</v>
      </c>
      <c r="D126" s="37">
        <v>1</v>
      </c>
      <c r="E126" s="37"/>
      <c r="F126" s="37"/>
      <c r="G126" s="59" t="s">
        <v>91</v>
      </c>
      <c r="H126" s="37" t="s">
        <v>4912</v>
      </c>
      <c r="I126" s="37">
        <v>112111</v>
      </c>
      <c r="J126" s="37">
        <v>131</v>
      </c>
      <c r="K126" s="37" t="s">
        <v>20</v>
      </c>
      <c r="L126" s="37">
        <v>1</v>
      </c>
      <c r="M126" s="105">
        <v>10645161</v>
      </c>
      <c r="N126" s="105">
        <f t="shared" si="6"/>
        <v>10645161</v>
      </c>
      <c r="O126" s="38" t="s">
        <v>21</v>
      </c>
      <c r="P126" s="37">
        <f t="shared" si="7"/>
        <v>89</v>
      </c>
    </row>
    <row r="127" spans="1:16" x14ac:dyDescent="0.25">
      <c r="A127" s="37" t="s">
        <v>2679</v>
      </c>
      <c r="B127" s="107">
        <v>45982</v>
      </c>
      <c r="C127" s="37">
        <f t="shared" si="9"/>
        <v>244</v>
      </c>
      <c r="D127" s="37">
        <v>1</v>
      </c>
      <c r="E127" s="37"/>
      <c r="F127" s="37"/>
      <c r="G127" s="59" t="s">
        <v>107</v>
      </c>
      <c r="H127" s="37" t="s">
        <v>4899</v>
      </c>
      <c r="I127" s="37">
        <v>112111</v>
      </c>
      <c r="J127" s="37">
        <v>131</v>
      </c>
      <c r="K127" s="37" t="s">
        <v>20</v>
      </c>
      <c r="L127" s="37">
        <v>1</v>
      </c>
      <c r="M127" s="105">
        <v>10645161</v>
      </c>
      <c r="N127" s="105">
        <f t="shared" si="6"/>
        <v>10645161</v>
      </c>
      <c r="O127" s="38" t="s">
        <v>21</v>
      </c>
      <c r="P127" s="37">
        <f t="shared" si="7"/>
        <v>90</v>
      </c>
    </row>
    <row r="128" spans="1:16" x14ac:dyDescent="0.25">
      <c r="A128" s="37" t="s">
        <v>2679</v>
      </c>
      <c r="B128" s="107">
        <v>45982</v>
      </c>
      <c r="C128" s="37">
        <f t="shared" si="9"/>
        <v>245</v>
      </c>
      <c r="D128" s="37">
        <v>1</v>
      </c>
      <c r="E128" s="37"/>
      <c r="F128" s="37"/>
      <c r="G128" s="59" t="s">
        <v>66</v>
      </c>
      <c r="H128" s="37" t="s">
        <v>4891</v>
      </c>
      <c r="I128" s="37">
        <v>112111</v>
      </c>
      <c r="J128" s="37">
        <v>131</v>
      </c>
      <c r="K128" s="37" t="s">
        <v>20</v>
      </c>
      <c r="L128" s="37">
        <v>1</v>
      </c>
      <c r="M128" s="105">
        <v>10645161</v>
      </c>
      <c r="N128" s="105">
        <f t="shared" si="6"/>
        <v>10645161</v>
      </c>
      <c r="O128" s="38" t="s">
        <v>21</v>
      </c>
      <c r="P128" s="37">
        <f t="shared" si="7"/>
        <v>91</v>
      </c>
    </row>
    <row r="129" spans="1:16" x14ac:dyDescent="0.25">
      <c r="A129" s="37" t="s">
        <v>2679</v>
      </c>
      <c r="B129" s="107">
        <v>45985</v>
      </c>
      <c r="C129" s="37">
        <f t="shared" si="9"/>
        <v>246</v>
      </c>
      <c r="D129" s="37">
        <v>1</v>
      </c>
      <c r="E129" s="37"/>
      <c r="F129" s="37"/>
      <c r="G129" s="59" t="s">
        <v>26</v>
      </c>
      <c r="H129" s="37" t="s">
        <v>4913</v>
      </c>
      <c r="I129" s="37">
        <v>112111</v>
      </c>
      <c r="J129" s="37">
        <v>131</v>
      </c>
      <c r="K129" s="37" t="s">
        <v>20</v>
      </c>
      <c r="L129" s="37">
        <v>1</v>
      </c>
      <c r="M129" s="105">
        <v>10645161</v>
      </c>
      <c r="N129" s="105">
        <f t="shared" si="6"/>
        <v>10645161</v>
      </c>
      <c r="O129" s="38" t="s">
        <v>21</v>
      </c>
      <c r="P129" s="37">
        <f t="shared" si="7"/>
        <v>92</v>
      </c>
    </row>
    <row r="130" spans="1:16" x14ac:dyDescent="0.25">
      <c r="A130" s="37" t="s">
        <v>2679</v>
      </c>
      <c r="B130" s="107">
        <v>45987</v>
      </c>
      <c r="C130" s="37">
        <f t="shared" si="9"/>
        <v>247</v>
      </c>
      <c r="D130" s="37">
        <v>1</v>
      </c>
      <c r="E130" s="37"/>
      <c r="F130" s="37"/>
      <c r="G130" s="59" t="s">
        <v>26</v>
      </c>
      <c r="H130" s="37" t="s">
        <v>4900</v>
      </c>
      <c r="I130" s="37">
        <v>112111</v>
      </c>
      <c r="J130" s="37">
        <v>131</v>
      </c>
      <c r="K130" s="37" t="s">
        <v>20</v>
      </c>
      <c r="L130" s="37">
        <v>1</v>
      </c>
      <c r="M130" s="105">
        <v>10645161</v>
      </c>
      <c r="N130" s="105">
        <f t="shared" si="6"/>
        <v>10645161</v>
      </c>
      <c r="O130" s="38" t="s">
        <v>21</v>
      </c>
      <c r="P130" s="37">
        <f t="shared" si="7"/>
        <v>93</v>
      </c>
    </row>
    <row r="131" spans="1:16" x14ac:dyDescent="0.25">
      <c r="A131" s="37" t="s">
        <v>2679</v>
      </c>
      <c r="B131" s="107">
        <v>45987</v>
      </c>
      <c r="C131" s="37">
        <f t="shared" si="9"/>
        <v>248</v>
      </c>
      <c r="D131" s="37">
        <v>1</v>
      </c>
      <c r="E131" s="37"/>
      <c r="F131" s="37"/>
      <c r="G131" s="59" t="s">
        <v>113</v>
      </c>
      <c r="H131" s="37" t="s">
        <v>4892</v>
      </c>
      <c r="I131" s="37">
        <v>112111</v>
      </c>
      <c r="J131" s="37">
        <v>131</v>
      </c>
      <c r="K131" s="37" t="s">
        <v>20</v>
      </c>
      <c r="L131" s="37">
        <v>1</v>
      </c>
      <c r="M131" s="105">
        <v>4280000</v>
      </c>
      <c r="N131" s="105">
        <f t="shared" si="6"/>
        <v>4280000</v>
      </c>
      <c r="O131" s="38" t="s">
        <v>21</v>
      </c>
      <c r="P131" s="37">
        <f t="shared" si="7"/>
        <v>94</v>
      </c>
    </row>
    <row r="132" spans="1:16" x14ac:dyDescent="0.25">
      <c r="A132" s="37" t="s">
        <v>2679</v>
      </c>
      <c r="B132" s="107">
        <v>45991</v>
      </c>
      <c r="C132" s="37">
        <f t="shared" si="9"/>
        <v>249</v>
      </c>
      <c r="D132" s="37">
        <v>1</v>
      </c>
      <c r="E132" s="37"/>
      <c r="F132" s="37"/>
      <c r="G132" s="59" t="s">
        <v>2680</v>
      </c>
      <c r="H132" s="37" t="s">
        <v>2687</v>
      </c>
      <c r="I132" s="37">
        <v>112111</v>
      </c>
      <c r="J132" s="37">
        <v>5154</v>
      </c>
      <c r="K132" s="37" t="s">
        <v>20</v>
      </c>
      <c r="L132" s="37">
        <v>1</v>
      </c>
      <c r="M132" s="105">
        <v>469</v>
      </c>
      <c r="N132" s="105">
        <f t="shared" si="6"/>
        <v>469</v>
      </c>
      <c r="O132" s="38" t="s">
        <v>21</v>
      </c>
      <c r="P132" s="37">
        <f t="shared" si="7"/>
        <v>95</v>
      </c>
    </row>
    <row r="133" spans="1:16" x14ac:dyDescent="0.25">
      <c r="A133" s="37" t="s">
        <v>2678</v>
      </c>
      <c r="B133" s="107">
        <v>46000</v>
      </c>
      <c r="C133" s="37">
        <f t="shared" si="9"/>
        <v>250</v>
      </c>
      <c r="D133" s="37">
        <v>1</v>
      </c>
      <c r="E133" s="37"/>
      <c r="F133" s="37"/>
      <c r="G133" s="59" t="s">
        <v>43</v>
      </c>
      <c r="H133" s="37" t="s">
        <v>4898</v>
      </c>
      <c r="I133" s="37">
        <v>3383</v>
      </c>
      <c r="J133" s="37">
        <v>112111</v>
      </c>
      <c r="K133" s="37" t="s">
        <v>20</v>
      </c>
      <c r="L133" s="37">
        <v>1</v>
      </c>
      <c r="M133" s="105">
        <v>1380600</v>
      </c>
      <c r="N133" s="105">
        <f t="shared" si="6"/>
        <v>1380600</v>
      </c>
      <c r="O133" s="38" t="s">
        <v>21</v>
      </c>
      <c r="P133" s="37">
        <f t="shared" si="7"/>
        <v>96</v>
      </c>
    </row>
    <row r="134" spans="1:16" x14ac:dyDescent="0.25">
      <c r="A134" s="37" t="s">
        <v>2679</v>
      </c>
      <c r="B134" s="107">
        <v>46001</v>
      </c>
      <c r="C134" s="37">
        <f t="shared" si="9"/>
        <v>251</v>
      </c>
      <c r="D134" s="37">
        <v>1</v>
      </c>
      <c r="E134" s="37"/>
      <c r="F134" s="37"/>
      <c r="G134" s="59" t="s">
        <v>85</v>
      </c>
      <c r="H134" s="37" t="s">
        <v>4866</v>
      </c>
      <c r="I134" s="37">
        <v>112111</v>
      </c>
      <c r="J134" s="37">
        <v>131</v>
      </c>
      <c r="K134" s="37" t="s">
        <v>20</v>
      </c>
      <c r="L134" s="37">
        <v>1</v>
      </c>
      <c r="M134" s="105">
        <v>10645161</v>
      </c>
      <c r="N134" s="105">
        <f t="shared" si="6"/>
        <v>10645161</v>
      </c>
      <c r="O134" s="38" t="s">
        <v>21</v>
      </c>
      <c r="P134" s="37">
        <f t="shared" si="7"/>
        <v>97</v>
      </c>
    </row>
    <row r="135" spans="1:16" x14ac:dyDescent="0.25">
      <c r="A135" s="37" t="s">
        <v>2678</v>
      </c>
      <c r="B135" s="107">
        <v>46001</v>
      </c>
      <c r="C135" s="37">
        <f t="shared" si="9"/>
        <v>252</v>
      </c>
      <c r="D135" s="37">
        <v>1</v>
      </c>
      <c r="E135" s="37"/>
      <c r="F135" s="37"/>
      <c r="G135" s="59" t="s">
        <v>138</v>
      </c>
      <c r="H135" s="37" t="s">
        <v>3017</v>
      </c>
      <c r="I135" s="37">
        <v>1111</v>
      </c>
      <c r="J135" s="37">
        <v>112111</v>
      </c>
      <c r="K135" s="37" t="s">
        <v>20</v>
      </c>
      <c r="L135" s="37">
        <v>1</v>
      </c>
      <c r="M135" s="105">
        <v>77000000</v>
      </c>
      <c r="N135" s="105">
        <f t="shared" si="6"/>
        <v>77000000</v>
      </c>
      <c r="O135" s="38" t="s">
        <v>21</v>
      </c>
      <c r="P135" s="37">
        <f t="shared" si="7"/>
        <v>98</v>
      </c>
    </row>
    <row r="136" spans="1:16" x14ac:dyDescent="0.25">
      <c r="A136" s="37" t="s">
        <v>18</v>
      </c>
      <c r="B136" s="107">
        <v>46002</v>
      </c>
      <c r="C136" s="37">
        <f t="shared" ref="C136:C137" si="10">C135+D136</f>
        <v>253</v>
      </c>
      <c r="D136" s="37">
        <v>1</v>
      </c>
      <c r="E136" s="37"/>
      <c r="F136" s="37"/>
      <c r="G136" s="59" t="s">
        <v>3003</v>
      </c>
      <c r="H136" s="37" t="s">
        <v>3004</v>
      </c>
      <c r="I136" s="37">
        <v>131</v>
      </c>
      <c r="J136" s="37">
        <v>5118</v>
      </c>
      <c r="K136" s="37" t="s">
        <v>20</v>
      </c>
      <c r="L136" s="37">
        <v>1</v>
      </c>
      <c r="M136" s="105">
        <v>10999427</v>
      </c>
      <c r="N136" s="105">
        <f t="shared" si="6"/>
        <v>10999427</v>
      </c>
      <c r="O136" s="38" t="s">
        <v>21</v>
      </c>
      <c r="P136" s="37">
        <f t="shared" si="7"/>
        <v>99</v>
      </c>
    </row>
    <row r="137" spans="1:16" x14ac:dyDescent="0.25">
      <c r="A137" s="37" t="s">
        <v>2679</v>
      </c>
      <c r="B137" s="107">
        <v>46002</v>
      </c>
      <c r="C137" s="37">
        <f t="shared" si="10"/>
        <v>254</v>
      </c>
      <c r="D137" s="37">
        <v>1</v>
      </c>
      <c r="E137" s="37"/>
      <c r="F137" s="37"/>
      <c r="G137" s="59" t="s">
        <v>3003</v>
      </c>
      <c r="H137" s="37" t="s">
        <v>3005</v>
      </c>
      <c r="I137" s="37">
        <v>112111</v>
      </c>
      <c r="J137" s="37">
        <v>131</v>
      </c>
      <c r="K137" s="37" t="s">
        <v>20</v>
      </c>
      <c r="L137" s="37">
        <v>1</v>
      </c>
      <c r="M137" s="105">
        <v>10999427</v>
      </c>
      <c r="N137" s="105">
        <f t="shared" si="6"/>
        <v>10999427</v>
      </c>
      <c r="O137" s="38" t="s">
        <v>21</v>
      </c>
      <c r="P137" s="37">
        <f t="shared" si="7"/>
        <v>100</v>
      </c>
    </row>
    <row r="138" spans="1:16" x14ac:dyDescent="0.25">
      <c r="A138" s="37" t="s">
        <v>2678</v>
      </c>
      <c r="B138" s="107">
        <v>46002</v>
      </c>
      <c r="C138" s="37">
        <f t="shared" si="9"/>
        <v>255</v>
      </c>
      <c r="D138" s="37">
        <v>1</v>
      </c>
      <c r="E138" s="37"/>
      <c r="F138" s="37"/>
      <c r="G138" s="59" t="s">
        <v>138</v>
      </c>
      <c r="H138" s="37" t="s">
        <v>3017</v>
      </c>
      <c r="I138" s="37">
        <v>1111</v>
      </c>
      <c r="J138" s="37">
        <v>112111</v>
      </c>
      <c r="K138" s="37" t="s">
        <v>20</v>
      </c>
      <c r="L138" s="37">
        <v>1</v>
      </c>
      <c r="M138" s="105">
        <v>11000000</v>
      </c>
      <c r="N138" s="105">
        <f t="shared" si="6"/>
        <v>11000000</v>
      </c>
      <c r="O138" s="38" t="s">
        <v>21</v>
      </c>
      <c r="P138" s="37">
        <f t="shared" si="7"/>
        <v>101</v>
      </c>
    </row>
    <row r="139" spans="1:16" x14ac:dyDescent="0.25">
      <c r="A139" s="37" t="s">
        <v>2679</v>
      </c>
      <c r="B139" s="107">
        <v>46006</v>
      </c>
      <c r="C139" s="37">
        <f t="shared" si="9"/>
        <v>256</v>
      </c>
      <c r="D139" s="37">
        <v>1</v>
      </c>
      <c r="E139" s="37"/>
      <c r="F139" s="37"/>
      <c r="G139" s="59" t="s">
        <v>50</v>
      </c>
      <c r="H139" s="37" t="s">
        <v>4893</v>
      </c>
      <c r="I139" s="37">
        <v>112111</v>
      </c>
      <c r="J139" s="37">
        <v>131</v>
      </c>
      <c r="K139" s="37" t="s">
        <v>20</v>
      </c>
      <c r="L139" s="37">
        <v>1</v>
      </c>
      <c r="M139" s="105">
        <v>10645161</v>
      </c>
      <c r="N139" s="105">
        <f t="shared" si="6"/>
        <v>10645161</v>
      </c>
      <c r="O139" s="38" t="s">
        <v>21</v>
      </c>
      <c r="P139" s="37">
        <f t="shared" si="7"/>
        <v>102</v>
      </c>
    </row>
    <row r="140" spans="1:16" x14ac:dyDescent="0.25">
      <c r="A140" s="37" t="s">
        <v>2678</v>
      </c>
      <c r="B140" s="107">
        <v>46006</v>
      </c>
      <c r="C140" s="37">
        <f t="shared" si="9"/>
        <v>257</v>
      </c>
      <c r="D140" s="37">
        <v>1</v>
      </c>
      <c r="E140" s="37"/>
      <c r="F140" s="37"/>
      <c r="G140" s="59" t="s">
        <v>138</v>
      </c>
      <c r="H140" s="37" t="s">
        <v>3017</v>
      </c>
      <c r="I140" s="37">
        <v>1111</v>
      </c>
      <c r="J140" s="37">
        <v>112111</v>
      </c>
      <c r="K140" s="37" t="s">
        <v>20</v>
      </c>
      <c r="L140" s="37">
        <v>1</v>
      </c>
      <c r="M140" s="105">
        <v>10000000</v>
      </c>
      <c r="N140" s="105">
        <f t="shared" si="6"/>
        <v>10000000</v>
      </c>
      <c r="O140" s="38" t="s">
        <v>21</v>
      </c>
      <c r="P140" s="37">
        <f t="shared" si="7"/>
        <v>103</v>
      </c>
    </row>
    <row r="141" spans="1:16" x14ac:dyDescent="0.25">
      <c r="A141" s="37" t="s">
        <v>2679</v>
      </c>
      <c r="B141" s="107">
        <v>46007</v>
      </c>
      <c r="C141" s="37">
        <f t="shared" si="9"/>
        <v>258</v>
      </c>
      <c r="D141" s="37">
        <v>1</v>
      </c>
      <c r="E141" s="37"/>
      <c r="F141" s="37"/>
      <c r="G141" s="59" t="s">
        <v>66</v>
      </c>
      <c r="H141" s="37" t="s">
        <v>4894</v>
      </c>
      <c r="I141" s="37">
        <v>112111</v>
      </c>
      <c r="J141" s="37">
        <v>131</v>
      </c>
      <c r="K141" s="37" t="s">
        <v>20</v>
      </c>
      <c r="L141" s="37">
        <v>1</v>
      </c>
      <c r="M141" s="105">
        <v>10645161</v>
      </c>
      <c r="N141" s="105">
        <f t="shared" si="6"/>
        <v>10645161</v>
      </c>
      <c r="O141" s="38" t="s">
        <v>21</v>
      </c>
      <c r="P141" s="37">
        <f t="shared" si="7"/>
        <v>104</v>
      </c>
    </row>
    <row r="142" spans="1:16" x14ac:dyDescent="0.25">
      <c r="A142" s="37" t="s">
        <v>2679</v>
      </c>
      <c r="B142" s="107">
        <v>46009</v>
      </c>
      <c r="C142" s="37">
        <f t="shared" si="9"/>
        <v>259</v>
      </c>
      <c r="D142" s="37">
        <v>1</v>
      </c>
      <c r="E142" s="37"/>
      <c r="F142" s="37"/>
      <c r="G142" s="59" t="s">
        <v>2529</v>
      </c>
      <c r="H142" s="37" t="s">
        <v>3019</v>
      </c>
      <c r="I142" s="37">
        <v>112111</v>
      </c>
      <c r="J142" s="37">
        <v>131</v>
      </c>
      <c r="K142" s="37" t="s">
        <v>20</v>
      </c>
      <c r="L142" s="37">
        <v>1</v>
      </c>
      <c r="M142" s="105">
        <v>8000000</v>
      </c>
      <c r="N142" s="105">
        <f t="shared" si="6"/>
        <v>8000000</v>
      </c>
      <c r="O142" s="38" t="s">
        <v>21</v>
      </c>
      <c r="P142" s="37">
        <f t="shared" si="7"/>
        <v>105</v>
      </c>
    </row>
    <row r="143" spans="1:16" x14ac:dyDescent="0.25">
      <c r="A143" s="37" t="s">
        <v>2678</v>
      </c>
      <c r="B143" s="107">
        <v>46009</v>
      </c>
      <c r="C143" s="37">
        <f t="shared" si="9"/>
        <v>260</v>
      </c>
      <c r="D143" s="37">
        <v>1</v>
      </c>
      <c r="E143" s="37"/>
      <c r="F143" s="37"/>
      <c r="G143" s="59" t="s">
        <v>2529</v>
      </c>
      <c r="H143" s="37" t="s">
        <v>3428</v>
      </c>
      <c r="I143" s="37">
        <v>131</v>
      </c>
      <c r="J143" s="37">
        <v>112111</v>
      </c>
      <c r="K143" s="37" t="s">
        <v>20</v>
      </c>
      <c r="L143" s="37">
        <v>1</v>
      </c>
      <c r="M143" s="105">
        <v>8000000</v>
      </c>
      <c r="N143" s="105">
        <f t="shared" si="6"/>
        <v>8000000</v>
      </c>
      <c r="O143" s="38" t="s">
        <v>21</v>
      </c>
      <c r="P143" s="37">
        <f t="shared" si="7"/>
        <v>106</v>
      </c>
    </row>
    <row r="144" spans="1:16" x14ac:dyDescent="0.25">
      <c r="A144" s="37" t="s">
        <v>2678</v>
      </c>
      <c r="B144" s="107">
        <v>46010</v>
      </c>
      <c r="C144" s="37">
        <f t="shared" si="9"/>
        <v>261</v>
      </c>
      <c r="D144" s="37">
        <v>1</v>
      </c>
      <c r="E144" s="37"/>
      <c r="F144" s="37"/>
      <c r="G144" s="59" t="s">
        <v>289</v>
      </c>
      <c r="H144" s="37" t="s">
        <v>4908</v>
      </c>
      <c r="I144" s="37">
        <v>131</v>
      </c>
      <c r="J144" s="37">
        <v>112111</v>
      </c>
      <c r="K144" s="37" t="s">
        <v>20</v>
      </c>
      <c r="L144" s="37">
        <v>1</v>
      </c>
      <c r="M144" s="105">
        <v>65806</v>
      </c>
      <c r="N144" s="105">
        <f t="shared" si="6"/>
        <v>65806</v>
      </c>
      <c r="O144" s="38" t="s">
        <v>21</v>
      </c>
      <c r="P144" s="37">
        <f t="shared" si="7"/>
        <v>107</v>
      </c>
    </row>
    <row r="145" spans="1:16" x14ac:dyDescent="0.25">
      <c r="A145" s="37" t="s">
        <v>2679</v>
      </c>
      <c r="B145" s="107">
        <v>46015</v>
      </c>
      <c r="C145" s="37">
        <f t="shared" si="9"/>
        <v>262</v>
      </c>
      <c r="D145" s="37">
        <v>1</v>
      </c>
      <c r="E145" s="37"/>
      <c r="F145" s="37"/>
      <c r="G145" s="59" t="s">
        <v>66</v>
      </c>
      <c r="H145" s="37" t="s">
        <v>4895</v>
      </c>
      <c r="I145" s="37">
        <v>112111</v>
      </c>
      <c r="J145" s="37">
        <v>131</v>
      </c>
      <c r="K145" s="37" t="s">
        <v>20</v>
      </c>
      <c r="L145" s="37">
        <v>1</v>
      </c>
      <c r="M145" s="105">
        <v>10645161</v>
      </c>
      <c r="N145" s="105">
        <f t="shared" si="6"/>
        <v>10645161</v>
      </c>
      <c r="O145" s="38" t="s">
        <v>21</v>
      </c>
      <c r="P145" s="37">
        <f t="shared" si="7"/>
        <v>108</v>
      </c>
    </row>
    <row r="146" spans="1:16" x14ac:dyDescent="0.25">
      <c r="A146" s="37" t="s">
        <v>2679</v>
      </c>
      <c r="B146" s="107">
        <v>46017</v>
      </c>
      <c r="C146" s="37">
        <f t="shared" si="9"/>
        <v>263</v>
      </c>
      <c r="D146" s="37">
        <v>1</v>
      </c>
      <c r="E146" s="37"/>
      <c r="F146" s="37"/>
      <c r="G146" s="59" t="s">
        <v>59</v>
      </c>
      <c r="H146" s="37" t="s">
        <v>4897</v>
      </c>
      <c r="I146" s="37">
        <v>112111</v>
      </c>
      <c r="J146" s="37">
        <v>131</v>
      </c>
      <c r="K146" s="37" t="s">
        <v>20</v>
      </c>
      <c r="L146" s="37">
        <v>1</v>
      </c>
      <c r="M146" s="105">
        <v>10645161</v>
      </c>
      <c r="N146" s="105">
        <f t="shared" si="6"/>
        <v>10645161</v>
      </c>
      <c r="O146" s="38" t="s">
        <v>21</v>
      </c>
      <c r="P146" s="37">
        <f t="shared" si="7"/>
        <v>109</v>
      </c>
    </row>
    <row r="147" spans="1:16" x14ac:dyDescent="0.25">
      <c r="A147" s="37" t="s">
        <v>2678</v>
      </c>
      <c r="B147" s="107">
        <v>46018</v>
      </c>
      <c r="C147" s="37">
        <f t="shared" si="9"/>
        <v>264</v>
      </c>
      <c r="D147" s="37">
        <v>1</v>
      </c>
      <c r="E147" s="37"/>
      <c r="F147" s="37"/>
      <c r="G147" s="59" t="s">
        <v>138</v>
      </c>
      <c r="H147" s="37" t="s">
        <v>3017</v>
      </c>
      <c r="I147" s="37">
        <v>1111</v>
      </c>
      <c r="J147" s="37">
        <v>112111</v>
      </c>
      <c r="K147" s="37" t="s">
        <v>20</v>
      </c>
      <c r="L147" s="37">
        <v>1</v>
      </c>
      <c r="M147" s="105">
        <v>33000000</v>
      </c>
      <c r="N147" s="105">
        <f t="shared" si="6"/>
        <v>33000000</v>
      </c>
      <c r="O147" s="38" t="s">
        <v>21</v>
      </c>
      <c r="P147" s="37">
        <f t="shared" si="7"/>
        <v>110</v>
      </c>
    </row>
    <row r="148" spans="1:16" x14ac:dyDescent="0.25">
      <c r="A148" s="37" t="s">
        <v>2679</v>
      </c>
      <c r="B148" s="107">
        <v>45985</v>
      </c>
      <c r="C148" s="37">
        <f t="shared" si="9"/>
        <v>265</v>
      </c>
      <c r="D148" s="37">
        <v>1</v>
      </c>
      <c r="E148" s="37"/>
      <c r="F148" s="37"/>
      <c r="G148" s="59" t="s">
        <v>2528</v>
      </c>
      <c r="H148" s="37" t="s">
        <v>4915</v>
      </c>
      <c r="I148" s="37">
        <v>112121</v>
      </c>
      <c r="J148" s="37">
        <v>131</v>
      </c>
      <c r="K148" s="37" t="s">
        <v>20</v>
      </c>
      <c r="L148" s="37">
        <v>1</v>
      </c>
      <c r="M148" s="105">
        <v>10645161</v>
      </c>
      <c r="N148" s="105">
        <f t="shared" si="6"/>
        <v>10645161</v>
      </c>
      <c r="O148" s="38" t="s">
        <v>21</v>
      </c>
      <c r="P148" s="37">
        <f t="shared" si="7"/>
        <v>111</v>
      </c>
    </row>
    <row r="149" spans="1:16" x14ac:dyDescent="0.25">
      <c r="A149" s="37" t="s">
        <v>2679</v>
      </c>
      <c r="B149" s="107">
        <v>45986</v>
      </c>
      <c r="C149" s="37">
        <f t="shared" si="9"/>
        <v>266</v>
      </c>
      <c r="D149" s="37">
        <v>1</v>
      </c>
      <c r="E149" s="37"/>
      <c r="F149" s="37"/>
      <c r="G149" s="59" t="s">
        <v>118</v>
      </c>
      <c r="H149" s="37" t="s">
        <v>4907</v>
      </c>
      <c r="I149" s="37">
        <v>112121</v>
      </c>
      <c r="J149" s="37">
        <v>131</v>
      </c>
      <c r="K149" s="37" t="s">
        <v>20</v>
      </c>
      <c r="L149" s="37">
        <v>1</v>
      </c>
      <c r="M149" s="105">
        <v>10645161</v>
      </c>
      <c r="N149" s="105">
        <f t="shared" si="6"/>
        <v>10645161</v>
      </c>
      <c r="O149" s="38" t="s">
        <v>21</v>
      </c>
      <c r="P149" s="37">
        <f t="shared" si="7"/>
        <v>112</v>
      </c>
    </row>
    <row r="150" spans="1:16" x14ac:dyDescent="0.25">
      <c r="A150" s="37" t="s">
        <v>2679</v>
      </c>
      <c r="B150" s="107">
        <v>45986</v>
      </c>
      <c r="C150" s="37">
        <f t="shared" si="9"/>
        <v>267</v>
      </c>
      <c r="D150" s="37">
        <v>1</v>
      </c>
      <c r="E150" s="37"/>
      <c r="F150" s="37"/>
      <c r="G150" s="59" t="s">
        <v>472</v>
      </c>
      <c r="H150" s="37" t="s">
        <v>4906</v>
      </c>
      <c r="I150" s="37">
        <v>112121</v>
      </c>
      <c r="J150" s="37">
        <v>131</v>
      </c>
      <c r="K150" s="37" t="s">
        <v>20</v>
      </c>
      <c r="L150" s="37">
        <v>1</v>
      </c>
      <c r="M150" s="105">
        <v>18096774</v>
      </c>
      <c r="N150" s="105">
        <f t="shared" si="6"/>
        <v>18096774</v>
      </c>
      <c r="O150" s="38" t="s">
        <v>21</v>
      </c>
      <c r="P150" s="37">
        <f t="shared" si="7"/>
        <v>113</v>
      </c>
    </row>
    <row r="151" spans="1:16" x14ac:dyDescent="0.25">
      <c r="A151" s="37" t="s">
        <v>2679</v>
      </c>
      <c r="B151" s="107">
        <v>45987</v>
      </c>
      <c r="C151" s="37">
        <f t="shared" si="9"/>
        <v>268</v>
      </c>
      <c r="D151" s="37">
        <v>1</v>
      </c>
      <c r="E151" s="37"/>
      <c r="F151" s="37"/>
      <c r="G151" s="59" t="s">
        <v>3263</v>
      </c>
      <c r="H151" s="37" t="s">
        <v>2687</v>
      </c>
      <c r="I151" s="37">
        <v>112121</v>
      </c>
      <c r="J151" s="37">
        <v>5154</v>
      </c>
      <c r="K151" s="37" t="s">
        <v>20</v>
      </c>
      <c r="L151" s="37">
        <v>1</v>
      </c>
      <c r="M151" s="105">
        <v>685</v>
      </c>
      <c r="N151" s="105">
        <f t="shared" si="6"/>
        <v>685</v>
      </c>
      <c r="O151" s="38" t="s">
        <v>21</v>
      </c>
      <c r="P151" s="37">
        <f t="shared" si="7"/>
        <v>114</v>
      </c>
    </row>
    <row r="152" spans="1:16" x14ac:dyDescent="0.25">
      <c r="A152" s="37" t="s">
        <v>2679</v>
      </c>
      <c r="B152" s="107">
        <v>45989</v>
      </c>
      <c r="C152" s="37">
        <f t="shared" si="9"/>
        <v>269</v>
      </c>
      <c r="D152" s="37">
        <v>1</v>
      </c>
      <c r="E152" s="37"/>
      <c r="F152" s="37"/>
      <c r="G152" s="59" t="s">
        <v>45</v>
      </c>
      <c r="H152" s="37" t="s">
        <v>4917</v>
      </c>
      <c r="I152" s="37">
        <v>112121</v>
      </c>
      <c r="J152" s="37">
        <v>131</v>
      </c>
      <c r="K152" s="37" t="s">
        <v>20</v>
      </c>
      <c r="L152" s="37">
        <v>1</v>
      </c>
      <c r="M152" s="105">
        <v>8480000</v>
      </c>
      <c r="N152" s="105">
        <f t="shared" si="6"/>
        <v>8480000</v>
      </c>
      <c r="O152" s="38" t="s">
        <v>21</v>
      </c>
      <c r="P152" s="37">
        <f t="shared" si="7"/>
        <v>115</v>
      </c>
    </row>
    <row r="153" spans="1:16" x14ac:dyDescent="0.25">
      <c r="A153" s="37" t="s">
        <v>2679</v>
      </c>
      <c r="B153" s="107">
        <v>46000</v>
      </c>
      <c r="C153" s="37">
        <f t="shared" si="9"/>
        <v>270</v>
      </c>
      <c r="D153" s="37">
        <v>1</v>
      </c>
      <c r="E153" s="37"/>
      <c r="F153" s="37"/>
      <c r="G153" s="59" t="s">
        <v>2527</v>
      </c>
      <c r="H153" s="37" t="s">
        <v>4909</v>
      </c>
      <c r="I153" s="37">
        <v>112121</v>
      </c>
      <c r="J153" s="37">
        <v>131</v>
      </c>
      <c r="K153" s="37" t="s">
        <v>20</v>
      </c>
      <c r="L153" s="37">
        <v>1</v>
      </c>
      <c r="M153" s="105">
        <v>10600000</v>
      </c>
      <c r="N153" s="105">
        <f t="shared" si="6"/>
        <v>10600000</v>
      </c>
      <c r="O153" s="38" t="s">
        <v>21</v>
      </c>
      <c r="P153" s="37">
        <f t="shared" si="7"/>
        <v>116</v>
      </c>
    </row>
    <row r="154" spans="1:16" x14ac:dyDescent="0.25">
      <c r="A154" s="37" t="s">
        <v>2678</v>
      </c>
      <c r="B154" s="107">
        <v>46002</v>
      </c>
      <c r="C154" s="37">
        <f t="shared" si="9"/>
        <v>271</v>
      </c>
      <c r="D154" s="37">
        <v>1</v>
      </c>
      <c r="E154" s="37"/>
      <c r="F154" s="37"/>
      <c r="G154" s="59" t="s">
        <v>138</v>
      </c>
      <c r="H154" s="37" t="s">
        <v>3017</v>
      </c>
      <c r="I154" s="37">
        <v>1111</v>
      </c>
      <c r="J154" s="37">
        <v>112121</v>
      </c>
      <c r="K154" s="37" t="s">
        <v>20</v>
      </c>
      <c r="L154" s="37">
        <v>1</v>
      </c>
      <c r="M154" s="105">
        <v>58000000</v>
      </c>
      <c r="N154" s="105">
        <f t="shared" ref="N154:N192" si="11">L154*M154</f>
        <v>58000000</v>
      </c>
      <c r="O154" s="38" t="s">
        <v>21</v>
      </c>
      <c r="P154" s="37">
        <f t="shared" si="7"/>
        <v>117</v>
      </c>
    </row>
    <row r="155" spans="1:16" x14ac:dyDescent="0.25">
      <c r="A155" s="37" t="s">
        <v>2679</v>
      </c>
      <c r="B155" s="107">
        <v>46003</v>
      </c>
      <c r="C155" s="37">
        <f t="shared" si="9"/>
        <v>272</v>
      </c>
      <c r="D155" s="37">
        <v>1</v>
      </c>
      <c r="E155" s="37"/>
      <c r="F155" s="37"/>
      <c r="G155" s="59" t="s">
        <v>2056</v>
      </c>
      <c r="H155" s="37" t="s">
        <v>4905</v>
      </c>
      <c r="I155" s="37">
        <v>112121</v>
      </c>
      <c r="J155" s="37">
        <v>131</v>
      </c>
      <c r="K155" s="37" t="s">
        <v>20</v>
      </c>
      <c r="L155" s="37">
        <v>1</v>
      </c>
      <c r="M155" s="105">
        <v>10645161</v>
      </c>
      <c r="N155" s="105">
        <f t="shared" si="11"/>
        <v>10645161</v>
      </c>
      <c r="O155" s="38" t="s">
        <v>21</v>
      </c>
      <c r="P155" s="37">
        <f t="shared" si="7"/>
        <v>118</v>
      </c>
    </row>
    <row r="156" spans="1:16" x14ac:dyDescent="0.25">
      <c r="A156" s="37" t="s">
        <v>2678</v>
      </c>
      <c r="B156" s="107">
        <v>46004</v>
      </c>
      <c r="C156" s="37">
        <f t="shared" si="9"/>
        <v>273</v>
      </c>
      <c r="D156" s="37">
        <v>1</v>
      </c>
      <c r="E156" s="37"/>
      <c r="F156" s="37"/>
      <c r="G156" s="59" t="s">
        <v>138</v>
      </c>
      <c r="H156" s="37" t="s">
        <v>3017</v>
      </c>
      <c r="I156" s="37">
        <v>1111</v>
      </c>
      <c r="J156" s="37">
        <v>112121</v>
      </c>
      <c r="K156" s="37" t="s">
        <v>20</v>
      </c>
      <c r="L156" s="37">
        <v>1</v>
      </c>
      <c r="M156" s="105">
        <v>10000000</v>
      </c>
      <c r="N156" s="105">
        <f t="shared" si="11"/>
        <v>10000000</v>
      </c>
      <c r="O156" s="38" t="s">
        <v>21</v>
      </c>
      <c r="P156" s="37">
        <f t="shared" ref="P156:P192" si="12">P155+D156</f>
        <v>119</v>
      </c>
    </row>
    <row r="157" spans="1:16" x14ac:dyDescent="0.25">
      <c r="A157" s="37" t="s">
        <v>2679</v>
      </c>
      <c r="B157" s="107">
        <v>46007</v>
      </c>
      <c r="C157" s="37">
        <f t="shared" si="9"/>
        <v>274</v>
      </c>
      <c r="D157" s="37">
        <v>1</v>
      </c>
      <c r="E157" s="37"/>
      <c r="F157" s="37"/>
      <c r="G157" s="59" t="s">
        <v>66</v>
      </c>
      <c r="H157" s="37" t="s">
        <v>4895</v>
      </c>
      <c r="I157" s="37">
        <v>112121</v>
      </c>
      <c r="J157" s="37">
        <v>131</v>
      </c>
      <c r="K157" s="37" t="s">
        <v>20</v>
      </c>
      <c r="L157" s="37">
        <v>1</v>
      </c>
      <c r="M157" s="105">
        <v>6387097</v>
      </c>
      <c r="N157" s="105">
        <f t="shared" si="11"/>
        <v>6387097</v>
      </c>
      <c r="O157" s="38" t="s">
        <v>21</v>
      </c>
      <c r="P157" s="37">
        <f t="shared" si="12"/>
        <v>120</v>
      </c>
    </row>
    <row r="158" spans="1:16" x14ac:dyDescent="0.25">
      <c r="A158" s="37" t="s">
        <v>2679</v>
      </c>
      <c r="B158" s="107">
        <v>46007</v>
      </c>
      <c r="C158" s="37">
        <f t="shared" si="9"/>
        <v>275</v>
      </c>
      <c r="D158" s="37">
        <v>1</v>
      </c>
      <c r="E158" s="37"/>
      <c r="F158" s="37"/>
      <c r="G158" s="59" t="s">
        <v>66</v>
      </c>
      <c r="H158" s="37" t="s">
        <v>4904</v>
      </c>
      <c r="I158" s="37">
        <v>112121</v>
      </c>
      <c r="J158" s="37">
        <v>131</v>
      </c>
      <c r="K158" s="37" t="s">
        <v>20</v>
      </c>
      <c r="L158" s="37">
        <v>1</v>
      </c>
      <c r="M158" s="105">
        <v>19161290</v>
      </c>
      <c r="N158" s="105">
        <f t="shared" si="11"/>
        <v>19161290</v>
      </c>
      <c r="O158" s="38" t="s">
        <v>21</v>
      </c>
      <c r="P158" s="37">
        <f t="shared" si="12"/>
        <v>121</v>
      </c>
    </row>
    <row r="159" spans="1:16" x14ac:dyDescent="0.25">
      <c r="A159" s="37" t="s">
        <v>2678</v>
      </c>
      <c r="B159" s="107">
        <v>46008</v>
      </c>
      <c r="C159" s="37">
        <f t="shared" si="9"/>
        <v>276</v>
      </c>
      <c r="D159" s="37">
        <v>1</v>
      </c>
      <c r="E159" s="37"/>
      <c r="F159" s="37"/>
      <c r="G159" s="59" t="s">
        <v>3263</v>
      </c>
      <c r="H159" s="37" t="s">
        <v>3094</v>
      </c>
      <c r="I159" s="37">
        <v>6425</v>
      </c>
      <c r="J159" s="37">
        <v>112121</v>
      </c>
      <c r="K159" s="37" t="s">
        <v>20</v>
      </c>
      <c r="L159" s="37">
        <v>1</v>
      </c>
      <c r="M159" s="105">
        <v>3300</v>
      </c>
      <c r="N159" s="105">
        <f t="shared" si="11"/>
        <v>3300</v>
      </c>
      <c r="O159" s="38" t="s">
        <v>21</v>
      </c>
      <c r="P159" s="37">
        <f t="shared" si="12"/>
        <v>122</v>
      </c>
    </row>
    <row r="160" spans="1:16" x14ac:dyDescent="0.25">
      <c r="A160" s="37" t="s">
        <v>2679</v>
      </c>
      <c r="B160" s="107">
        <v>46009</v>
      </c>
      <c r="C160" s="37">
        <f t="shared" si="9"/>
        <v>277</v>
      </c>
      <c r="D160" s="37">
        <v>1</v>
      </c>
      <c r="E160" s="37"/>
      <c r="F160" s="37"/>
      <c r="G160" s="59" t="s">
        <v>2529</v>
      </c>
      <c r="H160" s="37" t="s">
        <v>4903</v>
      </c>
      <c r="I160" s="37">
        <v>112121</v>
      </c>
      <c r="J160" s="37">
        <v>131</v>
      </c>
      <c r="K160" s="37" t="s">
        <v>20</v>
      </c>
      <c r="L160" s="37">
        <v>1</v>
      </c>
      <c r="M160" s="105">
        <v>8516129</v>
      </c>
      <c r="N160" s="105">
        <f t="shared" si="11"/>
        <v>8516129</v>
      </c>
      <c r="O160" s="38" t="s">
        <v>21</v>
      </c>
      <c r="P160" s="37">
        <f t="shared" si="12"/>
        <v>123</v>
      </c>
    </row>
    <row r="161" spans="1:16" x14ac:dyDescent="0.25">
      <c r="A161" s="37" t="s">
        <v>2679</v>
      </c>
      <c r="B161" s="107">
        <v>46009</v>
      </c>
      <c r="C161" s="37">
        <f t="shared" si="9"/>
        <v>278</v>
      </c>
      <c r="D161" s="37">
        <v>1</v>
      </c>
      <c r="E161" s="37"/>
      <c r="F161" s="37"/>
      <c r="G161" s="59" t="s">
        <v>59</v>
      </c>
      <c r="H161" s="37" t="s">
        <v>4897</v>
      </c>
      <c r="I161" s="37">
        <v>112121</v>
      </c>
      <c r="J161" s="37">
        <v>131</v>
      </c>
      <c r="K161" s="37" t="s">
        <v>20</v>
      </c>
      <c r="L161" s="37">
        <v>1</v>
      </c>
      <c r="M161" s="105">
        <v>10645161</v>
      </c>
      <c r="N161" s="105">
        <f t="shared" si="11"/>
        <v>10645161</v>
      </c>
      <c r="O161" s="38" t="s">
        <v>21</v>
      </c>
      <c r="P161" s="37">
        <f t="shared" si="12"/>
        <v>124</v>
      </c>
    </row>
    <row r="162" spans="1:16" x14ac:dyDescent="0.25">
      <c r="A162" s="37" t="s">
        <v>2679</v>
      </c>
      <c r="B162" s="107">
        <v>46014</v>
      </c>
      <c r="C162" s="37">
        <f t="shared" si="9"/>
        <v>279</v>
      </c>
      <c r="D162" s="37">
        <v>1</v>
      </c>
      <c r="E162" s="37"/>
      <c r="F162" s="37"/>
      <c r="G162" s="59" t="s">
        <v>2393</v>
      </c>
      <c r="H162" s="37" t="s">
        <v>4914</v>
      </c>
      <c r="I162" s="37">
        <v>112121</v>
      </c>
      <c r="J162" s="37">
        <v>131</v>
      </c>
      <c r="K162" s="37" t="s">
        <v>20</v>
      </c>
      <c r="L162" s="37">
        <v>1</v>
      </c>
      <c r="M162" s="105">
        <v>10645161</v>
      </c>
      <c r="N162" s="105">
        <f t="shared" si="11"/>
        <v>10645161</v>
      </c>
      <c r="O162" s="38" t="s">
        <v>21</v>
      </c>
      <c r="P162" s="37">
        <f t="shared" si="12"/>
        <v>125</v>
      </c>
    </row>
    <row r="163" spans="1:16" x14ac:dyDescent="0.25">
      <c r="A163" s="37" t="s">
        <v>2679</v>
      </c>
      <c r="B163" s="107">
        <v>46015</v>
      </c>
      <c r="C163" s="37">
        <f t="shared" si="9"/>
        <v>280</v>
      </c>
      <c r="D163" s="37">
        <v>1</v>
      </c>
      <c r="E163" s="37"/>
      <c r="F163" s="37"/>
      <c r="G163" s="59" t="s">
        <v>59</v>
      </c>
      <c r="H163" s="37" t="s">
        <v>4902</v>
      </c>
      <c r="I163" s="37">
        <v>112121</v>
      </c>
      <c r="J163" s="37">
        <v>131</v>
      </c>
      <c r="K163" s="37" t="s">
        <v>20</v>
      </c>
      <c r="L163" s="37">
        <v>1</v>
      </c>
      <c r="M163" s="105">
        <v>6387097</v>
      </c>
      <c r="N163" s="105">
        <f t="shared" si="11"/>
        <v>6387097</v>
      </c>
      <c r="O163" s="38" t="s">
        <v>21</v>
      </c>
      <c r="P163" s="37">
        <f t="shared" si="12"/>
        <v>126</v>
      </c>
    </row>
    <row r="164" spans="1:16" x14ac:dyDescent="0.25">
      <c r="A164" s="37" t="s">
        <v>2679</v>
      </c>
      <c r="B164" s="107">
        <v>46015</v>
      </c>
      <c r="C164" s="37">
        <f t="shared" si="9"/>
        <v>281</v>
      </c>
      <c r="D164" s="37">
        <v>1</v>
      </c>
      <c r="E164" s="37"/>
      <c r="F164" s="37"/>
      <c r="G164" s="59" t="s">
        <v>45</v>
      </c>
      <c r="H164" s="37" t="s">
        <v>4917</v>
      </c>
      <c r="I164" s="37">
        <v>112121</v>
      </c>
      <c r="J164" s="37">
        <v>131</v>
      </c>
      <c r="K164" s="37" t="s">
        <v>20</v>
      </c>
      <c r="L164" s="37">
        <v>1</v>
      </c>
      <c r="M164" s="105">
        <v>10645161</v>
      </c>
      <c r="N164" s="105">
        <f t="shared" si="11"/>
        <v>10645161</v>
      </c>
      <c r="O164" s="38" t="s">
        <v>21</v>
      </c>
      <c r="P164" s="37">
        <f t="shared" si="12"/>
        <v>127</v>
      </c>
    </row>
    <row r="165" spans="1:16" x14ac:dyDescent="0.25">
      <c r="A165" s="37" t="s">
        <v>2679</v>
      </c>
      <c r="B165" s="107">
        <v>46017</v>
      </c>
      <c r="C165" s="37">
        <f t="shared" si="9"/>
        <v>282</v>
      </c>
      <c r="D165" s="37">
        <v>1</v>
      </c>
      <c r="E165" s="37"/>
      <c r="F165" s="37"/>
      <c r="G165" s="59" t="s">
        <v>3263</v>
      </c>
      <c r="H165" s="37" t="s">
        <v>2687</v>
      </c>
      <c r="I165" s="37">
        <v>112121</v>
      </c>
      <c r="J165" s="37">
        <v>5154</v>
      </c>
      <c r="K165" s="37" t="s">
        <v>20</v>
      </c>
      <c r="L165" s="37">
        <v>1</v>
      </c>
      <c r="M165" s="105">
        <v>16754</v>
      </c>
      <c r="N165" s="105">
        <f t="shared" si="11"/>
        <v>16754</v>
      </c>
      <c r="O165" s="38" t="s">
        <v>21</v>
      </c>
      <c r="P165" s="37">
        <f t="shared" si="12"/>
        <v>128</v>
      </c>
    </row>
    <row r="166" spans="1:16" x14ac:dyDescent="0.25">
      <c r="A166" s="37" t="s">
        <v>2678</v>
      </c>
      <c r="B166" s="107">
        <v>46018</v>
      </c>
      <c r="C166" s="37">
        <f t="shared" si="9"/>
        <v>283</v>
      </c>
      <c r="D166" s="37">
        <v>1</v>
      </c>
      <c r="E166" s="37"/>
      <c r="F166" s="37"/>
      <c r="G166" s="59" t="s">
        <v>138</v>
      </c>
      <c r="H166" s="37" t="s">
        <v>3017</v>
      </c>
      <c r="I166" s="37">
        <v>1111</v>
      </c>
      <c r="J166" s="37">
        <v>112121</v>
      </c>
      <c r="K166" s="37" t="s">
        <v>20</v>
      </c>
      <c r="L166" s="37">
        <v>1</v>
      </c>
      <c r="M166" s="105">
        <v>68000000</v>
      </c>
      <c r="N166" s="105">
        <f t="shared" si="11"/>
        <v>68000000</v>
      </c>
      <c r="O166" s="38" t="s">
        <v>21</v>
      </c>
      <c r="P166" s="37">
        <f t="shared" si="12"/>
        <v>129</v>
      </c>
    </row>
    <row r="167" spans="1:16" x14ac:dyDescent="0.25">
      <c r="A167" s="37" t="s">
        <v>2678</v>
      </c>
      <c r="B167" s="107">
        <v>46018</v>
      </c>
      <c r="C167" s="37">
        <f t="shared" si="9"/>
        <v>284</v>
      </c>
      <c r="D167" s="37">
        <v>1</v>
      </c>
      <c r="E167" s="37"/>
      <c r="F167" s="37"/>
      <c r="G167" s="59" t="s">
        <v>138</v>
      </c>
      <c r="H167" s="37" t="s">
        <v>3017</v>
      </c>
      <c r="I167" s="37">
        <v>1111</v>
      </c>
      <c r="J167" s="37">
        <v>112121</v>
      </c>
      <c r="K167" s="37" t="s">
        <v>20</v>
      </c>
      <c r="L167" s="37">
        <v>1</v>
      </c>
      <c r="M167" s="105">
        <v>5000000</v>
      </c>
      <c r="N167" s="105">
        <f t="shared" si="11"/>
        <v>5000000</v>
      </c>
      <c r="O167" s="38" t="s">
        <v>21</v>
      </c>
      <c r="P167" s="37">
        <f t="shared" si="12"/>
        <v>130</v>
      </c>
    </row>
    <row r="168" spans="1:16" x14ac:dyDescent="0.25">
      <c r="A168" s="37" t="s">
        <v>2679</v>
      </c>
      <c r="B168" s="107">
        <v>46021</v>
      </c>
      <c r="C168" s="37">
        <f t="shared" si="9"/>
        <v>285</v>
      </c>
      <c r="D168" s="37">
        <v>1</v>
      </c>
      <c r="E168" s="37"/>
      <c r="F168" s="37"/>
      <c r="G168" s="59" t="s">
        <v>45</v>
      </c>
      <c r="H168" s="37" t="s">
        <v>3019</v>
      </c>
      <c r="I168" s="37">
        <v>112121</v>
      </c>
      <c r="J168" s="37">
        <v>3388</v>
      </c>
      <c r="K168" s="37" t="s">
        <v>20</v>
      </c>
      <c r="L168" s="37">
        <v>1</v>
      </c>
      <c r="M168" s="105">
        <v>10645161</v>
      </c>
      <c r="N168" s="105">
        <f t="shared" si="11"/>
        <v>10645161</v>
      </c>
      <c r="O168" s="38" t="s">
        <v>21</v>
      </c>
      <c r="P168" s="37">
        <f t="shared" si="12"/>
        <v>131</v>
      </c>
    </row>
    <row r="169" spans="1:16" x14ac:dyDescent="0.25">
      <c r="A169" s="37" t="s">
        <v>2678</v>
      </c>
      <c r="B169" s="107">
        <v>46021</v>
      </c>
      <c r="C169" s="37">
        <f t="shared" si="9"/>
        <v>286</v>
      </c>
      <c r="D169" s="37">
        <v>1</v>
      </c>
      <c r="E169" s="37"/>
      <c r="F169" s="37"/>
      <c r="G169" s="59" t="s">
        <v>45</v>
      </c>
      <c r="H169" s="37" t="s">
        <v>3428</v>
      </c>
      <c r="I169" s="37">
        <v>3388</v>
      </c>
      <c r="J169" s="37">
        <v>112121</v>
      </c>
      <c r="K169" s="37" t="s">
        <v>20</v>
      </c>
      <c r="L169" s="37">
        <v>1</v>
      </c>
      <c r="M169" s="105">
        <v>10645161</v>
      </c>
      <c r="N169" s="105">
        <f t="shared" si="11"/>
        <v>10645161</v>
      </c>
      <c r="O169" s="38" t="s">
        <v>21</v>
      </c>
      <c r="P169" s="37">
        <f t="shared" si="12"/>
        <v>132</v>
      </c>
    </row>
    <row r="170" spans="1:16" x14ac:dyDescent="0.25">
      <c r="A170" s="37" t="s">
        <v>2679</v>
      </c>
      <c r="B170" s="107">
        <v>46022</v>
      </c>
      <c r="C170" s="37">
        <f t="shared" si="9"/>
        <v>287</v>
      </c>
      <c r="D170" s="37">
        <v>1</v>
      </c>
      <c r="E170" s="37"/>
      <c r="F170" s="37"/>
      <c r="G170" s="59" t="s">
        <v>82</v>
      </c>
      <c r="H170" s="37" t="s">
        <v>4901</v>
      </c>
      <c r="I170" s="37">
        <v>112121</v>
      </c>
      <c r="J170" s="37">
        <v>131</v>
      </c>
      <c r="K170" s="37" t="s">
        <v>20</v>
      </c>
      <c r="L170" s="37">
        <v>1</v>
      </c>
      <c r="M170" s="105">
        <v>10645161</v>
      </c>
      <c r="N170" s="105">
        <f t="shared" si="11"/>
        <v>10645161</v>
      </c>
      <c r="O170" s="38" t="s">
        <v>21</v>
      </c>
      <c r="P170" s="37">
        <f t="shared" si="12"/>
        <v>133</v>
      </c>
    </row>
    <row r="171" spans="1:16" x14ac:dyDescent="0.25">
      <c r="A171" s="37" t="s">
        <v>2719</v>
      </c>
      <c r="B171" s="107" t="s">
        <v>308</v>
      </c>
      <c r="C171" s="37">
        <f t="shared" si="9"/>
        <v>288</v>
      </c>
      <c r="D171" s="37">
        <v>1</v>
      </c>
      <c r="E171" s="37"/>
      <c r="F171" s="37"/>
      <c r="G171" s="59" t="s">
        <v>24</v>
      </c>
      <c r="H171" s="37" t="s">
        <v>4918</v>
      </c>
      <c r="I171" s="37">
        <v>331</v>
      </c>
      <c r="J171" s="37">
        <v>1111</v>
      </c>
      <c r="K171" s="37" t="s">
        <v>20</v>
      </c>
      <c r="L171" s="37">
        <v>1</v>
      </c>
      <c r="M171" s="105">
        <v>186000</v>
      </c>
      <c r="N171" s="105">
        <f t="shared" si="11"/>
        <v>186000</v>
      </c>
      <c r="O171" s="38" t="s">
        <v>21</v>
      </c>
      <c r="P171" s="37">
        <f t="shared" si="12"/>
        <v>134</v>
      </c>
    </row>
    <row r="172" spans="1:16" x14ac:dyDescent="0.25">
      <c r="A172" s="37" t="s">
        <v>2719</v>
      </c>
      <c r="B172" s="107" t="s">
        <v>308</v>
      </c>
      <c r="C172" s="37">
        <f t="shared" si="9"/>
        <v>289</v>
      </c>
      <c r="D172" s="37">
        <v>1</v>
      </c>
      <c r="E172" s="37"/>
      <c r="F172" s="37"/>
      <c r="G172" s="59" t="s">
        <v>24</v>
      </c>
      <c r="H172" s="37" t="s">
        <v>4919</v>
      </c>
      <c r="I172" s="37">
        <v>331</v>
      </c>
      <c r="J172" s="37">
        <v>1111</v>
      </c>
      <c r="K172" s="37" t="s">
        <v>20</v>
      </c>
      <c r="L172" s="37">
        <v>1</v>
      </c>
      <c r="M172" s="105">
        <v>191000</v>
      </c>
      <c r="N172" s="105">
        <f t="shared" si="11"/>
        <v>191000</v>
      </c>
      <c r="O172" s="38" t="s">
        <v>21</v>
      </c>
      <c r="P172" s="37">
        <f t="shared" si="12"/>
        <v>135</v>
      </c>
    </row>
    <row r="173" spans="1:16" x14ac:dyDescent="0.25">
      <c r="A173" s="37" t="s">
        <v>2719</v>
      </c>
      <c r="B173" s="107" t="s">
        <v>309</v>
      </c>
      <c r="C173" s="37">
        <f t="shared" si="9"/>
        <v>290</v>
      </c>
      <c r="D173" s="37">
        <v>1</v>
      </c>
      <c r="E173" s="37"/>
      <c r="F173" s="37"/>
      <c r="G173" s="59" t="s">
        <v>37</v>
      </c>
      <c r="H173" s="37" t="s">
        <v>4920</v>
      </c>
      <c r="I173" s="37">
        <v>331</v>
      </c>
      <c r="J173" s="37">
        <v>1111</v>
      </c>
      <c r="K173" s="37" t="s">
        <v>20</v>
      </c>
      <c r="L173" s="37">
        <v>1</v>
      </c>
      <c r="M173" s="105">
        <v>2916000</v>
      </c>
      <c r="N173" s="105">
        <f t="shared" si="11"/>
        <v>2916000</v>
      </c>
      <c r="O173" s="38" t="s">
        <v>21</v>
      </c>
      <c r="P173" s="37">
        <f t="shared" si="12"/>
        <v>136</v>
      </c>
    </row>
    <row r="174" spans="1:16" x14ac:dyDescent="0.25">
      <c r="A174" s="37" t="s">
        <v>2719</v>
      </c>
      <c r="B174" s="107" t="s">
        <v>443</v>
      </c>
      <c r="C174" s="37">
        <f t="shared" si="9"/>
        <v>291</v>
      </c>
      <c r="D174" s="37">
        <v>1</v>
      </c>
      <c r="E174" s="37"/>
      <c r="F174" s="37"/>
      <c r="G174" s="59" t="s">
        <v>393</v>
      </c>
      <c r="H174" s="37" t="s">
        <v>4921</v>
      </c>
      <c r="I174" s="37">
        <v>331</v>
      </c>
      <c r="J174" s="37">
        <v>1111</v>
      </c>
      <c r="K174" s="37" t="s">
        <v>20</v>
      </c>
      <c r="L174" s="37">
        <v>1</v>
      </c>
      <c r="M174" s="105">
        <v>2275509</v>
      </c>
      <c r="N174" s="105">
        <f t="shared" si="11"/>
        <v>2275509</v>
      </c>
      <c r="O174" s="38" t="s">
        <v>21</v>
      </c>
      <c r="P174" s="37">
        <f t="shared" si="12"/>
        <v>137</v>
      </c>
    </row>
    <row r="175" spans="1:16" x14ac:dyDescent="0.25">
      <c r="A175" s="37" t="s">
        <v>2719</v>
      </c>
      <c r="B175" s="107" t="s">
        <v>511</v>
      </c>
      <c r="C175" s="37">
        <f t="shared" si="9"/>
        <v>292</v>
      </c>
      <c r="D175" s="37">
        <v>1</v>
      </c>
      <c r="E175" s="37"/>
      <c r="F175" s="37"/>
      <c r="G175" s="59" t="s">
        <v>24</v>
      </c>
      <c r="H175" s="37" t="s">
        <v>4922</v>
      </c>
      <c r="I175" s="37">
        <v>331</v>
      </c>
      <c r="J175" s="37">
        <v>1111</v>
      </c>
      <c r="K175" s="37" t="s">
        <v>20</v>
      </c>
      <c r="L175" s="37">
        <v>1</v>
      </c>
      <c r="M175" s="105">
        <v>56000</v>
      </c>
      <c r="N175" s="105">
        <f t="shared" si="11"/>
        <v>56000</v>
      </c>
      <c r="O175" s="38" t="s">
        <v>21</v>
      </c>
      <c r="P175" s="37">
        <f t="shared" si="12"/>
        <v>138</v>
      </c>
    </row>
    <row r="176" spans="1:16" x14ac:dyDescent="0.25">
      <c r="A176" s="37" t="s">
        <v>2719</v>
      </c>
      <c r="B176" s="107" t="s">
        <v>448</v>
      </c>
      <c r="C176" s="37">
        <f t="shared" si="9"/>
        <v>293</v>
      </c>
      <c r="D176" s="37">
        <v>1</v>
      </c>
      <c r="E176" s="37"/>
      <c r="F176" s="37"/>
      <c r="G176" s="59" t="s">
        <v>24</v>
      </c>
      <c r="H176" s="37" t="s">
        <v>4923</v>
      </c>
      <c r="I176" s="37">
        <v>331</v>
      </c>
      <c r="J176" s="37">
        <v>1111</v>
      </c>
      <c r="K176" s="37" t="s">
        <v>20</v>
      </c>
      <c r="L176" s="37">
        <v>1</v>
      </c>
      <c r="M176" s="105">
        <v>117000</v>
      </c>
      <c r="N176" s="105">
        <f t="shared" si="11"/>
        <v>117000</v>
      </c>
      <c r="O176" s="38" t="s">
        <v>21</v>
      </c>
      <c r="P176" s="37">
        <f t="shared" si="12"/>
        <v>139</v>
      </c>
    </row>
    <row r="177" spans="1:16" x14ac:dyDescent="0.25">
      <c r="A177" s="37" t="s">
        <v>2719</v>
      </c>
      <c r="B177" s="107" t="s">
        <v>512</v>
      </c>
      <c r="C177" s="37">
        <f t="shared" si="9"/>
        <v>294</v>
      </c>
      <c r="D177" s="37">
        <v>1</v>
      </c>
      <c r="E177" s="37"/>
      <c r="F177" s="37"/>
      <c r="G177" s="59" t="s">
        <v>19</v>
      </c>
      <c r="H177" s="37" t="s">
        <v>4924</v>
      </c>
      <c r="I177" s="37">
        <v>331</v>
      </c>
      <c r="J177" s="37">
        <v>1111</v>
      </c>
      <c r="K177" s="37" t="s">
        <v>20</v>
      </c>
      <c r="L177" s="37">
        <v>1</v>
      </c>
      <c r="M177" s="105">
        <v>86000</v>
      </c>
      <c r="N177" s="105">
        <f t="shared" si="11"/>
        <v>86000</v>
      </c>
      <c r="O177" s="38" t="s">
        <v>21</v>
      </c>
      <c r="P177" s="37">
        <f t="shared" si="12"/>
        <v>140</v>
      </c>
    </row>
    <row r="178" spans="1:16" x14ac:dyDescent="0.25">
      <c r="A178" s="37" t="s">
        <v>2719</v>
      </c>
      <c r="B178" s="107" t="s">
        <v>312</v>
      </c>
      <c r="C178" s="37">
        <f t="shared" si="9"/>
        <v>295</v>
      </c>
      <c r="D178" s="37">
        <v>1</v>
      </c>
      <c r="E178" s="37"/>
      <c r="F178" s="37"/>
      <c r="G178" s="59" t="s">
        <v>281</v>
      </c>
      <c r="H178" s="37" t="s">
        <v>4925</v>
      </c>
      <c r="I178" s="37">
        <v>331</v>
      </c>
      <c r="J178" s="37">
        <v>1111</v>
      </c>
      <c r="K178" s="37" t="s">
        <v>20</v>
      </c>
      <c r="L178" s="37">
        <v>1</v>
      </c>
      <c r="M178" s="105">
        <v>2010000</v>
      </c>
      <c r="N178" s="105">
        <f t="shared" si="11"/>
        <v>2010000</v>
      </c>
      <c r="O178" s="38" t="s">
        <v>21</v>
      </c>
      <c r="P178" s="37">
        <f t="shared" si="12"/>
        <v>141</v>
      </c>
    </row>
    <row r="179" spans="1:16" x14ac:dyDescent="0.25">
      <c r="A179" s="37" t="s">
        <v>2719</v>
      </c>
      <c r="B179" s="107" t="s">
        <v>377</v>
      </c>
      <c r="C179" s="37">
        <f t="shared" si="9"/>
        <v>296</v>
      </c>
      <c r="D179" s="37">
        <v>1</v>
      </c>
      <c r="E179" s="37"/>
      <c r="F179" s="37"/>
      <c r="G179" s="59" t="s">
        <v>37</v>
      </c>
      <c r="H179" s="37" t="s">
        <v>4926</v>
      </c>
      <c r="I179" s="37">
        <v>331</v>
      </c>
      <c r="J179" s="37">
        <v>1111</v>
      </c>
      <c r="K179" s="37" t="s">
        <v>20</v>
      </c>
      <c r="L179" s="37">
        <v>1</v>
      </c>
      <c r="M179" s="105">
        <v>2916000</v>
      </c>
      <c r="N179" s="105">
        <f t="shared" si="11"/>
        <v>2916000</v>
      </c>
      <c r="O179" s="38" t="s">
        <v>21</v>
      </c>
      <c r="P179" s="37">
        <f t="shared" si="12"/>
        <v>142</v>
      </c>
    </row>
    <row r="180" spans="1:16" x14ac:dyDescent="0.25">
      <c r="A180" s="37" t="s">
        <v>2719</v>
      </c>
      <c r="B180" s="107" t="s">
        <v>291</v>
      </c>
      <c r="C180" s="37">
        <f t="shared" si="9"/>
        <v>297</v>
      </c>
      <c r="D180" s="37">
        <v>1</v>
      </c>
      <c r="E180" s="37"/>
      <c r="F180" s="37"/>
      <c r="G180" s="59" t="s">
        <v>24</v>
      </c>
      <c r="H180" s="37" t="s">
        <v>4927</v>
      </c>
      <c r="I180" s="37">
        <v>331</v>
      </c>
      <c r="J180" s="37">
        <v>1111</v>
      </c>
      <c r="K180" s="37" t="s">
        <v>20</v>
      </c>
      <c r="L180" s="37">
        <v>1</v>
      </c>
      <c r="M180" s="105">
        <v>35000</v>
      </c>
      <c r="N180" s="105">
        <f t="shared" si="11"/>
        <v>35000</v>
      </c>
      <c r="O180" s="38" t="s">
        <v>21</v>
      </c>
      <c r="P180" s="37">
        <f t="shared" si="12"/>
        <v>143</v>
      </c>
    </row>
    <row r="181" spans="1:16" x14ac:dyDescent="0.25">
      <c r="A181" s="37" t="s">
        <v>2719</v>
      </c>
      <c r="B181" s="107" t="s">
        <v>291</v>
      </c>
      <c r="C181" s="37">
        <f t="shared" si="9"/>
        <v>298</v>
      </c>
      <c r="D181" s="37">
        <v>1</v>
      </c>
      <c r="E181" s="37"/>
      <c r="F181" s="37"/>
      <c r="G181" s="59" t="s">
        <v>24</v>
      </c>
      <c r="H181" s="37" t="s">
        <v>4928</v>
      </c>
      <c r="I181" s="37">
        <v>331</v>
      </c>
      <c r="J181" s="37">
        <v>1111</v>
      </c>
      <c r="K181" s="37" t="s">
        <v>20</v>
      </c>
      <c r="L181" s="37">
        <v>1</v>
      </c>
      <c r="M181" s="105">
        <v>16000</v>
      </c>
      <c r="N181" s="105">
        <f t="shared" si="11"/>
        <v>16000</v>
      </c>
      <c r="O181" s="38" t="s">
        <v>21</v>
      </c>
      <c r="P181" s="37">
        <f t="shared" si="12"/>
        <v>144</v>
      </c>
    </row>
    <row r="182" spans="1:16" x14ac:dyDescent="0.25">
      <c r="A182" s="37" t="s">
        <v>2719</v>
      </c>
      <c r="B182" s="107" t="s">
        <v>449</v>
      </c>
      <c r="C182" s="37">
        <f t="shared" ref="C182:C192" si="13">C181+D182</f>
        <v>299</v>
      </c>
      <c r="D182" s="37">
        <v>1</v>
      </c>
      <c r="E182" s="37"/>
      <c r="F182" s="37"/>
      <c r="G182" s="59" t="s">
        <v>19</v>
      </c>
      <c r="H182" s="37" t="s">
        <v>4929</v>
      </c>
      <c r="I182" s="37">
        <v>331</v>
      </c>
      <c r="J182" s="37">
        <v>1111</v>
      </c>
      <c r="K182" s="37" t="s">
        <v>20</v>
      </c>
      <c r="L182" s="37">
        <v>1</v>
      </c>
      <c r="M182" s="105">
        <v>93000</v>
      </c>
      <c r="N182" s="105">
        <f t="shared" si="11"/>
        <v>93000</v>
      </c>
      <c r="O182" s="38" t="s">
        <v>21</v>
      </c>
      <c r="P182" s="37">
        <f t="shared" si="12"/>
        <v>145</v>
      </c>
    </row>
    <row r="183" spans="1:16" x14ac:dyDescent="0.25">
      <c r="A183" s="37" t="s">
        <v>2719</v>
      </c>
      <c r="B183" s="107" t="s">
        <v>449</v>
      </c>
      <c r="C183" s="37">
        <f t="shared" si="13"/>
        <v>300</v>
      </c>
      <c r="D183" s="37">
        <v>1</v>
      </c>
      <c r="E183" s="37"/>
      <c r="F183" s="37"/>
      <c r="G183" s="59" t="s">
        <v>19</v>
      </c>
      <c r="H183" s="37" t="s">
        <v>4930</v>
      </c>
      <c r="I183" s="37">
        <v>331</v>
      </c>
      <c r="J183" s="37">
        <v>1111</v>
      </c>
      <c r="K183" s="37" t="s">
        <v>20</v>
      </c>
      <c r="L183" s="37">
        <v>1</v>
      </c>
      <c r="M183" s="105">
        <v>66000</v>
      </c>
      <c r="N183" s="105">
        <f t="shared" si="11"/>
        <v>66000</v>
      </c>
      <c r="O183" s="38" t="s">
        <v>21</v>
      </c>
      <c r="P183" s="37">
        <f t="shared" si="12"/>
        <v>146</v>
      </c>
    </row>
    <row r="184" spans="1:16" x14ac:dyDescent="0.25">
      <c r="A184" s="37" t="s">
        <v>2719</v>
      </c>
      <c r="B184" s="107" t="s">
        <v>418</v>
      </c>
      <c r="C184" s="37">
        <f t="shared" si="13"/>
        <v>301</v>
      </c>
      <c r="D184" s="37">
        <v>1</v>
      </c>
      <c r="E184" s="37"/>
      <c r="F184" s="37"/>
      <c r="G184" s="59" t="s">
        <v>137</v>
      </c>
      <c r="H184" s="37" t="s">
        <v>4931</v>
      </c>
      <c r="I184" s="37">
        <v>331</v>
      </c>
      <c r="J184" s="37">
        <v>1111</v>
      </c>
      <c r="K184" s="37" t="s">
        <v>20</v>
      </c>
      <c r="L184" s="37">
        <v>1</v>
      </c>
      <c r="M184" s="105">
        <v>804600</v>
      </c>
      <c r="N184" s="105">
        <f t="shared" si="11"/>
        <v>804600</v>
      </c>
      <c r="O184" s="38" t="s">
        <v>21</v>
      </c>
      <c r="P184" s="37">
        <f t="shared" si="12"/>
        <v>147</v>
      </c>
    </row>
    <row r="185" spans="1:16" x14ac:dyDescent="0.25">
      <c r="A185" s="37" t="s">
        <v>2719</v>
      </c>
      <c r="B185" s="107" t="s">
        <v>513</v>
      </c>
      <c r="C185" s="37">
        <f t="shared" si="13"/>
        <v>302</v>
      </c>
      <c r="D185" s="37">
        <v>1</v>
      </c>
      <c r="E185" s="37"/>
      <c r="F185" s="37"/>
      <c r="G185" s="59" t="s">
        <v>24</v>
      </c>
      <c r="H185" s="37" t="s">
        <v>4932</v>
      </c>
      <c r="I185" s="37">
        <v>331</v>
      </c>
      <c r="J185" s="37">
        <v>1111</v>
      </c>
      <c r="K185" s="37" t="s">
        <v>20</v>
      </c>
      <c r="L185" s="37">
        <v>1</v>
      </c>
      <c r="M185" s="105">
        <v>142000</v>
      </c>
      <c r="N185" s="105">
        <f t="shared" si="11"/>
        <v>142000</v>
      </c>
      <c r="O185" s="38" t="s">
        <v>21</v>
      </c>
      <c r="P185" s="37">
        <f t="shared" si="12"/>
        <v>148</v>
      </c>
    </row>
    <row r="186" spans="1:16" x14ac:dyDescent="0.25">
      <c r="A186" s="37" t="s">
        <v>2719</v>
      </c>
      <c r="B186" s="107" t="s">
        <v>514</v>
      </c>
      <c r="C186" s="37">
        <f t="shared" si="13"/>
        <v>303</v>
      </c>
      <c r="D186" s="37">
        <v>1</v>
      </c>
      <c r="E186" s="37"/>
      <c r="F186" s="37"/>
      <c r="G186" s="59" t="s">
        <v>24</v>
      </c>
      <c r="H186" s="37" t="s">
        <v>4933</v>
      </c>
      <c r="I186" s="37">
        <v>331</v>
      </c>
      <c r="J186" s="37">
        <v>1111</v>
      </c>
      <c r="K186" s="37" t="s">
        <v>20</v>
      </c>
      <c r="L186" s="37">
        <v>1</v>
      </c>
      <c r="M186" s="105">
        <v>155000</v>
      </c>
      <c r="N186" s="105">
        <f t="shared" si="11"/>
        <v>155000</v>
      </c>
      <c r="O186" s="38" t="s">
        <v>21</v>
      </c>
      <c r="P186" s="37">
        <f t="shared" si="12"/>
        <v>149</v>
      </c>
    </row>
    <row r="187" spans="1:16" x14ac:dyDescent="0.25">
      <c r="A187" s="37" t="s">
        <v>2719</v>
      </c>
      <c r="B187" s="107" t="s">
        <v>379</v>
      </c>
      <c r="C187" s="37">
        <f t="shared" si="13"/>
        <v>304</v>
      </c>
      <c r="D187" s="37">
        <v>1</v>
      </c>
      <c r="E187" s="37"/>
      <c r="F187" s="37"/>
      <c r="G187" s="59" t="s">
        <v>37</v>
      </c>
      <c r="H187" s="37" t="s">
        <v>4934</v>
      </c>
      <c r="I187" s="37">
        <v>331</v>
      </c>
      <c r="J187" s="37">
        <v>1111</v>
      </c>
      <c r="K187" s="37" t="s">
        <v>20</v>
      </c>
      <c r="L187" s="37">
        <v>1</v>
      </c>
      <c r="M187" s="105">
        <v>2916000</v>
      </c>
      <c r="N187" s="105">
        <f t="shared" si="11"/>
        <v>2916000</v>
      </c>
      <c r="O187" s="38" t="s">
        <v>21</v>
      </c>
      <c r="P187" s="37">
        <f t="shared" si="12"/>
        <v>150</v>
      </c>
    </row>
    <row r="188" spans="1:16" x14ac:dyDescent="0.25">
      <c r="A188" s="37" t="s">
        <v>2719</v>
      </c>
      <c r="B188" s="107" t="s">
        <v>515</v>
      </c>
      <c r="C188" s="37">
        <f t="shared" si="13"/>
        <v>305</v>
      </c>
      <c r="D188" s="37">
        <v>1</v>
      </c>
      <c r="E188" s="37"/>
      <c r="F188" s="37"/>
      <c r="G188" s="59" t="s">
        <v>24</v>
      </c>
      <c r="H188" s="37" t="s">
        <v>4935</v>
      </c>
      <c r="I188" s="37">
        <v>331</v>
      </c>
      <c r="J188" s="37">
        <v>1111</v>
      </c>
      <c r="K188" s="37" t="s">
        <v>20</v>
      </c>
      <c r="L188" s="37">
        <v>1</v>
      </c>
      <c r="M188" s="105">
        <v>35000</v>
      </c>
      <c r="N188" s="105">
        <f t="shared" si="11"/>
        <v>35000</v>
      </c>
      <c r="O188" s="38" t="s">
        <v>21</v>
      </c>
      <c r="P188" s="37">
        <f t="shared" si="12"/>
        <v>151</v>
      </c>
    </row>
    <row r="189" spans="1:16" x14ac:dyDescent="0.25">
      <c r="A189" s="37" t="s">
        <v>2719</v>
      </c>
      <c r="B189" s="107" t="s">
        <v>515</v>
      </c>
      <c r="C189" s="37">
        <f t="shared" si="13"/>
        <v>306</v>
      </c>
      <c r="D189" s="37">
        <v>1</v>
      </c>
      <c r="E189" s="37"/>
      <c r="F189" s="37"/>
      <c r="G189" s="59" t="s">
        <v>24</v>
      </c>
      <c r="H189" s="37" t="s">
        <v>4936</v>
      </c>
      <c r="I189" s="37">
        <v>331</v>
      </c>
      <c r="J189" s="37">
        <v>1111</v>
      </c>
      <c r="K189" s="37" t="s">
        <v>20</v>
      </c>
      <c r="L189" s="37">
        <v>1</v>
      </c>
      <c r="M189" s="105">
        <v>38000</v>
      </c>
      <c r="N189" s="105">
        <f t="shared" si="11"/>
        <v>38000</v>
      </c>
      <c r="O189" s="38" t="s">
        <v>21</v>
      </c>
      <c r="P189" s="37">
        <f t="shared" si="12"/>
        <v>152</v>
      </c>
    </row>
    <row r="190" spans="1:16" x14ac:dyDescent="0.25">
      <c r="A190" s="37" t="s">
        <v>2719</v>
      </c>
      <c r="B190" s="107" t="s">
        <v>382</v>
      </c>
      <c r="C190" s="37">
        <f t="shared" si="13"/>
        <v>307</v>
      </c>
      <c r="D190" s="37">
        <v>1</v>
      </c>
      <c r="E190" s="37"/>
      <c r="F190" s="37"/>
      <c r="G190" s="59" t="s">
        <v>24</v>
      </c>
      <c r="H190" s="37" t="s">
        <v>4937</v>
      </c>
      <c r="I190" s="37">
        <v>331</v>
      </c>
      <c r="J190" s="37">
        <v>1111</v>
      </c>
      <c r="K190" s="37" t="s">
        <v>20</v>
      </c>
      <c r="L190" s="37">
        <v>1</v>
      </c>
      <c r="M190" s="105">
        <v>137000</v>
      </c>
      <c r="N190" s="105">
        <f t="shared" si="11"/>
        <v>137000</v>
      </c>
      <c r="O190" s="38" t="s">
        <v>21</v>
      </c>
      <c r="P190" s="37">
        <f t="shared" si="12"/>
        <v>153</v>
      </c>
    </row>
    <row r="191" spans="1:16" x14ac:dyDescent="0.25">
      <c r="A191" s="37" t="s">
        <v>2719</v>
      </c>
      <c r="B191" s="107" t="s">
        <v>516</v>
      </c>
      <c r="C191" s="37">
        <f t="shared" si="13"/>
        <v>308</v>
      </c>
      <c r="D191" s="37">
        <v>1</v>
      </c>
      <c r="E191" s="37"/>
      <c r="F191" s="37"/>
      <c r="G191" s="59" t="s">
        <v>24</v>
      </c>
      <c r="H191" s="37" t="s">
        <v>4938</v>
      </c>
      <c r="I191" s="37">
        <v>331</v>
      </c>
      <c r="J191" s="37">
        <v>1111</v>
      </c>
      <c r="K191" s="37" t="s">
        <v>20</v>
      </c>
      <c r="L191" s="37">
        <v>1</v>
      </c>
      <c r="M191" s="105">
        <v>69000</v>
      </c>
      <c r="N191" s="105">
        <f t="shared" si="11"/>
        <v>69000</v>
      </c>
      <c r="O191" s="38" t="s">
        <v>21</v>
      </c>
      <c r="P191" s="37">
        <f t="shared" si="12"/>
        <v>154</v>
      </c>
    </row>
    <row r="192" spans="1:16" x14ac:dyDescent="0.25">
      <c r="A192" s="37" t="s">
        <v>2719</v>
      </c>
      <c r="B192" s="107">
        <v>46021</v>
      </c>
      <c r="C192" s="37">
        <f t="shared" si="13"/>
        <v>309</v>
      </c>
      <c r="D192" s="37">
        <v>1</v>
      </c>
      <c r="E192" s="37"/>
      <c r="F192" s="37"/>
      <c r="G192" s="59" t="s">
        <v>2525</v>
      </c>
      <c r="H192" s="37" t="s">
        <v>4939</v>
      </c>
      <c r="I192" s="37">
        <v>331</v>
      </c>
      <c r="J192" s="37">
        <v>1111</v>
      </c>
      <c r="K192" s="37" t="s">
        <v>20</v>
      </c>
      <c r="L192" s="37">
        <v>1</v>
      </c>
      <c r="M192" s="105">
        <v>1390000</v>
      </c>
      <c r="N192" s="105">
        <f t="shared" si="11"/>
        <v>1390000</v>
      </c>
      <c r="O192" s="38" t="s">
        <v>21</v>
      </c>
      <c r="P192" s="37">
        <f t="shared" si="12"/>
        <v>155</v>
      </c>
    </row>
  </sheetData>
  <autoFilter ref="A3:P170" xr:uid="{00000000-0009-0000-0000-000004000000}">
    <sortState xmlns:xlrd2="http://schemas.microsoft.com/office/spreadsheetml/2017/richdata2" ref="A4:P96">
      <sortCondition ref="P3:P65"/>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A208"/>
  <sheetViews>
    <sheetView topLeftCell="A61" workbookViewId="0">
      <selection activeCell="H80" sqref="H80"/>
    </sheetView>
  </sheetViews>
  <sheetFormatPr defaultRowHeight="15" x14ac:dyDescent="0.25"/>
  <cols>
    <col min="2" max="2" width="10.7109375" style="88" bestFit="1" customWidth="1"/>
    <col min="7" max="7" width="9.5703125" style="60" bestFit="1" customWidth="1"/>
    <col min="8" max="8" width="44" customWidth="1"/>
    <col min="13" max="14" width="13.28515625" style="82" bestFit="1" customWidth="1"/>
    <col min="17" max="17" width="14.28515625" bestFit="1" customWidth="1"/>
    <col min="18" max="18" width="9.140625" style="60"/>
    <col min="19" max="19" width="14.85546875" style="60" bestFit="1" customWidth="1"/>
    <col min="20" max="20" width="12.7109375" style="60" bestFit="1" customWidth="1"/>
    <col min="21" max="21" width="14.28515625" style="60" bestFit="1" customWidth="1"/>
    <col min="22" max="22" width="12.5703125" style="60" bestFit="1" customWidth="1"/>
    <col min="23" max="27" width="9.140625" style="60"/>
  </cols>
  <sheetData>
    <row r="1" spans="1:22" ht="15" customHeight="1" thickBot="1" x14ac:dyDescent="0.3">
      <c r="A1" s="165" t="s">
        <v>0</v>
      </c>
      <c r="B1" s="169" t="s">
        <v>1</v>
      </c>
      <c r="C1" s="165" t="s">
        <v>2</v>
      </c>
      <c r="D1" s="167" t="s">
        <v>3</v>
      </c>
      <c r="E1" s="167" t="s">
        <v>4</v>
      </c>
      <c r="F1" s="167" t="s">
        <v>760</v>
      </c>
      <c r="G1" s="159" t="s">
        <v>6</v>
      </c>
      <c r="H1" s="161" t="s">
        <v>7</v>
      </c>
      <c r="I1" s="163" t="s">
        <v>8</v>
      </c>
      <c r="J1" s="164"/>
      <c r="K1" s="165" t="s">
        <v>9</v>
      </c>
      <c r="L1" s="165" t="s">
        <v>10</v>
      </c>
      <c r="M1" s="157" t="s">
        <v>98</v>
      </c>
      <c r="N1" s="157" t="s">
        <v>99</v>
      </c>
      <c r="O1" s="39" t="s">
        <v>100</v>
      </c>
      <c r="P1" s="152" t="s">
        <v>3991</v>
      </c>
    </row>
    <row r="2" spans="1:22" ht="15" customHeight="1" thickBot="1" x14ac:dyDescent="0.3">
      <c r="A2" s="166"/>
      <c r="B2" s="170"/>
      <c r="C2" s="166"/>
      <c r="D2" s="171"/>
      <c r="E2" s="171"/>
      <c r="F2" s="168"/>
      <c r="G2" s="160"/>
      <c r="H2" s="162"/>
      <c r="I2" s="40" t="s">
        <v>13</v>
      </c>
      <c r="J2" s="41" t="s">
        <v>14</v>
      </c>
      <c r="K2" s="166"/>
      <c r="L2" s="166"/>
      <c r="M2" s="158"/>
      <c r="N2" s="158"/>
      <c r="O2" s="37" t="s">
        <v>100</v>
      </c>
      <c r="P2" s="37"/>
    </row>
    <row r="3" spans="1:22" ht="15" customHeight="1" x14ac:dyDescent="0.25">
      <c r="A3" s="42"/>
      <c r="B3" s="68"/>
      <c r="C3" s="42">
        <v>122</v>
      </c>
      <c r="D3" s="42"/>
      <c r="E3" s="43"/>
      <c r="F3" s="43"/>
      <c r="G3" s="58" t="s">
        <v>15</v>
      </c>
      <c r="H3" s="44"/>
      <c r="I3" s="44"/>
      <c r="J3" s="44"/>
      <c r="K3" s="42"/>
      <c r="L3" s="42"/>
      <c r="M3" s="66"/>
      <c r="N3" s="66"/>
      <c r="O3" s="37" t="s">
        <v>16</v>
      </c>
      <c r="P3" s="37" t="s">
        <v>17</v>
      </c>
      <c r="T3" s="89"/>
      <c r="U3" s="89"/>
    </row>
    <row r="4" spans="1:22" ht="15" customHeight="1" x14ac:dyDescent="0.25">
      <c r="A4" s="20" t="s">
        <v>18</v>
      </c>
      <c r="B4" s="63" t="s">
        <v>308</v>
      </c>
      <c r="C4" s="109">
        <f t="shared" ref="C4:C35" si="0">C3+D4</f>
        <v>123</v>
      </c>
      <c r="D4" s="20">
        <v>1</v>
      </c>
      <c r="E4" s="20"/>
      <c r="F4" s="20"/>
      <c r="G4" s="32" t="s">
        <v>528</v>
      </c>
      <c r="H4" s="20" t="s">
        <v>540</v>
      </c>
      <c r="I4" s="20">
        <v>131</v>
      </c>
      <c r="J4" s="20">
        <v>5113</v>
      </c>
      <c r="K4" s="20" t="s">
        <v>20</v>
      </c>
      <c r="L4" s="20">
        <v>1</v>
      </c>
      <c r="M4" s="34">
        <v>202020202</v>
      </c>
      <c r="N4" s="34">
        <f t="shared" ref="N4:N35" si="1">L4*M4</f>
        <v>202020202</v>
      </c>
      <c r="O4" s="20" t="s">
        <v>21</v>
      </c>
      <c r="P4" s="20">
        <v>1</v>
      </c>
      <c r="Q4" s="148"/>
      <c r="T4" s="89"/>
      <c r="U4" s="89"/>
      <c r="V4" s="89"/>
    </row>
    <row r="5" spans="1:22" ht="15" customHeight="1" x14ac:dyDescent="0.25">
      <c r="A5" s="20" t="s">
        <v>18</v>
      </c>
      <c r="B5" s="63" t="s">
        <v>308</v>
      </c>
      <c r="C5" s="109">
        <f t="shared" si="0"/>
        <v>123</v>
      </c>
      <c r="D5" s="20">
        <v>0</v>
      </c>
      <c r="E5" s="20"/>
      <c r="F5" s="20"/>
      <c r="G5" s="32" t="s">
        <v>528</v>
      </c>
      <c r="H5" s="20" t="s">
        <v>564</v>
      </c>
      <c r="I5" s="20">
        <v>333821</v>
      </c>
      <c r="J5" s="20">
        <v>131</v>
      </c>
      <c r="K5" s="20" t="s">
        <v>20</v>
      </c>
      <c r="L5" s="20">
        <v>1</v>
      </c>
      <c r="M5" s="34">
        <v>2020202</v>
      </c>
      <c r="N5" s="34">
        <f t="shared" si="1"/>
        <v>2020202</v>
      </c>
      <c r="O5" s="20" t="s">
        <v>21</v>
      </c>
      <c r="P5" s="20">
        <v>1</v>
      </c>
      <c r="T5" s="89"/>
      <c r="U5" s="89"/>
      <c r="V5" s="89"/>
    </row>
    <row r="6" spans="1:22" ht="15" customHeight="1" x14ac:dyDescent="0.25">
      <c r="A6" s="20" t="s">
        <v>18</v>
      </c>
      <c r="B6" s="63" t="s">
        <v>308</v>
      </c>
      <c r="C6" s="109">
        <f t="shared" si="0"/>
        <v>124</v>
      </c>
      <c r="D6" s="20">
        <v>1</v>
      </c>
      <c r="E6" s="20"/>
      <c r="F6" s="20"/>
      <c r="G6" s="32" t="s">
        <v>95</v>
      </c>
      <c r="H6" s="20" t="s">
        <v>541</v>
      </c>
      <c r="I6" s="20">
        <v>131</v>
      </c>
      <c r="J6" s="20">
        <v>5113</v>
      </c>
      <c r="K6" s="20" t="s">
        <v>20</v>
      </c>
      <c r="L6" s="20">
        <v>1</v>
      </c>
      <c r="M6" s="34">
        <v>16129032</v>
      </c>
      <c r="N6" s="34">
        <f t="shared" si="1"/>
        <v>16129032</v>
      </c>
      <c r="O6" s="20" t="s">
        <v>21</v>
      </c>
      <c r="P6" s="20">
        <v>2</v>
      </c>
      <c r="T6" s="89"/>
      <c r="U6" s="89"/>
      <c r="V6" s="89"/>
    </row>
    <row r="7" spans="1:22" ht="15" customHeight="1" x14ac:dyDescent="0.25">
      <c r="A7" s="20" t="s">
        <v>18</v>
      </c>
      <c r="B7" s="63" t="s">
        <v>308</v>
      </c>
      <c r="C7" s="109">
        <f t="shared" si="0"/>
        <v>124</v>
      </c>
      <c r="D7" s="20">
        <v>0</v>
      </c>
      <c r="E7" s="20"/>
      <c r="F7" s="20"/>
      <c r="G7" s="32" t="s">
        <v>95</v>
      </c>
      <c r="H7" s="20" t="s">
        <v>565</v>
      </c>
      <c r="I7" s="20">
        <v>333821</v>
      </c>
      <c r="J7" s="20">
        <v>131</v>
      </c>
      <c r="K7" s="20" t="s">
        <v>20</v>
      </c>
      <c r="L7" s="20">
        <v>1</v>
      </c>
      <c r="M7" s="34">
        <v>161290</v>
      </c>
      <c r="N7" s="34">
        <f t="shared" si="1"/>
        <v>161290</v>
      </c>
      <c r="O7" s="20" t="s">
        <v>21</v>
      </c>
      <c r="P7" s="20">
        <v>2</v>
      </c>
      <c r="T7" s="89"/>
      <c r="U7" s="89"/>
      <c r="V7" s="89"/>
    </row>
    <row r="8" spans="1:22" ht="15" customHeight="1" x14ac:dyDescent="0.25">
      <c r="A8" s="20" t="s">
        <v>18</v>
      </c>
      <c r="B8" s="63" t="s">
        <v>309</v>
      </c>
      <c r="C8" s="109">
        <f t="shared" si="0"/>
        <v>125</v>
      </c>
      <c r="D8" s="20">
        <v>1</v>
      </c>
      <c r="E8" s="20"/>
      <c r="F8" s="20"/>
      <c r="G8" s="32" t="s">
        <v>529</v>
      </c>
      <c r="H8" s="20" t="s">
        <v>849</v>
      </c>
      <c r="I8" s="20">
        <v>131</v>
      </c>
      <c r="J8" s="20">
        <v>5113</v>
      </c>
      <c r="K8" s="20" t="s">
        <v>20</v>
      </c>
      <c r="L8" s="20">
        <v>1</v>
      </c>
      <c r="M8" s="34">
        <v>37634409</v>
      </c>
      <c r="N8" s="34">
        <f t="shared" si="1"/>
        <v>37634409</v>
      </c>
      <c r="O8" s="20" t="s">
        <v>21</v>
      </c>
      <c r="P8" s="20">
        <v>3</v>
      </c>
      <c r="T8" s="89"/>
      <c r="U8" s="89"/>
      <c r="V8" s="89"/>
    </row>
    <row r="9" spans="1:22" ht="15" customHeight="1" x14ac:dyDescent="0.25">
      <c r="A9" s="20" t="s">
        <v>18</v>
      </c>
      <c r="B9" s="63" t="s">
        <v>309</v>
      </c>
      <c r="C9" s="109">
        <f t="shared" si="0"/>
        <v>125</v>
      </c>
      <c r="D9" s="20">
        <v>0</v>
      </c>
      <c r="E9" s="20"/>
      <c r="F9" s="20"/>
      <c r="G9" s="32" t="s">
        <v>529</v>
      </c>
      <c r="H9" s="20" t="s">
        <v>850</v>
      </c>
      <c r="I9" s="20">
        <v>333821</v>
      </c>
      <c r="J9" s="20">
        <v>131</v>
      </c>
      <c r="K9" s="20" t="s">
        <v>20</v>
      </c>
      <c r="L9" s="20">
        <v>1</v>
      </c>
      <c r="M9" s="34">
        <v>376344</v>
      </c>
      <c r="N9" s="34">
        <f t="shared" si="1"/>
        <v>376344</v>
      </c>
      <c r="O9" s="20" t="s">
        <v>21</v>
      </c>
      <c r="P9" s="20">
        <v>3</v>
      </c>
      <c r="T9" s="89"/>
      <c r="U9" s="89"/>
      <c r="V9" s="89"/>
    </row>
    <row r="10" spans="1:22" ht="15" customHeight="1" x14ac:dyDescent="0.25">
      <c r="A10" s="20" t="s">
        <v>18</v>
      </c>
      <c r="B10" s="63" t="s">
        <v>309</v>
      </c>
      <c r="C10" s="109">
        <f t="shared" si="0"/>
        <v>126</v>
      </c>
      <c r="D10" s="20">
        <v>1</v>
      </c>
      <c r="E10" s="20"/>
      <c r="F10" s="20"/>
      <c r="G10" s="32" t="s">
        <v>530</v>
      </c>
      <c r="H10" s="20" t="s">
        <v>542</v>
      </c>
      <c r="I10" s="20">
        <v>131</v>
      </c>
      <c r="J10" s="20">
        <v>5113</v>
      </c>
      <c r="K10" s="20" t="s">
        <v>20</v>
      </c>
      <c r="L10" s="20">
        <v>1</v>
      </c>
      <c r="M10" s="34">
        <v>16129032</v>
      </c>
      <c r="N10" s="34">
        <f t="shared" si="1"/>
        <v>16129032</v>
      </c>
      <c r="O10" s="20" t="s">
        <v>21</v>
      </c>
      <c r="P10" s="20">
        <v>4</v>
      </c>
      <c r="T10" s="89"/>
      <c r="U10" s="89"/>
      <c r="V10" s="89"/>
    </row>
    <row r="11" spans="1:22" ht="15" customHeight="1" x14ac:dyDescent="0.25">
      <c r="A11" s="20" t="s">
        <v>18</v>
      </c>
      <c r="B11" s="63" t="s">
        <v>309</v>
      </c>
      <c r="C11" s="109">
        <f t="shared" si="0"/>
        <v>126</v>
      </c>
      <c r="D11" s="20">
        <v>0</v>
      </c>
      <c r="E11" s="20"/>
      <c r="F11" s="20"/>
      <c r="G11" s="32" t="s">
        <v>530</v>
      </c>
      <c r="H11" s="20" t="s">
        <v>566</v>
      </c>
      <c r="I11" s="20">
        <v>333821</v>
      </c>
      <c r="J11" s="20">
        <v>131</v>
      </c>
      <c r="K11" s="20" t="s">
        <v>20</v>
      </c>
      <c r="L11" s="20">
        <v>1</v>
      </c>
      <c r="M11" s="34">
        <v>161290</v>
      </c>
      <c r="N11" s="34">
        <f t="shared" si="1"/>
        <v>161290</v>
      </c>
      <c r="O11" s="20" t="s">
        <v>21</v>
      </c>
      <c r="P11" s="20">
        <v>4</v>
      </c>
      <c r="T11" s="89"/>
      <c r="U11" s="89"/>
      <c r="V11" s="89"/>
    </row>
    <row r="12" spans="1:22" ht="15" customHeight="1" x14ac:dyDescent="0.25">
      <c r="A12" s="20" t="s">
        <v>18</v>
      </c>
      <c r="B12" s="63" t="s">
        <v>443</v>
      </c>
      <c r="C12" s="109">
        <f t="shared" si="0"/>
        <v>127</v>
      </c>
      <c r="D12" s="20">
        <v>1</v>
      </c>
      <c r="E12" s="20"/>
      <c r="F12" s="20"/>
      <c r="G12" s="32" t="s">
        <v>531</v>
      </c>
      <c r="H12" s="20" t="s">
        <v>543</v>
      </c>
      <c r="I12" s="20">
        <v>131</v>
      </c>
      <c r="J12" s="20">
        <v>5113</v>
      </c>
      <c r="K12" s="20" t="s">
        <v>20</v>
      </c>
      <c r="L12" s="20">
        <v>1</v>
      </c>
      <c r="M12" s="34">
        <v>26881720</v>
      </c>
      <c r="N12" s="34">
        <f t="shared" si="1"/>
        <v>26881720</v>
      </c>
      <c r="O12" s="20" t="s">
        <v>21</v>
      </c>
      <c r="P12" s="20">
        <v>5</v>
      </c>
      <c r="T12" s="89"/>
      <c r="U12" s="89"/>
      <c r="V12" s="89"/>
    </row>
    <row r="13" spans="1:22" ht="15" customHeight="1" x14ac:dyDescent="0.25">
      <c r="A13" s="20" t="s">
        <v>18</v>
      </c>
      <c r="B13" s="63" t="s">
        <v>443</v>
      </c>
      <c r="C13" s="109">
        <f t="shared" si="0"/>
        <v>127</v>
      </c>
      <c r="D13" s="20">
        <v>0</v>
      </c>
      <c r="E13" s="20"/>
      <c r="F13" s="20"/>
      <c r="G13" s="32" t="s">
        <v>531</v>
      </c>
      <c r="H13" s="20" t="s">
        <v>567</v>
      </c>
      <c r="I13" s="20">
        <v>333821</v>
      </c>
      <c r="J13" s="20">
        <v>131</v>
      </c>
      <c r="K13" s="20" t="s">
        <v>20</v>
      </c>
      <c r="L13" s="20">
        <v>1</v>
      </c>
      <c r="M13" s="34">
        <v>268817</v>
      </c>
      <c r="N13" s="34">
        <f t="shared" si="1"/>
        <v>268817</v>
      </c>
      <c r="O13" s="20" t="s">
        <v>21</v>
      </c>
      <c r="P13" s="20">
        <v>5</v>
      </c>
      <c r="T13" s="89"/>
      <c r="U13" s="89"/>
      <c r="V13" s="89"/>
    </row>
    <row r="14" spans="1:22" ht="15" customHeight="1" x14ac:dyDescent="0.25">
      <c r="A14" s="20" t="s">
        <v>18</v>
      </c>
      <c r="B14" s="63" t="s">
        <v>312</v>
      </c>
      <c r="C14" s="109">
        <f t="shared" si="0"/>
        <v>128</v>
      </c>
      <c r="D14" s="20">
        <v>1</v>
      </c>
      <c r="E14" s="20"/>
      <c r="F14" s="20"/>
      <c r="G14" s="32" t="s">
        <v>532</v>
      </c>
      <c r="H14" s="20" t="s">
        <v>544</v>
      </c>
      <c r="I14" s="20">
        <v>131</v>
      </c>
      <c r="J14" s="20">
        <v>5113</v>
      </c>
      <c r="K14" s="20" t="s">
        <v>20</v>
      </c>
      <c r="L14" s="20">
        <v>1</v>
      </c>
      <c r="M14" s="34">
        <v>57954838</v>
      </c>
      <c r="N14" s="34">
        <f t="shared" si="1"/>
        <v>57954838</v>
      </c>
      <c r="O14" s="20" t="s">
        <v>21</v>
      </c>
      <c r="P14" s="20">
        <v>6</v>
      </c>
      <c r="T14" s="89"/>
      <c r="U14" s="89"/>
      <c r="V14" s="89"/>
    </row>
    <row r="15" spans="1:22" ht="15" customHeight="1" x14ac:dyDescent="0.25">
      <c r="A15" s="20" t="s">
        <v>18</v>
      </c>
      <c r="B15" s="63" t="s">
        <v>312</v>
      </c>
      <c r="C15" s="109">
        <f t="shared" si="0"/>
        <v>128</v>
      </c>
      <c r="D15" s="20">
        <v>0</v>
      </c>
      <c r="E15" s="20"/>
      <c r="F15" s="20"/>
      <c r="G15" s="32" t="s">
        <v>532</v>
      </c>
      <c r="H15" s="20" t="s">
        <v>568</v>
      </c>
      <c r="I15" s="20">
        <v>333821</v>
      </c>
      <c r="J15" s="20">
        <v>131</v>
      </c>
      <c r="K15" s="20" t="s">
        <v>20</v>
      </c>
      <c r="L15" s="20">
        <v>1</v>
      </c>
      <c r="M15" s="34">
        <v>579548</v>
      </c>
      <c r="N15" s="34">
        <f t="shared" si="1"/>
        <v>579548</v>
      </c>
      <c r="O15" s="20" t="s">
        <v>21</v>
      </c>
      <c r="P15" s="20">
        <v>6</v>
      </c>
      <c r="T15" s="89"/>
      <c r="U15" s="89"/>
      <c r="V15" s="89"/>
    </row>
    <row r="16" spans="1:22" ht="15" customHeight="1" x14ac:dyDescent="0.25">
      <c r="A16" s="20" t="s">
        <v>18</v>
      </c>
      <c r="B16" s="63" t="s">
        <v>292</v>
      </c>
      <c r="C16" s="109">
        <f t="shared" si="0"/>
        <v>129</v>
      </c>
      <c r="D16" s="20">
        <v>1</v>
      </c>
      <c r="E16" s="20"/>
      <c r="F16" s="20"/>
      <c r="G16" s="32" t="s">
        <v>532</v>
      </c>
      <c r="H16" s="20" t="s">
        <v>545</v>
      </c>
      <c r="I16" s="20">
        <v>131</v>
      </c>
      <c r="J16" s="20">
        <v>5113</v>
      </c>
      <c r="K16" s="20" t="s">
        <v>20</v>
      </c>
      <c r="L16" s="20">
        <v>1</v>
      </c>
      <c r="M16" s="34">
        <v>0</v>
      </c>
      <c r="N16" s="34">
        <f t="shared" si="1"/>
        <v>0</v>
      </c>
      <c r="O16" s="20" t="s">
        <v>21</v>
      </c>
      <c r="P16" s="20">
        <v>7</v>
      </c>
      <c r="T16" s="89"/>
      <c r="U16" s="89"/>
      <c r="V16" s="89"/>
    </row>
    <row r="17" spans="1:22" ht="15" customHeight="1" x14ac:dyDescent="0.25">
      <c r="A17" s="20" t="s">
        <v>18</v>
      </c>
      <c r="B17" s="63" t="s">
        <v>292</v>
      </c>
      <c r="C17" s="109">
        <f t="shared" si="0"/>
        <v>129</v>
      </c>
      <c r="D17" s="20">
        <v>0</v>
      </c>
      <c r="E17" s="20"/>
      <c r="F17" s="20"/>
      <c r="G17" s="32" t="s">
        <v>532</v>
      </c>
      <c r="H17" s="20" t="s">
        <v>569</v>
      </c>
      <c r="I17" s="20">
        <v>333821</v>
      </c>
      <c r="J17" s="20">
        <v>131</v>
      </c>
      <c r="K17" s="20" t="s">
        <v>20</v>
      </c>
      <c r="L17" s="20">
        <v>1</v>
      </c>
      <c r="M17" s="34">
        <v>0</v>
      </c>
      <c r="N17" s="34">
        <f t="shared" si="1"/>
        <v>0</v>
      </c>
      <c r="O17" s="20" t="s">
        <v>21</v>
      </c>
      <c r="P17" s="20">
        <v>7</v>
      </c>
      <c r="T17" s="89"/>
      <c r="U17" s="89"/>
      <c r="V17" s="89"/>
    </row>
    <row r="18" spans="1:22" ht="15" customHeight="1" x14ac:dyDescent="0.25">
      <c r="A18" s="20" t="s">
        <v>18</v>
      </c>
      <c r="B18" s="63" t="s">
        <v>313</v>
      </c>
      <c r="C18" s="109">
        <f t="shared" si="0"/>
        <v>130</v>
      </c>
      <c r="D18" s="20">
        <v>1</v>
      </c>
      <c r="E18" s="20"/>
      <c r="F18" s="20"/>
      <c r="G18" s="32" t="s">
        <v>95</v>
      </c>
      <c r="H18" s="20" t="s">
        <v>546</v>
      </c>
      <c r="I18" s="20">
        <v>131</v>
      </c>
      <c r="J18" s="20">
        <v>5113</v>
      </c>
      <c r="K18" s="20" t="s">
        <v>20</v>
      </c>
      <c r="L18" s="20">
        <v>1</v>
      </c>
      <c r="M18" s="34">
        <v>16161616</v>
      </c>
      <c r="N18" s="34">
        <f t="shared" si="1"/>
        <v>16161616</v>
      </c>
      <c r="O18" s="20" t="s">
        <v>21</v>
      </c>
      <c r="P18" s="20">
        <v>8</v>
      </c>
      <c r="T18" s="89"/>
      <c r="U18" s="89"/>
      <c r="V18" s="89"/>
    </row>
    <row r="19" spans="1:22" ht="15" customHeight="1" x14ac:dyDescent="0.25">
      <c r="A19" s="20" t="s">
        <v>18</v>
      </c>
      <c r="B19" s="63" t="s">
        <v>313</v>
      </c>
      <c r="C19" s="109">
        <f t="shared" si="0"/>
        <v>130</v>
      </c>
      <c r="D19" s="20">
        <v>0</v>
      </c>
      <c r="E19" s="20"/>
      <c r="F19" s="20"/>
      <c r="G19" s="32" t="s">
        <v>95</v>
      </c>
      <c r="H19" s="20" t="s">
        <v>570</v>
      </c>
      <c r="I19" s="20">
        <v>333821</v>
      </c>
      <c r="J19" s="20">
        <v>131</v>
      </c>
      <c r="K19" s="20" t="s">
        <v>20</v>
      </c>
      <c r="L19" s="20">
        <v>1</v>
      </c>
      <c r="M19" s="34">
        <v>161616</v>
      </c>
      <c r="N19" s="34">
        <f t="shared" si="1"/>
        <v>161616</v>
      </c>
      <c r="O19" s="20" t="s">
        <v>21</v>
      </c>
      <c r="P19" s="20">
        <v>8</v>
      </c>
      <c r="T19" s="89"/>
      <c r="U19" s="89"/>
      <c r="V19" s="89"/>
    </row>
    <row r="20" spans="1:22" ht="15" customHeight="1" x14ac:dyDescent="0.25">
      <c r="A20" s="20" t="s">
        <v>18</v>
      </c>
      <c r="B20" s="63" t="s">
        <v>313</v>
      </c>
      <c r="C20" s="109">
        <f t="shared" si="0"/>
        <v>131</v>
      </c>
      <c r="D20" s="20">
        <v>1</v>
      </c>
      <c r="E20" s="20"/>
      <c r="F20" s="20"/>
      <c r="G20" s="32" t="s">
        <v>533</v>
      </c>
      <c r="H20" s="20" t="s">
        <v>547</v>
      </c>
      <c r="I20" s="20">
        <v>131</v>
      </c>
      <c r="J20" s="20">
        <v>5113</v>
      </c>
      <c r="K20" s="20" t="s">
        <v>20</v>
      </c>
      <c r="L20" s="20">
        <v>1</v>
      </c>
      <c r="M20" s="34">
        <v>22877778</v>
      </c>
      <c r="N20" s="34">
        <f t="shared" si="1"/>
        <v>22877778</v>
      </c>
      <c r="O20" s="20" t="s">
        <v>21</v>
      </c>
      <c r="P20" s="20">
        <v>9</v>
      </c>
      <c r="T20" s="89"/>
      <c r="U20" s="89"/>
      <c r="V20" s="89"/>
    </row>
    <row r="21" spans="1:22" ht="15" customHeight="1" x14ac:dyDescent="0.25">
      <c r="A21" s="20" t="s">
        <v>18</v>
      </c>
      <c r="B21" s="63" t="s">
        <v>313</v>
      </c>
      <c r="C21" s="109">
        <f t="shared" si="0"/>
        <v>131</v>
      </c>
      <c r="D21" s="20">
        <v>0</v>
      </c>
      <c r="E21" s="20"/>
      <c r="F21" s="20"/>
      <c r="G21" s="32" t="s">
        <v>533</v>
      </c>
      <c r="H21" s="20" t="s">
        <v>571</v>
      </c>
      <c r="I21" s="20">
        <v>333821</v>
      </c>
      <c r="J21" s="20">
        <v>131</v>
      </c>
      <c r="K21" s="20" t="s">
        <v>20</v>
      </c>
      <c r="L21" s="20">
        <v>1</v>
      </c>
      <c r="M21" s="34">
        <v>228778</v>
      </c>
      <c r="N21" s="34">
        <f t="shared" si="1"/>
        <v>228778</v>
      </c>
      <c r="O21" s="20" t="s">
        <v>21</v>
      </c>
      <c r="P21" s="20">
        <v>9</v>
      </c>
      <c r="T21" s="89"/>
      <c r="U21" s="89"/>
    </row>
    <row r="22" spans="1:22" ht="15" customHeight="1" x14ac:dyDescent="0.25">
      <c r="A22" s="20" t="s">
        <v>18</v>
      </c>
      <c r="B22" s="63" t="s">
        <v>316</v>
      </c>
      <c r="C22" s="109">
        <f t="shared" si="0"/>
        <v>132</v>
      </c>
      <c r="D22" s="20">
        <v>1</v>
      </c>
      <c r="E22" s="20"/>
      <c r="F22" s="20"/>
      <c r="G22" s="32" t="s">
        <v>534</v>
      </c>
      <c r="H22" s="20" t="s">
        <v>548</v>
      </c>
      <c r="I22" s="20">
        <v>131</v>
      </c>
      <c r="J22" s="20">
        <v>5113</v>
      </c>
      <c r="K22" s="20" t="s">
        <v>20</v>
      </c>
      <c r="L22" s="20">
        <v>1</v>
      </c>
      <c r="M22" s="34">
        <v>10752688</v>
      </c>
      <c r="N22" s="34">
        <f t="shared" si="1"/>
        <v>10752688</v>
      </c>
      <c r="O22" s="20" t="s">
        <v>21</v>
      </c>
      <c r="P22" s="20">
        <v>10</v>
      </c>
      <c r="S22"/>
    </row>
    <row r="23" spans="1:22" ht="15" customHeight="1" x14ac:dyDescent="0.25">
      <c r="A23" s="20" t="s">
        <v>18</v>
      </c>
      <c r="B23" s="63" t="s">
        <v>316</v>
      </c>
      <c r="C23" s="109">
        <f t="shared" si="0"/>
        <v>132</v>
      </c>
      <c r="D23" s="20">
        <v>0</v>
      </c>
      <c r="E23" s="20"/>
      <c r="F23" s="20"/>
      <c r="G23" s="32" t="s">
        <v>534</v>
      </c>
      <c r="H23" s="20" t="s">
        <v>572</v>
      </c>
      <c r="I23" s="20">
        <v>333821</v>
      </c>
      <c r="J23" s="20">
        <v>131</v>
      </c>
      <c r="K23" s="20" t="s">
        <v>20</v>
      </c>
      <c r="L23" s="20">
        <v>1</v>
      </c>
      <c r="M23" s="34">
        <v>107527</v>
      </c>
      <c r="N23" s="34">
        <f t="shared" si="1"/>
        <v>107527</v>
      </c>
      <c r="O23" s="20" t="s">
        <v>21</v>
      </c>
      <c r="P23" s="20">
        <v>10</v>
      </c>
      <c r="S23"/>
    </row>
    <row r="24" spans="1:22" ht="15" customHeight="1" x14ac:dyDescent="0.25">
      <c r="A24" s="20" t="s">
        <v>18</v>
      </c>
      <c r="B24" s="63" t="s">
        <v>316</v>
      </c>
      <c r="C24" s="109">
        <f t="shared" si="0"/>
        <v>133</v>
      </c>
      <c r="D24" s="20">
        <v>1</v>
      </c>
      <c r="E24" s="20"/>
      <c r="F24" s="20"/>
      <c r="G24" s="32" t="s">
        <v>535</v>
      </c>
      <c r="H24" s="20" t="s">
        <v>549</v>
      </c>
      <c r="I24" s="20">
        <v>131</v>
      </c>
      <c r="J24" s="20">
        <v>5113</v>
      </c>
      <c r="K24" s="20" t="s">
        <v>20</v>
      </c>
      <c r="L24" s="20">
        <v>1</v>
      </c>
      <c r="M24" s="34">
        <v>757575758</v>
      </c>
      <c r="N24" s="34">
        <f t="shared" si="1"/>
        <v>757575758</v>
      </c>
      <c r="O24" s="20" t="s">
        <v>21</v>
      </c>
      <c r="P24" s="20">
        <v>11</v>
      </c>
      <c r="S24"/>
    </row>
    <row r="25" spans="1:22" ht="15" customHeight="1" x14ac:dyDescent="0.25">
      <c r="A25" s="20" t="s">
        <v>18</v>
      </c>
      <c r="B25" s="63" t="s">
        <v>316</v>
      </c>
      <c r="C25" s="109">
        <f t="shared" si="0"/>
        <v>133</v>
      </c>
      <c r="D25" s="20">
        <v>0</v>
      </c>
      <c r="E25" s="20"/>
      <c r="F25" s="20"/>
      <c r="G25" s="32" t="s">
        <v>535</v>
      </c>
      <c r="H25" s="20" t="s">
        <v>573</v>
      </c>
      <c r="I25" s="20">
        <v>333821</v>
      </c>
      <c r="J25" s="20">
        <v>131</v>
      </c>
      <c r="K25" s="20" t="s">
        <v>20</v>
      </c>
      <c r="L25" s="20">
        <v>1</v>
      </c>
      <c r="M25" s="34">
        <v>7575758</v>
      </c>
      <c r="N25" s="34">
        <f t="shared" si="1"/>
        <v>7575758</v>
      </c>
      <c r="O25" s="20" t="s">
        <v>21</v>
      </c>
      <c r="P25" s="20">
        <v>11</v>
      </c>
      <c r="S25"/>
    </row>
    <row r="26" spans="1:22" ht="15" customHeight="1" x14ac:dyDescent="0.25">
      <c r="A26" s="20" t="s">
        <v>18</v>
      </c>
      <c r="B26" s="63" t="s">
        <v>319</v>
      </c>
      <c r="C26" s="109">
        <f t="shared" si="0"/>
        <v>134</v>
      </c>
      <c r="D26" s="20">
        <v>1</v>
      </c>
      <c r="E26" s="20"/>
      <c r="F26" s="20"/>
      <c r="G26" s="32" t="s">
        <v>533</v>
      </c>
      <c r="H26" s="20" t="s">
        <v>550</v>
      </c>
      <c r="I26" s="20">
        <v>131</v>
      </c>
      <c r="J26" s="20">
        <v>5113</v>
      </c>
      <c r="K26" s="20" t="s">
        <v>20</v>
      </c>
      <c r="L26" s="20">
        <v>1</v>
      </c>
      <c r="M26" s="34">
        <v>19941414</v>
      </c>
      <c r="N26" s="34">
        <f t="shared" si="1"/>
        <v>19941414</v>
      </c>
      <c r="O26" s="20" t="s">
        <v>21</v>
      </c>
      <c r="P26" s="20">
        <v>12</v>
      </c>
      <c r="S26"/>
    </row>
    <row r="27" spans="1:22" ht="15" customHeight="1" x14ac:dyDescent="0.25">
      <c r="A27" s="20" t="s">
        <v>18</v>
      </c>
      <c r="B27" s="63" t="s">
        <v>319</v>
      </c>
      <c r="C27" s="109">
        <f t="shared" si="0"/>
        <v>134</v>
      </c>
      <c r="D27" s="20">
        <v>0</v>
      </c>
      <c r="E27" s="20"/>
      <c r="F27" s="20"/>
      <c r="G27" s="32" t="s">
        <v>533</v>
      </c>
      <c r="H27" s="20" t="s">
        <v>574</v>
      </c>
      <c r="I27" s="20">
        <v>333821</v>
      </c>
      <c r="J27" s="20">
        <v>131</v>
      </c>
      <c r="K27" s="20" t="s">
        <v>20</v>
      </c>
      <c r="L27" s="20">
        <v>1</v>
      </c>
      <c r="M27" s="34">
        <v>199414</v>
      </c>
      <c r="N27" s="34">
        <f t="shared" si="1"/>
        <v>199414</v>
      </c>
      <c r="O27" s="20" t="s">
        <v>21</v>
      </c>
      <c r="P27" s="20">
        <v>12</v>
      </c>
      <c r="S27"/>
    </row>
    <row r="28" spans="1:22" ht="15" customHeight="1" x14ac:dyDescent="0.25">
      <c r="A28" s="20" t="s">
        <v>18</v>
      </c>
      <c r="B28" s="63" t="s">
        <v>522</v>
      </c>
      <c r="C28" s="109">
        <f t="shared" si="0"/>
        <v>135</v>
      </c>
      <c r="D28" s="20">
        <v>1</v>
      </c>
      <c r="E28" s="20"/>
      <c r="F28" s="20"/>
      <c r="G28" s="32" t="s">
        <v>536</v>
      </c>
      <c r="H28" s="20" t="s">
        <v>551</v>
      </c>
      <c r="I28" s="20">
        <v>131</v>
      </c>
      <c r="J28" s="20">
        <v>5113</v>
      </c>
      <c r="K28" s="20" t="s">
        <v>20</v>
      </c>
      <c r="L28" s="20">
        <v>1</v>
      </c>
      <c r="M28" s="34">
        <v>13978495</v>
      </c>
      <c r="N28" s="34">
        <f t="shared" si="1"/>
        <v>13978495</v>
      </c>
      <c r="O28" s="20" t="s">
        <v>21</v>
      </c>
      <c r="P28" s="20">
        <v>13</v>
      </c>
      <c r="S28"/>
    </row>
    <row r="29" spans="1:22" ht="15" customHeight="1" x14ac:dyDescent="0.25">
      <c r="A29" s="20" t="s">
        <v>18</v>
      </c>
      <c r="B29" s="63" t="s">
        <v>522</v>
      </c>
      <c r="C29" s="109">
        <f t="shared" si="0"/>
        <v>135</v>
      </c>
      <c r="D29" s="20">
        <v>0</v>
      </c>
      <c r="E29" s="20"/>
      <c r="F29" s="20"/>
      <c r="G29" s="32" t="s">
        <v>536</v>
      </c>
      <c r="H29" s="20" t="s">
        <v>575</v>
      </c>
      <c r="I29" s="20">
        <v>333821</v>
      </c>
      <c r="J29" s="20">
        <v>131</v>
      </c>
      <c r="K29" s="20" t="s">
        <v>20</v>
      </c>
      <c r="L29" s="20">
        <v>1</v>
      </c>
      <c r="M29" s="34">
        <v>139785</v>
      </c>
      <c r="N29" s="34">
        <f t="shared" si="1"/>
        <v>139785</v>
      </c>
      <c r="O29" s="20" t="s">
        <v>21</v>
      </c>
      <c r="P29" s="20">
        <v>13</v>
      </c>
      <c r="S29"/>
    </row>
    <row r="30" spans="1:22" ht="15" customHeight="1" x14ac:dyDescent="0.25">
      <c r="A30" s="20" t="s">
        <v>18</v>
      </c>
      <c r="B30" s="63" t="s">
        <v>514</v>
      </c>
      <c r="C30" s="109">
        <f t="shared" si="0"/>
        <v>136</v>
      </c>
      <c r="D30" s="20">
        <v>1</v>
      </c>
      <c r="E30" s="20"/>
      <c r="F30" s="20"/>
      <c r="G30" s="32" t="s">
        <v>62</v>
      </c>
      <c r="H30" s="20" t="s">
        <v>552</v>
      </c>
      <c r="I30" s="20">
        <v>131</v>
      </c>
      <c r="J30" s="20">
        <v>5113</v>
      </c>
      <c r="K30" s="20" t="s">
        <v>20</v>
      </c>
      <c r="L30" s="20">
        <v>1</v>
      </c>
      <c r="M30" s="34">
        <v>7987097</v>
      </c>
      <c r="N30" s="34">
        <f t="shared" si="1"/>
        <v>7987097</v>
      </c>
      <c r="O30" s="20" t="s">
        <v>21</v>
      </c>
      <c r="P30" s="20">
        <v>14</v>
      </c>
      <c r="S30"/>
    </row>
    <row r="31" spans="1:22" ht="15" customHeight="1" x14ac:dyDescent="0.25">
      <c r="A31" s="20" t="s">
        <v>18</v>
      </c>
      <c r="B31" s="63" t="s">
        <v>514</v>
      </c>
      <c r="C31" s="109">
        <f t="shared" si="0"/>
        <v>136</v>
      </c>
      <c r="D31" s="20">
        <v>0</v>
      </c>
      <c r="E31" s="20"/>
      <c r="F31" s="20"/>
      <c r="G31" s="32" t="s">
        <v>62</v>
      </c>
      <c r="H31" s="20" t="s">
        <v>576</v>
      </c>
      <c r="I31" s="20">
        <v>333821</v>
      </c>
      <c r="J31" s="20">
        <v>131</v>
      </c>
      <c r="K31" s="20" t="s">
        <v>20</v>
      </c>
      <c r="L31" s="20">
        <v>1</v>
      </c>
      <c r="M31" s="34">
        <v>79871</v>
      </c>
      <c r="N31" s="34">
        <f t="shared" si="1"/>
        <v>79871</v>
      </c>
      <c r="O31" s="20" t="s">
        <v>21</v>
      </c>
      <c r="P31" s="20">
        <v>14</v>
      </c>
      <c r="S31"/>
    </row>
    <row r="32" spans="1:22" ht="15" customHeight="1" x14ac:dyDescent="0.25">
      <c r="A32" s="20" t="s">
        <v>18</v>
      </c>
      <c r="B32" s="63" t="s">
        <v>452</v>
      </c>
      <c r="C32" s="109">
        <f t="shared" si="0"/>
        <v>137</v>
      </c>
      <c r="D32" s="20">
        <v>1</v>
      </c>
      <c r="E32" s="20"/>
      <c r="F32" s="20"/>
      <c r="G32" s="32" t="s">
        <v>537</v>
      </c>
      <c r="H32" s="20" t="s">
        <v>553</v>
      </c>
      <c r="I32" s="20">
        <v>131</v>
      </c>
      <c r="J32" s="20">
        <v>5113</v>
      </c>
      <c r="K32" s="20" t="s">
        <v>20</v>
      </c>
      <c r="L32" s="20">
        <v>1</v>
      </c>
      <c r="M32" s="34">
        <v>76352688</v>
      </c>
      <c r="N32" s="34">
        <f t="shared" si="1"/>
        <v>76352688</v>
      </c>
      <c r="O32" s="20" t="s">
        <v>21</v>
      </c>
      <c r="P32" s="20">
        <v>15</v>
      </c>
      <c r="S32"/>
    </row>
    <row r="33" spans="1:19" ht="15" customHeight="1" x14ac:dyDescent="0.25">
      <c r="A33" s="20" t="s">
        <v>18</v>
      </c>
      <c r="B33" s="63" t="s">
        <v>452</v>
      </c>
      <c r="C33" s="109">
        <f t="shared" si="0"/>
        <v>137</v>
      </c>
      <c r="D33" s="20">
        <v>0</v>
      </c>
      <c r="E33" s="20"/>
      <c r="F33" s="20"/>
      <c r="G33" s="32" t="s">
        <v>537</v>
      </c>
      <c r="H33" s="20" t="s">
        <v>577</v>
      </c>
      <c r="I33" s="20">
        <v>333821</v>
      </c>
      <c r="J33" s="20">
        <v>131</v>
      </c>
      <c r="K33" s="20" t="s">
        <v>20</v>
      </c>
      <c r="L33" s="20">
        <v>1</v>
      </c>
      <c r="M33" s="34">
        <v>763527</v>
      </c>
      <c r="N33" s="34">
        <f t="shared" si="1"/>
        <v>763527</v>
      </c>
      <c r="O33" s="20" t="s">
        <v>21</v>
      </c>
      <c r="P33" s="20">
        <v>15</v>
      </c>
      <c r="S33"/>
    </row>
    <row r="34" spans="1:19" ht="15" customHeight="1" x14ac:dyDescent="0.25">
      <c r="A34" s="20" t="s">
        <v>18</v>
      </c>
      <c r="B34" s="63" t="s">
        <v>453</v>
      </c>
      <c r="C34" s="109">
        <f t="shared" si="0"/>
        <v>138</v>
      </c>
      <c r="D34" s="20">
        <v>1</v>
      </c>
      <c r="E34" s="20"/>
      <c r="F34" s="20"/>
      <c r="G34" s="32" t="s">
        <v>95</v>
      </c>
      <c r="H34" s="20" t="s">
        <v>554</v>
      </c>
      <c r="I34" s="20">
        <v>131</v>
      </c>
      <c r="J34" s="20">
        <v>5113</v>
      </c>
      <c r="K34" s="20" t="s">
        <v>20</v>
      </c>
      <c r="L34" s="20">
        <v>1</v>
      </c>
      <c r="M34" s="34">
        <v>16161616</v>
      </c>
      <c r="N34" s="34">
        <f t="shared" si="1"/>
        <v>16161616</v>
      </c>
      <c r="O34" s="20" t="s">
        <v>21</v>
      </c>
      <c r="P34" s="20">
        <v>16</v>
      </c>
      <c r="S34"/>
    </row>
    <row r="35" spans="1:19" ht="15" customHeight="1" x14ac:dyDescent="0.25">
      <c r="A35" s="20" t="s">
        <v>18</v>
      </c>
      <c r="B35" s="63" t="s">
        <v>453</v>
      </c>
      <c r="C35" s="109">
        <f t="shared" si="0"/>
        <v>138</v>
      </c>
      <c r="D35" s="20">
        <v>0</v>
      </c>
      <c r="E35" s="20"/>
      <c r="F35" s="20"/>
      <c r="G35" s="32" t="s">
        <v>95</v>
      </c>
      <c r="H35" s="20" t="s">
        <v>578</v>
      </c>
      <c r="I35" s="20">
        <v>333821</v>
      </c>
      <c r="J35" s="20">
        <v>131</v>
      </c>
      <c r="K35" s="20" t="s">
        <v>20</v>
      </c>
      <c r="L35" s="20">
        <v>1</v>
      </c>
      <c r="M35" s="34">
        <v>161616</v>
      </c>
      <c r="N35" s="34">
        <f t="shared" si="1"/>
        <v>161616</v>
      </c>
      <c r="O35" s="20" t="s">
        <v>21</v>
      </c>
      <c r="P35" s="20">
        <v>16</v>
      </c>
      <c r="S35"/>
    </row>
    <row r="36" spans="1:19" ht="15" customHeight="1" x14ac:dyDescent="0.25">
      <c r="A36" s="20" t="s">
        <v>18</v>
      </c>
      <c r="B36" s="63" t="s">
        <v>453</v>
      </c>
      <c r="C36" s="109">
        <f t="shared" ref="C36:C67" si="2">C35+D36</f>
        <v>139</v>
      </c>
      <c r="D36" s="20">
        <v>1</v>
      </c>
      <c r="E36" s="20"/>
      <c r="F36" s="20"/>
      <c r="G36" s="32" t="s">
        <v>537</v>
      </c>
      <c r="H36" s="20" t="s">
        <v>555</v>
      </c>
      <c r="I36" s="20">
        <v>131</v>
      </c>
      <c r="J36" s="20">
        <v>5113</v>
      </c>
      <c r="K36" s="20" t="s">
        <v>20</v>
      </c>
      <c r="L36" s="20">
        <v>1</v>
      </c>
      <c r="M36" s="34">
        <v>0</v>
      </c>
      <c r="N36" s="34">
        <f t="shared" ref="N36:N67" si="3">L36*M36</f>
        <v>0</v>
      </c>
      <c r="O36" s="20" t="s">
        <v>21</v>
      </c>
      <c r="P36" s="20">
        <v>17</v>
      </c>
      <c r="S36"/>
    </row>
    <row r="37" spans="1:19" ht="15" customHeight="1" x14ac:dyDescent="0.25">
      <c r="A37" s="20" t="s">
        <v>18</v>
      </c>
      <c r="B37" s="63" t="s">
        <v>453</v>
      </c>
      <c r="C37" s="109">
        <f t="shared" si="2"/>
        <v>139</v>
      </c>
      <c r="D37" s="20">
        <v>0</v>
      </c>
      <c r="E37" s="20"/>
      <c r="F37" s="20"/>
      <c r="G37" s="32" t="s">
        <v>537</v>
      </c>
      <c r="H37" s="20" t="s">
        <v>579</v>
      </c>
      <c r="I37" s="20">
        <v>333821</v>
      </c>
      <c r="J37" s="20">
        <v>131</v>
      </c>
      <c r="K37" s="20" t="s">
        <v>20</v>
      </c>
      <c r="L37" s="20">
        <v>1</v>
      </c>
      <c r="M37" s="34">
        <v>0</v>
      </c>
      <c r="N37" s="34">
        <f t="shared" si="3"/>
        <v>0</v>
      </c>
      <c r="O37" s="20" t="s">
        <v>21</v>
      </c>
      <c r="P37" s="20">
        <v>17</v>
      </c>
      <c r="S37"/>
    </row>
    <row r="38" spans="1:19" ht="15" customHeight="1" x14ac:dyDescent="0.25">
      <c r="A38" s="20" t="s">
        <v>18</v>
      </c>
      <c r="B38" s="63" t="s">
        <v>523</v>
      </c>
      <c r="C38" s="109">
        <f t="shared" si="2"/>
        <v>140</v>
      </c>
      <c r="D38" s="20">
        <v>1</v>
      </c>
      <c r="E38" s="20"/>
      <c r="F38" s="20"/>
      <c r="G38" s="32" t="s">
        <v>47</v>
      </c>
      <c r="H38" s="20" t="s">
        <v>556</v>
      </c>
      <c r="I38" s="20">
        <v>131</v>
      </c>
      <c r="J38" s="20">
        <v>5113</v>
      </c>
      <c r="K38" s="20" t="s">
        <v>20</v>
      </c>
      <c r="L38" s="20">
        <v>1</v>
      </c>
      <c r="M38" s="34">
        <v>16129032</v>
      </c>
      <c r="N38" s="34">
        <f t="shared" si="3"/>
        <v>16129032</v>
      </c>
      <c r="O38" s="20" t="s">
        <v>21</v>
      </c>
      <c r="P38" s="20">
        <v>18</v>
      </c>
      <c r="S38"/>
    </row>
    <row r="39" spans="1:19" ht="15" customHeight="1" x14ac:dyDescent="0.25">
      <c r="A39" s="20" t="s">
        <v>18</v>
      </c>
      <c r="B39" s="63" t="s">
        <v>523</v>
      </c>
      <c r="C39" s="109">
        <f t="shared" si="2"/>
        <v>140</v>
      </c>
      <c r="D39" s="20">
        <v>0</v>
      </c>
      <c r="E39" s="20"/>
      <c r="F39" s="20"/>
      <c r="G39" s="32" t="s">
        <v>47</v>
      </c>
      <c r="H39" s="20" t="s">
        <v>580</v>
      </c>
      <c r="I39" s="20">
        <v>333821</v>
      </c>
      <c r="J39" s="20">
        <v>131</v>
      </c>
      <c r="K39" s="20" t="s">
        <v>20</v>
      </c>
      <c r="L39" s="20">
        <v>1</v>
      </c>
      <c r="M39" s="34">
        <v>161290</v>
      </c>
      <c r="N39" s="34">
        <f t="shared" si="3"/>
        <v>161290</v>
      </c>
      <c r="O39" s="20" t="s">
        <v>21</v>
      </c>
      <c r="P39" s="20">
        <v>18</v>
      </c>
      <c r="S39"/>
    </row>
    <row r="40" spans="1:19" ht="15" customHeight="1" x14ac:dyDescent="0.25">
      <c r="A40" s="20" t="s">
        <v>18</v>
      </c>
      <c r="B40" s="63" t="s">
        <v>523</v>
      </c>
      <c r="C40" s="109">
        <f t="shared" si="2"/>
        <v>141</v>
      </c>
      <c r="D40" s="20">
        <v>1</v>
      </c>
      <c r="E40" s="20"/>
      <c r="F40" s="20"/>
      <c r="G40" s="32" t="s">
        <v>537</v>
      </c>
      <c r="H40" s="20" t="s">
        <v>557</v>
      </c>
      <c r="I40" s="20">
        <v>131</v>
      </c>
      <c r="J40" s="20">
        <v>5113</v>
      </c>
      <c r="K40" s="20" t="s">
        <v>20</v>
      </c>
      <c r="L40" s="20">
        <v>1</v>
      </c>
      <c r="M40" s="34">
        <v>68030107</v>
      </c>
      <c r="N40" s="34">
        <f t="shared" si="3"/>
        <v>68030107</v>
      </c>
      <c r="O40" s="20" t="s">
        <v>21</v>
      </c>
      <c r="P40" s="20">
        <v>19</v>
      </c>
      <c r="S40"/>
    </row>
    <row r="41" spans="1:19" ht="15" customHeight="1" x14ac:dyDescent="0.25">
      <c r="A41" s="20" t="s">
        <v>18</v>
      </c>
      <c r="B41" s="63" t="s">
        <v>523</v>
      </c>
      <c r="C41" s="109">
        <f t="shared" si="2"/>
        <v>141</v>
      </c>
      <c r="D41" s="20">
        <v>0</v>
      </c>
      <c r="E41" s="20"/>
      <c r="F41" s="20"/>
      <c r="G41" s="32" t="s">
        <v>537</v>
      </c>
      <c r="H41" s="20" t="s">
        <v>581</v>
      </c>
      <c r="I41" s="20">
        <v>333821</v>
      </c>
      <c r="J41" s="20">
        <v>131</v>
      </c>
      <c r="K41" s="20" t="s">
        <v>20</v>
      </c>
      <c r="L41" s="20">
        <v>1</v>
      </c>
      <c r="M41" s="34">
        <v>680301</v>
      </c>
      <c r="N41" s="34">
        <f t="shared" si="3"/>
        <v>680301</v>
      </c>
      <c r="O41" s="20" t="s">
        <v>21</v>
      </c>
      <c r="P41" s="20">
        <v>19</v>
      </c>
      <c r="S41"/>
    </row>
    <row r="42" spans="1:19" ht="15" customHeight="1" x14ac:dyDescent="0.25">
      <c r="A42" s="20" t="s">
        <v>18</v>
      </c>
      <c r="B42" s="63" t="s">
        <v>524</v>
      </c>
      <c r="C42" s="109">
        <f t="shared" si="2"/>
        <v>142</v>
      </c>
      <c r="D42" s="20">
        <v>1</v>
      </c>
      <c r="E42" s="20"/>
      <c r="F42" s="20"/>
      <c r="G42" s="32" t="s">
        <v>530</v>
      </c>
      <c r="H42" s="20" t="s">
        <v>558</v>
      </c>
      <c r="I42" s="20">
        <v>131</v>
      </c>
      <c r="J42" s="20">
        <v>5113</v>
      </c>
      <c r="K42" s="20" t="s">
        <v>20</v>
      </c>
      <c r="L42" s="20">
        <v>1</v>
      </c>
      <c r="M42" s="34">
        <v>16129032</v>
      </c>
      <c r="N42" s="34">
        <f t="shared" si="3"/>
        <v>16129032</v>
      </c>
      <c r="O42" s="20" t="s">
        <v>21</v>
      </c>
      <c r="P42" s="20">
        <v>20</v>
      </c>
      <c r="S42"/>
    </row>
    <row r="43" spans="1:19" ht="15" customHeight="1" x14ac:dyDescent="0.25">
      <c r="A43" s="20" t="s">
        <v>18</v>
      </c>
      <c r="B43" s="63" t="s">
        <v>524</v>
      </c>
      <c r="C43" s="109">
        <f t="shared" si="2"/>
        <v>142</v>
      </c>
      <c r="D43" s="20">
        <v>0</v>
      </c>
      <c r="E43" s="20"/>
      <c r="F43" s="20"/>
      <c r="G43" s="32" t="s">
        <v>530</v>
      </c>
      <c r="H43" s="20" t="s">
        <v>582</v>
      </c>
      <c r="I43" s="20">
        <v>333821</v>
      </c>
      <c r="J43" s="20">
        <v>131</v>
      </c>
      <c r="K43" s="20" t="s">
        <v>20</v>
      </c>
      <c r="L43" s="20">
        <v>1</v>
      </c>
      <c r="M43" s="34">
        <v>161290</v>
      </c>
      <c r="N43" s="34">
        <f t="shared" si="3"/>
        <v>161290</v>
      </c>
      <c r="O43" s="20" t="s">
        <v>21</v>
      </c>
      <c r="P43" s="20">
        <v>20</v>
      </c>
      <c r="S43"/>
    </row>
    <row r="44" spans="1:19" ht="15" customHeight="1" x14ac:dyDescent="0.25">
      <c r="A44" s="20" t="s">
        <v>18</v>
      </c>
      <c r="B44" s="63" t="s">
        <v>454</v>
      </c>
      <c r="C44" s="109">
        <f t="shared" si="2"/>
        <v>143</v>
      </c>
      <c r="D44" s="20">
        <v>1</v>
      </c>
      <c r="E44" s="20"/>
      <c r="F44" s="20"/>
      <c r="G44" s="32" t="s">
        <v>529</v>
      </c>
      <c r="H44" s="20" t="s">
        <v>851</v>
      </c>
      <c r="I44" s="20">
        <v>131</v>
      </c>
      <c r="J44" s="20">
        <v>5113</v>
      </c>
      <c r="K44" s="20" t="s">
        <v>20</v>
      </c>
      <c r="L44" s="20">
        <v>1</v>
      </c>
      <c r="M44" s="34">
        <v>39569892</v>
      </c>
      <c r="N44" s="34">
        <f t="shared" si="3"/>
        <v>39569892</v>
      </c>
      <c r="O44" s="20" t="s">
        <v>21</v>
      </c>
      <c r="P44" s="20">
        <v>21</v>
      </c>
      <c r="S44"/>
    </row>
    <row r="45" spans="1:19" ht="15" customHeight="1" x14ac:dyDescent="0.25">
      <c r="A45" s="20" t="s">
        <v>18</v>
      </c>
      <c r="B45" s="63" t="s">
        <v>454</v>
      </c>
      <c r="C45" s="109">
        <f t="shared" si="2"/>
        <v>143</v>
      </c>
      <c r="D45" s="20">
        <v>0</v>
      </c>
      <c r="E45" s="20"/>
      <c r="F45" s="20"/>
      <c r="G45" s="32" t="s">
        <v>529</v>
      </c>
      <c r="H45" s="20" t="s">
        <v>852</v>
      </c>
      <c r="I45" s="20">
        <v>333821</v>
      </c>
      <c r="J45" s="20">
        <v>131</v>
      </c>
      <c r="K45" s="20" t="s">
        <v>20</v>
      </c>
      <c r="L45" s="20">
        <v>1</v>
      </c>
      <c r="M45" s="34">
        <v>395698</v>
      </c>
      <c r="N45" s="34">
        <f t="shared" si="3"/>
        <v>395698</v>
      </c>
      <c r="O45" s="20" t="s">
        <v>21</v>
      </c>
      <c r="P45" s="20">
        <v>21</v>
      </c>
      <c r="S45"/>
    </row>
    <row r="46" spans="1:19" ht="15" customHeight="1" x14ac:dyDescent="0.25">
      <c r="A46" s="20" t="s">
        <v>18</v>
      </c>
      <c r="B46" s="63" t="s">
        <v>525</v>
      </c>
      <c r="C46" s="109">
        <f t="shared" si="2"/>
        <v>144</v>
      </c>
      <c r="D46" s="20">
        <v>1</v>
      </c>
      <c r="E46" s="20"/>
      <c r="F46" s="20"/>
      <c r="G46" s="32" t="s">
        <v>537</v>
      </c>
      <c r="H46" s="20" t="s">
        <v>559</v>
      </c>
      <c r="I46" s="20">
        <v>131</v>
      </c>
      <c r="J46" s="20">
        <v>5113</v>
      </c>
      <c r="K46" s="20" t="s">
        <v>20</v>
      </c>
      <c r="L46" s="20">
        <v>1</v>
      </c>
      <c r="M46" s="34">
        <v>19329032</v>
      </c>
      <c r="N46" s="34">
        <f t="shared" si="3"/>
        <v>19329032</v>
      </c>
      <c r="O46" s="20" t="s">
        <v>21</v>
      </c>
      <c r="P46" s="20">
        <v>22</v>
      </c>
      <c r="S46"/>
    </row>
    <row r="47" spans="1:19" ht="15" customHeight="1" x14ac:dyDescent="0.25">
      <c r="A47" s="20" t="s">
        <v>18</v>
      </c>
      <c r="B47" s="63" t="s">
        <v>525</v>
      </c>
      <c r="C47" s="109">
        <f t="shared" si="2"/>
        <v>144</v>
      </c>
      <c r="D47" s="20">
        <v>0</v>
      </c>
      <c r="E47" s="20"/>
      <c r="F47" s="20"/>
      <c r="G47" s="32" t="s">
        <v>537</v>
      </c>
      <c r="H47" s="20" t="s">
        <v>583</v>
      </c>
      <c r="I47" s="20">
        <v>333821</v>
      </c>
      <c r="J47" s="20">
        <v>131</v>
      </c>
      <c r="K47" s="20" t="s">
        <v>20</v>
      </c>
      <c r="L47" s="20">
        <v>1</v>
      </c>
      <c r="M47" s="34">
        <v>193290</v>
      </c>
      <c r="N47" s="34">
        <f t="shared" si="3"/>
        <v>193290</v>
      </c>
      <c r="O47" s="20" t="s">
        <v>21</v>
      </c>
      <c r="P47" s="20">
        <v>22</v>
      </c>
      <c r="S47"/>
    </row>
    <row r="48" spans="1:19" ht="15" customHeight="1" x14ac:dyDescent="0.25">
      <c r="A48" s="20" t="s">
        <v>18</v>
      </c>
      <c r="B48" s="63" t="s">
        <v>526</v>
      </c>
      <c r="C48" s="109">
        <f t="shared" si="2"/>
        <v>145</v>
      </c>
      <c r="D48" s="20">
        <v>1</v>
      </c>
      <c r="E48" s="20"/>
      <c r="F48" s="20"/>
      <c r="G48" s="32" t="s">
        <v>538</v>
      </c>
      <c r="H48" s="20" t="s">
        <v>560</v>
      </c>
      <c r="I48" s="20">
        <v>131</v>
      </c>
      <c r="J48" s="20">
        <v>5113</v>
      </c>
      <c r="K48" s="20" t="s">
        <v>20</v>
      </c>
      <c r="L48" s="20">
        <v>1</v>
      </c>
      <c r="M48" s="34">
        <v>80645161</v>
      </c>
      <c r="N48" s="34">
        <f t="shared" si="3"/>
        <v>80645161</v>
      </c>
      <c r="O48" s="20" t="s">
        <v>21</v>
      </c>
      <c r="P48" s="20">
        <v>23</v>
      </c>
      <c r="S48"/>
    </row>
    <row r="49" spans="1:19" ht="15" customHeight="1" x14ac:dyDescent="0.25">
      <c r="A49" s="20" t="s">
        <v>18</v>
      </c>
      <c r="B49" s="63" t="s">
        <v>526</v>
      </c>
      <c r="C49" s="109">
        <f t="shared" si="2"/>
        <v>145</v>
      </c>
      <c r="D49" s="20">
        <v>0</v>
      </c>
      <c r="E49" s="20"/>
      <c r="F49" s="20"/>
      <c r="G49" s="32" t="s">
        <v>538</v>
      </c>
      <c r="H49" s="20" t="s">
        <v>584</v>
      </c>
      <c r="I49" s="20">
        <v>333821</v>
      </c>
      <c r="J49" s="20">
        <v>131</v>
      </c>
      <c r="K49" s="20" t="s">
        <v>20</v>
      </c>
      <c r="L49" s="20">
        <v>1</v>
      </c>
      <c r="M49" s="34">
        <v>806452</v>
      </c>
      <c r="N49" s="34">
        <f t="shared" si="3"/>
        <v>806452</v>
      </c>
      <c r="O49" s="20" t="s">
        <v>21</v>
      </c>
      <c r="P49" s="20">
        <v>23</v>
      </c>
      <c r="S49"/>
    </row>
    <row r="50" spans="1:19" ht="15" customHeight="1" x14ac:dyDescent="0.25">
      <c r="A50" s="20" t="s">
        <v>18</v>
      </c>
      <c r="B50" s="63" t="s">
        <v>380</v>
      </c>
      <c r="C50" s="109">
        <f t="shared" si="2"/>
        <v>146</v>
      </c>
      <c r="D50" s="20">
        <v>1</v>
      </c>
      <c r="E50" s="20"/>
      <c r="F50" s="20"/>
      <c r="G50" s="32" t="s">
        <v>62</v>
      </c>
      <c r="H50" s="20" t="s">
        <v>853</v>
      </c>
      <c r="I50" s="20">
        <v>131</v>
      </c>
      <c r="J50" s="20">
        <v>5113</v>
      </c>
      <c r="K50" s="20" t="s">
        <v>20</v>
      </c>
      <c r="L50" s="20">
        <v>1</v>
      </c>
      <c r="M50" s="34">
        <v>5376344</v>
      </c>
      <c r="N50" s="34">
        <f t="shared" si="3"/>
        <v>5376344</v>
      </c>
      <c r="O50" s="20" t="s">
        <v>21</v>
      </c>
      <c r="P50" s="20">
        <v>24</v>
      </c>
      <c r="S50"/>
    </row>
    <row r="51" spans="1:19" ht="15" customHeight="1" x14ac:dyDescent="0.25">
      <c r="A51" s="20" t="s">
        <v>18</v>
      </c>
      <c r="B51" s="63" t="s">
        <v>380</v>
      </c>
      <c r="C51" s="109">
        <f t="shared" si="2"/>
        <v>146</v>
      </c>
      <c r="D51" s="20">
        <v>0</v>
      </c>
      <c r="E51" s="20"/>
      <c r="F51" s="20"/>
      <c r="G51" s="32" t="s">
        <v>62</v>
      </c>
      <c r="H51" s="20" t="s">
        <v>854</v>
      </c>
      <c r="I51" s="20">
        <v>333821</v>
      </c>
      <c r="J51" s="20">
        <v>131</v>
      </c>
      <c r="K51" s="20" t="s">
        <v>20</v>
      </c>
      <c r="L51" s="20">
        <v>1</v>
      </c>
      <c r="M51" s="34">
        <v>53763</v>
      </c>
      <c r="N51" s="34">
        <f t="shared" si="3"/>
        <v>53763</v>
      </c>
      <c r="O51" s="20" t="s">
        <v>21</v>
      </c>
      <c r="P51" s="20">
        <v>24</v>
      </c>
      <c r="S51"/>
    </row>
    <row r="52" spans="1:19" ht="15" customHeight="1" x14ac:dyDescent="0.25">
      <c r="A52" s="20" t="s">
        <v>18</v>
      </c>
      <c r="B52" s="63" t="s">
        <v>527</v>
      </c>
      <c r="C52" s="109">
        <f t="shared" si="2"/>
        <v>147</v>
      </c>
      <c r="D52" s="20">
        <v>1</v>
      </c>
      <c r="E52" s="20"/>
      <c r="F52" s="20"/>
      <c r="G52" s="32" t="s">
        <v>94</v>
      </c>
      <c r="H52" s="20" t="s">
        <v>855</v>
      </c>
      <c r="I52" s="20">
        <v>131</v>
      </c>
      <c r="J52" s="20">
        <v>5113</v>
      </c>
      <c r="K52" s="20" t="s">
        <v>20</v>
      </c>
      <c r="L52" s="20">
        <v>1</v>
      </c>
      <c r="M52" s="34">
        <v>36290322</v>
      </c>
      <c r="N52" s="34">
        <f t="shared" si="3"/>
        <v>36290322</v>
      </c>
      <c r="O52" s="20" t="s">
        <v>21</v>
      </c>
      <c r="P52" s="20">
        <v>25</v>
      </c>
      <c r="S52"/>
    </row>
    <row r="53" spans="1:19" ht="15" customHeight="1" x14ac:dyDescent="0.25">
      <c r="A53" s="20" t="s">
        <v>18</v>
      </c>
      <c r="B53" s="63" t="s">
        <v>527</v>
      </c>
      <c r="C53" s="109">
        <f t="shared" si="2"/>
        <v>147</v>
      </c>
      <c r="D53" s="20">
        <v>0</v>
      </c>
      <c r="E53" s="20"/>
      <c r="F53" s="20"/>
      <c r="G53" s="32" t="s">
        <v>94</v>
      </c>
      <c r="H53" s="20" t="s">
        <v>856</v>
      </c>
      <c r="I53" s="20">
        <v>333821</v>
      </c>
      <c r="J53" s="20">
        <v>131</v>
      </c>
      <c r="K53" s="20" t="s">
        <v>20</v>
      </c>
      <c r="L53" s="20">
        <v>1</v>
      </c>
      <c r="M53" s="34">
        <v>362903</v>
      </c>
      <c r="N53" s="34">
        <f t="shared" si="3"/>
        <v>362903</v>
      </c>
      <c r="O53" s="20" t="s">
        <v>21</v>
      </c>
      <c r="P53" s="20">
        <v>25</v>
      </c>
      <c r="S53"/>
    </row>
    <row r="54" spans="1:19" ht="15" customHeight="1" x14ac:dyDescent="0.25">
      <c r="A54" s="20" t="s">
        <v>18</v>
      </c>
      <c r="B54" s="63" t="s">
        <v>516</v>
      </c>
      <c r="C54" s="109">
        <f t="shared" si="2"/>
        <v>148</v>
      </c>
      <c r="D54" s="20">
        <v>1</v>
      </c>
      <c r="E54" s="20"/>
      <c r="F54" s="20"/>
      <c r="G54" s="32" t="s">
        <v>533</v>
      </c>
      <c r="H54" s="20" t="s">
        <v>561</v>
      </c>
      <c r="I54" s="20">
        <v>131</v>
      </c>
      <c r="J54" s="20">
        <v>5113</v>
      </c>
      <c r="K54" s="20" t="s">
        <v>20</v>
      </c>
      <c r="L54" s="20">
        <v>1</v>
      </c>
      <c r="M54" s="34">
        <v>50885859</v>
      </c>
      <c r="N54" s="34">
        <f t="shared" si="3"/>
        <v>50885859</v>
      </c>
      <c r="O54" s="20" t="s">
        <v>21</v>
      </c>
      <c r="P54" s="20">
        <v>26</v>
      </c>
      <c r="S54"/>
    </row>
    <row r="55" spans="1:19" ht="15" customHeight="1" x14ac:dyDescent="0.25">
      <c r="A55" s="20" t="s">
        <v>18</v>
      </c>
      <c r="B55" s="63" t="s">
        <v>516</v>
      </c>
      <c r="C55" s="109">
        <f t="shared" si="2"/>
        <v>148</v>
      </c>
      <c r="D55" s="20">
        <v>0</v>
      </c>
      <c r="E55" s="20"/>
      <c r="F55" s="20"/>
      <c r="G55" s="32" t="s">
        <v>533</v>
      </c>
      <c r="H55" s="20" t="s">
        <v>585</v>
      </c>
      <c r="I55" s="20">
        <v>333821</v>
      </c>
      <c r="J55" s="20">
        <v>131</v>
      </c>
      <c r="K55" s="20" t="s">
        <v>20</v>
      </c>
      <c r="L55" s="20">
        <v>1</v>
      </c>
      <c r="M55" s="34">
        <v>508859</v>
      </c>
      <c r="N55" s="34">
        <f t="shared" si="3"/>
        <v>508859</v>
      </c>
      <c r="O55" s="20" t="s">
        <v>21</v>
      </c>
      <c r="P55" s="20">
        <v>26</v>
      </c>
      <c r="S55"/>
    </row>
    <row r="56" spans="1:19" ht="15" customHeight="1" x14ac:dyDescent="0.25">
      <c r="A56" s="20" t="s">
        <v>18</v>
      </c>
      <c r="B56" s="63" t="s">
        <v>383</v>
      </c>
      <c r="C56" s="109">
        <f t="shared" si="2"/>
        <v>149</v>
      </c>
      <c r="D56" s="20">
        <v>1</v>
      </c>
      <c r="E56" s="20"/>
      <c r="F56" s="20"/>
      <c r="G56" s="32" t="s">
        <v>537</v>
      </c>
      <c r="H56" s="20" t="s">
        <v>562</v>
      </c>
      <c r="I56" s="20">
        <v>131</v>
      </c>
      <c r="J56" s="20">
        <v>5113</v>
      </c>
      <c r="K56" s="20" t="s">
        <v>20</v>
      </c>
      <c r="L56" s="20">
        <v>1</v>
      </c>
      <c r="M56" s="34">
        <v>57948387</v>
      </c>
      <c r="N56" s="34">
        <f t="shared" si="3"/>
        <v>57948387</v>
      </c>
      <c r="O56" s="20" t="s">
        <v>21</v>
      </c>
      <c r="P56" s="20">
        <v>27</v>
      </c>
      <c r="S56"/>
    </row>
    <row r="57" spans="1:19" ht="15" customHeight="1" x14ac:dyDescent="0.25">
      <c r="A57" s="20" t="s">
        <v>18</v>
      </c>
      <c r="B57" s="63" t="s">
        <v>383</v>
      </c>
      <c r="C57" s="109">
        <f t="shared" si="2"/>
        <v>149</v>
      </c>
      <c r="D57" s="20">
        <v>0</v>
      </c>
      <c r="E57" s="20"/>
      <c r="F57" s="20"/>
      <c r="G57" s="32" t="s">
        <v>537</v>
      </c>
      <c r="H57" s="20" t="s">
        <v>586</v>
      </c>
      <c r="I57" s="20">
        <v>333821</v>
      </c>
      <c r="J57" s="20">
        <v>131</v>
      </c>
      <c r="K57" s="20" t="s">
        <v>20</v>
      </c>
      <c r="L57" s="20">
        <v>1</v>
      </c>
      <c r="M57" s="34">
        <v>579484</v>
      </c>
      <c r="N57" s="34">
        <f t="shared" si="3"/>
        <v>579484</v>
      </c>
      <c r="O57" s="20" t="s">
        <v>21</v>
      </c>
      <c r="P57" s="20">
        <v>27</v>
      </c>
      <c r="S57"/>
    </row>
    <row r="58" spans="1:19" ht="15" customHeight="1" x14ac:dyDescent="0.25">
      <c r="A58" s="20" t="s">
        <v>18</v>
      </c>
      <c r="B58" s="63" t="s">
        <v>320</v>
      </c>
      <c r="C58" s="109">
        <f t="shared" si="2"/>
        <v>150</v>
      </c>
      <c r="D58" s="20">
        <v>1</v>
      </c>
      <c r="E58" s="20"/>
      <c r="F58" s="20"/>
      <c r="G58" s="32" t="s">
        <v>539</v>
      </c>
      <c r="H58" s="20" t="s">
        <v>563</v>
      </c>
      <c r="I58" s="20">
        <v>131</v>
      </c>
      <c r="J58" s="20">
        <v>5113</v>
      </c>
      <c r="K58" s="20" t="s">
        <v>20</v>
      </c>
      <c r="L58" s="20">
        <v>1</v>
      </c>
      <c r="M58" s="34">
        <v>30107527</v>
      </c>
      <c r="N58" s="34">
        <f t="shared" si="3"/>
        <v>30107527</v>
      </c>
      <c r="O58" s="20" t="s">
        <v>21</v>
      </c>
      <c r="P58" s="20">
        <v>28</v>
      </c>
      <c r="S58"/>
    </row>
    <row r="59" spans="1:19" ht="15" customHeight="1" x14ac:dyDescent="0.25">
      <c r="A59" s="20" t="s">
        <v>18</v>
      </c>
      <c r="B59" s="63" t="s">
        <v>320</v>
      </c>
      <c r="C59" s="109">
        <f t="shared" si="2"/>
        <v>150</v>
      </c>
      <c r="D59" s="20">
        <v>0</v>
      </c>
      <c r="E59" s="20"/>
      <c r="F59" s="20"/>
      <c r="G59" s="32" t="s">
        <v>539</v>
      </c>
      <c r="H59" s="20" t="s">
        <v>587</v>
      </c>
      <c r="I59" s="20">
        <v>333821</v>
      </c>
      <c r="J59" s="20">
        <v>131</v>
      </c>
      <c r="K59" s="20" t="s">
        <v>20</v>
      </c>
      <c r="L59" s="20">
        <v>1</v>
      </c>
      <c r="M59" s="34">
        <v>301075</v>
      </c>
      <c r="N59" s="34">
        <f t="shared" si="3"/>
        <v>301075</v>
      </c>
      <c r="O59" s="20" t="s">
        <v>21</v>
      </c>
      <c r="P59" s="20">
        <v>28</v>
      </c>
      <c r="S59"/>
    </row>
    <row r="60" spans="1:19" ht="15" customHeight="1" x14ac:dyDescent="0.25">
      <c r="A60" s="20" t="s">
        <v>18</v>
      </c>
      <c r="B60" s="63" t="s">
        <v>443</v>
      </c>
      <c r="C60" s="109">
        <f t="shared" si="2"/>
        <v>151</v>
      </c>
      <c r="D60" s="20">
        <v>1</v>
      </c>
      <c r="E60" s="20"/>
      <c r="F60" s="20"/>
      <c r="G60" s="32" t="s">
        <v>48</v>
      </c>
      <c r="H60" s="20" t="s">
        <v>590</v>
      </c>
      <c r="I60" s="20">
        <v>64277</v>
      </c>
      <c r="J60" s="20">
        <v>331</v>
      </c>
      <c r="K60" s="20" t="s">
        <v>20</v>
      </c>
      <c r="L60" s="20">
        <v>1</v>
      </c>
      <c r="M60" s="34">
        <v>12995</v>
      </c>
      <c r="N60" s="34">
        <f t="shared" si="3"/>
        <v>12995</v>
      </c>
      <c r="O60" s="20" t="s">
        <v>21</v>
      </c>
      <c r="P60" s="20">
        <v>29</v>
      </c>
      <c r="S60"/>
    </row>
    <row r="61" spans="1:19" ht="15" customHeight="1" x14ac:dyDescent="0.25">
      <c r="A61" s="20" t="s">
        <v>18</v>
      </c>
      <c r="B61" s="63" t="s">
        <v>310</v>
      </c>
      <c r="C61" s="109">
        <f t="shared" si="2"/>
        <v>152</v>
      </c>
      <c r="D61" s="20">
        <v>1</v>
      </c>
      <c r="E61" s="20"/>
      <c r="F61" s="20"/>
      <c r="G61" s="32" t="s">
        <v>64</v>
      </c>
      <c r="H61" s="20" t="s">
        <v>591</v>
      </c>
      <c r="I61" s="20">
        <v>64277</v>
      </c>
      <c r="J61" s="20">
        <v>331</v>
      </c>
      <c r="K61" s="20" t="s">
        <v>20</v>
      </c>
      <c r="L61" s="20">
        <v>1</v>
      </c>
      <c r="M61" s="34">
        <v>5874000</v>
      </c>
      <c r="N61" s="34">
        <f t="shared" si="3"/>
        <v>5874000</v>
      </c>
      <c r="O61" s="20" t="s">
        <v>21</v>
      </c>
      <c r="P61" s="20">
        <v>30</v>
      </c>
      <c r="S61"/>
    </row>
    <row r="62" spans="1:19" ht="15" customHeight="1" x14ac:dyDescent="0.25">
      <c r="A62" s="20" t="s">
        <v>18</v>
      </c>
      <c r="B62" s="63" t="s">
        <v>310</v>
      </c>
      <c r="C62" s="109">
        <f t="shared" si="2"/>
        <v>153</v>
      </c>
      <c r="D62" s="20">
        <v>1</v>
      </c>
      <c r="E62" s="20"/>
      <c r="F62" s="20"/>
      <c r="G62" s="14" t="s">
        <v>64</v>
      </c>
      <c r="H62" s="12" t="s">
        <v>598</v>
      </c>
      <c r="I62" s="20">
        <v>64277</v>
      </c>
      <c r="J62" s="20">
        <v>331</v>
      </c>
      <c r="K62" s="20" t="s">
        <v>20</v>
      </c>
      <c r="L62" s="20">
        <v>1</v>
      </c>
      <c r="M62" s="34">
        <v>908000</v>
      </c>
      <c r="N62" s="34">
        <f t="shared" si="3"/>
        <v>908000</v>
      </c>
      <c r="O62" s="20" t="s">
        <v>21</v>
      </c>
      <c r="P62" s="20">
        <v>31</v>
      </c>
      <c r="S62"/>
    </row>
    <row r="63" spans="1:19" ht="15" customHeight="1" x14ac:dyDescent="0.25">
      <c r="A63" s="20" t="s">
        <v>18</v>
      </c>
      <c r="B63" s="63" t="s">
        <v>413</v>
      </c>
      <c r="C63" s="109">
        <f t="shared" si="2"/>
        <v>154</v>
      </c>
      <c r="D63" s="20">
        <v>1</v>
      </c>
      <c r="E63" s="20"/>
      <c r="F63" s="20"/>
      <c r="G63" s="14" t="s">
        <v>37</v>
      </c>
      <c r="H63" s="12" t="s">
        <v>597</v>
      </c>
      <c r="I63" s="12">
        <v>64277</v>
      </c>
      <c r="J63" s="20">
        <v>331</v>
      </c>
      <c r="K63" s="20" t="s">
        <v>20</v>
      </c>
      <c r="L63" s="20">
        <v>1</v>
      </c>
      <c r="M63" s="34">
        <v>3240000</v>
      </c>
      <c r="N63" s="34">
        <f t="shared" si="3"/>
        <v>3240000</v>
      </c>
      <c r="O63" s="20" t="s">
        <v>21</v>
      </c>
      <c r="P63" s="20">
        <v>32</v>
      </c>
      <c r="S63"/>
    </row>
    <row r="64" spans="1:19" ht="15" customHeight="1" x14ac:dyDescent="0.25">
      <c r="A64" s="20" t="s">
        <v>18</v>
      </c>
      <c r="B64" s="63" t="s">
        <v>292</v>
      </c>
      <c r="C64" s="109">
        <f t="shared" si="2"/>
        <v>155</v>
      </c>
      <c r="D64" s="20">
        <v>1</v>
      </c>
      <c r="E64" s="20"/>
      <c r="F64" s="20"/>
      <c r="G64" s="14" t="s">
        <v>48</v>
      </c>
      <c r="H64" s="12" t="s">
        <v>592</v>
      </c>
      <c r="I64" s="20">
        <v>64277</v>
      </c>
      <c r="J64" s="20">
        <v>331</v>
      </c>
      <c r="K64" s="20" t="s">
        <v>20</v>
      </c>
      <c r="L64" s="20">
        <v>1</v>
      </c>
      <c r="M64" s="34">
        <v>12099</v>
      </c>
      <c r="N64" s="34">
        <f t="shared" si="3"/>
        <v>12099</v>
      </c>
      <c r="O64" s="20" t="s">
        <v>21</v>
      </c>
      <c r="P64" s="20">
        <v>33</v>
      </c>
      <c r="S64"/>
    </row>
    <row r="65" spans="1:19" ht="15" customHeight="1" x14ac:dyDescent="0.25">
      <c r="A65" s="20" t="s">
        <v>18</v>
      </c>
      <c r="B65" s="63" t="s">
        <v>588</v>
      </c>
      <c r="C65" s="109">
        <f t="shared" si="2"/>
        <v>156</v>
      </c>
      <c r="D65" s="20">
        <v>1</v>
      </c>
      <c r="E65" s="20"/>
      <c r="F65" s="20"/>
      <c r="G65" s="14" t="s">
        <v>37</v>
      </c>
      <c r="H65" s="12" t="s">
        <v>593</v>
      </c>
      <c r="I65" s="12">
        <v>64277</v>
      </c>
      <c r="J65" s="20">
        <v>331</v>
      </c>
      <c r="K65" s="20" t="s">
        <v>20</v>
      </c>
      <c r="L65" s="20">
        <v>1</v>
      </c>
      <c r="M65" s="34">
        <v>3240000</v>
      </c>
      <c r="N65" s="34">
        <f t="shared" si="3"/>
        <v>3240000</v>
      </c>
      <c r="O65" s="20" t="s">
        <v>21</v>
      </c>
      <c r="P65" s="20">
        <v>34</v>
      </c>
      <c r="S65"/>
    </row>
    <row r="66" spans="1:19" ht="15" customHeight="1" x14ac:dyDescent="0.25">
      <c r="A66" s="20" t="s">
        <v>18</v>
      </c>
      <c r="B66" s="63" t="s">
        <v>524</v>
      </c>
      <c r="C66" s="109">
        <f t="shared" si="2"/>
        <v>157</v>
      </c>
      <c r="D66" s="20">
        <v>1</v>
      </c>
      <c r="E66" s="20"/>
      <c r="F66" s="20"/>
      <c r="G66" s="32" t="s">
        <v>48</v>
      </c>
      <c r="H66" s="20" t="s">
        <v>594</v>
      </c>
      <c r="I66" s="20">
        <v>64277</v>
      </c>
      <c r="J66" s="20">
        <v>331</v>
      </c>
      <c r="K66" s="20" t="s">
        <v>20</v>
      </c>
      <c r="L66" s="20">
        <v>1</v>
      </c>
      <c r="M66" s="34">
        <v>5119</v>
      </c>
      <c r="N66" s="34">
        <f t="shared" si="3"/>
        <v>5119</v>
      </c>
      <c r="O66" s="20" t="s">
        <v>21</v>
      </c>
      <c r="P66" s="20">
        <v>35</v>
      </c>
      <c r="S66"/>
    </row>
    <row r="67" spans="1:19" ht="15" customHeight="1" x14ac:dyDescent="0.25">
      <c r="A67" s="20" t="s">
        <v>18</v>
      </c>
      <c r="B67" s="63" t="s">
        <v>589</v>
      </c>
      <c r="C67" s="109">
        <f t="shared" si="2"/>
        <v>158</v>
      </c>
      <c r="D67" s="20">
        <v>1</v>
      </c>
      <c r="E67" s="20"/>
      <c r="F67" s="20"/>
      <c r="G67" s="32" t="s">
        <v>37</v>
      </c>
      <c r="H67" s="20" t="s">
        <v>595</v>
      </c>
      <c r="I67" s="12">
        <v>64277</v>
      </c>
      <c r="J67" s="20">
        <v>331</v>
      </c>
      <c r="K67" s="20" t="s">
        <v>20</v>
      </c>
      <c r="L67" s="20">
        <v>1</v>
      </c>
      <c r="M67" s="34">
        <v>3240000</v>
      </c>
      <c r="N67" s="34">
        <f t="shared" si="3"/>
        <v>3240000</v>
      </c>
      <c r="O67" s="20" t="s">
        <v>21</v>
      </c>
      <c r="P67" s="20">
        <v>36</v>
      </c>
      <c r="S67"/>
    </row>
    <row r="68" spans="1:19" ht="15" customHeight="1" x14ac:dyDescent="0.25">
      <c r="A68" s="20" t="s">
        <v>18</v>
      </c>
      <c r="B68" s="63" t="s">
        <v>381</v>
      </c>
      <c r="C68" s="109">
        <f t="shared" ref="C68:C69" si="4">C67+D68</f>
        <v>159</v>
      </c>
      <c r="D68" s="20">
        <v>1</v>
      </c>
      <c r="E68" s="20"/>
      <c r="F68" s="20"/>
      <c r="G68" s="14" t="s">
        <v>596</v>
      </c>
      <c r="H68" s="12" t="s">
        <v>857</v>
      </c>
      <c r="I68" s="12">
        <v>64277</v>
      </c>
      <c r="J68" s="20">
        <v>331</v>
      </c>
      <c r="K68" s="20" t="s">
        <v>20</v>
      </c>
      <c r="L68" s="20">
        <v>1</v>
      </c>
      <c r="M68" s="34">
        <v>1180000</v>
      </c>
      <c r="N68" s="34">
        <f t="shared" ref="N68:N74" si="5">L68*M68</f>
        <v>1180000</v>
      </c>
      <c r="O68" s="20" t="s">
        <v>21</v>
      </c>
      <c r="P68" s="20">
        <v>37</v>
      </c>
      <c r="S68"/>
    </row>
    <row r="69" spans="1:19" ht="15" customHeight="1" x14ac:dyDescent="0.25">
      <c r="A69" s="20" t="s">
        <v>18</v>
      </c>
      <c r="B69" s="63">
        <v>45961</v>
      </c>
      <c r="C69" s="109">
        <f t="shared" si="4"/>
        <v>160</v>
      </c>
      <c r="D69" s="20">
        <v>1</v>
      </c>
      <c r="E69" s="20"/>
      <c r="F69" s="20"/>
      <c r="G69" s="14" t="s">
        <v>93</v>
      </c>
      <c r="H69" s="12" t="s">
        <v>371</v>
      </c>
      <c r="I69" s="12">
        <v>64271</v>
      </c>
      <c r="J69" s="20">
        <v>3383</v>
      </c>
      <c r="K69" s="20" t="s">
        <v>20</v>
      </c>
      <c r="L69" s="20">
        <v>1</v>
      </c>
      <c r="M69" s="34">
        <v>2950000</v>
      </c>
      <c r="N69" s="34">
        <f t="shared" si="5"/>
        <v>2950000</v>
      </c>
      <c r="O69" s="20" t="s">
        <v>21</v>
      </c>
      <c r="P69" s="20">
        <v>38</v>
      </c>
      <c r="S69"/>
    </row>
    <row r="70" spans="1:19" ht="15" customHeight="1" x14ac:dyDescent="0.25">
      <c r="A70" s="20" t="s">
        <v>18</v>
      </c>
      <c r="B70" s="63">
        <v>45961</v>
      </c>
      <c r="C70" s="109">
        <f t="shared" ref="C70:C71" si="6">C69+D70</f>
        <v>160</v>
      </c>
      <c r="D70" s="20">
        <v>0</v>
      </c>
      <c r="E70" s="20"/>
      <c r="F70" s="20"/>
      <c r="G70" s="14" t="s">
        <v>93</v>
      </c>
      <c r="H70" s="12" t="s">
        <v>371</v>
      </c>
      <c r="I70" s="12">
        <v>64271</v>
      </c>
      <c r="J70" s="20">
        <v>3383</v>
      </c>
      <c r="K70" s="20" t="s">
        <v>20</v>
      </c>
      <c r="L70" s="20">
        <v>1</v>
      </c>
      <c r="M70" s="34">
        <v>3200000</v>
      </c>
      <c r="N70" s="34">
        <f t="shared" ref="N70" si="7">L70*M70</f>
        <v>3200000</v>
      </c>
      <c r="O70" s="20" t="s">
        <v>21</v>
      </c>
      <c r="P70" s="20">
        <v>38</v>
      </c>
      <c r="S70"/>
    </row>
    <row r="71" spans="1:19" ht="15" customHeight="1" x14ac:dyDescent="0.25">
      <c r="A71" s="20" t="s">
        <v>18</v>
      </c>
      <c r="B71" s="63">
        <v>45991</v>
      </c>
      <c r="C71" s="109">
        <f t="shared" si="6"/>
        <v>161</v>
      </c>
      <c r="D71" s="20">
        <v>1</v>
      </c>
      <c r="E71" s="20"/>
      <c r="F71" s="20"/>
      <c r="G71" s="14" t="s">
        <v>93</v>
      </c>
      <c r="H71" s="12" t="s">
        <v>372</v>
      </c>
      <c r="I71" s="12">
        <v>64271</v>
      </c>
      <c r="J71" s="20">
        <v>3383</v>
      </c>
      <c r="K71" s="20" t="s">
        <v>20</v>
      </c>
      <c r="L71" s="20">
        <v>1</v>
      </c>
      <c r="M71" s="34">
        <v>2950000</v>
      </c>
      <c r="N71" s="34">
        <f t="shared" si="5"/>
        <v>2950000</v>
      </c>
      <c r="O71" s="20" t="s">
        <v>21</v>
      </c>
      <c r="P71" s="20">
        <v>39</v>
      </c>
      <c r="S71"/>
    </row>
    <row r="72" spans="1:19" ht="15" customHeight="1" x14ac:dyDescent="0.25">
      <c r="A72" s="20" t="s">
        <v>18</v>
      </c>
      <c r="B72" s="63">
        <v>45991</v>
      </c>
      <c r="C72" s="109">
        <f t="shared" ref="C72:C73" si="8">C71+D72</f>
        <v>161</v>
      </c>
      <c r="D72" s="20">
        <v>0</v>
      </c>
      <c r="E72" s="20"/>
      <c r="F72" s="20"/>
      <c r="G72" s="14" t="s">
        <v>93</v>
      </c>
      <c r="H72" s="12" t="s">
        <v>372</v>
      </c>
      <c r="I72" s="12">
        <v>64271</v>
      </c>
      <c r="J72" s="20">
        <v>3383</v>
      </c>
      <c r="K72" s="20" t="s">
        <v>20</v>
      </c>
      <c r="L72" s="20">
        <v>1</v>
      </c>
      <c r="M72" s="34">
        <v>3200000</v>
      </c>
      <c r="N72" s="34">
        <f t="shared" si="5"/>
        <v>3200000</v>
      </c>
      <c r="O72" s="20" t="s">
        <v>21</v>
      </c>
      <c r="P72" s="20">
        <v>39</v>
      </c>
      <c r="S72"/>
    </row>
    <row r="73" spans="1:19" ht="15" customHeight="1" x14ac:dyDescent="0.25">
      <c r="A73" s="20" t="s">
        <v>18</v>
      </c>
      <c r="B73" s="63">
        <v>46022</v>
      </c>
      <c r="C73" s="109">
        <f t="shared" si="8"/>
        <v>162</v>
      </c>
      <c r="D73" s="20">
        <v>1</v>
      </c>
      <c r="E73" s="20"/>
      <c r="F73" s="20"/>
      <c r="G73" s="14" t="s">
        <v>93</v>
      </c>
      <c r="H73" s="20" t="s">
        <v>373</v>
      </c>
      <c r="I73" s="20">
        <v>64271</v>
      </c>
      <c r="J73" s="20">
        <v>3383</v>
      </c>
      <c r="K73" s="20" t="s">
        <v>20</v>
      </c>
      <c r="L73" s="20">
        <v>1</v>
      </c>
      <c r="M73" s="34">
        <v>2950000</v>
      </c>
      <c r="N73" s="34">
        <f t="shared" si="5"/>
        <v>2950000</v>
      </c>
      <c r="O73" s="20" t="s">
        <v>21</v>
      </c>
      <c r="P73" s="20">
        <v>40</v>
      </c>
      <c r="S73"/>
    </row>
    <row r="74" spans="1:19" ht="15" customHeight="1" x14ac:dyDescent="0.25">
      <c r="A74" s="20" t="s">
        <v>18</v>
      </c>
      <c r="B74" s="63">
        <v>46022</v>
      </c>
      <c r="C74" s="109">
        <f t="shared" ref="C74:C75" si="9">C73+D74</f>
        <v>162</v>
      </c>
      <c r="D74" s="20">
        <v>0</v>
      </c>
      <c r="E74" s="20"/>
      <c r="F74" s="20"/>
      <c r="G74" s="14" t="s">
        <v>93</v>
      </c>
      <c r="H74" s="20" t="s">
        <v>373</v>
      </c>
      <c r="I74" s="20">
        <v>64271</v>
      </c>
      <c r="J74" s="20">
        <v>3383</v>
      </c>
      <c r="K74" s="20" t="s">
        <v>20</v>
      </c>
      <c r="L74" s="20">
        <v>1</v>
      </c>
      <c r="M74" s="34">
        <v>4800000</v>
      </c>
      <c r="N74" s="34">
        <f t="shared" si="5"/>
        <v>4800000</v>
      </c>
      <c r="O74" s="20" t="s">
        <v>21</v>
      </c>
      <c r="P74" s="20">
        <v>40</v>
      </c>
      <c r="S74"/>
    </row>
    <row r="75" spans="1:19" ht="15" customHeight="1" x14ac:dyDescent="0.25">
      <c r="A75" s="20" t="s">
        <v>18</v>
      </c>
      <c r="B75" s="63" t="s">
        <v>2561</v>
      </c>
      <c r="C75" s="109">
        <f t="shared" si="9"/>
        <v>163</v>
      </c>
      <c r="D75" s="20">
        <v>1</v>
      </c>
      <c r="E75" s="20"/>
      <c r="F75" s="20"/>
      <c r="G75" s="32" t="s">
        <v>537</v>
      </c>
      <c r="H75" s="20" t="s">
        <v>2562</v>
      </c>
      <c r="I75" s="20">
        <v>131</v>
      </c>
      <c r="J75" s="20">
        <v>5113</v>
      </c>
      <c r="K75" s="20" t="s">
        <v>20</v>
      </c>
      <c r="L75" s="20">
        <v>1</v>
      </c>
      <c r="M75" s="34">
        <v>12838710</v>
      </c>
      <c r="N75" s="34">
        <f t="shared" ref="N75:N138" si="10">L75*M75</f>
        <v>12838710</v>
      </c>
      <c r="O75" s="20" t="s">
        <v>21</v>
      </c>
      <c r="P75" s="20">
        <v>41</v>
      </c>
    </row>
    <row r="76" spans="1:19" ht="15" customHeight="1" x14ac:dyDescent="0.25">
      <c r="A76" s="20" t="s">
        <v>18</v>
      </c>
      <c r="B76" s="63" t="s">
        <v>2513</v>
      </c>
      <c r="C76" s="109">
        <f t="shared" ref="C76" si="11">C75+D76</f>
        <v>164</v>
      </c>
      <c r="D76" s="20">
        <v>1</v>
      </c>
      <c r="E76" s="20"/>
      <c r="F76" s="20"/>
      <c r="G76" s="32" t="s">
        <v>95</v>
      </c>
      <c r="H76" s="20" t="s">
        <v>3226</v>
      </c>
      <c r="I76" s="20">
        <v>131</v>
      </c>
      <c r="J76" s="20">
        <v>5113</v>
      </c>
      <c r="K76" s="20" t="s">
        <v>20</v>
      </c>
      <c r="L76" s="20">
        <v>1</v>
      </c>
      <c r="M76" s="34">
        <v>17171717</v>
      </c>
      <c r="N76" s="34">
        <f t="shared" si="10"/>
        <v>17171717</v>
      </c>
      <c r="O76" s="20" t="s">
        <v>21</v>
      </c>
      <c r="P76" s="20">
        <v>42</v>
      </c>
    </row>
    <row r="77" spans="1:19" ht="15" customHeight="1" x14ac:dyDescent="0.25">
      <c r="A77" s="20" t="s">
        <v>18</v>
      </c>
      <c r="B77" s="63" t="s">
        <v>2561</v>
      </c>
      <c r="C77" s="109">
        <f t="shared" ref="C77:C78" si="12">C76+D77</f>
        <v>164</v>
      </c>
      <c r="D77" s="20">
        <v>0</v>
      </c>
      <c r="E77" s="20"/>
      <c r="F77" s="20"/>
      <c r="G77" s="32" t="s">
        <v>537</v>
      </c>
      <c r="H77" s="20" t="s">
        <v>2562</v>
      </c>
      <c r="I77" s="20">
        <v>333821</v>
      </c>
      <c r="J77" s="20">
        <v>131</v>
      </c>
      <c r="K77" s="20" t="s">
        <v>20</v>
      </c>
      <c r="L77" s="20">
        <v>1</v>
      </c>
      <c r="M77" s="34">
        <v>128387</v>
      </c>
      <c r="N77" s="34">
        <f t="shared" si="10"/>
        <v>128387</v>
      </c>
      <c r="O77" s="20" t="s">
        <v>21</v>
      </c>
      <c r="P77" s="20">
        <v>41</v>
      </c>
    </row>
    <row r="78" spans="1:19" ht="15" customHeight="1" x14ac:dyDescent="0.25">
      <c r="A78" s="20" t="s">
        <v>18</v>
      </c>
      <c r="B78" s="63" t="s">
        <v>2513</v>
      </c>
      <c r="C78" s="109">
        <f t="shared" si="12"/>
        <v>164</v>
      </c>
      <c r="D78" s="20">
        <v>0</v>
      </c>
      <c r="E78" s="20"/>
      <c r="F78" s="20"/>
      <c r="G78" s="32" t="s">
        <v>95</v>
      </c>
      <c r="H78" s="20" t="s">
        <v>3227</v>
      </c>
      <c r="I78" s="20">
        <v>333821</v>
      </c>
      <c r="J78" s="20">
        <v>131</v>
      </c>
      <c r="K78" s="20" t="s">
        <v>20</v>
      </c>
      <c r="L78" s="20">
        <v>1</v>
      </c>
      <c r="M78" s="34">
        <v>171717</v>
      </c>
      <c r="N78" s="34">
        <f t="shared" si="10"/>
        <v>171717</v>
      </c>
      <c r="O78" s="20" t="s">
        <v>21</v>
      </c>
      <c r="P78" s="20">
        <v>42</v>
      </c>
    </row>
    <row r="79" spans="1:19" ht="15" customHeight="1" x14ac:dyDescent="0.25">
      <c r="A79" s="20" t="s">
        <v>18</v>
      </c>
      <c r="B79" s="63" t="s">
        <v>2382</v>
      </c>
      <c r="C79" s="109">
        <f t="shared" ref="C79:C142" si="13">C78+D79</f>
        <v>165</v>
      </c>
      <c r="D79" s="20">
        <v>1</v>
      </c>
      <c r="E79" s="20"/>
      <c r="F79" s="20"/>
      <c r="G79" s="32" t="s">
        <v>64</v>
      </c>
      <c r="H79" s="20" t="s">
        <v>2563</v>
      </c>
      <c r="I79" s="20">
        <v>64277</v>
      </c>
      <c r="J79" s="20">
        <v>331</v>
      </c>
      <c r="K79" s="20" t="s">
        <v>20</v>
      </c>
      <c r="L79" s="20">
        <v>1</v>
      </c>
      <c r="M79" s="34">
        <v>979000</v>
      </c>
      <c r="N79" s="34">
        <f t="shared" si="10"/>
        <v>979000</v>
      </c>
      <c r="O79" s="20" t="s">
        <v>21</v>
      </c>
      <c r="P79" s="20">
        <v>43</v>
      </c>
    </row>
    <row r="80" spans="1:19" ht="15" customHeight="1" x14ac:dyDescent="0.25">
      <c r="A80" s="20" t="s">
        <v>2679</v>
      </c>
      <c r="B80" s="63">
        <v>45931</v>
      </c>
      <c r="C80" s="109">
        <f t="shared" si="13"/>
        <v>166</v>
      </c>
      <c r="D80" s="20">
        <v>1</v>
      </c>
      <c r="E80" s="20"/>
      <c r="F80" s="20"/>
      <c r="G80" s="14" t="s">
        <v>3003</v>
      </c>
      <c r="H80" s="12" t="s">
        <v>3005</v>
      </c>
      <c r="I80" s="12">
        <v>112111</v>
      </c>
      <c r="J80" s="12">
        <v>131</v>
      </c>
      <c r="K80" s="20" t="s">
        <v>20</v>
      </c>
      <c r="L80" s="20">
        <v>1</v>
      </c>
      <c r="M80" s="34">
        <v>215563</v>
      </c>
      <c r="N80" s="34">
        <f t="shared" si="10"/>
        <v>215563</v>
      </c>
      <c r="O80" s="20"/>
      <c r="P80" s="20">
        <f>P79+D80</f>
        <v>44</v>
      </c>
    </row>
    <row r="81" spans="1:26" ht="15" customHeight="1" x14ac:dyDescent="0.25">
      <c r="A81" s="20" t="s">
        <v>2679</v>
      </c>
      <c r="B81" s="63">
        <v>45931</v>
      </c>
      <c r="C81" s="109">
        <f t="shared" si="13"/>
        <v>167</v>
      </c>
      <c r="D81" s="20">
        <v>1</v>
      </c>
      <c r="E81" s="20"/>
      <c r="F81" s="20"/>
      <c r="G81" s="14" t="s">
        <v>3003</v>
      </c>
      <c r="H81" s="12" t="s">
        <v>3005</v>
      </c>
      <c r="I81" s="12">
        <v>112111</v>
      </c>
      <c r="J81" s="12">
        <v>131</v>
      </c>
      <c r="K81" s="20" t="s">
        <v>20</v>
      </c>
      <c r="L81" s="20">
        <v>1</v>
      </c>
      <c r="M81" s="34">
        <v>133964</v>
      </c>
      <c r="N81" s="34">
        <f t="shared" si="10"/>
        <v>133964</v>
      </c>
      <c r="O81" s="20"/>
      <c r="P81" s="20">
        <f t="shared" ref="P81:P144" si="14">P80+D81</f>
        <v>45</v>
      </c>
    </row>
    <row r="82" spans="1:26" ht="15" customHeight="1" x14ac:dyDescent="0.25">
      <c r="A82" s="20" t="s">
        <v>2679</v>
      </c>
      <c r="B82" s="63">
        <v>45931</v>
      </c>
      <c r="C82" s="109">
        <f t="shared" si="13"/>
        <v>168</v>
      </c>
      <c r="D82" s="20">
        <v>1</v>
      </c>
      <c r="E82" s="20"/>
      <c r="F82" s="20"/>
      <c r="G82" s="14" t="s">
        <v>3003</v>
      </c>
      <c r="H82" s="12" t="s">
        <v>3005</v>
      </c>
      <c r="I82" s="12">
        <v>112111</v>
      </c>
      <c r="J82" s="12">
        <v>131</v>
      </c>
      <c r="K82" s="20" t="s">
        <v>20</v>
      </c>
      <c r="L82" s="20">
        <v>1</v>
      </c>
      <c r="M82" s="34">
        <v>280920</v>
      </c>
      <c r="N82" s="34">
        <f t="shared" si="10"/>
        <v>280920</v>
      </c>
      <c r="O82" s="20"/>
      <c r="P82" s="20">
        <f t="shared" si="14"/>
        <v>46</v>
      </c>
    </row>
    <row r="83" spans="1:26" ht="15" customHeight="1" x14ac:dyDescent="0.25">
      <c r="A83" s="20" t="s">
        <v>2679</v>
      </c>
      <c r="B83" s="63">
        <v>45931</v>
      </c>
      <c r="C83" s="109">
        <f t="shared" si="13"/>
        <v>169</v>
      </c>
      <c r="D83" s="20">
        <v>1</v>
      </c>
      <c r="E83" s="20"/>
      <c r="F83" s="20"/>
      <c r="G83" s="32" t="s">
        <v>95</v>
      </c>
      <c r="H83" s="20" t="s">
        <v>3224</v>
      </c>
      <c r="I83" s="20">
        <v>112111</v>
      </c>
      <c r="J83" s="20">
        <v>131</v>
      </c>
      <c r="K83" s="20" t="s">
        <v>20</v>
      </c>
      <c r="L83" s="20">
        <v>1</v>
      </c>
      <c r="M83" s="34">
        <v>11000000</v>
      </c>
      <c r="N83" s="34">
        <f t="shared" si="10"/>
        <v>11000000</v>
      </c>
      <c r="O83" s="20" t="s">
        <v>21</v>
      </c>
      <c r="P83" s="20">
        <f t="shared" si="14"/>
        <v>47</v>
      </c>
    </row>
    <row r="84" spans="1:26" ht="15" customHeight="1" x14ac:dyDescent="0.25">
      <c r="A84" s="20" t="s">
        <v>2679</v>
      </c>
      <c r="B84" s="63">
        <v>45932</v>
      </c>
      <c r="C84" s="109">
        <f t="shared" si="13"/>
        <v>170</v>
      </c>
      <c r="D84" s="20">
        <v>1</v>
      </c>
      <c r="E84" s="20"/>
      <c r="F84" s="20"/>
      <c r="G84" s="32" t="s">
        <v>95</v>
      </c>
      <c r="H84" s="20" t="s">
        <v>3224</v>
      </c>
      <c r="I84" s="20">
        <v>112111</v>
      </c>
      <c r="J84" s="20">
        <v>131</v>
      </c>
      <c r="K84" s="20" t="s">
        <v>20</v>
      </c>
      <c r="L84" s="20">
        <v>1</v>
      </c>
      <c r="M84" s="34">
        <v>4000000</v>
      </c>
      <c r="N84" s="34">
        <f t="shared" si="10"/>
        <v>4000000</v>
      </c>
      <c r="O84" s="20" t="s">
        <v>21</v>
      </c>
      <c r="P84" s="20">
        <f t="shared" si="14"/>
        <v>48</v>
      </c>
    </row>
    <row r="85" spans="1:26" ht="15" customHeight="1" x14ac:dyDescent="0.25">
      <c r="A85" s="20" t="s">
        <v>2678</v>
      </c>
      <c r="B85" s="63">
        <v>45932</v>
      </c>
      <c r="C85" s="109">
        <f t="shared" si="13"/>
        <v>171</v>
      </c>
      <c r="D85" s="20">
        <v>1</v>
      </c>
      <c r="E85" s="20"/>
      <c r="F85" s="20"/>
      <c r="G85" s="32" t="s">
        <v>191</v>
      </c>
      <c r="H85" s="20" t="s">
        <v>2681</v>
      </c>
      <c r="I85" s="20">
        <v>1111</v>
      </c>
      <c r="J85" s="20">
        <v>112111</v>
      </c>
      <c r="K85" s="20" t="s">
        <v>20</v>
      </c>
      <c r="L85" s="20">
        <v>1</v>
      </c>
      <c r="M85" s="34">
        <v>30000000</v>
      </c>
      <c r="N85" s="34">
        <f t="shared" si="10"/>
        <v>30000000</v>
      </c>
      <c r="O85" s="20" t="s">
        <v>21</v>
      </c>
      <c r="P85" s="20">
        <f t="shared" si="14"/>
        <v>49</v>
      </c>
    </row>
    <row r="86" spans="1:26" ht="15" customHeight="1" x14ac:dyDescent="0.25">
      <c r="A86" s="20" t="s">
        <v>2679</v>
      </c>
      <c r="B86" s="63">
        <v>45932</v>
      </c>
      <c r="C86" s="109">
        <f t="shared" si="13"/>
        <v>172</v>
      </c>
      <c r="D86" s="20">
        <v>1</v>
      </c>
      <c r="E86" s="20"/>
      <c r="F86" s="20"/>
      <c r="G86" s="32" t="s">
        <v>528</v>
      </c>
      <c r="H86" s="20" t="s">
        <v>3199</v>
      </c>
      <c r="I86" s="20">
        <v>112111</v>
      </c>
      <c r="J86" s="20">
        <v>131</v>
      </c>
      <c r="K86" s="20" t="s">
        <v>20</v>
      </c>
      <c r="L86" s="20">
        <v>1</v>
      </c>
      <c r="M86" s="34">
        <v>200000000</v>
      </c>
      <c r="N86" s="34">
        <f t="shared" si="10"/>
        <v>200000000</v>
      </c>
      <c r="O86" s="20" t="s">
        <v>21</v>
      </c>
      <c r="P86" s="20">
        <f t="shared" si="14"/>
        <v>50</v>
      </c>
    </row>
    <row r="87" spans="1:26" ht="15" customHeight="1" x14ac:dyDescent="0.25">
      <c r="A87" s="20" t="s">
        <v>2679</v>
      </c>
      <c r="B87" s="63">
        <v>45933</v>
      </c>
      <c r="C87" s="109">
        <f t="shared" si="13"/>
        <v>173</v>
      </c>
      <c r="D87" s="20">
        <v>1</v>
      </c>
      <c r="E87" s="20"/>
      <c r="F87" s="20"/>
      <c r="G87" s="32" t="s">
        <v>95</v>
      </c>
      <c r="H87" s="20" t="s">
        <v>3224</v>
      </c>
      <c r="I87" s="20">
        <v>112111</v>
      </c>
      <c r="J87" s="20">
        <v>131</v>
      </c>
      <c r="K87" s="20" t="s">
        <v>20</v>
      </c>
      <c r="L87" s="20">
        <v>1</v>
      </c>
      <c r="M87" s="34">
        <v>967742</v>
      </c>
      <c r="N87" s="34">
        <f t="shared" si="10"/>
        <v>967742</v>
      </c>
      <c r="O87" s="20" t="s">
        <v>21</v>
      </c>
      <c r="P87" s="20">
        <f t="shared" si="14"/>
        <v>51</v>
      </c>
      <c r="Y87" s="60">
        <f>SUM(U87:V87)</f>
        <v>0</v>
      </c>
      <c r="Z87" s="60" t="str">
        <f>IF(U87&gt;0,"BN","BC")</f>
        <v>BC</v>
      </c>
    </row>
    <row r="88" spans="1:26" ht="15" customHeight="1" x14ac:dyDescent="0.25">
      <c r="A88" s="20" t="s">
        <v>2678</v>
      </c>
      <c r="B88" s="63">
        <v>45933</v>
      </c>
      <c r="C88" s="109">
        <f t="shared" si="13"/>
        <v>174</v>
      </c>
      <c r="D88" s="20">
        <v>1</v>
      </c>
      <c r="E88" s="20"/>
      <c r="F88" s="20"/>
      <c r="G88" s="32" t="s">
        <v>191</v>
      </c>
      <c r="H88" s="20" t="s">
        <v>2681</v>
      </c>
      <c r="I88" s="20">
        <v>1111</v>
      </c>
      <c r="J88" s="20">
        <v>112111</v>
      </c>
      <c r="K88" s="20" t="s">
        <v>20</v>
      </c>
      <c r="L88" s="20">
        <v>1</v>
      </c>
      <c r="M88" s="34">
        <v>20000000</v>
      </c>
      <c r="N88" s="34">
        <f t="shared" si="10"/>
        <v>20000000</v>
      </c>
      <c r="O88" s="20" t="s">
        <v>21</v>
      </c>
      <c r="P88" s="20">
        <f t="shared" si="14"/>
        <v>52</v>
      </c>
      <c r="Y88" s="60">
        <f t="shared" ref="Y88:Y152" si="15">SUM(U88:V88)</f>
        <v>0</v>
      </c>
      <c r="Z88" s="60" t="str">
        <f t="shared" ref="Z88:Z152" si="16">IF(U88&gt;0,"BN","BC")</f>
        <v>BC</v>
      </c>
    </row>
    <row r="89" spans="1:26" ht="15" customHeight="1" x14ac:dyDescent="0.25">
      <c r="A89" s="20" t="s">
        <v>2679</v>
      </c>
      <c r="B89" s="63">
        <v>45934</v>
      </c>
      <c r="C89" s="109">
        <f t="shared" si="13"/>
        <v>175</v>
      </c>
      <c r="D89" s="20">
        <v>1</v>
      </c>
      <c r="E89" s="20"/>
      <c r="F89" s="20"/>
      <c r="G89" s="32" t="s">
        <v>531</v>
      </c>
      <c r="H89" s="20" t="s">
        <v>3200</v>
      </c>
      <c r="I89" s="20">
        <v>112111</v>
      </c>
      <c r="J89" s="20">
        <v>131</v>
      </c>
      <c r="K89" s="20" t="s">
        <v>20</v>
      </c>
      <c r="L89" s="20">
        <v>1</v>
      </c>
      <c r="M89" s="34">
        <v>26612903</v>
      </c>
      <c r="N89" s="34">
        <f t="shared" si="10"/>
        <v>26612903</v>
      </c>
      <c r="O89" s="20" t="s">
        <v>21</v>
      </c>
      <c r="P89" s="20">
        <f t="shared" si="14"/>
        <v>53</v>
      </c>
      <c r="Y89" s="60">
        <f t="shared" si="15"/>
        <v>0</v>
      </c>
      <c r="Z89" s="60" t="str">
        <f t="shared" si="16"/>
        <v>BC</v>
      </c>
    </row>
    <row r="90" spans="1:26" ht="15" customHeight="1" x14ac:dyDescent="0.25">
      <c r="A90" s="20" t="s">
        <v>2678</v>
      </c>
      <c r="B90" s="63">
        <v>45936</v>
      </c>
      <c r="C90" s="109">
        <f t="shared" si="13"/>
        <v>176</v>
      </c>
      <c r="D90" s="20">
        <v>1</v>
      </c>
      <c r="E90" s="20"/>
      <c r="F90" s="20"/>
      <c r="G90" s="32" t="s">
        <v>191</v>
      </c>
      <c r="H90" s="20" t="s">
        <v>2681</v>
      </c>
      <c r="I90" s="20">
        <v>1111</v>
      </c>
      <c r="J90" s="20">
        <v>112111</v>
      </c>
      <c r="K90" s="20" t="s">
        <v>20</v>
      </c>
      <c r="L90" s="20">
        <v>1</v>
      </c>
      <c r="M90" s="34">
        <v>100000000</v>
      </c>
      <c r="N90" s="34">
        <f t="shared" si="10"/>
        <v>100000000</v>
      </c>
      <c r="O90" s="20" t="s">
        <v>21</v>
      </c>
      <c r="P90" s="20">
        <f t="shared" si="14"/>
        <v>54</v>
      </c>
      <c r="Y90" s="60">
        <f>SUM(U90:V90)</f>
        <v>0</v>
      </c>
      <c r="Z90" s="60" t="str">
        <f t="shared" si="16"/>
        <v>BC</v>
      </c>
    </row>
    <row r="91" spans="1:26" ht="15" customHeight="1" x14ac:dyDescent="0.25">
      <c r="A91" s="20" t="s">
        <v>2679</v>
      </c>
      <c r="B91" s="63">
        <v>45937</v>
      </c>
      <c r="C91" s="109">
        <f t="shared" si="13"/>
        <v>177</v>
      </c>
      <c r="D91" s="20">
        <v>1</v>
      </c>
      <c r="E91" s="20"/>
      <c r="F91" s="20"/>
      <c r="G91" s="32" t="s">
        <v>529</v>
      </c>
      <c r="H91" s="20" t="s">
        <v>3201</v>
      </c>
      <c r="I91" s="20">
        <v>112111</v>
      </c>
      <c r="J91" s="20">
        <v>131</v>
      </c>
      <c r="K91" s="20" t="s">
        <v>20</v>
      </c>
      <c r="L91" s="20">
        <v>1</v>
      </c>
      <c r="M91" s="34">
        <v>37258065</v>
      </c>
      <c r="N91" s="34">
        <f t="shared" si="10"/>
        <v>37258065</v>
      </c>
      <c r="O91" s="20" t="s">
        <v>21</v>
      </c>
      <c r="P91" s="20">
        <f t="shared" si="14"/>
        <v>55</v>
      </c>
      <c r="Y91" s="60">
        <f t="shared" si="15"/>
        <v>0</v>
      </c>
      <c r="Z91" s="60" t="str">
        <f t="shared" si="16"/>
        <v>BC</v>
      </c>
    </row>
    <row r="92" spans="1:26" ht="15" customHeight="1" x14ac:dyDescent="0.25">
      <c r="A92" s="20" t="s">
        <v>2678</v>
      </c>
      <c r="B92" s="63">
        <v>45938</v>
      </c>
      <c r="C92" s="109">
        <f t="shared" si="13"/>
        <v>178</v>
      </c>
      <c r="D92" s="20">
        <v>1</v>
      </c>
      <c r="E92" s="20"/>
      <c r="F92" s="20"/>
      <c r="G92" s="32" t="s">
        <v>191</v>
      </c>
      <c r="H92" s="20" t="s">
        <v>2681</v>
      </c>
      <c r="I92" s="20">
        <v>1111</v>
      </c>
      <c r="J92" s="20">
        <v>112111</v>
      </c>
      <c r="K92" s="20" t="s">
        <v>20</v>
      </c>
      <c r="L92" s="20">
        <v>1</v>
      </c>
      <c r="M92" s="34">
        <v>15000000</v>
      </c>
      <c r="N92" s="34">
        <f t="shared" si="10"/>
        <v>15000000</v>
      </c>
      <c r="O92" s="20" t="s">
        <v>21</v>
      </c>
      <c r="P92" s="20">
        <f t="shared" si="14"/>
        <v>56</v>
      </c>
      <c r="Y92" s="60">
        <f t="shared" si="15"/>
        <v>0</v>
      </c>
      <c r="Z92" s="60" t="str">
        <f t="shared" si="16"/>
        <v>BC</v>
      </c>
    </row>
    <row r="93" spans="1:26" ht="15" customHeight="1" x14ac:dyDescent="0.25">
      <c r="A93" s="20" t="s">
        <v>2678</v>
      </c>
      <c r="B93" s="63">
        <v>45943</v>
      </c>
      <c r="C93" s="109">
        <f t="shared" si="13"/>
        <v>179</v>
      </c>
      <c r="D93" s="20">
        <v>1</v>
      </c>
      <c r="E93" s="20"/>
      <c r="F93" s="20"/>
      <c r="G93" s="32" t="s">
        <v>191</v>
      </c>
      <c r="H93" s="20" t="s">
        <v>2681</v>
      </c>
      <c r="I93" s="20">
        <v>1111</v>
      </c>
      <c r="J93" s="20">
        <v>112111</v>
      </c>
      <c r="K93" s="20" t="s">
        <v>20</v>
      </c>
      <c r="L93" s="20">
        <v>1</v>
      </c>
      <c r="M93" s="34">
        <v>30000000</v>
      </c>
      <c r="N93" s="34">
        <f t="shared" si="10"/>
        <v>30000000</v>
      </c>
      <c r="O93" s="20" t="s">
        <v>21</v>
      </c>
      <c r="P93" s="20">
        <f t="shared" si="14"/>
        <v>57</v>
      </c>
      <c r="Y93" s="60">
        <f t="shared" si="15"/>
        <v>0</v>
      </c>
      <c r="Z93" s="60" t="str">
        <f t="shared" si="16"/>
        <v>BC</v>
      </c>
    </row>
    <row r="94" spans="1:26" ht="15" customHeight="1" x14ac:dyDescent="0.25">
      <c r="A94" s="20" t="s">
        <v>2679</v>
      </c>
      <c r="B94" s="63">
        <v>45943</v>
      </c>
      <c r="C94" s="109">
        <f t="shared" si="13"/>
        <v>180</v>
      </c>
      <c r="D94" s="20">
        <v>1</v>
      </c>
      <c r="E94" s="20"/>
      <c r="F94" s="20"/>
      <c r="G94" s="32" t="s">
        <v>530</v>
      </c>
      <c r="H94" s="20" t="s">
        <v>3202</v>
      </c>
      <c r="I94" s="20">
        <v>112111</v>
      </c>
      <c r="J94" s="20">
        <v>131</v>
      </c>
      <c r="K94" s="20" t="s">
        <v>20</v>
      </c>
      <c r="L94" s="20">
        <v>1</v>
      </c>
      <c r="M94" s="34">
        <v>15967742</v>
      </c>
      <c r="N94" s="34">
        <f t="shared" si="10"/>
        <v>15967742</v>
      </c>
      <c r="O94" s="20" t="s">
        <v>21</v>
      </c>
      <c r="P94" s="20">
        <f t="shared" si="14"/>
        <v>58</v>
      </c>
      <c r="Y94" s="60">
        <f t="shared" si="15"/>
        <v>0</v>
      </c>
      <c r="Z94" s="60" t="str">
        <f t="shared" si="16"/>
        <v>BC</v>
      </c>
    </row>
    <row r="95" spans="1:26" ht="15" customHeight="1" x14ac:dyDescent="0.25">
      <c r="A95" s="20" t="s">
        <v>2678</v>
      </c>
      <c r="B95" s="63">
        <v>45944</v>
      </c>
      <c r="C95" s="109">
        <f t="shared" si="13"/>
        <v>181</v>
      </c>
      <c r="D95" s="20">
        <v>1</v>
      </c>
      <c r="E95" s="20"/>
      <c r="F95" s="20"/>
      <c r="G95" s="32" t="s">
        <v>191</v>
      </c>
      <c r="H95" s="20" t="s">
        <v>2681</v>
      </c>
      <c r="I95" s="20">
        <v>1111</v>
      </c>
      <c r="J95" s="20">
        <v>112111</v>
      </c>
      <c r="K95" s="20" t="s">
        <v>20</v>
      </c>
      <c r="L95" s="20">
        <v>1</v>
      </c>
      <c r="M95" s="34">
        <v>30000000</v>
      </c>
      <c r="N95" s="34">
        <f t="shared" si="10"/>
        <v>30000000</v>
      </c>
      <c r="O95" s="20" t="s">
        <v>21</v>
      </c>
      <c r="P95" s="20">
        <f t="shared" si="14"/>
        <v>59</v>
      </c>
      <c r="Y95" s="60">
        <f t="shared" si="15"/>
        <v>0</v>
      </c>
      <c r="Z95" s="60" t="str">
        <f t="shared" si="16"/>
        <v>BC</v>
      </c>
    </row>
    <row r="96" spans="1:26" ht="15" customHeight="1" x14ac:dyDescent="0.25">
      <c r="A96" s="20" t="s">
        <v>2679</v>
      </c>
      <c r="B96" s="63">
        <v>45945</v>
      </c>
      <c r="C96" s="109">
        <f t="shared" si="13"/>
        <v>182</v>
      </c>
      <c r="D96" s="20">
        <v>1</v>
      </c>
      <c r="E96" s="20"/>
      <c r="F96" s="20"/>
      <c r="G96" s="14" t="s">
        <v>3003</v>
      </c>
      <c r="H96" s="12" t="s">
        <v>3005</v>
      </c>
      <c r="I96" s="12">
        <v>112111</v>
      </c>
      <c r="J96" s="12">
        <v>131</v>
      </c>
      <c r="K96" s="20" t="s">
        <v>20</v>
      </c>
      <c r="L96" s="20">
        <v>1</v>
      </c>
      <c r="M96" s="34">
        <v>682558</v>
      </c>
      <c r="N96" s="34">
        <f t="shared" si="10"/>
        <v>682558</v>
      </c>
      <c r="O96" s="20"/>
      <c r="P96" s="20">
        <f t="shared" si="14"/>
        <v>60</v>
      </c>
      <c r="Y96" s="60">
        <f t="shared" si="15"/>
        <v>0</v>
      </c>
      <c r="Z96" s="60" t="str">
        <f t="shared" si="16"/>
        <v>BC</v>
      </c>
    </row>
    <row r="97" spans="1:26" ht="15" customHeight="1" x14ac:dyDescent="0.25">
      <c r="A97" s="20" t="s">
        <v>2678</v>
      </c>
      <c r="B97" s="63">
        <v>45948</v>
      </c>
      <c r="C97" s="109">
        <f t="shared" si="13"/>
        <v>183</v>
      </c>
      <c r="D97" s="20">
        <v>1</v>
      </c>
      <c r="E97" s="20"/>
      <c r="F97" s="20"/>
      <c r="G97" s="32" t="s">
        <v>191</v>
      </c>
      <c r="H97" s="20" t="s">
        <v>2681</v>
      </c>
      <c r="I97" s="20">
        <v>1111</v>
      </c>
      <c r="J97" s="20">
        <v>112111</v>
      </c>
      <c r="K97" s="20" t="s">
        <v>20</v>
      </c>
      <c r="L97" s="20">
        <v>1</v>
      </c>
      <c r="M97" s="34">
        <v>30000000</v>
      </c>
      <c r="N97" s="34">
        <f t="shared" si="10"/>
        <v>30000000</v>
      </c>
      <c r="O97" s="20" t="s">
        <v>21</v>
      </c>
      <c r="P97" s="20">
        <f t="shared" si="14"/>
        <v>61</v>
      </c>
      <c r="Y97" s="60">
        <f t="shared" si="15"/>
        <v>0</v>
      </c>
      <c r="Z97" s="60" t="str">
        <f t="shared" si="16"/>
        <v>BC</v>
      </c>
    </row>
    <row r="98" spans="1:26" ht="15" customHeight="1" x14ac:dyDescent="0.25">
      <c r="A98" s="20" t="s">
        <v>2678</v>
      </c>
      <c r="B98" s="63">
        <v>45950</v>
      </c>
      <c r="C98" s="109">
        <f t="shared" si="13"/>
        <v>184</v>
      </c>
      <c r="D98" s="20">
        <v>1</v>
      </c>
      <c r="E98" s="20"/>
      <c r="F98" s="20"/>
      <c r="G98" s="32" t="s">
        <v>191</v>
      </c>
      <c r="H98" s="20" t="s">
        <v>2681</v>
      </c>
      <c r="I98" s="20">
        <v>1111</v>
      </c>
      <c r="J98" s="20">
        <v>112111</v>
      </c>
      <c r="K98" s="20" t="s">
        <v>20</v>
      </c>
      <c r="L98" s="20">
        <v>1</v>
      </c>
      <c r="M98" s="34">
        <v>10000000</v>
      </c>
      <c r="N98" s="34">
        <f t="shared" si="10"/>
        <v>10000000</v>
      </c>
      <c r="O98" s="20" t="s">
        <v>21</v>
      </c>
      <c r="P98" s="20">
        <f t="shared" si="14"/>
        <v>62</v>
      </c>
      <c r="Y98" s="60">
        <f t="shared" si="15"/>
        <v>0</v>
      </c>
      <c r="Z98" s="60" t="str">
        <f t="shared" si="16"/>
        <v>BC</v>
      </c>
    </row>
    <row r="99" spans="1:26" ht="15" customHeight="1" x14ac:dyDescent="0.25">
      <c r="A99" s="20" t="s">
        <v>2679</v>
      </c>
      <c r="B99" s="63">
        <v>45950</v>
      </c>
      <c r="C99" s="109">
        <f t="shared" si="13"/>
        <v>185</v>
      </c>
      <c r="D99" s="20">
        <v>1</v>
      </c>
      <c r="E99" s="20"/>
      <c r="F99" s="20"/>
      <c r="G99" s="32" t="s">
        <v>533</v>
      </c>
      <c r="H99" s="20" t="s">
        <v>3203</v>
      </c>
      <c r="I99" s="20">
        <v>112111</v>
      </c>
      <c r="J99" s="20">
        <v>131</v>
      </c>
      <c r="K99" s="20" t="s">
        <v>20</v>
      </c>
      <c r="L99" s="20">
        <v>1</v>
      </c>
      <c r="M99" s="34">
        <v>22649000</v>
      </c>
      <c r="N99" s="34">
        <f t="shared" si="10"/>
        <v>22649000</v>
      </c>
      <c r="O99" s="20" t="s">
        <v>21</v>
      </c>
      <c r="P99" s="20">
        <f t="shared" si="14"/>
        <v>63</v>
      </c>
      <c r="Y99" s="60">
        <f t="shared" si="15"/>
        <v>0</v>
      </c>
      <c r="Z99" s="60" t="str">
        <f t="shared" si="16"/>
        <v>BC</v>
      </c>
    </row>
    <row r="100" spans="1:26" ht="15" customHeight="1" x14ac:dyDescent="0.25">
      <c r="A100" s="20" t="s">
        <v>2678</v>
      </c>
      <c r="B100" s="63">
        <v>45952</v>
      </c>
      <c r="C100" s="109">
        <f t="shared" si="13"/>
        <v>186</v>
      </c>
      <c r="D100" s="20">
        <v>1</v>
      </c>
      <c r="E100" s="20"/>
      <c r="F100" s="20"/>
      <c r="G100" s="32" t="s">
        <v>191</v>
      </c>
      <c r="H100" s="20" t="s">
        <v>2681</v>
      </c>
      <c r="I100" s="20">
        <v>1111</v>
      </c>
      <c r="J100" s="20">
        <v>112111</v>
      </c>
      <c r="K100" s="20" t="s">
        <v>20</v>
      </c>
      <c r="L100" s="20">
        <v>1</v>
      </c>
      <c r="M100" s="34">
        <v>20000000</v>
      </c>
      <c r="N100" s="34">
        <f t="shared" si="10"/>
        <v>20000000</v>
      </c>
      <c r="O100" s="20" t="s">
        <v>21</v>
      </c>
      <c r="P100" s="20">
        <f t="shared" si="14"/>
        <v>64</v>
      </c>
      <c r="Y100" s="60">
        <f t="shared" si="15"/>
        <v>0</v>
      </c>
      <c r="Z100" s="60" t="str">
        <f t="shared" si="16"/>
        <v>BC</v>
      </c>
    </row>
    <row r="101" spans="1:26" ht="15" customHeight="1" x14ac:dyDescent="0.25">
      <c r="A101" s="20" t="s">
        <v>2678</v>
      </c>
      <c r="B101" s="63">
        <v>45954</v>
      </c>
      <c r="C101" s="109">
        <f t="shared" si="13"/>
        <v>187</v>
      </c>
      <c r="D101" s="20">
        <v>1</v>
      </c>
      <c r="E101" s="20"/>
      <c r="F101" s="20"/>
      <c r="G101" s="32" t="s">
        <v>191</v>
      </c>
      <c r="H101" s="20" t="s">
        <v>2681</v>
      </c>
      <c r="I101" s="20">
        <v>1111</v>
      </c>
      <c r="J101" s="20">
        <v>112111</v>
      </c>
      <c r="K101" s="20" t="s">
        <v>20</v>
      </c>
      <c r="L101" s="20">
        <v>1</v>
      </c>
      <c r="M101" s="34">
        <v>20000000</v>
      </c>
      <c r="N101" s="34">
        <f t="shared" si="10"/>
        <v>20000000</v>
      </c>
      <c r="O101" s="20" t="s">
        <v>21</v>
      </c>
      <c r="P101" s="20">
        <f t="shared" si="14"/>
        <v>65</v>
      </c>
      <c r="Y101" s="60">
        <f t="shared" si="15"/>
        <v>0</v>
      </c>
      <c r="Z101" s="60" t="str">
        <f t="shared" si="16"/>
        <v>BC</v>
      </c>
    </row>
    <row r="102" spans="1:26" ht="15" customHeight="1" x14ac:dyDescent="0.25">
      <c r="A102" s="20" t="s">
        <v>2678</v>
      </c>
      <c r="B102" s="63">
        <v>45957</v>
      </c>
      <c r="C102" s="109">
        <f t="shared" si="13"/>
        <v>188</v>
      </c>
      <c r="D102" s="20">
        <v>1</v>
      </c>
      <c r="E102" s="20"/>
      <c r="F102" s="20"/>
      <c r="G102" s="32" t="s">
        <v>191</v>
      </c>
      <c r="H102" s="20" t="s">
        <v>2681</v>
      </c>
      <c r="I102" s="20">
        <v>1111</v>
      </c>
      <c r="J102" s="20">
        <v>112111</v>
      </c>
      <c r="K102" s="20" t="s">
        <v>20</v>
      </c>
      <c r="L102" s="20">
        <v>1</v>
      </c>
      <c r="M102" s="34">
        <v>25000000</v>
      </c>
      <c r="N102" s="34">
        <f t="shared" si="10"/>
        <v>25000000</v>
      </c>
      <c r="O102" s="20" t="s">
        <v>21</v>
      </c>
      <c r="P102" s="20">
        <f t="shared" si="14"/>
        <v>66</v>
      </c>
      <c r="Y102" s="60">
        <f t="shared" si="15"/>
        <v>0</v>
      </c>
      <c r="Z102" s="60" t="str">
        <f t="shared" si="16"/>
        <v>BC</v>
      </c>
    </row>
    <row r="103" spans="1:26" ht="15" customHeight="1" x14ac:dyDescent="0.25">
      <c r="A103" s="20" t="s">
        <v>2679</v>
      </c>
      <c r="B103" s="63">
        <v>45957</v>
      </c>
      <c r="C103" s="109">
        <f t="shared" si="13"/>
        <v>189</v>
      </c>
      <c r="D103" s="20">
        <v>1</v>
      </c>
      <c r="E103" s="20"/>
      <c r="F103" s="20"/>
      <c r="G103" s="32" t="s">
        <v>191</v>
      </c>
      <c r="H103" s="20" t="s">
        <v>2687</v>
      </c>
      <c r="I103" s="20">
        <v>112111</v>
      </c>
      <c r="J103" s="20">
        <v>5154</v>
      </c>
      <c r="K103" s="20" t="s">
        <v>20</v>
      </c>
      <c r="L103" s="20">
        <v>1</v>
      </c>
      <c r="M103" s="34">
        <v>3215</v>
      </c>
      <c r="N103" s="34">
        <f t="shared" si="10"/>
        <v>3215</v>
      </c>
      <c r="O103" s="20" t="s">
        <v>21</v>
      </c>
      <c r="P103" s="20">
        <f t="shared" si="14"/>
        <v>67</v>
      </c>
      <c r="Y103" s="60">
        <f t="shared" si="15"/>
        <v>0</v>
      </c>
      <c r="Z103" s="60" t="str">
        <f t="shared" si="16"/>
        <v>BC</v>
      </c>
    </row>
    <row r="104" spans="1:26" ht="15" customHeight="1" x14ac:dyDescent="0.25">
      <c r="A104" s="20" t="s">
        <v>2679</v>
      </c>
      <c r="B104" s="63">
        <v>45959</v>
      </c>
      <c r="C104" s="109">
        <f t="shared" si="13"/>
        <v>190</v>
      </c>
      <c r="D104" s="20">
        <v>1</v>
      </c>
      <c r="E104" s="20"/>
      <c r="F104" s="20"/>
      <c r="G104" s="14" t="s">
        <v>3003</v>
      </c>
      <c r="H104" s="12" t="s">
        <v>3005</v>
      </c>
      <c r="I104" s="12">
        <v>112111</v>
      </c>
      <c r="J104" s="12">
        <v>131</v>
      </c>
      <c r="K104" s="20" t="s">
        <v>20</v>
      </c>
      <c r="L104" s="20">
        <v>1</v>
      </c>
      <c r="M104" s="34">
        <v>215819</v>
      </c>
      <c r="N104" s="34">
        <f t="shared" si="10"/>
        <v>215819</v>
      </c>
      <c r="O104" s="20"/>
      <c r="P104" s="20">
        <f t="shared" si="14"/>
        <v>68</v>
      </c>
      <c r="Y104" s="60">
        <f t="shared" si="15"/>
        <v>0</v>
      </c>
      <c r="Z104" s="60" t="str">
        <f t="shared" si="16"/>
        <v>BC</v>
      </c>
    </row>
    <row r="105" spans="1:26" ht="15" customHeight="1" x14ac:dyDescent="0.25">
      <c r="A105" s="20" t="s">
        <v>2678</v>
      </c>
      <c r="B105" s="63">
        <v>45959</v>
      </c>
      <c r="C105" s="109">
        <f t="shared" si="13"/>
        <v>191</v>
      </c>
      <c r="D105" s="20">
        <v>1</v>
      </c>
      <c r="E105" s="20"/>
      <c r="F105" s="20"/>
      <c r="G105" s="32" t="s">
        <v>191</v>
      </c>
      <c r="H105" s="20" t="s">
        <v>2681</v>
      </c>
      <c r="I105" s="20">
        <v>1111</v>
      </c>
      <c r="J105" s="20">
        <v>112111</v>
      </c>
      <c r="K105" s="20" t="s">
        <v>20</v>
      </c>
      <c r="L105" s="20">
        <v>1</v>
      </c>
      <c r="M105" s="34">
        <v>25000000</v>
      </c>
      <c r="N105" s="34">
        <f t="shared" si="10"/>
        <v>25000000</v>
      </c>
      <c r="O105" s="20" t="s">
        <v>21</v>
      </c>
      <c r="P105" s="20">
        <f t="shared" si="14"/>
        <v>69</v>
      </c>
      <c r="Y105" s="60">
        <f t="shared" si="15"/>
        <v>0</v>
      </c>
      <c r="Z105" s="60" t="str">
        <f t="shared" si="16"/>
        <v>BC</v>
      </c>
    </row>
    <row r="106" spans="1:26" ht="15" customHeight="1" x14ac:dyDescent="0.25">
      <c r="A106" s="20" t="s">
        <v>2678</v>
      </c>
      <c r="B106" s="63">
        <v>45961</v>
      </c>
      <c r="C106" s="109">
        <f t="shared" si="13"/>
        <v>192</v>
      </c>
      <c r="D106" s="20">
        <v>1</v>
      </c>
      <c r="E106" s="20"/>
      <c r="F106" s="20"/>
      <c r="G106" s="32" t="s">
        <v>191</v>
      </c>
      <c r="H106" s="20" t="s">
        <v>3191</v>
      </c>
      <c r="I106" s="20">
        <v>3341</v>
      </c>
      <c r="J106" s="20">
        <v>112111</v>
      </c>
      <c r="K106" s="20" t="s">
        <v>20</v>
      </c>
      <c r="L106" s="20">
        <v>1</v>
      </c>
      <c r="M106" s="34">
        <v>9000000</v>
      </c>
      <c r="N106" s="34">
        <f t="shared" si="10"/>
        <v>9000000</v>
      </c>
      <c r="O106" s="20" t="s">
        <v>21</v>
      </c>
      <c r="P106" s="20">
        <f t="shared" si="14"/>
        <v>70</v>
      </c>
      <c r="Y106" s="60">
        <f t="shared" si="15"/>
        <v>0</v>
      </c>
      <c r="Z106" s="60" t="str">
        <f t="shared" si="16"/>
        <v>BC</v>
      </c>
    </row>
    <row r="107" spans="1:26" ht="15" customHeight="1" x14ac:dyDescent="0.25">
      <c r="A107" s="20" t="s">
        <v>2678</v>
      </c>
      <c r="B107" s="63">
        <v>45961</v>
      </c>
      <c r="C107" s="109">
        <f t="shared" si="13"/>
        <v>193</v>
      </c>
      <c r="D107" s="20">
        <v>1</v>
      </c>
      <c r="E107" s="20"/>
      <c r="F107" s="20"/>
      <c r="G107" s="32" t="s">
        <v>191</v>
      </c>
      <c r="H107" s="20" t="s">
        <v>3033</v>
      </c>
      <c r="I107" s="20">
        <v>1388</v>
      </c>
      <c r="J107" s="20">
        <v>112111</v>
      </c>
      <c r="K107" s="20" t="s">
        <v>20</v>
      </c>
      <c r="L107" s="20">
        <v>1</v>
      </c>
      <c r="M107" s="34">
        <v>10000000</v>
      </c>
      <c r="N107" s="34">
        <f t="shared" si="10"/>
        <v>10000000</v>
      </c>
      <c r="O107" s="20" t="s">
        <v>21</v>
      </c>
      <c r="P107" s="20">
        <f t="shared" si="14"/>
        <v>71</v>
      </c>
      <c r="Y107" s="60">
        <f t="shared" si="15"/>
        <v>0</v>
      </c>
      <c r="Z107" s="60" t="str">
        <f t="shared" si="16"/>
        <v>BC</v>
      </c>
    </row>
    <row r="108" spans="1:26" ht="15" customHeight="1" x14ac:dyDescent="0.25">
      <c r="A108" s="20" t="s">
        <v>2679</v>
      </c>
      <c r="B108" s="63">
        <v>45961</v>
      </c>
      <c r="C108" s="109">
        <f t="shared" si="13"/>
        <v>194</v>
      </c>
      <c r="D108" s="20">
        <v>1</v>
      </c>
      <c r="E108" s="20"/>
      <c r="F108" s="20"/>
      <c r="G108" s="32" t="s">
        <v>191</v>
      </c>
      <c r="H108" s="20" t="s">
        <v>3187</v>
      </c>
      <c r="I108" s="20">
        <v>112111</v>
      </c>
      <c r="J108" s="20">
        <v>1388</v>
      </c>
      <c r="K108" s="20" t="s">
        <v>20</v>
      </c>
      <c r="L108" s="20">
        <v>1</v>
      </c>
      <c r="M108" s="34">
        <v>10000000</v>
      </c>
      <c r="N108" s="34">
        <f t="shared" si="10"/>
        <v>10000000</v>
      </c>
      <c r="O108" s="20" t="s">
        <v>21</v>
      </c>
      <c r="P108" s="20">
        <f t="shared" si="14"/>
        <v>72</v>
      </c>
      <c r="Y108" s="60">
        <f t="shared" si="15"/>
        <v>0</v>
      </c>
      <c r="Z108" s="60" t="str">
        <f t="shared" si="16"/>
        <v>BC</v>
      </c>
    </row>
    <row r="109" spans="1:26" ht="15" customHeight="1" x14ac:dyDescent="0.25">
      <c r="A109" s="20" t="s">
        <v>2678</v>
      </c>
      <c r="B109" s="63">
        <v>45961</v>
      </c>
      <c r="C109" s="109">
        <f t="shared" si="13"/>
        <v>195</v>
      </c>
      <c r="D109" s="20">
        <v>1</v>
      </c>
      <c r="E109" s="20"/>
      <c r="F109" s="20"/>
      <c r="G109" s="32" t="s">
        <v>191</v>
      </c>
      <c r="H109" s="20" t="s">
        <v>3192</v>
      </c>
      <c r="I109" s="20">
        <v>3341</v>
      </c>
      <c r="J109" s="20">
        <v>112111</v>
      </c>
      <c r="K109" s="20" t="s">
        <v>20</v>
      </c>
      <c r="L109" s="20">
        <v>1</v>
      </c>
      <c r="M109" s="34">
        <v>10000000</v>
      </c>
      <c r="N109" s="34">
        <f t="shared" si="10"/>
        <v>10000000</v>
      </c>
      <c r="O109" s="20" t="s">
        <v>21</v>
      </c>
      <c r="P109" s="20">
        <f t="shared" si="14"/>
        <v>73</v>
      </c>
      <c r="Y109" s="60">
        <f t="shared" si="15"/>
        <v>0</v>
      </c>
      <c r="Z109" s="60" t="str">
        <f t="shared" si="16"/>
        <v>BC</v>
      </c>
    </row>
    <row r="110" spans="1:26" ht="15" customHeight="1" x14ac:dyDescent="0.25">
      <c r="A110" s="20" t="s">
        <v>2678</v>
      </c>
      <c r="B110" s="63">
        <v>45964</v>
      </c>
      <c r="C110" s="109">
        <f t="shared" si="13"/>
        <v>196</v>
      </c>
      <c r="D110" s="20">
        <v>1</v>
      </c>
      <c r="E110" s="20"/>
      <c r="F110" s="20"/>
      <c r="G110" s="32" t="s">
        <v>191</v>
      </c>
      <c r="H110" s="20" t="s">
        <v>2681</v>
      </c>
      <c r="I110" s="20">
        <v>1111</v>
      </c>
      <c r="J110" s="20">
        <v>112111</v>
      </c>
      <c r="K110" s="20" t="s">
        <v>20</v>
      </c>
      <c r="L110" s="20">
        <v>1</v>
      </c>
      <c r="M110" s="34">
        <v>30000000</v>
      </c>
      <c r="N110" s="34">
        <f t="shared" si="10"/>
        <v>30000000</v>
      </c>
      <c r="O110" s="20" t="s">
        <v>21</v>
      </c>
      <c r="P110" s="20">
        <f t="shared" si="14"/>
        <v>74</v>
      </c>
      <c r="Y110" s="60">
        <f t="shared" si="15"/>
        <v>0</v>
      </c>
      <c r="Z110" s="60" t="str">
        <f t="shared" si="16"/>
        <v>BC</v>
      </c>
    </row>
    <row r="111" spans="1:26" ht="15" customHeight="1" x14ac:dyDescent="0.25">
      <c r="A111" s="20" t="s">
        <v>2679</v>
      </c>
      <c r="B111" s="63">
        <v>45965</v>
      </c>
      <c r="C111" s="109">
        <f t="shared" si="13"/>
        <v>197</v>
      </c>
      <c r="D111" s="20">
        <v>1</v>
      </c>
      <c r="E111" s="20"/>
      <c r="F111" s="20"/>
      <c r="G111" s="32" t="s">
        <v>95</v>
      </c>
      <c r="H111" s="20" t="s">
        <v>3198</v>
      </c>
      <c r="I111" s="20">
        <v>112111</v>
      </c>
      <c r="J111" s="20">
        <v>131</v>
      </c>
      <c r="K111" s="20" t="s">
        <v>20</v>
      </c>
      <c r="L111" s="20">
        <v>1</v>
      </c>
      <c r="M111" s="34">
        <v>16000000</v>
      </c>
      <c r="N111" s="34">
        <f t="shared" si="10"/>
        <v>16000000</v>
      </c>
      <c r="O111" s="20" t="s">
        <v>21</v>
      </c>
      <c r="P111" s="20">
        <f t="shared" si="14"/>
        <v>75</v>
      </c>
      <c r="Y111" s="60">
        <f t="shared" si="15"/>
        <v>0</v>
      </c>
      <c r="Z111" s="60" t="str">
        <f t="shared" si="16"/>
        <v>BC</v>
      </c>
    </row>
    <row r="112" spans="1:26" ht="15" customHeight="1" x14ac:dyDescent="0.25">
      <c r="A112" s="20" t="s">
        <v>2678</v>
      </c>
      <c r="B112" s="63">
        <v>45966</v>
      </c>
      <c r="C112" s="109">
        <f t="shared" si="13"/>
        <v>198</v>
      </c>
      <c r="D112" s="20">
        <v>1</v>
      </c>
      <c r="E112" s="20"/>
      <c r="F112" s="20"/>
      <c r="G112" s="32" t="s">
        <v>191</v>
      </c>
      <c r="H112" s="20" t="s">
        <v>2681</v>
      </c>
      <c r="I112" s="20">
        <v>1111</v>
      </c>
      <c r="J112" s="20">
        <v>112111</v>
      </c>
      <c r="K112" s="20" t="s">
        <v>20</v>
      </c>
      <c r="L112" s="20">
        <v>1</v>
      </c>
      <c r="M112" s="34">
        <v>40000000</v>
      </c>
      <c r="N112" s="34">
        <f t="shared" si="10"/>
        <v>40000000</v>
      </c>
      <c r="O112" s="20" t="s">
        <v>21</v>
      </c>
      <c r="P112" s="20">
        <f t="shared" si="14"/>
        <v>76</v>
      </c>
      <c r="Y112" s="60">
        <f t="shared" si="15"/>
        <v>0</v>
      </c>
      <c r="Z112" s="60" t="str">
        <f t="shared" si="16"/>
        <v>BC</v>
      </c>
    </row>
    <row r="113" spans="1:26" ht="15" customHeight="1" x14ac:dyDescent="0.25">
      <c r="A113" s="20" t="s">
        <v>2678</v>
      </c>
      <c r="B113" s="63">
        <v>45968</v>
      </c>
      <c r="C113" s="109">
        <f t="shared" si="13"/>
        <v>199</v>
      </c>
      <c r="D113" s="20">
        <v>1</v>
      </c>
      <c r="E113" s="20"/>
      <c r="F113" s="20"/>
      <c r="G113" s="32" t="s">
        <v>191</v>
      </c>
      <c r="H113" s="20" t="s">
        <v>2681</v>
      </c>
      <c r="I113" s="20">
        <v>1111</v>
      </c>
      <c r="J113" s="20">
        <v>112111</v>
      </c>
      <c r="K113" s="20" t="s">
        <v>20</v>
      </c>
      <c r="L113" s="20">
        <v>1</v>
      </c>
      <c r="M113" s="34">
        <v>80000000</v>
      </c>
      <c r="N113" s="34">
        <f t="shared" si="10"/>
        <v>80000000</v>
      </c>
      <c r="O113" s="20" t="s">
        <v>21</v>
      </c>
      <c r="P113" s="20">
        <f t="shared" si="14"/>
        <v>77</v>
      </c>
      <c r="Y113" s="60">
        <f t="shared" si="15"/>
        <v>0</v>
      </c>
      <c r="Z113" s="60" t="str">
        <f t="shared" si="16"/>
        <v>BC</v>
      </c>
    </row>
    <row r="114" spans="1:26" ht="15" customHeight="1" x14ac:dyDescent="0.25">
      <c r="A114" s="20" t="s">
        <v>2679</v>
      </c>
      <c r="B114" s="63">
        <v>45971</v>
      </c>
      <c r="C114" s="109">
        <f t="shared" si="13"/>
        <v>200</v>
      </c>
      <c r="D114" s="20">
        <v>1</v>
      </c>
      <c r="E114" s="20"/>
      <c r="F114" s="20"/>
      <c r="G114" s="32" t="s">
        <v>537</v>
      </c>
      <c r="H114" s="20" t="s">
        <v>3204</v>
      </c>
      <c r="I114" s="20">
        <v>112111</v>
      </c>
      <c r="J114" s="20">
        <v>131</v>
      </c>
      <c r="K114" s="20" t="s">
        <v>20</v>
      </c>
      <c r="L114" s="20">
        <v>1</v>
      </c>
      <c r="M114" s="34">
        <v>71008000</v>
      </c>
      <c r="N114" s="34">
        <f t="shared" si="10"/>
        <v>71008000</v>
      </c>
      <c r="O114" s="20" t="s">
        <v>21</v>
      </c>
      <c r="P114" s="20">
        <f t="shared" si="14"/>
        <v>78</v>
      </c>
      <c r="Y114" s="60">
        <f t="shared" si="15"/>
        <v>0</v>
      </c>
      <c r="Z114" s="60" t="str">
        <f t="shared" si="16"/>
        <v>BC</v>
      </c>
    </row>
    <row r="115" spans="1:26" ht="15" customHeight="1" x14ac:dyDescent="0.25">
      <c r="A115" s="20" t="s">
        <v>2678</v>
      </c>
      <c r="B115" s="63">
        <v>45971</v>
      </c>
      <c r="C115" s="109">
        <f t="shared" si="13"/>
        <v>201</v>
      </c>
      <c r="D115" s="20">
        <v>1</v>
      </c>
      <c r="E115" s="20"/>
      <c r="F115" s="20"/>
      <c r="G115" s="32" t="s">
        <v>191</v>
      </c>
      <c r="H115" s="20" t="s">
        <v>2681</v>
      </c>
      <c r="I115" s="20">
        <v>1111</v>
      </c>
      <c r="J115" s="20">
        <v>112111</v>
      </c>
      <c r="K115" s="20" t="s">
        <v>20</v>
      </c>
      <c r="L115" s="20">
        <v>1</v>
      </c>
      <c r="M115" s="34">
        <v>65000000</v>
      </c>
      <c r="N115" s="34">
        <f t="shared" si="10"/>
        <v>65000000</v>
      </c>
      <c r="O115" s="20" t="s">
        <v>21</v>
      </c>
      <c r="P115" s="20">
        <f t="shared" si="14"/>
        <v>79</v>
      </c>
      <c r="Y115" s="60">
        <f t="shared" si="15"/>
        <v>0</v>
      </c>
      <c r="Z115" s="60" t="str">
        <f t="shared" si="16"/>
        <v>BC</v>
      </c>
    </row>
    <row r="116" spans="1:26" ht="15" customHeight="1" x14ac:dyDescent="0.25">
      <c r="A116" s="20" t="s">
        <v>2678</v>
      </c>
      <c r="B116" s="63">
        <v>45971</v>
      </c>
      <c r="C116" s="109">
        <f t="shared" si="13"/>
        <v>202</v>
      </c>
      <c r="D116" s="20">
        <v>1</v>
      </c>
      <c r="E116" s="20"/>
      <c r="F116" s="20"/>
      <c r="G116" s="32" t="s">
        <v>191</v>
      </c>
      <c r="H116" s="20" t="s">
        <v>2681</v>
      </c>
      <c r="I116" s="20">
        <v>1111</v>
      </c>
      <c r="J116" s="20">
        <v>112111</v>
      </c>
      <c r="K116" s="20" t="s">
        <v>20</v>
      </c>
      <c r="L116" s="20">
        <v>1</v>
      </c>
      <c r="M116" s="34">
        <v>10000000</v>
      </c>
      <c r="N116" s="34">
        <f t="shared" si="10"/>
        <v>10000000</v>
      </c>
      <c r="O116" s="20" t="s">
        <v>21</v>
      </c>
      <c r="P116" s="20">
        <f t="shared" si="14"/>
        <v>80</v>
      </c>
      <c r="Y116" s="60">
        <f t="shared" si="15"/>
        <v>0</v>
      </c>
      <c r="Z116" s="60" t="str">
        <f t="shared" si="16"/>
        <v>BC</v>
      </c>
    </row>
    <row r="117" spans="1:26" ht="15" customHeight="1" x14ac:dyDescent="0.25">
      <c r="A117" s="20" t="s">
        <v>2679</v>
      </c>
      <c r="B117" s="63">
        <v>45971</v>
      </c>
      <c r="C117" s="109">
        <f t="shared" si="13"/>
        <v>203</v>
      </c>
      <c r="D117" s="20">
        <v>1</v>
      </c>
      <c r="E117" s="20"/>
      <c r="F117" s="20"/>
      <c r="G117" s="32" t="s">
        <v>532</v>
      </c>
      <c r="H117" s="20" t="s">
        <v>3205</v>
      </c>
      <c r="I117" s="20">
        <v>112111</v>
      </c>
      <c r="J117" s="20">
        <v>131</v>
      </c>
      <c r="K117" s="20" t="s">
        <v>20</v>
      </c>
      <c r="L117" s="20">
        <v>1</v>
      </c>
      <c r="M117" s="34">
        <v>57375290</v>
      </c>
      <c r="N117" s="34">
        <f t="shared" si="10"/>
        <v>57375290</v>
      </c>
      <c r="O117" s="20" t="s">
        <v>21</v>
      </c>
      <c r="P117" s="20">
        <f t="shared" si="14"/>
        <v>81</v>
      </c>
      <c r="Y117" s="60">
        <f t="shared" si="15"/>
        <v>0</v>
      </c>
      <c r="Z117" s="60" t="str">
        <f t="shared" si="16"/>
        <v>BC</v>
      </c>
    </row>
    <row r="118" spans="1:26" ht="15" customHeight="1" x14ac:dyDescent="0.25">
      <c r="A118" s="20" t="s">
        <v>2679</v>
      </c>
      <c r="B118" s="63">
        <v>45972</v>
      </c>
      <c r="C118" s="109">
        <f t="shared" si="13"/>
        <v>204</v>
      </c>
      <c r="D118" s="20">
        <v>1</v>
      </c>
      <c r="E118" s="20"/>
      <c r="F118" s="20"/>
      <c r="G118" s="14" t="s">
        <v>3003</v>
      </c>
      <c r="H118" s="12" t="s">
        <v>3005</v>
      </c>
      <c r="I118" s="12">
        <v>112111</v>
      </c>
      <c r="J118" s="12">
        <v>131</v>
      </c>
      <c r="K118" s="20" t="s">
        <v>20</v>
      </c>
      <c r="L118" s="20">
        <v>1</v>
      </c>
      <c r="M118" s="34">
        <v>1006658</v>
      </c>
      <c r="N118" s="34">
        <f t="shared" si="10"/>
        <v>1006658</v>
      </c>
      <c r="O118" s="20"/>
      <c r="P118" s="20">
        <f t="shared" si="14"/>
        <v>82</v>
      </c>
      <c r="Y118" s="60">
        <f t="shared" si="15"/>
        <v>0</v>
      </c>
      <c r="Z118" s="60" t="str">
        <f t="shared" si="16"/>
        <v>BC</v>
      </c>
    </row>
    <row r="119" spans="1:26" ht="15" customHeight="1" x14ac:dyDescent="0.25">
      <c r="A119" s="20" t="s">
        <v>2679</v>
      </c>
      <c r="B119" s="63">
        <v>45972</v>
      </c>
      <c r="C119" s="109">
        <f t="shared" si="13"/>
        <v>205</v>
      </c>
      <c r="D119" s="20">
        <v>1</v>
      </c>
      <c r="E119" s="20"/>
      <c r="F119" s="20"/>
      <c r="G119" s="32" t="s">
        <v>535</v>
      </c>
      <c r="H119" s="20" t="s">
        <v>3206</v>
      </c>
      <c r="I119" s="20">
        <v>112111</v>
      </c>
      <c r="J119" s="20">
        <v>131</v>
      </c>
      <c r="K119" s="20" t="s">
        <v>20</v>
      </c>
      <c r="L119" s="20">
        <v>1</v>
      </c>
      <c r="M119" s="34">
        <v>450000000</v>
      </c>
      <c r="N119" s="34">
        <f t="shared" si="10"/>
        <v>450000000</v>
      </c>
      <c r="O119" s="20" t="s">
        <v>21</v>
      </c>
      <c r="P119" s="20">
        <f t="shared" si="14"/>
        <v>83</v>
      </c>
      <c r="Y119" s="60">
        <f t="shared" si="15"/>
        <v>0</v>
      </c>
      <c r="Z119" s="60" t="str">
        <f t="shared" si="16"/>
        <v>BC</v>
      </c>
    </row>
    <row r="120" spans="1:26" ht="15" customHeight="1" x14ac:dyDescent="0.25">
      <c r="A120" s="20" t="s">
        <v>2679</v>
      </c>
      <c r="B120" s="63">
        <v>45972</v>
      </c>
      <c r="C120" s="109">
        <f t="shared" si="13"/>
        <v>206</v>
      </c>
      <c r="D120" s="20">
        <v>1</v>
      </c>
      <c r="E120" s="20"/>
      <c r="F120" s="20"/>
      <c r="G120" s="32" t="s">
        <v>535</v>
      </c>
      <c r="H120" s="20" t="s">
        <v>3206</v>
      </c>
      <c r="I120" s="20">
        <v>112111</v>
      </c>
      <c r="J120" s="20">
        <v>131</v>
      </c>
      <c r="K120" s="20" t="s">
        <v>20</v>
      </c>
      <c r="L120" s="20">
        <v>1</v>
      </c>
      <c r="M120" s="34">
        <v>300000000</v>
      </c>
      <c r="N120" s="34">
        <f t="shared" si="10"/>
        <v>300000000</v>
      </c>
      <c r="O120" s="20" t="s">
        <v>21</v>
      </c>
      <c r="P120" s="20">
        <f t="shared" si="14"/>
        <v>84</v>
      </c>
      <c r="Y120" s="60">
        <f t="shared" si="15"/>
        <v>0</v>
      </c>
      <c r="Z120" s="60" t="str">
        <f t="shared" si="16"/>
        <v>BC</v>
      </c>
    </row>
    <row r="121" spans="1:26" ht="15" customHeight="1" x14ac:dyDescent="0.25">
      <c r="A121" s="20" t="s">
        <v>2679</v>
      </c>
      <c r="B121" s="63">
        <v>45973</v>
      </c>
      <c r="C121" s="109">
        <f t="shared" si="13"/>
        <v>207</v>
      </c>
      <c r="D121" s="20">
        <v>1</v>
      </c>
      <c r="E121" s="20"/>
      <c r="F121" s="20"/>
      <c r="G121" s="14" t="s">
        <v>3003</v>
      </c>
      <c r="H121" s="12" t="s">
        <v>3005</v>
      </c>
      <c r="I121" s="12">
        <v>112111</v>
      </c>
      <c r="J121" s="12">
        <v>131</v>
      </c>
      <c r="K121" s="20" t="s">
        <v>20</v>
      </c>
      <c r="L121" s="20">
        <v>1</v>
      </c>
      <c r="M121" s="34">
        <v>128294</v>
      </c>
      <c r="N121" s="34">
        <f t="shared" si="10"/>
        <v>128294</v>
      </c>
      <c r="O121" s="20"/>
      <c r="P121" s="20">
        <f t="shared" si="14"/>
        <v>85</v>
      </c>
      <c r="Y121" s="60">
        <f t="shared" si="15"/>
        <v>0</v>
      </c>
      <c r="Z121" s="60" t="str">
        <f t="shared" si="16"/>
        <v>BC</v>
      </c>
    </row>
    <row r="122" spans="1:26" ht="15" customHeight="1" x14ac:dyDescent="0.25">
      <c r="A122" s="20" t="s">
        <v>2678</v>
      </c>
      <c r="B122" s="63">
        <v>45973</v>
      </c>
      <c r="C122" s="109">
        <f t="shared" si="13"/>
        <v>208</v>
      </c>
      <c r="D122" s="20">
        <v>1</v>
      </c>
      <c r="E122" s="20"/>
      <c r="F122" s="20"/>
      <c r="G122" s="32" t="s">
        <v>191</v>
      </c>
      <c r="H122" s="20" t="s">
        <v>2681</v>
      </c>
      <c r="I122" s="20">
        <v>1111</v>
      </c>
      <c r="J122" s="20">
        <v>112111</v>
      </c>
      <c r="K122" s="20" t="s">
        <v>20</v>
      </c>
      <c r="L122" s="20">
        <v>1</v>
      </c>
      <c r="M122" s="34">
        <v>300000000</v>
      </c>
      <c r="N122" s="34">
        <f t="shared" si="10"/>
        <v>300000000</v>
      </c>
      <c r="O122" s="20" t="s">
        <v>21</v>
      </c>
      <c r="P122" s="20">
        <f t="shared" si="14"/>
        <v>86</v>
      </c>
      <c r="Y122" s="60">
        <f t="shared" si="15"/>
        <v>0</v>
      </c>
      <c r="Z122" s="60" t="str">
        <f t="shared" si="16"/>
        <v>BC</v>
      </c>
    </row>
    <row r="123" spans="1:26" ht="15" customHeight="1" x14ac:dyDescent="0.25">
      <c r="A123" s="20" t="s">
        <v>2678</v>
      </c>
      <c r="B123" s="63">
        <v>45973</v>
      </c>
      <c r="C123" s="109">
        <f t="shared" si="13"/>
        <v>209</v>
      </c>
      <c r="D123" s="20">
        <v>1</v>
      </c>
      <c r="E123" s="20"/>
      <c r="F123" s="20"/>
      <c r="G123" s="32" t="s">
        <v>191</v>
      </c>
      <c r="H123" s="20" t="s">
        <v>2681</v>
      </c>
      <c r="I123" s="20">
        <v>1111</v>
      </c>
      <c r="J123" s="20">
        <v>112111</v>
      </c>
      <c r="K123" s="20" t="s">
        <v>20</v>
      </c>
      <c r="L123" s="20">
        <v>1</v>
      </c>
      <c r="M123" s="34">
        <v>110000000</v>
      </c>
      <c r="N123" s="34">
        <f t="shared" si="10"/>
        <v>110000000</v>
      </c>
      <c r="O123" s="20" t="s">
        <v>21</v>
      </c>
      <c r="P123" s="20">
        <f t="shared" si="14"/>
        <v>87</v>
      </c>
      <c r="Y123" s="60">
        <f t="shared" si="15"/>
        <v>0</v>
      </c>
      <c r="Z123" s="60" t="str">
        <f t="shared" si="16"/>
        <v>BC</v>
      </c>
    </row>
    <row r="124" spans="1:26" ht="15" customHeight="1" x14ac:dyDescent="0.25">
      <c r="A124" s="20" t="s">
        <v>2679</v>
      </c>
      <c r="B124" s="63">
        <v>45974</v>
      </c>
      <c r="C124" s="109">
        <f t="shared" si="13"/>
        <v>210</v>
      </c>
      <c r="D124" s="20">
        <v>1</v>
      </c>
      <c r="E124" s="20"/>
      <c r="F124" s="20"/>
      <c r="G124" s="14" t="s">
        <v>3003</v>
      </c>
      <c r="H124" s="12" t="s">
        <v>3005</v>
      </c>
      <c r="I124" s="12">
        <v>112111</v>
      </c>
      <c r="J124" s="12">
        <v>131</v>
      </c>
      <c r="K124" s="20" t="s">
        <v>20</v>
      </c>
      <c r="L124" s="20">
        <v>1</v>
      </c>
      <c r="M124" s="34">
        <v>64697</v>
      </c>
      <c r="N124" s="34">
        <f t="shared" si="10"/>
        <v>64697</v>
      </c>
      <c r="O124" s="20"/>
      <c r="P124" s="20">
        <f t="shared" si="14"/>
        <v>88</v>
      </c>
      <c r="Y124" s="60">
        <f t="shared" si="15"/>
        <v>0</v>
      </c>
      <c r="Z124" s="60" t="str">
        <f t="shared" si="16"/>
        <v>BC</v>
      </c>
    </row>
    <row r="125" spans="1:26" ht="15" customHeight="1" x14ac:dyDescent="0.25">
      <c r="A125" s="20" t="s">
        <v>2678</v>
      </c>
      <c r="B125" s="63">
        <v>45975</v>
      </c>
      <c r="C125" s="109">
        <f t="shared" si="13"/>
        <v>211</v>
      </c>
      <c r="D125" s="20">
        <v>1</v>
      </c>
      <c r="E125" s="20"/>
      <c r="F125" s="20"/>
      <c r="G125" s="32" t="s">
        <v>191</v>
      </c>
      <c r="H125" s="20" t="s">
        <v>2681</v>
      </c>
      <c r="I125" s="20">
        <v>1111</v>
      </c>
      <c r="J125" s="20">
        <v>112111</v>
      </c>
      <c r="K125" s="20" t="s">
        <v>20</v>
      </c>
      <c r="L125" s="20">
        <v>1</v>
      </c>
      <c r="M125" s="34">
        <v>50000000</v>
      </c>
      <c r="N125" s="34">
        <f t="shared" si="10"/>
        <v>50000000</v>
      </c>
      <c r="O125" s="20" t="s">
        <v>21</v>
      </c>
      <c r="P125" s="20">
        <f t="shared" si="14"/>
        <v>89</v>
      </c>
      <c r="Y125" s="60">
        <f t="shared" si="15"/>
        <v>0</v>
      </c>
      <c r="Z125" s="60" t="str">
        <f t="shared" si="16"/>
        <v>BC</v>
      </c>
    </row>
    <row r="126" spans="1:26" ht="15" customHeight="1" x14ac:dyDescent="0.25">
      <c r="A126" s="20" t="s">
        <v>2678</v>
      </c>
      <c r="B126" s="63">
        <v>45979</v>
      </c>
      <c r="C126" s="109">
        <f t="shared" si="13"/>
        <v>212</v>
      </c>
      <c r="D126" s="20">
        <v>1</v>
      </c>
      <c r="E126" s="20"/>
      <c r="F126" s="20"/>
      <c r="G126" s="32" t="s">
        <v>191</v>
      </c>
      <c r="H126" s="20" t="s">
        <v>2681</v>
      </c>
      <c r="I126" s="20">
        <v>1111</v>
      </c>
      <c r="J126" s="20">
        <v>112111</v>
      </c>
      <c r="K126" s="20" t="s">
        <v>20</v>
      </c>
      <c r="L126" s="20">
        <v>1</v>
      </c>
      <c r="M126" s="34">
        <v>60000000</v>
      </c>
      <c r="N126" s="34">
        <f t="shared" si="10"/>
        <v>60000000</v>
      </c>
      <c r="O126" s="20" t="s">
        <v>21</v>
      </c>
      <c r="P126" s="20">
        <f t="shared" si="14"/>
        <v>90</v>
      </c>
      <c r="Y126" s="60">
        <f t="shared" si="15"/>
        <v>0</v>
      </c>
      <c r="Z126" s="60" t="str">
        <f t="shared" si="16"/>
        <v>BC</v>
      </c>
    </row>
    <row r="127" spans="1:26" ht="15" customHeight="1" x14ac:dyDescent="0.25">
      <c r="A127" s="20" t="s">
        <v>2679</v>
      </c>
      <c r="B127" s="63">
        <v>45981</v>
      </c>
      <c r="C127" s="109">
        <f t="shared" si="13"/>
        <v>213</v>
      </c>
      <c r="D127" s="20">
        <v>1</v>
      </c>
      <c r="E127" s="20"/>
      <c r="F127" s="20"/>
      <c r="G127" s="14" t="s">
        <v>3003</v>
      </c>
      <c r="H127" s="12" t="s">
        <v>3005</v>
      </c>
      <c r="I127" s="12">
        <v>112111</v>
      </c>
      <c r="J127" s="12">
        <v>131</v>
      </c>
      <c r="K127" s="20" t="s">
        <v>20</v>
      </c>
      <c r="L127" s="20">
        <v>1</v>
      </c>
      <c r="M127" s="34">
        <v>70189</v>
      </c>
      <c r="N127" s="34">
        <f t="shared" si="10"/>
        <v>70189</v>
      </c>
      <c r="O127" s="20"/>
      <c r="P127" s="20">
        <f t="shared" si="14"/>
        <v>91</v>
      </c>
      <c r="Y127" s="60">
        <f t="shared" si="15"/>
        <v>0</v>
      </c>
      <c r="Z127" s="60" t="str">
        <f t="shared" si="16"/>
        <v>BC</v>
      </c>
    </row>
    <row r="128" spans="1:26" ht="15" customHeight="1" x14ac:dyDescent="0.25">
      <c r="A128" s="20" t="s">
        <v>2679</v>
      </c>
      <c r="B128" s="63">
        <v>45982</v>
      </c>
      <c r="C128" s="109">
        <f t="shared" si="13"/>
        <v>214</v>
      </c>
      <c r="D128" s="20">
        <v>1</v>
      </c>
      <c r="E128" s="20"/>
      <c r="F128" s="20"/>
      <c r="G128" s="32" t="s">
        <v>533</v>
      </c>
      <c r="H128" s="20" t="s">
        <v>3207</v>
      </c>
      <c r="I128" s="20">
        <v>112111</v>
      </c>
      <c r="J128" s="20">
        <v>131</v>
      </c>
      <c r="K128" s="20" t="s">
        <v>20</v>
      </c>
      <c r="L128" s="20">
        <v>1</v>
      </c>
      <c r="M128" s="34">
        <v>19742000</v>
      </c>
      <c r="N128" s="34">
        <f t="shared" si="10"/>
        <v>19742000</v>
      </c>
      <c r="O128" s="20" t="s">
        <v>21</v>
      </c>
      <c r="P128" s="20">
        <f t="shared" si="14"/>
        <v>92</v>
      </c>
      <c r="Y128" s="60">
        <f t="shared" si="15"/>
        <v>0</v>
      </c>
      <c r="Z128" s="60" t="str">
        <f t="shared" si="16"/>
        <v>BC</v>
      </c>
    </row>
    <row r="129" spans="1:26" ht="15" customHeight="1" x14ac:dyDescent="0.25">
      <c r="A129" s="20" t="s">
        <v>2678</v>
      </c>
      <c r="B129" s="63">
        <v>45983</v>
      </c>
      <c r="C129" s="109">
        <f t="shared" si="13"/>
        <v>215</v>
      </c>
      <c r="D129" s="20">
        <v>1</v>
      </c>
      <c r="E129" s="20"/>
      <c r="F129" s="20"/>
      <c r="G129" s="32" t="s">
        <v>191</v>
      </c>
      <c r="H129" s="20" t="s">
        <v>2681</v>
      </c>
      <c r="I129" s="20">
        <v>1111</v>
      </c>
      <c r="J129" s="20">
        <v>112111</v>
      </c>
      <c r="K129" s="20" t="s">
        <v>20</v>
      </c>
      <c r="L129" s="20">
        <v>1</v>
      </c>
      <c r="M129" s="34">
        <v>10000000</v>
      </c>
      <c r="N129" s="34">
        <f t="shared" si="10"/>
        <v>10000000</v>
      </c>
      <c r="O129" s="20" t="s">
        <v>21</v>
      </c>
      <c r="P129" s="20">
        <f t="shared" si="14"/>
        <v>93</v>
      </c>
      <c r="Y129" s="60">
        <f t="shared" si="15"/>
        <v>0</v>
      </c>
      <c r="Z129" s="60" t="str">
        <f t="shared" si="16"/>
        <v>BC</v>
      </c>
    </row>
    <row r="130" spans="1:26" ht="15" customHeight="1" x14ac:dyDescent="0.25">
      <c r="A130" s="20" t="s">
        <v>2678</v>
      </c>
      <c r="B130" s="63">
        <v>45985</v>
      </c>
      <c r="C130" s="109">
        <f t="shared" si="13"/>
        <v>216</v>
      </c>
      <c r="D130" s="20">
        <v>1</v>
      </c>
      <c r="E130" s="20"/>
      <c r="F130" s="20"/>
      <c r="G130" s="32" t="s">
        <v>191</v>
      </c>
      <c r="H130" s="20" t="s">
        <v>2681</v>
      </c>
      <c r="I130" s="20">
        <v>1111</v>
      </c>
      <c r="J130" s="20">
        <v>112111</v>
      </c>
      <c r="K130" s="20" t="s">
        <v>20</v>
      </c>
      <c r="L130" s="20">
        <v>1</v>
      </c>
      <c r="M130" s="34">
        <v>10000000</v>
      </c>
      <c r="N130" s="34">
        <f t="shared" si="10"/>
        <v>10000000</v>
      </c>
      <c r="O130" s="20" t="s">
        <v>21</v>
      </c>
      <c r="P130" s="20">
        <f t="shared" si="14"/>
        <v>94</v>
      </c>
      <c r="Y130" s="60">
        <f t="shared" si="15"/>
        <v>0</v>
      </c>
      <c r="Z130" s="60" t="str">
        <f t="shared" si="16"/>
        <v>BC</v>
      </c>
    </row>
    <row r="131" spans="1:26" ht="15" customHeight="1" x14ac:dyDescent="0.25">
      <c r="A131" s="20" t="s">
        <v>2678</v>
      </c>
      <c r="B131" s="63">
        <v>45985</v>
      </c>
      <c r="C131" s="109">
        <f t="shared" si="13"/>
        <v>217</v>
      </c>
      <c r="D131" s="20">
        <v>1</v>
      </c>
      <c r="E131" s="20"/>
      <c r="F131" s="20"/>
      <c r="G131" s="32" t="s">
        <v>191</v>
      </c>
      <c r="H131" s="20" t="s">
        <v>2681</v>
      </c>
      <c r="I131" s="20">
        <v>1111</v>
      </c>
      <c r="J131" s="20">
        <v>112111</v>
      </c>
      <c r="K131" s="20" t="s">
        <v>20</v>
      </c>
      <c r="L131" s="20">
        <v>1</v>
      </c>
      <c r="M131" s="34">
        <v>10000000</v>
      </c>
      <c r="N131" s="34">
        <f t="shared" si="10"/>
        <v>10000000</v>
      </c>
      <c r="O131" s="20" t="s">
        <v>21</v>
      </c>
      <c r="P131" s="20">
        <f t="shared" si="14"/>
        <v>95</v>
      </c>
      <c r="Y131" s="60">
        <f t="shared" si="15"/>
        <v>0</v>
      </c>
      <c r="Z131" s="60" t="str">
        <f t="shared" si="16"/>
        <v>BC</v>
      </c>
    </row>
    <row r="132" spans="1:26" ht="15" customHeight="1" x14ac:dyDescent="0.25">
      <c r="A132" s="20" t="s">
        <v>2679</v>
      </c>
      <c r="B132" s="63">
        <v>45986</v>
      </c>
      <c r="C132" s="109">
        <f t="shared" si="13"/>
        <v>218</v>
      </c>
      <c r="D132" s="20">
        <v>1</v>
      </c>
      <c r="E132" s="20"/>
      <c r="F132" s="20"/>
      <c r="G132" s="14" t="s">
        <v>3003</v>
      </c>
      <c r="H132" s="12" t="s">
        <v>3005</v>
      </c>
      <c r="I132" s="12">
        <v>112111</v>
      </c>
      <c r="J132" s="12">
        <v>131</v>
      </c>
      <c r="K132" s="20" t="s">
        <v>20</v>
      </c>
      <c r="L132" s="20">
        <v>1</v>
      </c>
      <c r="M132" s="34">
        <v>14830</v>
      </c>
      <c r="N132" s="34">
        <f t="shared" si="10"/>
        <v>14830</v>
      </c>
      <c r="O132" s="20"/>
      <c r="P132" s="20">
        <f t="shared" si="14"/>
        <v>96</v>
      </c>
      <c r="Y132" s="60">
        <f t="shared" si="15"/>
        <v>0</v>
      </c>
      <c r="Z132" s="60" t="str">
        <f t="shared" si="16"/>
        <v>BC</v>
      </c>
    </row>
    <row r="133" spans="1:26" ht="15" customHeight="1" x14ac:dyDescent="0.25">
      <c r="A133" s="20" t="s">
        <v>2679</v>
      </c>
      <c r="B133" s="63">
        <v>45987</v>
      </c>
      <c r="C133" s="109">
        <f t="shared" si="13"/>
        <v>219</v>
      </c>
      <c r="D133" s="20">
        <v>1</v>
      </c>
      <c r="E133" s="20"/>
      <c r="F133" s="20"/>
      <c r="G133" s="32" t="s">
        <v>62</v>
      </c>
      <c r="H133" s="20" t="s">
        <v>3208</v>
      </c>
      <c r="I133" s="20">
        <v>112111</v>
      </c>
      <c r="J133" s="20">
        <v>131</v>
      </c>
      <c r="K133" s="20" t="s">
        <v>20</v>
      </c>
      <c r="L133" s="20">
        <v>1</v>
      </c>
      <c r="M133" s="34">
        <v>7907226</v>
      </c>
      <c r="N133" s="34">
        <f t="shared" si="10"/>
        <v>7907226</v>
      </c>
      <c r="O133" s="20" t="s">
        <v>21</v>
      </c>
      <c r="P133" s="20">
        <f t="shared" si="14"/>
        <v>97</v>
      </c>
      <c r="Y133" s="60">
        <f t="shared" si="15"/>
        <v>0</v>
      </c>
      <c r="Z133" s="60" t="str">
        <f t="shared" si="16"/>
        <v>BC</v>
      </c>
    </row>
    <row r="134" spans="1:26" ht="15" customHeight="1" x14ac:dyDescent="0.25">
      <c r="A134" s="20" t="s">
        <v>2678</v>
      </c>
      <c r="B134" s="63">
        <v>45987</v>
      </c>
      <c r="C134" s="109">
        <f t="shared" si="13"/>
        <v>220</v>
      </c>
      <c r="D134" s="20">
        <v>1</v>
      </c>
      <c r="E134" s="20"/>
      <c r="F134" s="20"/>
      <c r="G134" s="32" t="s">
        <v>537</v>
      </c>
      <c r="H134" s="20" t="s">
        <v>3209</v>
      </c>
      <c r="I134" s="20">
        <v>131</v>
      </c>
      <c r="J134" s="20">
        <v>112111</v>
      </c>
      <c r="K134" s="20" t="s">
        <v>20</v>
      </c>
      <c r="L134" s="20">
        <v>1</v>
      </c>
      <c r="M134" s="34">
        <v>71008000</v>
      </c>
      <c r="N134" s="34">
        <f t="shared" si="10"/>
        <v>71008000</v>
      </c>
      <c r="O134" s="20" t="s">
        <v>21</v>
      </c>
      <c r="P134" s="20">
        <f t="shared" si="14"/>
        <v>98</v>
      </c>
      <c r="Y134" s="60">
        <f t="shared" si="15"/>
        <v>0</v>
      </c>
      <c r="Z134" s="60" t="str">
        <f t="shared" si="16"/>
        <v>BC</v>
      </c>
    </row>
    <row r="135" spans="1:26" ht="15" customHeight="1" x14ac:dyDescent="0.25">
      <c r="A135" s="20" t="s">
        <v>2678</v>
      </c>
      <c r="B135" s="63">
        <v>45988</v>
      </c>
      <c r="C135" s="109">
        <f t="shared" si="13"/>
        <v>221</v>
      </c>
      <c r="D135" s="20">
        <v>1</v>
      </c>
      <c r="E135" s="20"/>
      <c r="F135" s="20"/>
      <c r="G135" s="32" t="s">
        <v>93</v>
      </c>
      <c r="H135" s="20" t="s">
        <v>2684</v>
      </c>
      <c r="I135" s="20">
        <v>3383</v>
      </c>
      <c r="J135" s="20">
        <v>112111</v>
      </c>
      <c r="K135" s="20" t="s">
        <v>20</v>
      </c>
      <c r="L135" s="20">
        <v>1</v>
      </c>
      <c r="M135" s="34">
        <v>2950000</v>
      </c>
      <c r="N135" s="34">
        <f t="shared" si="10"/>
        <v>2950000</v>
      </c>
      <c r="O135" s="20" t="s">
        <v>21</v>
      </c>
      <c r="P135" s="20">
        <f t="shared" si="14"/>
        <v>99</v>
      </c>
      <c r="Y135" s="60">
        <f t="shared" si="15"/>
        <v>0</v>
      </c>
      <c r="Z135" s="60" t="str">
        <f t="shared" si="16"/>
        <v>BC</v>
      </c>
    </row>
    <row r="136" spans="1:26" ht="15" customHeight="1" x14ac:dyDescent="0.25">
      <c r="A136" s="20" t="s">
        <v>2678</v>
      </c>
      <c r="B136" s="63">
        <v>45988</v>
      </c>
      <c r="C136" s="109">
        <f t="shared" si="13"/>
        <v>222</v>
      </c>
      <c r="D136" s="20">
        <v>1</v>
      </c>
      <c r="E136" s="20"/>
      <c r="F136" s="20"/>
      <c r="G136" s="32" t="s">
        <v>93</v>
      </c>
      <c r="H136" s="20" t="s">
        <v>2684</v>
      </c>
      <c r="I136" s="20">
        <v>3383</v>
      </c>
      <c r="J136" s="20">
        <v>112111</v>
      </c>
      <c r="K136" s="20" t="s">
        <v>20</v>
      </c>
      <c r="L136" s="20">
        <v>1</v>
      </c>
      <c r="M136" s="34">
        <v>3200000</v>
      </c>
      <c r="N136" s="34">
        <f t="shared" si="10"/>
        <v>3200000</v>
      </c>
      <c r="O136" s="20" t="s">
        <v>21</v>
      </c>
      <c r="P136" s="20">
        <f t="shared" si="14"/>
        <v>100</v>
      </c>
      <c r="Y136" s="60">
        <f t="shared" si="15"/>
        <v>0</v>
      </c>
      <c r="Z136" s="60" t="str">
        <f t="shared" si="16"/>
        <v>BC</v>
      </c>
    </row>
    <row r="137" spans="1:26" ht="15" customHeight="1" x14ac:dyDescent="0.25">
      <c r="A137" s="20" t="s">
        <v>2678</v>
      </c>
      <c r="B137" s="63">
        <v>45988</v>
      </c>
      <c r="C137" s="109">
        <f t="shared" si="13"/>
        <v>223</v>
      </c>
      <c r="D137" s="20">
        <v>1</v>
      </c>
      <c r="E137" s="20"/>
      <c r="F137" s="20"/>
      <c r="G137" s="32" t="s">
        <v>191</v>
      </c>
      <c r="H137" s="20" t="s">
        <v>2681</v>
      </c>
      <c r="I137" s="20">
        <v>1111</v>
      </c>
      <c r="J137" s="20">
        <v>112111</v>
      </c>
      <c r="K137" s="20" t="s">
        <v>20</v>
      </c>
      <c r="L137" s="20">
        <v>1</v>
      </c>
      <c r="M137" s="34">
        <v>20000000</v>
      </c>
      <c r="N137" s="34">
        <f t="shared" si="10"/>
        <v>20000000</v>
      </c>
      <c r="O137" s="20" t="s">
        <v>21</v>
      </c>
      <c r="P137" s="20">
        <f t="shared" si="14"/>
        <v>101</v>
      </c>
      <c r="Y137" s="60">
        <f t="shared" si="15"/>
        <v>0</v>
      </c>
      <c r="Z137" s="60" t="str">
        <f t="shared" si="16"/>
        <v>BC</v>
      </c>
    </row>
    <row r="138" spans="1:26" ht="15" customHeight="1" x14ac:dyDescent="0.25">
      <c r="A138" s="20" t="s">
        <v>2679</v>
      </c>
      <c r="B138" s="63">
        <v>45988</v>
      </c>
      <c r="C138" s="109">
        <f t="shared" si="13"/>
        <v>224</v>
      </c>
      <c r="D138" s="20">
        <v>1</v>
      </c>
      <c r="E138" s="20"/>
      <c r="F138" s="20"/>
      <c r="G138" s="32" t="s">
        <v>191</v>
      </c>
      <c r="H138" s="20" t="s">
        <v>2687</v>
      </c>
      <c r="I138" s="20">
        <v>112111</v>
      </c>
      <c r="J138" s="20">
        <v>5154</v>
      </c>
      <c r="K138" s="20" t="s">
        <v>20</v>
      </c>
      <c r="L138" s="20">
        <v>1</v>
      </c>
      <c r="M138" s="34">
        <v>3004</v>
      </c>
      <c r="N138" s="34">
        <f t="shared" si="10"/>
        <v>3004</v>
      </c>
      <c r="O138" s="20" t="s">
        <v>21</v>
      </c>
      <c r="P138" s="20">
        <f t="shared" si="14"/>
        <v>102</v>
      </c>
      <c r="Y138" s="60">
        <f t="shared" si="15"/>
        <v>0</v>
      </c>
      <c r="Z138" s="60" t="str">
        <f t="shared" si="16"/>
        <v>BC</v>
      </c>
    </row>
    <row r="139" spans="1:26" ht="15" customHeight="1" x14ac:dyDescent="0.25">
      <c r="A139" s="20" t="s">
        <v>2679</v>
      </c>
      <c r="B139" s="63">
        <v>45989</v>
      </c>
      <c r="C139" s="109">
        <f t="shared" si="13"/>
        <v>225</v>
      </c>
      <c r="D139" s="20">
        <v>1</v>
      </c>
      <c r="E139" s="20"/>
      <c r="F139" s="20"/>
      <c r="G139" s="32" t="s">
        <v>536</v>
      </c>
      <c r="H139" s="20" t="s">
        <v>3210</v>
      </c>
      <c r="I139" s="20">
        <v>112111</v>
      </c>
      <c r="J139" s="20">
        <v>131</v>
      </c>
      <c r="K139" s="20" t="s">
        <v>20</v>
      </c>
      <c r="L139" s="20">
        <v>1</v>
      </c>
      <c r="M139" s="34">
        <v>13838710</v>
      </c>
      <c r="N139" s="34">
        <f t="shared" ref="N139:N202" si="17">L139*M139</f>
        <v>13838710</v>
      </c>
      <c r="O139" s="20" t="s">
        <v>21</v>
      </c>
      <c r="P139" s="20">
        <f t="shared" si="14"/>
        <v>103</v>
      </c>
      <c r="Y139" s="60">
        <f t="shared" si="15"/>
        <v>0</v>
      </c>
      <c r="Z139" s="60" t="str">
        <f t="shared" si="16"/>
        <v>BC</v>
      </c>
    </row>
    <row r="140" spans="1:26" ht="15" customHeight="1" x14ac:dyDescent="0.25">
      <c r="A140" s="20" t="s">
        <v>2678</v>
      </c>
      <c r="B140" s="63">
        <v>45992</v>
      </c>
      <c r="C140" s="109">
        <f t="shared" si="13"/>
        <v>226</v>
      </c>
      <c r="D140" s="20">
        <v>1</v>
      </c>
      <c r="E140" s="20"/>
      <c r="F140" s="20"/>
      <c r="G140" s="32" t="s">
        <v>191</v>
      </c>
      <c r="H140" s="20" t="s">
        <v>3193</v>
      </c>
      <c r="I140" s="20">
        <v>3341</v>
      </c>
      <c r="J140" s="20">
        <v>112111</v>
      </c>
      <c r="K140" s="20" t="s">
        <v>20</v>
      </c>
      <c r="L140" s="20">
        <v>1</v>
      </c>
      <c r="M140" s="34">
        <v>9000000</v>
      </c>
      <c r="N140" s="34">
        <f t="shared" si="17"/>
        <v>9000000</v>
      </c>
      <c r="O140" s="20" t="s">
        <v>21</v>
      </c>
      <c r="P140" s="20">
        <f t="shared" si="14"/>
        <v>104</v>
      </c>
      <c r="Y140" s="60">
        <f t="shared" si="15"/>
        <v>0</v>
      </c>
      <c r="Z140" s="60" t="str">
        <f t="shared" si="16"/>
        <v>BC</v>
      </c>
    </row>
    <row r="141" spans="1:26" ht="15" customHeight="1" x14ac:dyDescent="0.25">
      <c r="A141" s="20" t="s">
        <v>2678</v>
      </c>
      <c r="B141" s="63">
        <v>45992</v>
      </c>
      <c r="C141" s="109">
        <f t="shared" si="13"/>
        <v>227</v>
      </c>
      <c r="D141" s="20">
        <v>1</v>
      </c>
      <c r="E141" s="20"/>
      <c r="F141" s="20"/>
      <c r="G141" s="32" t="s">
        <v>191</v>
      </c>
      <c r="H141" s="20" t="s">
        <v>3194</v>
      </c>
      <c r="I141" s="20">
        <v>3341</v>
      </c>
      <c r="J141" s="20">
        <v>112111</v>
      </c>
      <c r="K141" s="20" t="s">
        <v>20</v>
      </c>
      <c r="L141" s="20">
        <v>1</v>
      </c>
      <c r="M141" s="34">
        <v>10000000</v>
      </c>
      <c r="N141" s="34">
        <f t="shared" si="17"/>
        <v>10000000</v>
      </c>
      <c r="O141" s="20" t="s">
        <v>21</v>
      </c>
      <c r="P141" s="20">
        <f t="shared" si="14"/>
        <v>105</v>
      </c>
      <c r="Y141" s="60">
        <f t="shared" si="15"/>
        <v>0</v>
      </c>
      <c r="Z141" s="60" t="str">
        <f t="shared" si="16"/>
        <v>BC</v>
      </c>
    </row>
    <row r="142" spans="1:26" ht="15" customHeight="1" x14ac:dyDescent="0.25">
      <c r="A142" s="20" t="s">
        <v>2678</v>
      </c>
      <c r="B142" s="63">
        <v>45992</v>
      </c>
      <c r="C142" s="109">
        <f t="shared" si="13"/>
        <v>228</v>
      </c>
      <c r="D142" s="20">
        <v>1</v>
      </c>
      <c r="E142" s="20"/>
      <c r="F142" s="20"/>
      <c r="G142" s="32" t="s">
        <v>191</v>
      </c>
      <c r="H142" s="20" t="s">
        <v>2681</v>
      </c>
      <c r="I142" s="20">
        <v>1111</v>
      </c>
      <c r="J142" s="20">
        <v>112111</v>
      </c>
      <c r="K142" s="20" t="s">
        <v>20</v>
      </c>
      <c r="L142" s="20">
        <v>1</v>
      </c>
      <c r="M142" s="34">
        <v>30000000</v>
      </c>
      <c r="N142" s="34">
        <f t="shared" si="17"/>
        <v>30000000</v>
      </c>
      <c r="O142" s="20" t="s">
        <v>21</v>
      </c>
      <c r="P142" s="20">
        <f t="shared" si="14"/>
        <v>106</v>
      </c>
      <c r="Y142" s="60">
        <f t="shared" si="15"/>
        <v>0</v>
      </c>
      <c r="Z142" s="60" t="str">
        <f t="shared" si="16"/>
        <v>BC</v>
      </c>
    </row>
    <row r="143" spans="1:26" ht="15" customHeight="1" x14ac:dyDescent="0.25">
      <c r="A143" s="20" t="s">
        <v>2679</v>
      </c>
      <c r="B143" s="63">
        <v>45992</v>
      </c>
      <c r="C143" s="109">
        <f t="shared" ref="C143:C190" si="18">C142+D143</f>
        <v>229</v>
      </c>
      <c r="D143" s="20">
        <v>1</v>
      </c>
      <c r="E143" s="20"/>
      <c r="F143" s="20"/>
      <c r="G143" s="32" t="s">
        <v>95</v>
      </c>
      <c r="H143" s="20" t="s">
        <v>3225</v>
      </c>
      <c r="I143" s="20">
        <v>112111</v>
      </c>
      <c r="J143" s="20">
        <v>131</v>
      </c>
      <c r="K143" s="20" t="s">
        <v>20</v>
      </c>
      <c r="L143" s="20">
        <v>1</v>
      </c>
      <c r="M143" s="34">
        <v>16000000</v>
      </c>
      <c r="N143" s="34">
        <f t="shared" si="17"/>
        <v>16000000</v>
      </c>
      <c r="O143" s="20" t="s">
        <v>21</v>
      </c>
      <c r="P143" s="20">
        <f t="shared" si="14"/>
        <v>107</v>
      </c>
      <c r="Y143" s="60">
        <f t="shared" si="15"/>
        <v>0</v>
      </c>
      <c r="Z143" s="60" t="str">
        <f t="shared" si="16"/>
        <v>BC</v>
      </c>
    </row>
    <row r="144" spans="1:26" ht="15" customHeight="1" x14ac:dyDescent="0.25">
      <c r="A144" s="20" t="s">
        <v>2678</v>
      </c>
      <c r="B144" s="63">
        <v>45992</v>
      </c>
      <c r="C144" s="109">
        <f t="shared" si="18"/>
        <v>230</v>
      </c>
      <c r="D144" s="20">
        <v>1</v>
      </c>
      <c r="E144" s="20"/>
      <c r="F144" s="20"/>
      <c r="G144" s="32" t="s">
        <v>191</v>
      </c>
      <c r="H144" s="20" t="s">
        <v>2681</v>
      </c>
      <c r="I144" s="20">
        <v>1111</v>
      </c>
      <c r="J144" s="20">
        <v>112111</v>
      </c>
      <c r="K144" s="20" t="s">
        <v>20</v>
      </c>
      <c r="L144" s="20">
        <v>1</v>
      </c>
      <c r="M144" s="34">
        <v>10000000</v>
      </c>
      <c r="N144" s="34">
        <f t="shared" si="17"/>
        <v>10000000</v>
      </c>
      <c r="O144" s="20" t="s">
        <v>21</v>
      </c>
      <c r="P144" s="20">
        <f t="shared" si="14"/>
        <v>108</v>
      </c>
      <c r="Y144" s="60">
        <f t="shared" si="15"/>
        <v>0</v>
      </c>
      <c r="Z144" s="60" t="str">
        <f t="shared" si="16"/>
        <v>BC</v>
      </c>
    </row>
    <row r="145" spans="1:26" ht="15" customHeight="1" x14ac:dyDescent="0.25">
      <c r="A145" s="20" t="s">
        <v>2678</v>
      </c>
      <c r="B145" s="63">
        <v>45993</v>
      </c>
      <c r="C145" s="109">
        <f t="shared" si="18"/>
        <v>231</v>
      </c>
      <c r="D145" s="20">
        <v>1</v>
      </c>
      <c r="E145" s="20"/>
      <c r="F145" s="20"/>
      <c r="G145" s="32" t="s">
        <v>93</v>
      </c>
      <c r="H145" s="20" t="s">
        <v>2685</v>
      </c>
      <c r="I145" s="20">
        <v>3383</v>
      </c>
      <c r="J145" s="20">
        <v>112111</v>
      </c>
      <c r="K145" s="20" t="s">
        <v>20</v>
      </c>
      <c r="L145" s="20">
        <v>1</v>
      </c>
      <c r="M145" s="34">
        <v>5900000</v>
      </c>
      <c r="N145" s="34">
        <f t="shared" si="17"/>
        <v>5900000</v>
      </c>
      <c r="O145" s="20" t="s">
        <v>21</v>
      </c>
      <c r="P145" s="20">
        <f t="shared" ref="P145:P208" si="19">P144+D145</f>
        <v>109</v>
      </c>
      <c r="Y145" s="60">
        <f t="shared" si="15"/>
        <v>0</v>
      </c>
      <c r="Z145" s="60" t="str">
        <f t="shared" si="16"/>
        <v>BC</v>
      </c>
    </row>
    <row r="146" spans="1:26" ht="15" customHeight="1" x14ac:dyDescent="0.25">
      <c r="A146" s="20" t="s">
        <v>2678</v>
      </c>
      <c r="B146" s="63">
        <v>45993</v>
      </c>
      <c r="C146" s="109">
        <f t="shared" ref="C146:C147" si="20">C145+D146</f>
        <v>231</v>
      </c>
      <c r="D146" s="20">
        <v>0</v>
      </c>
      <c r="E146" s="20"/>
      <c r="F146" s="20"/>
      <c r="G146" s="32" t="s">
        <v>93</v>
      </c>
      <c r="H146" s="20" t="s">
        <v>3186</v>
      </c>
      <c r="I146" s="20">
        <v>8118</v>
      </c>
      <c r="J146" s="20">
        <v>112111</v>
      </c>
      <c r="K146" s="20" t="s">
        <v>20</v>
      </c>
      <c r="L146" s="20">
        <v>1</v>
      </c>
      <c r="M146" s="34">
        <v>20537</v>
      </c>
      <c r="N146" s="34">
        <f t="shared" ref="N146" si="21">L146*M146</f>
        <v>20537</v>
      </c>
      <c r="O146" s="20" t="s">
        <v>21</v>
      </c>
      <c r="P146" s="20">
        <f t="shared" si="19"/>
        <v>109</v>
      </c>
    </row>
    <row r="147" spans="1:26" ht="15" customHeight="1" x14ac:dyDescent="0.25">
      <c r="A147" s="20" t="s">
        <v>2678</v>
      </c>
      <c r="B147" s="63">
        <v>45993</v>
      </c>
      <c r="C147" s="109">
        <f t="shared" si="20"/>
        <v>232</v>
      </c>
      <c r="D147" s="20">
        <v>1</v>
      </c>
      <c r="E147" s="20"/>
      <c r="F147" s="20"/>
      <c r="G147" s="32" t="s">
        <v>93</v>
      </c>
      <c r="H147" s="20" t="s">
        <v>2685</v>
      </c>
      <c r="I147" s="20">
        <v>3383</v>
      </c>
      <c r="J147" s="20">
        <v>112111</v>
      </c>
      <c r="K147" s="20" t="s">
        <v>20</v>
      </c>
      <c r="L147" s="20">
        <v>1</v>
      </c>
      <c r="M147" s="34">
        <v>3200000</v>
      </c>
      <c r="N147" s="34">
        <f t="shared" si="17"/>
        <v>3200000</v>
      </c>
      <c r="O147" s="20" t="s">
        <v>21</v>
      </c>
      <c r="P147" s="20">
        <f t="shared" si="19"/>
        <v>110</v>
      </c>
      <c r="Y147" s="60">
        <f t="shared" si="15"/>
        <v>0</v>
      </c>
      <c r="Z147" s="60" t="str">
        <f t="shared" si="16"/>
        <v>BC</v>
      </c>
    </row>
    <row r="148" spans="1:26" ht="15" customHeight="1" x14ac:dyDescent="0.25">
      <c r="A148" s="20" t="s">
        <v>2679</v>
      </c>
      <c r="B148" s="63">
        <v>45993</v>
      </c>
      <c r="C148" s="109">
        <f t="shared" si="18"/>
        <v>233</v>
      </c>
      <c r="D148" s="20">
        <v>1</v>
      </c>
      <c r="E148" s="20"/>
      <c r="F148" s="20"/>
      <c r="G148" s="32" t="s">
        <v>534</v>
      </c>
      <c r="H148" s="20" t="s">
        <v>3211</v>
      </c>
      <c r="I148" s="20">
        <v>112111</v>
      </c>
      <c r="J148" s="20">
        <v>131</v>
      </c>
      <c r="K148" s="20" t="s">
        <v>20</v>
      </c>
      <c r="L148" s="20">
        <v>1</v>
      </c>
      <c r="M148" s="34">
        <v>10645161</v>
      </c>
      <c r="N148" s="34">
        <f t="shared" si="17"/>
        <v>10645161</v>
      </c>
      <c r="O148" s="20" t="s">
        <v>21</v>
      </c>
      <c r="P148" s="20">
        <f t="shared" si="19"/>
        <v>111</v>
      </c>
      <c r="Y148" s="60">
        <f t="shared" si="15"/>
        <v>0</v>
      </c>
      <c r="Z148" s="60" t="str">
        <f t="shared" si="16"/>
        <v>BC</v>
      </c>
    </row>
    <row r="149" spans="1:26" ht="15" customHeight="1" x14ac:dyDescent="0.25">
      <c r="A149" s="20" t="s">
        <v>2679</v>
      </c>
      <c r="B149" s="63">
        <v>45993</v>
      </c>
      <c r="C149" s="109">
        <f t="shared" si="18"/>
        <v>234</v>
      </c>
      <c r="D149" s="20">
        <v>1</v>
      </c>
      <c r="E149" s="20"/>
      <c r="F149" s="20"/>
      <c r="G149" s="14" t="s">
        <v>3003</v>
      </c>
      <c r="H149" s="12" t="s">
        <v>3005</v>
      </c>
      <c r="I149" s="12">
        <v>112111</v>
      </c>
      <c r="J149" s="12">
        <v>131</v>
      </c>
      <c r="K149" s="20" t="s">
        <v>20</v>
      </c>
      <c r="L149" s="20">
        <v>1</v>
      </c>
      <c r="M149" s="34">
        <v>113343</v>
      </c>
      <c r="N149" s="34">
        <f t="shared" si="17"/>
        <v>113343</v>
      </c>
      <c r="O149" s="20"/>
      <c r="P149" s="20">
        <f t="shared" si="19"/>
        <v>112</v>
      </c>
      <c r="Y149" s="60">
        <f t="shared" si="15"/>
        <v>0</v>
      </c>
      <c r="Z149" s="60" t="str">
        <f t="shared" si="16"/>
        <v>BC</v>
      </c>
    </row>
    <row r="150" spans="1:26" ht="15" customHeight="1" x14ac:dyDescent="0.25">
      <c r="A150" s="20" t="s">
        <v>2678</v>
      </c>
      <c r="B150" s="63">
        <v>45994</v>
      </c>
      <c r="C150" s="109">
        <f t="shared" si="18"/>
        <v>235</v>
      </c>
      <c r="D150" s="20">
        <v>1</v>
      </c>
      <c r="E150" s="20"/>
      <c r="F150" s="20"/>
      <c r="G150" s="32" t="s">
        <v>191</v>
      </c>
      <c r="H150" s="20" t="s">
        <v>2681</v>
      </c>
      <c r="I150" s="20">
        <v>1111</v>
      </c>
      <c r="J150" s="20">
        <v>112111</v>
      </c>
      <c r="K150" s="20" t="s">
        <v>20</v>
      </c>
      <c r="L150" s="20">
        <v>1</v>
      </c>
      <c r="M150" s="34">
        <v>45000000</v>
      </c>
      <c r="N150" s="34">
        <f t="shared" si="17"/>
        <v>45000000</v>
      </c>
      <c r="O150" s="20" t="s">
        <v>21</v>
      </c>
      <c r="P150" s="20">
        <f t="shared" si="19"/>
        <v>113</v>
      </c>
      <c r="Y150" s="60">
        <f t="shared" si="15"/>
        <v>0</v>
      </c>
      <c r="Z150" s="60" t="str">
        <f t="shared" si="16"/>
        <v>BC</v>
      </c>
    </row>
    <row r="151" spans="1:26" ht="15" customHeight="1" x14ac:dyDescent="0.25">
      <c r="A151" s="20" t="s">
        <v>2679</v>
      </c>
      <c r="B151" s="63">
        <v>45995</v>
      </c>
      <c r="C151" s="109">
        <f t="shared" si="18"/>
        <v>236</v>
      </c>
      <c r="D151" s="20">
        <v>1</v>
      </c>
      <c r="E151" s="20"/>
      <c r="F151" s="20"/>
      <c r="G151" s="32" t="s">
        <v>537</v>
      </c>
      <c r="H151" s="20" t="s">
        <v>3204</v>
      </c>
      <c r="I151" s="20">
        <v>112111</v>
      </c>
      <c r="J151" s="20">
        <v>131</v>
      </c>
      <c r="K151" s="20" t="s">
        <v>20</v>
      </c>
      <c r="L151" s="20">
        <v>1</v>
      </c>
      <c r="M151" s="34">
        <v>75589161</v>
      </c>
      <c r="N151" s="34">
        <f t="shared" si="17"/>
        <v>75589161</v>
      </c>
      <c r="O151" s="20" t="s">
        <v>21</v>
      </c>
      <c r="P151" s="20">
        <f t="shared" si="19"/>
        <v>114</v>
      </c>
      <c r="Y151" s="60">
        <f t="shared" si="15"/>
        <v>0</v>
      </c>
      <c r="Z151" s="60" t="str">
        <f t="shared" si="16"/>
        <v>BC</v>
      </c>
    </row>
    <row r="152" spans="1:26" ht="15" customHeight="1" x14ac:dyDescent="0.25">
      <c r="A152" s="20" t="s">
        <v>2679</v>
      </c>
      <c r="B152" s="63">
        <v>45995</v>
      </c>
      <c r="C152" s="109">
        <f t="shared" si="18"/>
        <v>237</v>
      </c>
      <c r="D152" s="20">
        <v>1</v>
      </c>
      <c r="E152" s="20"/>
      <c r="F152" s="20"/>
      <c r="G152" s="14" t="s">
        <v>3003</v>
      </c>
      <c r="H152" s="12" t="s">
        <v>3005</v>
      </c>
      <c r="I152" s="12">
        <v>112111</v>
      </c>
      <c r="J152" s="12">
        <v>131</v>
      </c>
      <c r="K152" s="20" t="s">
        <v>20</v>
      </c>
      <c r="L152" s="20">
        <v>1</v>
      </c>
      <c r="M152" s="34">
        <v>84010</v>
      </c>
      <c r="N152" s="34">
        <f t="shared" si="17"/>
        <v>84010</v>
      </c>
      <c r="O152" s="20"/>
      <c r="P152" s="20">
        <f t="shared" si="19"/>
        <v>115</v>
      </c>
      <c r="Y152" s="60">
        <f t="shared" si="15"/>
        <v>0</v>
      </c>
      <c r="Z152" s="60" t="str">
        <f t="shared" si="16"/>
        <v>BC</v>
      </c>
    </row>
    <row r="153" spans="1:26" ht="15" customHeight="1" x14ac:dyDescent="0.25">
      <c r="A153" s="20" t="s">
        <v>2678</v>
      </c>
      <c r="B153" s="63">
        <v>45996</v>
      </c>
      <c r="C153" s="109">
        <f t="shared" si="18"/>
        <v>238</v>
      </c>
      <c r="D153" s="20">
        <v>1</v>
      </c>
      <c r="E153" s="20"/>
      <c r="F153" s="20"/>
      <c r="G153" s="32" t="s">
        <v>191</v>
      </c>
      <c r="H153" s="20" t="s">
        <v>2681</v>
      </c>
      <c r="I153" s="20">
        <v>1111</v>
      </c>
      <c r="J153" s="20">
        <v>112111</v>
      </c>
      <c r="K153" s="20" t="s">
        <v>20</v>
      </c>
      <c r="L153" s="20">
        <v>1</v>
      </c>
      <c r="M153" s="34">
        <v>10000000</v>
      </c>
      <c r="N153" s="34">
        <f t="shared" si="17"/>
        <v>10000000</v>
      </c>
      <c r="O153" s="20" t="s">
        <v>21</v>
      </c>
      <c r="P153" s="20">
        <f t="shared" si="19"/>
        <v>116</v>
      </c>
      <c r="Y153" s="60">
        <f t="shared" ref="Y153:Y197" si="22">SUM(U153:V153)</f>
        <v>0</v>
      </c>
      <c r="Z153" s="60" t="str">
        <f t="shared" ref="Z153:Z197" si="23">IF(U153&gt;0,"BN","BC")</f>
        <v>BC</v>
      </c>
    </row>
    <row r="154" spans="1:26" ht="15" customHeight="1" x14ac:dyDescent="0.25">
      <c r="A154" s="20" t="s">
        <v>2679</v>
      </c>
      <c r="B154" s="63">
        <v>45997</v>
      </c>
      <c r="C154" s="109">
        <f t="shared" si="18"/>
        <v>239</v>
      </c>
      <c r="D154" s="20">
        <v>1</v>
      </c>
      <c r="E154" s="20"/>
      <c r="F154" s="20"/>
      <c r="G154" s="32" t="s">
        <v>529</v>
      </c>
      <c r="H154" s="20" t="s">
        <v>3212</v>
      </c>
      <c r="I154" s="20">
        <v>112111</v>
      </c>
      <c r="J154" s="20">
        <v>131</v>
      </c>
      <c r="K154" s="20" t="s">
        <v>20</v>
      </c>
      <c r="L154" s="20">
        <v>1</v>
      </c>
      <c r="M154" s="34">
        <v>39174194</v>
      </c>
      <c r="N154" s="34">
        <f t="shared" si="17"/>
        <v>39174194</v>
      </c>
      <c r="O154" s="20" t="s">
        <v>21</v>
      </c>
      <c r="P154" s="20">
        <f t="shared" si="19"/>
        <v>117</v>
      </c>
      <c r="Y154" s="60">
        <f t="shared" si="22"/>
        <v>0</v>
      </c>
      <c r="Z154" s="60" t="str">
        <f t="shared" si="23"/>
        <v>BC</v>
      </c>
    </row>
    <row r="155" spans="1:26" ht="15" customHeight="1" x14ac:dyDescent="0.25">
      <c r="A155" s="20" t="s">
        <v>2678</v>
      </c>
      <c r="B155" s="63">
        <v>45999</v>
      </c>
      <c r="C155" s="109">
        <f t="shared" si="18"/>
        <v>240</v>
      </c>
      <c r="D155" s="20">
        <v>1</v>
      </c>
      <c r="E155" s="20"/>
      <c r="F155" s="20"/>
      <c r="G155" s="32" t="s">
        <v>191</v>
      </c>
      <c r="H155" s="20" t="s">
        <v>2681</v>
      </c>
      <c r="I155" s="20">
        <v>1111</v>
      </c>
      <c r="J155" s="20">
        <v>112111</v>
      </c>
      <c r="K155" s="20" t="s">
        <v>20</v>
      </c>
      <c r="L155" s="20">
        <v>1</v>
      </c>
      <c r="M155" s="34">
        <v>30000000</v>
      </c>
      <c r="N155" s="34">
        <f t="shared" si="17"/>
        <v>30000000</v>
      </c>
      <c r="O155" s="20" t="s">
        <v>21</v>
      </c>
      <c r="P155" s="20">
        <f t="shared" si="19"/>
        <v>118</v>
      </c>
      <c r="Y155" s="60">
        <f t="shared" si="22"/>
        <v>0</v>
      </c>
      <c r="Z155" s="60" t="str">
        <f t="shared" si="23"/>
        <v>BC</v>
      </c>
    </row>
    <row r="156" spans="1:26" ht="15" customHeight="1" x14ac:dyDescent="0.25">
      <c r="A156" s="20" t="s">
        <v>2679</v>
      </c>
      <c r="B156" s="63">
        <v>45999</v>
      </c>
      <c r="C156" s="109">
        <f t="shared" si="18"/>
        <v>241</v>
      </c>
      <c r="D156" s="20">
        <v>1</v>
      </c>
      <c r="E156" s="20"/>
      <c r="F156" s="20"/>
      <c r="G156" s="32" t="s">
        <v>47</v>
      </c>
      <c r="H156" s="20" t="s">
        <v>3213</v>
      </c>
      <c r="I156" s="20">
        <v>112111</v>
      </c>
      <c r="J156" s="20">
        <v>131</v>
      </c>
      <c r="K156" s="20" t="s">
        <v>20</v>
      </c>
      <c r="L156" s="20">
        <v>1</v>
      </c>
      <c r="M156" s="34">
        <v>15967742</v>
      </c>
      <c r="N156" s="34">
        <f t="shared" si="17"/>
        <v>15967742</v>
      </c>
      <c r="O156" s="20" t="s">
        <v>21</v>
      </c>
      <c r="P156" s="20">
        <f t="shared" si="19"/>
        <v>119</v>
      </c>
      <c r="Y156" s="60">
        <f t="shared" si="22"/>
        <v>0</v>
      </c>
      <c r="Z156" s="60" t="str">
        <f t="shared" si="23"/>
        <v>BC</v>
      </c>
    </row>
    <row r="157" spans="1:26" ht="15" customHeight="1" x14ac:dyDescent="0.25">
      <c r="A157" s="20" t="s">
        <v>2679</v>
      </c>
      <c r="B157" s="63">
        <v>46000</v>
      </c>
      <c r="C157" s="109">
        <f t="shared" si="18"/>
        <v>242</v>
      </c>
      <c r="D157" s="20">
        <v>1</v>
      </c>
      <c r="E157" s="20"/>
      <c r="F157" s="20"/>
      <c r="G157" s="14" t="s">
        <v>3003</v>
      </c>
      <c r="H157" s="12" t="s">
        <v>3005</v>
      </c>
      <c r="I157" s="12">
        <v>112111</v>
      </c>
      <c r="J157" s="12">
        <v>131</v>
      </c>
      <c r="K157" s="20" t="s">
        <v>20</v>
      </c>
      <c r="L157" s="20">
        <v>1</v>
      </c>
      <c r="M157" s="34">
        <v>75043</v>
      </c>
      <c r="N157" s="34">
        <f t="shared" si="17"/>
        <v>75043</v>
      </c>
      <c r="O157" s="20"/>
      <c r="P157" s="20">
        <f t="shared" si="19"/>
        <v>120</v>
      </c>
      <c r="Y157" s="60">
        <f t="shared" si="22"/>
        <v>0</v>
      </c>
      <c r="Z157" s="60" t="str">
        <f t="shared" si="23"/>
        <v>BC</v>
      </c>
    </row>
    <row r="158" spans="1:26" ht="15" customHeight="1" x14ac:dyDescent="0.25">
      <c r="A158" s="20" t="s">
        <v>2679</v>
      </c>
      <c r="B158" s="63">
        <v>46001</v>
      </c>
      <c r="C158" s="109">
        <f t="shared" si="18"/>
        <v>243</v>
      </c>
      <c r="D158" s="20">
        <v>1</v>
      </c>
      <c r="E158" s="20"/>
      <c r="F158" s="20"/>
      <c r="G158" s="32" t="s">
        <v>537</v>
      </c>
      <c r="H158" s="20" t="s">
        <v>3214</v>
      </c>
      <c r="I158" s="20">
        <v>112111</v>
      </c>
      <c r="J158" s="20">
        <v>131</v>
      </c>
      <c r="K158" s="20" t="s">
        <v>20</v>
      </c>
      <c r="L158" s="20">
        <v>1</v>
      </c>
      <c r="M158" s="34">
        <v>47144865</v>
      </c>
      <c r="N158" s="34">
        <f t="shared" si="17"/>
        <v>47144865</v>
      </c>
      <c r="O158" s="20" t="s">
        <v>21</v>
      </c>
      <c r="P158" s="20">
        <f t="shared" si="19"/>
        <v>121</v>
      </c>
      <c r="Y158" s="60">
        <f t="shared" si="22"/>
        <v>0</v>
      </c>
      <c r="Z158" s="60" t="str">
        <f t="shared" si="23"/>
        <v>BC</v>
      </c>
    </row>
    <row r="159" spans="1:26" ht="15" customHeight="1" x14ac:dyDescent="0.25">
      <c r="A159" s="20" t="s">
        <v>2678</v>
      </c>
      <c r="B159" s="63">
        <v>46001</v>
      </c>
      <c r="C159" s="109">
        <f t="shared" si="18"/>
        <v>244</v>
      </c>
      <c r="D159" s="20">
        <v>1</v>
      </c>
      <c r="E159" s="20"/>
      <c r="F159" s="20"/>
      <c r="G159" s="32" t="s">
        <v>191</v>
      </c>
      <c r="H159" s="20" t="s">
        <v>2681</v>
      </c>
      <c r="I159" s="20">
        <v>1111</v>
      </c>
      <c r="J159" s="20">
        <v>112111</v>
      </c>
      <c r="K159" s="20" t="s">
        <v>20</v>
      </c>
      <c r="L159" s="20">
        <v>1</v>
      </c>
      <c r="M159" s="34">
        <v>30000000</v>
      </c>
      <c r="N159" s="34">
        <f t="shared" si="17"/>
        <v>30000000</v>
      </c>
      <c r="O159" s="20" t="s">
        <v>21</v>
      </c>
      <c r="P159" s="20">
        <f t="shared" si="19"/>
        <v>122</v>
      </c>
      <c r="Y159" s="60">
        <f t="shared" si="22"/>
        <v>0</v>
      </c>
      <c r="Z159" s="60" t="str">
        <f t="shared" si="23"/>
        <v>BC</v>
      </c>
    </row>
    <row r="160" spans="1:26" ht="15" customHeight="1" x14ac:dyDescent="0.25">
      <c r="A160" s="20" t="s">
        <v>2679</v>
      </c>
      <c r="B160" s="63">
        <v>46002</v>
      </c>
      <c r="C160" s="109">
        <f t="shared" si="18"/>
        <v>245</v>
      </c>
      <c r="D160" s="20">
        <v>1</v>
      </c>
      <c r="E160" s="20"/>
      <c r="F160" s="20"/>
      <c r="G160" s="14" t="s">
        <v>3003</v>
      </c>
      <c r="H160" s="12" t="s">
        <v>3005</v>
      </c>
      <c r="I160" s="12">
        <v>112111</v>
      </c>
      <c r="J160" s="12">
        <v>131</v>
      </c>
      <c r="K160" s="20" t="s">
        <v>20</v>
      </c>
      <c r="L160" s="20">
        <v>1</v>
      </c>
      <c r="M160" s="34">
        <v>12629</v>
      </c>
      <c r="N160" s="34">
        <f t="shared" si="17"/>
        <v>12629</v>
      </c>
      <c r="O160" s="20"/>
      <c r="P160" s="20">
        <f t="shared" si="19"/>
        <v>123</v>
      </c>
      <c r="Y160" s="60">
        <f t="shared" si="22"/>
        <v>0</v>
      </c>
      <c r="Z160" s="60" t="str">
        <f t="shared" si="23"/>
        <v>BC</v>
      </c>
    </row>
    <row r="161" spans="1:26" ht="15" customHeight="1" x14ac:dyDescent="0.25">
      <c r="A161" s="20" t="s">
        <v>2678</v>
      </c>
      <c r="B161" s="63">
        <v>46002</v>
      </c>
      <c r="C161" s="109">
        <f t="shared" si="18"/>
        <v>246</v>
      </c>
      <c r="D161" s="20">
        <v>1</v>
      </c>
      <c r="E161" s="20"/>
      <c r="F161" s="20"/>
      <c r="G161" s="32" t="s">
        <v>191</v>
      </c>
      <c r="H161" s="20" t="s">
        <v>2681</v>
      </c>
      <c r="I161" s="20">
        <v>1111</v>
      </c>
      <c r="J161" s="20">
        <v>112111</v>
      </c>
      <c r="K161" s="20" t="s">
        <v>20</v>
      </c>
      <c r="L161" s="20">
        <v>1</v>
      </c>
      <c r="M161" s="34">
        <v>40000000</v>
      </c>
      <c r="N161" s="34">
        <f t="shared" si="17"/>
        <v>40000000</v>
      </c>
      <c r="O161" s="20" t="s">
        <v>21</v>
      </c>
      <c r="P161" s="20">
        <f t="shared" si="19"/>
        <v>124</v>
      </c>
      <c r="Y161" s="60">
        <f t="shared" si="22"/>
        <v>0</v>
      </c>
      <c r="Z161" s="60" t="str">
        <f t="shared" si="23"/>
        <v>BC</v>
      </c>
    </row>
    <row r="162" spans="1:26" ht="15" customHeight="1" x14ac:dyDescent="0.25">
      <c r="A162" s="20" t="s">
        <v>2679</v>
      </c>
      <c r="B162" s="63">
        <v>46003</v>
      </c>
      <c r="C162" s="109">
        <f t="shared" si="18"/>
        <v>247</v>
      </c>
      <c r="D162" s="20">
        <v>1</v>
      </c>
      <c r="E162" s="20"/>
      <c r="F162" s="20"/>
      <c r="G162" s="32" t="s">
        <v>538</v>
      </c>
      <c r="H162" s="20" t="s">
        <v>3215</v>
      </c>
      <c r="I162" s="20">
        <v>112111</v>
      </c>
      <c r="J162" s="20">
        <v>131</v>
      </c>
      <c r="K162" s="20" t="s">
        <v>20</v>
      </c>
      <c r="L162" s="20">
        <v>1</v>
      </c>
      <c r="M162" s="34">
        <v>79838709</v>
      </c>
      <c r="N162" s="34">
        <f t="shared" si="17"/>
        <v>79838709</v>
      </c>
      <c r="O162" s="20" t="s">
        <v>21</v>
      </c>
      <c r="P162" s="20">
        <f t="shared" si="19"/>
        <v>125</v>
      </c>
      <c r="Y162" s="60">
        <f t="shared" si="22"/>
        <v>0</v>
      </c>
      <c r="Z162" s="60" t="str">
        <f t="shared" si="23"/>
        <v>BC</v>
      </c>
    </row>
    <row r="163" spans="1:26" ht="15" customHeight="1" x14ac:dyDescent="0.25">
      <c r="A163" s="20" t="s">
        <v>2678</v>
      </c>
      <c r="B163" s="63">
        <v>46003</v>
      </c>
      <c r="C163" s="109">
        <f t="shared" si="18"/>
        <v>248</v>
      </c>
      <c r="D163" s="20">
        <v>1</v>
      </c>
      <c r="E163" s="20"/>
      <c r="F163" s="20"/>
      <c r="G163" s="32" t="s">
        <v>191</v>
      </c>
      <c r="H163" s="20" t="s">
        <v>2681</v>
      </c>
      <c r="I163" s="20">
        <v>1111</v>
      </c>
      <c r="J163" s="20">
        <v>112111</v>
      </c>
      <c r="K163" s="20" t="s">
        <v>20</v>
      </c>
      <c r="L163" s="20">
        <v>1</v>
      </c>
      <c r="M163" s="34">
        <v>75000000</v>
      </c>
      <c r="N163" s="34">
        <f t="shared" si="17"/>
        <v>75000000</v>
      </c>
      <c r="O163" s="20" t="s">
        <v>21</v>
      </c>
      <c r="P163" s="20">
        <f t="shared" si="19"/>
        <v>126</v>
      </c>
      <c r="Y163" s="60">
        <f t="shared" si="22"/>
        <v>0</v>
      </c>
      <c r="Z163" s="60" t="str">
        <f t="shared" si="23"/>
        <v>BC</v>
      </c>
    </row>
    <row r="164" spans="1:26" ht="15" customHeight="1" x14ac:dyDescent="0.25">
      <c r="A164" s="20" t="s">
        <v>2678</v>
      </c>
      <c r="B164" s="63">
        <v>46003</v>
      </c>
      <c r="C164" s="109">
        <f t="shared" si="18"/>
        <v>249</v>
      </c>
      <c r="D164" s="20">
        <v>1</v>
      </c>
      <c r="E164" s="20"/>
      <c r="F164" s="20"/>
      <c r="G164" s="32" t="s">
        <v>191</v>
      </c>
      <c r="H164" s="20" t="s">
        <v>2681</v>
      </c>
      <c r="I164" s="20">
        <v>1111</v>
      </c>
      <c r="J164" s="20">
        <v>112111</v>
      </c>
      <c r="K164" s="20" t="s">
        <v>20</v>
      </c>
      <c r="L164" s="20">
        <v>1</v>
      </c>
      <c r="M164" s="34">
        <v>10000000</v>
      </c>
      <c r="N164" s="34">
        <f t="shared" si="17"/>
        <v>10000000</v>
      </c>
      <c r="O164" s="20" t="s">
        <v>21</v>
      </c>
      <c r="P164" s="20">
        <f t="shared" si="19"/>
        <v>127</v>
      </c>
      <c r="Y164" s="60">
        <f t="shared" si="22"/>
        <v>0</v>
      </c>
      <c r="Z164" s="60" t="str">
        <f t="shared" si="23"/>
        <v>BC</v>
      </c>
    </row>
    <row r="165" spans="1:26" ht="15" customHeight="1" x14ac:dyDescent="0.25">
      <c r="A165" s="20" t="s">
        <v>2678</v>
      </c>
      <c r="B165" s="63">
        <v>46006</v>
      </c>
      <c r="C165" s="109">
        <f t="shared" si="18"/>
        <v>250</v>
      </c>
      <c r="D165" s="20">
        <v>1</v>
      </c>
      <c r="E165" s="20"/>
      <c r="F165" s="20"/>
      <c r="G165" s="32" t="s">
        <v>191</v>
      </c>
      <c r="H165" s="20" t="s">
        <v>2681</v>
      </c>
      <c r="I165" s="20">
        <v>1111</v>
      </c>
      <c r="J165" s="20">
        <v>112111</v>
      </c>
      <c r="K165" s="20" t="s">
        <v>20</v>
      </c>
      <c r="L165" s="20">
        <v>1</v>
      </c>
      <c r="M165" s="34">
        <v>30000000</v>
      </c>
      <c r="N165" s="34">
        <f t="shared" si="17"/>
        <v>30000000</v>
      </c>
      <c r="O165" s="20" t="s">
        <v>21</v>
      </c>
      <c r="P165" s="20">
        <f t="shared" si="19"/>
        <v>128</v>
      </c>
      <c r="Y165" s="60">
        <f t="shared" si="22"/>
        <v>0</v>
      </c>
      <c r="Z165" s="60" t="str">
        <f t="shared" si="23"/>
        <v>BC</v>
      </c>
    </row>
    <row r="166" spans="1:26" ht="15" customHeight="1" x14ac:dyDescent="0.25">
      <c r="A166" s="20" t="s">
        <v>2678</v>
      </c>
      <c r="B166" s="63">
        <v>46006</v>
      </c>
      <c r="C166" s="109">
        <f t="shared" si="18"/>
        <v>251</v>
      </c>
      <c r="D166" s="20">
        <v>1</v>
      </c>
      <c r="E166" s="20"/>
      <c r="F166" s="20"/>
      <c r="G166" s="32" t="s">
        <v>191</v>
      </c>
      <c r="H166" s="20" t="s">
        <v>2681</v>
      </c>
      <c r="I166" s="20">
        <v>1111</v>
      </c>
      <c r="J166" s="20">
        <v>112111</v>
      </c>
      <c r="K166" s="20" t="s">
        <v>20</v>
      </c>
      <c r="L166" s="20">
        <v>1</v>
      </c>
      <c r="M166" s="34">
        <v>15000000</v>
      </c>
      <c r="N166" s="34">
        <f t="shared" si="17"/>
        <v>15000000</v>
      </c>
      <c r="O166" s="20" t="s">
        <v>21</v>
      </c>
      <c r="P166" s="20">
        <f t="shared" si="19"/>
        <v>129</v>
      </c>
      <c r="Y166" s="60">
        <f t="shared" si="22"/>
        <v>0</v>
      </c>
      <c r="Z166" s="60" t="str">
        <f t="shared" si="23"/>
        <v>BC</v>
      </c>
    </row>
    <row r="167" spans="1:26" ht="15" customHeight="1" x14ac:dyDescent="0.25">
      <c r="A167" s="20" t="s">
        <v>2679</v>
      </c>
      <c r="B167" s="63">
        <v>46007</v>
      </c>
      <c r="C167" s="109">
        <f t="shared" si="18"/>
        <v>252</v>
      </c>
      <c r="D167" s="20">
        <v>1</v>
      </c>
      <c r="E167" s="20"/>
      <c r="F167" s="20"/>
      <c r="G167" s="32" t="s">
        <v>62</v>
      </c>
      <c r="H167" s="20" t="s">
        <v>3216</v>
      </c>
      <c r="I167" s="20">
        <v>112111</v>
      </c>
      <c r="J167" s="20">
        <v>131</v>
      </c>
      <c r="K167" s="20" t="s">
        <v>20</v>
      </c>
      <c r="L167" s="20">
        <v>1</v>
      </c>
      <c r="M167" s="34">
        <v>5322581</v>
      </c>
      <c r="N167" s="34">
        <f t="shared" si="17"/>
        <v>5322581</v>
      </c>
      <c r="O167" s="20" t="s">
        <v>21</v>
      </c>
      <c r="P167" s="20">
        <f t="shared" si="19"/>
        <v>130</v>
      </c>
      <c r="Y167" s="60">
        <f t="shared" si="22"/>
        <v>0</v>
      </c>
      <c r="Z167" s="60" t="str">
        <f t="shared" si="23"/>
        <v>BC</v>
      </c>
    </row>
    <row r="168" spans="1:26" ht="15" customHeight="1" x14ac:dyDescent="0.25">
      <c r="A168" s="20" t="s">
        <v>2679</v>
      </c>
      <c r="B168" s="63">
        <v>46007</v>
      </c>
      <c r="C168" s="109">
        <f t="shared" si="18"/>
        <v>253</v>
      </c>
      <c r="D168" s="20">
        <v>1</v>
      </c>
      <c r="E168" s="20"/>
      <c r="F168" s="20"/>
      <c r="G168" s="32" t="s">
        <v>94</v>
      </c>
      <c r="H168" s="20" t="s">
        <v>3217</v>
      </c>
      <c r="I168" s="20">
        <v>112111</v>
      </c>
      <c r="J168" s="20">
        <v>131</v>
      </c>
      <c r="K168" s="20" t="s">
        <v>20</v>
      </c>
      <c r="L168" s="20">
        <v>1</v>
      </c>
      <c r="M168" s="34">
        <v>35927419</v>
      </c>
      <c r="N168" s="34">
        <f t="shared" si="17"/>
        <v>35927419</v>
      </c>
      <c r="O168" s="20" t="s">
        <v>21</v>
      </c>
      <c r="P168" s="20">
        <f t="shared" si="19"/>
        <v>131</v>
      </c>
      <c r="Y168" s="60">
        <f t="shared" si="22"/>
        <v>0</v>
      </c>
      <c r="Z168" s="60" t="str">
        <f t="shared" si="23"/>
        <v>BC</v>
      </c>
    </row>
    <row r="169" spans="1:26" ht="15" customHeight="1" x14ac:dyDescent="0.25">
      <c r="A169" s="20" t="s">
        <v>2679</v>
      </c>
      <c r="B169" s="63">
        <v>46009</v>
      </c>
      <c r="C169" s="109">
        <f t="shared" si="18"/>
        <v>254</v>
      </c>
      <c r="D169" s="20">
        <v>1</v>
      </c>
      <c r="E169" s="20"/>
      <c r="F169" s="20"/>
      <c r="G169" s="32" t="s">
        <v>537</v>
      </c>
      <c r="H169" s="20" t="s">
        <v>3218</v>
      </c>
      <c r="I169" s="20">
        <v>112111</v>
      </c>
      <c r="J169" s="20">
        <v>131</v>
      </c>
      <c r="K169" s="20" t="s">
        <v>20</v>
      </c>
      <c r="L169" s="20">
        <v>1</v>
      </c>
      <c r="M169" s="34">
        <v>19135742</v>
      </c>
      <c r="N169" s="34">
        <f t="shared" si="17"/>
        <v>19135742</v>
      </c>
      <c r="O169" s="20" t="s">
        <v>21</v>
      </c>
      <c r="P169" s="20">
        <f t="shared" si="19"/>
        <v>132</v>
      </c>
      <c r="Y169" s="60">
        <f t="shared" si="22"/>
        <v>0</v>
      </c>
      <c r="Z169" s="60" t="str">
        <f t="shared" si="23"/>
        <v>BC</v>
      </c>
    </row>
    <row r="170" spans="1:26" ht="15" customHeight="1" x14ac:dyDescent="0.25">
      <c r="A170" s="20" t="s">
        <v>2679</v>
      </c>
      <c r="B170" s="63">
        <v>46009</v>
      </c>
      <c r="C170" s="109">
        <f t="shared" si="18"/>
        <v>255</v>
      </c>
      <c r="D170" s="20">
        <v>1</v>
      </c>
      <c r="E170" s="20"/>
      <c r="F170" s="20"/>
      <c r="G170" s="32" t="s">
        <v>537</v>
      </c>
      <c r="H170" s="20" t="s">
        <v>3214</v>
      </c>
      <c r="I170" s="20">
        <v>112111</v>
      </c>
      <c r="J170" s="20">
        <v>131</v>
      </c>
      <c r="K170" s="20" t="s">
        <v>20</v>
      </c>
      <c r="L170" s="20">
        <v>1</v>
      </c>
      <c r="M170" s="34">
        <v>20204941</v>
      </c>
      <c r="N170" s="34">
        <f t="shared" si="17"/>
        <v>20204941</v>
      </c>
      <c r="O170" s="20" t="s">
        <v>21</v>
      </c>
      <c r="P170" s="20">
        <f t="shared" si="19"/>
        <v>133</v>
      </c>
      <c r="Y170" s="60">
        <f t="shared" si="22"/>
        <v>0</v>
      </c>
      <c r="Z170" s="60" t="str">
        <f t="shared" si="23"/>
        <v>BC</v>
      </c>
    </row>
    <row r="171" spans="1:26" ht="15" customHeight="1" x14ac:dyDescent="0.25">
      <c r="A171" s="20" t="s">
        <v>2679</v>
      </c>
      <c r="B171" s="63">
        <v>46011</v>
      </c>
      <c r="C171" s="109">
        <f t="shared" si="18"/>
        <v>256</v>
      </c>
      <c r="D171" s="20">
        <v>1</v>
      </c>
      <c r="E171" s="20"/>
      <c r="F171" s="20"/>
      <c r="G171" s="32" t="s">
        <v>530</v>
      </c>
      <c r="H171" s="20" t="s">
        <v>3219</v>
      </c>
      <c r="I171" s="20">
        <v>112111</v>
      </c>
      <c r="J171" s="20">
        <v>131</v>
      </c>
      <c r="K171" s="20" t="s">
        <v>20</v>
      </c>
      <c r="L171" s="20">
        <v>1</v>
      </c>
      <c r="M171" s="34">
        <v>15967742</v>
      </c>
      <c r="N171" s="34">
        <f t="shared" si="17"/>
        <v>15967742</v>
      </c>
      <c r="O171" s="20" t="s">
        <v>21</v>
      </c>
      <c r="P171" s="20">
        <f t="shared" si="19"/>
        <v>134</v>
      </c>
      <c r="Y171" s="60">
        <f t="shared" si="22"/>
        <v>0</v>
      </c>
      <c r="Z171" s="60" t="str">
        <f t="shared" si="23"/>
        <v>BC</v>
      </c>
    </row>
    <row r="172" spans="1:26" ht="15" customHeight="1" x14ac:dyDescent="0.25">
      <c r="A172" s="20" t="s">
        <v>2678</v>
      </c>
      <c r="B172" s="63">
        <v>46011</v>
      </c>
      <c r="C172" s="109">
        <f t="shared" si="18"/>
        <v>257</v>
      </c>
      <c r="D172" s="20">
        <v>1</v>
      </c>
      <c r="E172" s="20"/>
      <c r="F172" s="20"/>
      <c r="G172" s="32" t="s">
        <v>191</v>
      </c>
      <c r="H172" s="20" t="s">
        <v>2681</v>
      </c>
      <c r="I172" s="20">
        <v>1111</v>
      </c>
      <c r="J172" s="20">
        <v>112111</v>
      </c>
      <c r="K172" s="20" t="s">
        <v>20</v>
      </c>
      <c r="L172" s="20">
        <v>1</v>
      </c>
      <c r="M172" s="34">
        <v>10000000</v>
      </c>
      <c r="N172" s="34">
        <f t="shared" si="17"/>
        <v>10000000</v>
      </c>
      <c r="O172" s="20" t="s">
        <v>21</v>
      </c>
      <c r="P172" s="20">
        <f t="shared" si="19"/>
        <v>135</v>
      </c>
      <c r="Y172" s="60">
        <f t="shared" si="22"/>
        <v>0</v>
      </c>
      <c r="Z172" s="60" t="str">
        <f t="shared" si="23"/>
        <v>BC</v>
      </c>
    </row>
    <row r="173" spans="1:26" ht="15" customHeight="1" x14ac:dyDescent="0.25">
      <c r="A173" s="20" t="s">
        <v>2678</v>
      </c>
      <c r="B173" s="63">
        <v>46013</v>
      </c>
      <c r="C173" s="109">
        <f t="shared" si="18"/>
        <v>258</v>
      </c>
      <c r="D173" s="20">
        <v>1</v>
      </c>
      <c r="E173" s="20"/>
      <c r="F173" s="20"/>
      <c r="G173" s="32" t="s">
        <v>191</v>
      </c>
      <c r="H173" s="20" t="s">
        <v>2681</v>
      </c>
      <c r="I173" s="20">
        <v>1111</v>
      </c>
      <c r="J173" s="20">
        <v>112111</v>
      </c>
      <c r="K173" s="20" t="s">
        <v>20</v>
      </c>
      <c r="L173" s="20">
        <v>1</v>
      </c>
      <c r="M173" s="34">
        <v>20000000</v>
      </c>
      <c r="N173" s="34">
        <f t="shared" si="17"/>
        <v>20000000</v>
      </c>
      <c r="O173" s="20" t="s">
        <v>21</v>
      </c>
      <c r="P173" s="20">
        <f t="shared" si="19"/>
        <v>136</v>
      </c>
      <c r="Y173" s="60">
        <f t="shared" si="22"/>
        <v>0</v>
      </c>
      <c r="Z173" s="60" t="str">
        <f t="shared" si="23"/>
        <v>BC</v>
      </c>
    </row>
    <row r="174" spans="1:26" ht="15" customHeight="1" x14ac:dyDescent="0.25">
      <c r="A174" s="20" t="s">
        <v>2679</v>
      </c>
      <c r="B174" s="63">
        <v>46013</v>
      </c>
      <c r="C174" s="109">
        <f t="shared" si="18"/>
        <v>259</v>
      </c>
      <c r="D174" s="20">
        <v>1</v>
      </c>
      <c r="E174" s="20"/>
      <c r="F174" s="20"/>
      <c r="G174" s="32" t="s">
        <v>533</v>
      </c>
      <c r="H174" s="20" t="s">
        <v>3220</v>
      </c>
      <c r="I174" s="20">
        <v>112111</v>
      </c>
      <c r="J174" s="20">
        <v>131</v>
      </c>
      <c r="K174" s="20" t="s">
        <v>20</v>
      </c>
      <c r="L174" s="20">
        <v>1</v>
      </c>
      <c r="M174" s="34">
        <v>50377000</v>
      </c>
      <c r="N174" s="34">
        <f t="shared" si="17"/>
        <v>50377000</v>
      </c>
      <c r="O174" s="20" t="s">
        <v>21</v>
      </c>
      <c r="P174" s="20">
        <f t="shared" si="19"/>
        <v>137</v>
      </c>
      <c r="Y174" s="60">
        <f t="shared" si="22"/>
        <v>0</v>
      </c>
      <c r="Z174" s="60" t="str">
        <f t="shared" si="23"/>
        <v>BC</v>
      </c>
    </row>
    <row r="175" spans="1:26" ht="15" customHeight="1" x14ac:dyDescent="0.25">
      <c r="A175" s="20" t="s">
        <v>2678</v>
      </c>
      <c r="B175" s="63">
        <v>46013</v>
      </c>
      <c r="C175" s="109">
        <f t="shared" si="18"/>
        <v>260</v>
      </c>
      <c r="D175" s="20">
        <v>1</v>
      </c>
      <c r="E175" s="20"/>
      <c r="F175" s="20"/>
      <c r="G175" s="32" t="s">
        <v>191</v>
      </c>
      <c r="H175" s="20" t="s">
        <v>2681</v>
      </c>
      <c r="I175" s="20">
        <v>1111</v>
      </c>
      <c r="J175" s="20">
        <v>112111</v>
      </c>
      <c r="K175" s="20" t="s">
        <v>20</v>
      </c>
      <c r="L175" s="20">
        <v>1</v>
      </c>
      <c r="M175" s="34">
        <v>20000000</v>
      </c>
      <c r="N175" s="34">
        <f t="shared" si="17"/>
        <v>20000000</v>
      </c>
      <c r="O175" s="20" t="s">
        <v>21</v>
      </c>
      <c r="P175" s="20">
        <f t="shared" si="19"/>
        <v>138</v>
      </c>
      <c r="Y175" s="60">
        <f t="shared" si="22"/>
        <v>0</v>
      </c>
      <c r="Z175" s="60" t="str">
        <f t="shared" si="23"/>
        <v>BC</v>
      </c>
    </row>
    <row r="176" spans="1:26" ht="15" customHeight="1" x14ac:dyDescent="0.25">
      <c r="A176" s="20" t="s">
        <v>2679</v>
      </c>
      <c r="B176" s="63">
        <v>46014</v>
      </c>
      <c r="C176" s="109">
        <f t="shared" si="18"/>
        <v>261</v>
      </c>
      <c r="D176" s="20">
        <v>1</v>
      </c>
      <c r="E176" s="20"/>
      <c r="F176" s="20"/>
      <c r="G176" s="14" t="s">
        <v>3003</v>
      </c>
      <c r="H176" s="12" t="s">
        <v>3005</v>
      </c>
      <c r="I176" s="12">
        <v>112111</v>
      </c>
      <c r="J176" s="12">
        <v>131</v>
      </c>
      <c r="K176" s="20" t="s">
        <v>20</v>
      </c>
      <c r="L176" s="20">
        <v>1</v>
      </c>
      <c r="M176" s="34">
        <v>25902</v>
      </c>
      <c r="N176" s="34">
        <f t="shared" si="17"/>
        <v>25902</v>
      </c>
      <c r="O176" s="20"/>
      <c r="P176" s="20">
        <f t="shared" si="19"/>
        <v>139</v>
      </c>
      <c r="Y176" s="60">
        <f t="shared" si="22"/>
        <v>0</v>
      </c>
      <c r="Z176" s="60" t="str">
        <f t="shared" si="23"/>
        <v>BC</v>
      </c>
    </row>
    <row r="177" spans="1:26" ht="15" customHeight="1" x14ac:dyDescent="0.25">
      <c r="A177" s="20" t="s">
        <v>2678</v>
      </c>
      <c r="B177" s="63">
        <v>46015</v>
      </c>
      <c r="C177" s="109">
        <f t="shared" si="18"/>
        <v>262</v>
      </c>
      <c r="D177" s="20">
        <v>1</v>
      </c>
      <c r="E177" s="20"/>
      <c r="F177" s="20"/>
      <c r="G177" s="32" t="s">
        <v>93</v>
      </c>
      <c r="H177" s="20" t="s">
        <v>3036</v>
      </c>
      <c r="I177" s="20">
        <v>3383</v>
      </c>
      <c r="J177" s="20">
        <v>112111</v>
      </c>
      <c r="K177" s="20" t="s">
        <v>20</v>
      </c>
      <c r="L177" s="20">
        <v>1</v>
      </c>
      <c r="M177" s="34">
        <v>2950000</v>
      </c>
      <c r="N177" s="34">
        <f t="shared" si="17"/>
        <v>2950000</v>
      </c>
      <c r="O177" s="20" t="s">
        <v>21</v>
      </c>
      <c r="P177" s="20">
        <f t="shared" si="19"/>
        <v>140</v>
      </c>
      <c r="Y177" s="60">
        <f t="shared" si="22"/>
        <v>0</v>
      </c>
      <c r="Z177" s="60" t="str">
        <f t="shared" si="23"/>
        <v>BC</v>
      </c>
    </row>
    <row r="178" spans="1:26" ht="15" customHeight="1" x14ac:dyDescent="0.25">
      <c r="A178" s="20" t="s">
        <v>2678</v>
      </c>
      <c r="B178" s="63">
        <v>46015</v>
      </c>
      <c r="C178" s="109">
        <f t="shared" si="18"/>
        <v>263</v>
      </c>
      <c r="D178" s="20">
        <v>1</v>
      </c>
      <c r="E178" s="20"/>
      <c r="F178" s="20"/>
      <c r="G178" s="32" t="s">
        <v>93</v>
      </c>
      <c r="H178" s="20" t="s">
        <v>3036</v>
      </c>
      <c r="I178" s="20">
        <v>3383</v>
      </c>
      <c r="J178" s="20">
        <v>112111</v>
      </c>
      <c r="K178" s="20" t="s">
        <v>20</v>
      </c>
      <c r="L178" s="20">
        <v>1</v>
      </c>
      <c r="M178" s="34">
        <v>4800000</v>
      </c>
      <c r="N178" s="34">
        <f t="shared" si="17"/>
        <v>4800000</v>
      </c>
      <c r="O178" s="20" t="s">
        <v>21</v>
      </c>
      <c r="P178" s="20">
        <f t="shared" si="19"/>
        <v>141</v>
      </c>
      <c r="Y178" s="60">
        <f t="shared" si="22"/>
        <v>0</v>
      </c>
      <c r="Z178" s="60" t="str">
        <f t="shared" si="23"/>
        <v>BC</v>
      </c>
    </row>
    <row r="179" spans="1:26" ht="15" customHeight="1" x14ac:dyDescent="0.25">
      <c r="A179" s="20" t="s">
        <v>2678</v>
      </c>
      <c r="B179" s="63">
        <v>46016</v>
      </c>
      <c r="C179" s="109">
        <f t="shared" si="18"/>
        <v>264</v>
      </c>
      <c r="D179" s="20">
        <v>1</v>
      </c>
      <c r="E179" s="20"/>
      <c r="F179" s="20"/>
      <c r="G179" s="32" t="s">
        <v>191</v>
      </c>
      <c r="H179" s="20" t="s">
        <v>2681</v>
      </c>
      <c r="I179" s="20">
        <v>1111</v>
      </c>
      <c r="J179" s="20">
        <v>112111</v>
      </c>
      <c r="K179" s="20" t="s">
        <v>20</v>
      </c>
      <c r="L179" s="20">
        <v>1</v>
      </c>
      <c r="M179" s="34">
        <v>20000000</v>
      </c>
      <c r="N179" s="34">
        <f t="shared" si="17"/>
        <v>20000000</v>
      </c>
      <c r="O179" s="20" t="s">
        <v>21</v>
      </c>
      <c r="P179" s="20">
        <f t="shared" si="19"/>
        <v>142</v>
      </c>
      <c r="Y179" s="60">
        <f t="shared" si="22"/>
        <v>0</v>
      </c>
      <c r="Z179" s="60" t="str">
        <f t="shared" si="23"/>
        <v>BC</v>
      </c>
    </row>
    <row r="180" spans="1:26" ht="15" customHeight="1" x14ac:dyDescent="0.25">
      <c r="A180" s="20" t="s">
        <v>2678</v>
      </c>
      <c r="B180" s="63">
        <v>46017</v>
      </c>
      <c r="C180" s="109">
        <f t="shared" si="18"/>
        <v>265</v>
      </c>
      <c r="D180" s="20">
        <v>1</v>
      </c>
      <c r="E180" s="20"/>
      <c r="F180" s="20"/>
      <c r="G180" s="32" t="s">
        <v>191</v>
      </c>
      <c r="H180" s="20" t="s">
        <v>2681</v>
      </c>
      <c r="I180" s="20">
        <v>1111</v>
      </c>
      <c r="J180" s="20">
        <v>112111</v>
      </c>
      <c r="K180" s="20" t="s">
        <v>20</v>
      </c>
      <c r="L180" s="20">
        <v>1</v>
      </c>
      <c r="M180" s="34">
        <v>80000000</v>
      </c>
      <c r="N180" s="34">
        <f t="shared" si="17"/>
        <v>80000000</v>
      </c>
      <c r="O180" s="20" t="s">
        <v>21</v>
      </c>
      <c r="P180" s="20">
        <f t="shared" si="19"/>
        <v>143</v>
      </c>
      <c r="Y180" s="60">
        <f t="shared" si="22"/>
        <v>0</v>
      </c>
      <c r="Z180" s="60" t="str">
        <f t="shared" si="23"/>
        <v>BC</v>
      </c>
    </row>
    <row r="181" spans="1:26" ht="15" customHeight="1" x14ac:dyDescent="0.25">
      <c r="A181" s="20" t="s">
        <v>2678</v>
      </c>
      <c r="B181" s="63">
        <v>46020</v>
      </c>
      <c r="C181" s="109">
        <f t="shared" si="18"/>
        <v>266</v>
      </c>
      <c r="D181" s="20">
        <v>1</v>
      </c>
      <c r="E181" s="20"/>
      <c r="F181" s="20"/>
      <c r="G181" s="32" t="s">
        <v>191</v>
      </c>
      <c r="H181" s="20" t="s">
        <v>2681</v>
      </c>
      <c r="I181" s="20">
        <v>1111</v>
      </c>
      <c r="J181" s="20">
        <v>112111</v>
      </c>
      <c r="K181" s="20" t="s">
        <v>20</v>
      </c>
      <c r="L181" s="20">
        <v>1</v>
      </c>
      <c r="M181" s="34">
        <v>32000000</v>
      </c>
      <c r="N181" s="34">
        <f t="shared" si="17"/>
        <v>32000000</v>
      </c>
      <c r="O181" s="20" t="s">
        <v>21</v>
      </c>
      <c r="P181" s="20">
        <f t="shared" si="19"/>
        <v>144</v>
      </c>
      <c r="Y181" s="60">
        <f t="shared" si="22"/>
        <v>0</v>
      </c>
      <c r="Z181" s="60" t="str">
        <f t="shared" si="23"/>
        <v>BC</v>
      </c>
    </row>
    <row r="182" spans="1:26" ht="15" customHeight="1" x14ac:dyDescent="0.25">
      <c r="A182" s="20" t="s">
        <v>2679</v>
      </c>
      <c r="B182" s="63">
        <v>46018</v>
      </c>
      <c r="C182" s="109">
        <f t="shared" si="18"/>
        <v>267</v>
      </c>
      <c r="D182" s="20">
        <v>1</v>
      </c>
      <c r="E182" s="20"/>
      <c r="F182" s="20"/>
      <c r="G182" s="32" t="s">
        <v>191</v>
      </c>
      <c r="H182" s="20" t="s">
        <v>2687</v>
      </c>
      <c r="I182" s="20">
        <v>112111</v>
      </c>
      <c r="J182" s="20">
        <v>5154</v>
      </c>
      <c r="K182" s="20" t="s">
        <v>20</v>
      </c>
      <c r="L182" s="20">
        <v>1</v>
      </c>
      <c r="M182" s="34">
        <v>2598</v>
      </c>
      <c r="N182" s="34">
        <f t="shared" si="17"/>
        <v>2598</v>
      </c>
      <c r="O182" s="20" t="s">
        <v>21</v>
      </c>
      <c r="P182" s="20">
        <f t="shared" si="19"/>
        <v>145</v>
      </c>
      <c r="Y182" s="60">
        <f t="shared" si="22"/>
        <v>0</v>
      </c>
      <c r="Z182" s="60" t="str">
        <f t="shared" si="23"/>
        <v>BC</v>
      </c>
    </row>
    <row r="183" spans="1:26" ht="15" customHeight="1" x14ac:dyDescent="0.25">
      <c r="A183" s="20" t="s">
        <v>2678</v>
      </c>
      <c r="B183" s="63">
        <v>46021</v>
      </c>
      <c r="C183" s="109">
        <f t="shared" si="18"/>
        <v>268</v>
      </c>
      <c r="D183" s="20">
        <v>1</v>
      </c>
      <c r="E183" s="20"/>
      <c r="F183" s="20"/>
      <c r="G183" s="32" t="s">
        <v>191</v>
      </c>
      <c r="H183" s="20" t="s">
        <v>2681</v>
      </c>
      <c r="I183" s="20">
        <v>1111</v>
      </c>
      <c r="J183" s="20">
        <v>112111</v>
      </c>
      <c r="K183" s="20" t="s">
        <v>20</v>
      </c>
      <c r="L183" s="20">
        <v>1</v>
      </c>
      <c r="M183" s="34">
        <v>40000000</v>
      </c>
      <c r="N183" s="34">
        <f t="shared" si="17"/>
        <v>40000000</v>
      </c>
      <c r="O183" s="20" t="s">
        <v>21</v>
      </c>
      <c r="P183" s="20">
        <f t="shared" si="19"/>
        <v>146</v>
      </c>
      <c r="Y183" s="60">
        <f t="shared" si="22"/>
        <v>0</v>
      </c>
      <c r="Z183" s="60" t="str">
        <f t="shared" si="23"/>
        <v>BC</v>
      </c>
    </row>
    <row r="184" spans="1:26" ht="15" customHeight="1" x14ac:dyDescent="0.25">
      <c r="A184" s="20" t="s">
        <v>2679</v>
      </c>
      <c r="B184" s="63">
        <v>46021</v>
      </c>
      <c r="C184" s="109">
        <f t="shared" si="18"/>
        <v>269</v>
      </c>
      <c r="D184" s="20">
        <v>1</v>
      </c>
      <c r="E184" s="20"/>
      <c r="F184" s="20"/>
      <c r="G184" s="32" t="s">
        <v>539</v>
      </c>
      <c r="H184" s="20" t="s">
        <v>3221</v>
      </c>
      <c r="I184" s="20">
        <v>112111</v>
      </c>
      <c r="J184" s="20">
        <v>131</v>
      </c>
      <c r="K184" s="20" t="s">
        <v>20</v>
      </c>
      <c r="L184" s="20">
        <v>1</v>
      </c>
      <c r="M184" s="34">
        <v>29806452</v>
      </c>
      <c r="N184" s="34">
        <f t="shared" si="17"/>
        <v>29806452</v>
      </c>
      <c r="O184" s="20" t="s">
        <v>21</v>
      </c>
      <c r="P184" s="20">
        <f t="shared" si="19"/>
        <v>147</v>
      </c>
      <c r="Y184" s="60">
        <f t="shared" si="22"/>
        <v>0</v>
      </c>
      <c r="Z184" s="60" t="str">
        <f t="shared" si="23"/>
        <v>BC</v>
      </c>
    </row>
    <row r="185" spans="1:26" ht="15" customHeight="1" x14ac:dyDescent="0.25">
      <c r="A185" s="20" t="s">
        <v>2678</v>
      </c>
      <c r="B185" s="63">
        <v>46022</v>
      </c>
      <c r="C185" s="109">
        <f t="shared" si="18"/>
        <v>270</v>
      </c>
      <c r="D185" s="20">
        <v>1</v>
      </c>
      <c r="E185" s="20"/>
      <c r="F185" s="20"/>
      <c r="G185" s="32" t="s">
        <v>191</v>
      </c>
      <c r="H185" s="20" t="s">
        <v>3195</v>
      </c>
      <c r="I185" s="20">
        <v>3341</v>
      </c>
      <c r="J185" s="20">
        <v>112111</v>
      </c>
      <c r="K185" s="20" t="s">
        <v>20</v>
      </c>
      <c r="L185" s="20">
        <v>1</v>
      </c>
      <c r="M185" s="34">
        <v>10000000</v>
      </c>
      <c r="N185" s="34">
        <f t="shared" si="17"/>
        <v>10000000</v>
      </c>
      <c r="O185" s="20" t="s">
        <v>21</v>
      </c>
      <c r="P185" s="20">
        <f t="shared" si="19"/>
        <v>148</v>
      </c>
      <c r="Y185" s="60">
        <f t="shared" si="22"/>
        <v>0</v>
      </c>
      <c r="Z185" s="60" t="str">
        <f t="shared" si="23"/>
        <v>BC</v>
      </c>
    </row>
    <row r="186" spans="1:26" ht="15" customHeight="1" x14ac:dyDescent="0.25">
      <c r="A186" s="20" t="s">
        <v>2679</v>
      </c>
      <c r="B186" s="63">
        <v>46022</v>
      </c>
      <c r="C186" s="109">
        <f t="shared" si="18"/>
        <v>271</v>
      </c>
      <c r="D186" s="20">
        <v>1</v>
      </c>
      <c r="E186" s="20"/>
      <c r="F186" s="20"/>
      <c r="G186" s="32" t="s">
        <v>95</v>
      </c>
      <c r="H186" s="20" t="s">
        <v>3228</v>
      </c>
      <c r="I186" s="20">
        <v>112111</v>
      </c>
      <c r="J186" s="20">
        <v>131</v>
      </c>
      <c r="K186" s="20" t="s">
        <v>20</v>
      </c>
      <c r="L186" s="20">
        <v>1</v>
      </c>
      <c r="M186" s="34">
        <v>17000000</v>
      </c>
      <c r="N186" s="34">
        <f t="shared" si="17"/>
        <v>17000000</v>
      </c>
      <c r="O186" s="20" t="s">
        <v>21</v>
      </c>
      <c r="P186" s="20">
        <f t="shared" si="19"/>
        <v>149</v>
      </c>
      <c r="Y186" s="60">
        <f t="shared" si="22"/>
        <v>0</v>
      </c>
      <c r="Z186" s="60" t="str">
        <f t="shared" si="23"/>
        <v>BC</v>
      </c>
    </row>
    <row r="187" spans="1:26" ht="15" customHeight="1" x14ac:dyDescent="0.25">
      <c r="A187" s="20" t="s">
        <v>2678</v>
      </c>
      <c r="B187" s="63">
        <v>46022</v>
      </c>
      <c r="C187" s="109">
        <f t="shared" si="18"/>
        <v>272</v>
      </c>
      <c r="D187" s="20">
        <v>1</v>
      </c>
      <c r="E187" s="20"/>
      <c r="F187" s="20"/>
      <c r="G187" s="32" t="s">
        <v>191</v>
      </c>
      <c r="H187" s="20" t="s">
        <v>3196</v>
      </c>
      <c r="I187" s="20">
        <v>3341</v>
      </c>
      <c r="J187" s="20">
        <v>112111</v>
      </c>
      <c r="K187" s="20" t="s">
        <v>20</v>
      </c>
      <c r="L187" s="20">
        <v>1</v>
      </c>
      <c r="M187" s="34">
        <v>10000000</v>
      </c>
      <c r="N187" s="34">
        <f t="shared" si="17"/>
        <v>10000000</v>
      </c>
      <c r="O187" s="20" t="s">
        <v>21</v>
      </c>
      <c r="P187" s="20">
        <f t="shared" si="19"/>
        <v>150</v>
      </c>
      <c r="Y187" s="60">
        <f t="shared" si="22"/>
        <v>0</v>
      </c>
      <c r="Z187" s="60" t="str">
        <f t="shared" si="23"/>
        <v>BC</v>
      </c>
    </row>
    <row r="188" spans="1:26" ht="15" customHeight="1" x14ac:dyDescent="0.25">
      <c r="A188" s="20" t="s">
        <v>2678</v>
      </c>
      <c r="B188" s="63">
        <v>46022</v>
      </c>
      <c r="C188" s="109">
        <f t="shared" si="18"/>
        <v>273</v>
      </c>
      <c r="D188" s="20">
        <v>1</v>
      </c>
      <c r="E188" s="20"/>
      <c r="F188" s="20"/>
      <c r="G188" s="32" t="s">
        <v>191</v>
      </c>
      <c r="H188" s="20" t="s">
        <v>3197</v>
      </c>
      <c r="I188" s="20">
        <v>3341</v>
      </c>
      <c r="J188" s="20">
        <v>112111</v>
      </c>
      <c r="K188" s="20" t="s">
        <v>20</v>
      </c>
      <c r="L188" s="20">
        <v>1</v>
      </c>
      <c r="M188" s="34">
        <v>9000000</v>
      </c>
      <c r="N188" s="34">
        <f t="shared" si="17"/>
        <v>9000000</v>
      </c>
      <c r="O188" s="20" t="s">
        <v>21</v>
      </c>
      <c r="P188" s="20">
        <f t="shared" si="19"/>
        <v>151</v>
      </c>
      <c r="Y188" s="60">
        <f t="shared" si="22"/>
        <v>0</v>
      </c>
      <c r="Z188" s="60" t="str">
        <f t="shared" si="23"/>
        <v>BC</v>
      </c>
    </row>
    <row r="189" spans="1:26" ht="15" customHeight="1" x14ac:dyDescent="0.25">
      <c r="A189" s="20" t="s">
        <v>2679</v>
      </c>
      <c r="B189" s="63">
        <v>46028</v>
      </c>
      <c r="C189" s="109">
        <f t="shared" si="18"/>
        <v>274</v>
      </c>
      <c r="D189" s="20">
        <v>1</v>
      </c>
      <c r="E189" s="20"/>
      <c r="F189" s="20"/>
      <c r="G189" s="32" t="s">
        <v>537</v>
      </c>
      <c r="H189" s="20" t="s">
        <v>3223</v>
      </c>
      <c r="I189" s="20">
        <v>112111</v>
      </c>
      <c r="J189" s="20">
        <v>131</v>
      </c>
      <c r="K189" s="20" t="s">
        <v>20</v>
      </c>
      <c r="L189" s="20">
        <v>1</v>
      </c>
      <c r="M189" s="34">
        <v>12710323</v>
      </c>
      <c r="N189" s="34">
        <f t="shared" si="17"/>
        <v>12710323</v>
      </c>
      <c r="O189" s="20" t="s">
        <v>21</v>
      </c>
      <c r="P189" s="20">
        <f t="shared" si="19"/>
        <v>152</v>
      </c>
      <c r="Y189" s="60">
        <f t="shared" si="22"/>
        <v>0</v>
      </c>
      <c r="Z189" s="60" t="str">
        <f t="shared" si="23"/>
        <v>BC</v>
      </c>
    </row>
    <row r="190" spans="1:26" ht="15" customHeight="1" x14ac:dyDescent="0.25">
      <c r="A190" s="20" t="s">
        <v>2679</v>
      </c>
      <c r="B190" s="63">
        <v>46029</v>
      </c>
      <c r="C190" s="109">
        <f t="shared" si="18"/>
        <v>275</v>
      </c>
      <c r="D190" s="20">
        <v>1</v>
      </c>
      <c r="E190" s="20"/>
      <c r="F190" s="20"/>
      <c r="G190" s="32" t="s">
        <v>537</v>
      </c>
      <c r="H190" s="20" t="s">
        <v>3222</v>
      </c>
      <c r="I190" s="20">
        <v>112111</v>
      </c>
      <c r="J190" s="20">
        <v>131</v>
      </c>
      <c r="K190" s="20" t="s">
        <v>20</v>
      </c>
      <c r="L190" s="20">
        <v>1</v>
      </c>
      <c r="M190" s="34">
        <v>57368903</v>
      </c>
      <c r="N190" s="34">
        <f t="shared" si="17"/>
        <v>57368903</v>
      </c>
      <c r="O190" s="20" t="s">
        <v>21</v>
      </c>
      <c r="P190" s="20">
        <f t="shared" si="19"/>
        <v>153</v>
      </c>
      <c r="Y190" s="60">
        <f t="shared" si="22"/>
        <v>0</v>
      </c>
      <c r="Z190" s="60" t="str">
        <f t="shared" si="23"/>
        <v>BC</v>
      </c>
    </row>
    <row r="191" spans="1:26" ht="15" customHeight="1" x14ac:dyDescent="0.25">
      <c r="A191" s="20" t="s">
        <v>18</v>
      </c>
      <c r="B191" s="63">
        <v>45961</v>
      </c>
      <c r="C191" s="109">
        <f t="shared" ref="C191:C208" si="24">C190+D191</f>
        <v>276</v>
      </c>
      <c r="D191" s="20">
        <v>1</v>
      </c>
      <c r="E191" s="20"/>
      <c r="F191" s="20"/>
      <c r="G191" s="32" t="s">
        <v>191</v>
      </c>
      <c r="H191" s="20" t="s">
        <v>3188</v>
      </c>
      <c r="I191" s="20">
        <v>64271</v>
      </c>
      <c r="J191" s="20">
        <v>3341</v>
      </c>
      <c r="K191" s="20" t="s">
        <v>20</v>
      </c>
      <c r="L191" s="20">
        <v>1</v>
      </c>
      <c r="M191" s="34">
        <v>19000000</v>
      </c>
      <c r="N191" s="34">
        <f t="shared" si="17"/>
        <v>19000000</v>
      </c>
      <c r="O191" s="20" t="s">
        <v>21</v>
      </c>
      <c r="P191" s="20">
        <f t="shared" si="19"/>
        <v>154</v>
      </c>
      <c r="Y191" s="60">
        <f t="shared" si="22"/>
        <v>0</v>
      </c>
      <c r="Z191" s="60" t="str">
        <f t="shared" si="23"/>
        <v>BC</v>
      </c>
    </row>
    <row r="192" spans="1:26" ht="15" customHeight="1" x14ac:dyDescent="0.25">
      <c r="A192" s="20" t="s">
        <v>18</v>
      </c>
      <c r="B192" s="63">
        <v>45991</v>
      </c>
      <c r="C192" s="109">
        <f t="shared" si="24"/>
        <v>277</v>
      </c>
      <c r="D192" s="20">
        <v>1</v>
      </c>
      <c r="E192" s="20"/>
      <c r="F192" s="20"/>
      <c r="G192" s="32" t="s">
        <v>191</v>
      </c>
      <c r="H192" s="20" t="s">
        <v>3189</v>
      </c>
      <c r="I192" s="20">
        <v>64271</v>
      </c>
      <c r="J192" s="20">
        <v>3341</v>
      </c>
      <c r="K192" s="20" t="s">
        <v>20</v>
      </c>
      <c r="L192" s="20">
        <v>1</v>
      </c>
      <c r="M192" s="34">
        <v>19000000</v>
      </c>
      <c r="N192" s="34">
        <f t="shared" si="17"/>
        <v>19000000</v>
      </c>
      <c r="O192" s="20" t="s">
        <v>21</v>
      </c>
      <c r="P192" s="20">
        <f t="shared" si="19"/>
        <v>155</v>
      </c>
      <c r="Y192" s="60">
        <f t="shared" si="22"/>
        <v>0</v>
      </c>
      <c r="Z192" s="60" t="str">
        <f t="shared" si="23"/>
        <v>BC</v>
      </c>
    </row>
    <row r="193" spans="1:26" ht="15" customHeight="1" x14ac:dyDescent="0.25">
      <c r="A193" s="20" t="s">
        <v>18</v>
      </c>
      <c r="B193" s="63">
        <v>46022</v>
      </c>
      <c r="C193" s="109">
        <f t="shared" si="24"/>
        <v>278</v>
      </c>
      <c r="D193" s="20">
        <v>1</v>
      </c>
      <c r="E193" s="20"/>
      <c r="F193" s="20"/>
      <c r="G193" s="32" t="s">
        <v>191</v>
      </c>
      <c r="H193" s="20" t="s">
        <v>3190</v>
      </c>
      <c r="I193" s="20">
        <v>64271</v>
      </c>
      <c r="J193" s="20">
        <v>3341</v>
      </c>
      <c r="K193" s="20" t="s">
        <v>20</v>
      </c>
      <c r="L193" s="20">
        <v>1</v>
      </c>
      <c r="M193" s="34">
        <v>29000000</v>
      </c>
      <c r="N193" s="34">
        <f t="shared" si="17"/>
        <v>29000000</v>
      </c>
      <c r="O193" s="20" t="s">
        <v>21</v>
      </c>
      <c r="P193" s="20">
        <f t="shared" si="19"/>
        <v>156</v>
      </c>
      <c r="Y193" s="60">
        <f t="shared" si="22"/>
        <v>0</v>
      </c>
      <c r="Z193" s="60" t="str">
        <f t="shared" si="23"/>
        <v>BC</v>
      </c>
    </row>
    <row r="194" spans="1:26" ht="15" customHeight="1" x14ac:dyDescent="0.25">
      <c r="A194" s="20" t="s">
        <v>18</v>
      </c>
      <c r="B194" s="63">
        <v>45931</v>
      </c>
      <c r="C194" s="109">
        <f t="shared" si="24"/>
        <v>279</v>
      </c>
      <c r="D194" s="20">
        <v>1</v>
      </c>
      <c r="E194" s="20"/>
      <c r="F194" s="20"/>
      <c r="G194" s="32" t="s">
        <v>3003</v>
      </c>
      <c r="H194" s="20" t="s">
        <v>3004</v>
      </c>
      <c r="I194" s="20">
        <v>131</v>
      </c>
      <c r="J194" s="20">
        <v>5118</v>
      </c>
      <c r="K194" s="20" t="s">
        <v>20</v>
      </c>
      <c r="L194" s="20">
        <v>1</v>
      </c>
      <c r="M194" s="34">
        <v>215563</v>
      </c>
      <c r="N194" s="34">
        <f t="shared" si="17"/>
        <v>215563</v>
      </c>
      <c r="O194" s="20" t="s">
        <v>21</v>
      </c>
      <c r="P194" s="20">
        <f t="shared" si="19"/>
        <v>157</v>
      </c>
      <c r="Y194" s="60">
        <f t="shared" si="22"/>
        <v>0</v>
      </c>
      <c r="Z194" s="60" t="str">
        <f t="shared" si="23"/>
        <v>BC</v>
      </c>
    </row>
    <row r="195" spans="1:26" ht="15" customHeight="1" x14ac:dyDescent="0.25">
      <c r="A195" s="20" t="s">
        <v>18</v>
      </c>
      <c r="B195" s="63">
        <v>45931</v>
      </c>
      <c r="C195" s="109">
        <f t="shared" si="24"/>
        <v>280</v>
      </c>
      <c r="D195" s="20">
        <v>1</v>
      </c>
      <c r="E195" s="20"/>
      <c r="F195" s="20"/>
      <c r="G195" s="32" t="s">
        <v>3003</v>
      </c>
      <c r="H195" s="20" t="s">
        <v>3004</v>
      </c>
      <c r="I195" s="20">
        <v>131</v>
      </c>
      <c r="J195" s="20">
        <v>5118</v>
      </c>
      <c r="K195" s="20" t="s">
        <v>20</v>
      </c>
      <c r="L195" s="20">
        <v>1</v>
      </c>
      <c r="M195" s="34">
        <v>133964</v>
      </c>
      <c r="N195" s="34">
        <f t="shared" si="17"/>
        <v>133964</v>
      </c>
      <c r="O195" s="20" t="s">
        <v>21</v>
      </c>
      <c r="P195" s="20">
        <f t="shared" si="19"/>
        <v>158</v>
      </c>
      <c r="Y195" s="60">
        <f t="shared" si="22"/>
        <v>0</v>
      </c>
      <c r="Z195" s="60" t="str">
        <f t="shared" si="23"/>
        <v>BC</v>
      </c>
    </row>
    <row r="196" spans="1:26" ht="15" customHeight="1" x14ac:dyDescent="0.25">
      <c r="A196" s="20" t="s">
        <v>18</v>
      </c>
      <c r="B196" s="63">
        <v>45931</v>
      </c>
      <c r="C196" s="109">
        <f t="shared" si="24"/>
        <v>281</v>
      </c>
      <c r="D196" s="20">
        <v>1</v>
      </c>
      <c r="E196" s="20"/>
      <c r="F196" s="20"/>
      <c r="G196" s="32" t="s">
        <v>3003</v>
      </c>
      <c r="H196" s="20" t="s">
        <v>3004</v>
      </c>
      <c r="I196" s="20">
        <v>131</v>
      </c>
      <c r="J196" s="20">
        <v>5118</v>
      </c>
      <c r="K196" s="20" t="s">
        <v>20</v>
      </c>
      <c r="L196" s="20">
        <v>1</v>
      </c>
      <c r="M196" s="34">
        <v>280920</v>
      </c>
      <c r="N196" s="34">
        <f t="shared" si="17"/>
        <v>280920</v>
      </c>
      <c r="O196" s="20" t="s">
        <v>21</v>
      </c>
      <c r="P196" s="20">
        <f t="shared" si="19"/>
        <v>159</v>
      </c>
      <c r="Y196" s="60">
        <f t="shared" si="22"/>
        <v>0</v>
      </c>
      <c r="Z196" s="60" t="str">
        <f t="shared" si="23"/>
        <v>BC</v>
      </c>
    </row>
    <row r="197" spans="1:26" ht="15" customHeight="1" x14ac:dyDescent="0.25">
      <c r="A197" s="20" t="s">
        <v>18</v>
      </c>
      <c r="B197" s="63">
        <v>45945</v>
      </c>
      <c r="C197" s="109">
        <f t="shared" si="24"/>
        <v>282</v>
      </c>
      <c r="D197" s="20">
        <v>1</v>
      </c>
      <c r="E197" s="20"/>
      <c r="F197" s="20"/>
      <c r="G197" s="32" t="s">
        <v>3003</v>
      </c>
      <c r="H197" s="20" t="s">
        <v>3004</v>
      </c>
      <c r="I197" s="20">
        <v>131</v>
      </c>
      <c r="J197" s="20">
        <v>5118</v>
      </c>
      <c r="K197" s="20" t="s">
        <v>20</v>
      </c>
      <c r="L197" s="20">
        <v>1</v>
      </c>
      <c r="M197" s="34">
        <v>682558</v>
      </c>
      <c r="N197" s="34">
        <f t="shared" si="17"/>
        <v>682558</v>
      </c>
      <c r="O197" s="20" t="s">
        <v>21</v>
      </c>
      <c r="P197" s="20">
        <f t="shared" si="19"/>
        <v>160</v>
      </c>
      <c r="Y197" s="60">
        <f t="shared" si="22"/>
        <v>0</v>
      </c>
      <c r="Z197" s="60" t="str">
        <f t="shared" si="23"/>
        <v>BC</v>
      </c>
    </row>
    <row r="198" spans="1:26" ht="15" customHeight="1" x14ac:dyDescent="0.25">
      <c r="A198" s="20" t="s">
        <v>18</v>
      </c>
      <c r="B198" s="63">
        <v>45959</v>
      </c>
      <c r="C198" s="109">
        <f t="shared" si="24"/>
        <v>283</v>
      </c>
      <c r="D198" s="20">
        <v>1</v>
      </c>
      <c r="E198" s="20"/>
      <c r="F198" s="20"/>
      <c r="G198" s="32" t="s">
        <v>3003</v>
      </c>
      <c r="H198" s="20" t="s">
        <v>3004</v>
      </c>
      <c r="I198" s="20">
        <v>131</v>
      </c>
      <c r="J198" s="20">
        <v>5118</v>
      </c>
      <c r="K198" s="20" t="s">
        <v>20</v>
      </c>
      <c r="L198" s="20">
        <v>1</v>
      </c>
      <c r="M198" s="34">
        <v>215819</v>
      </c>
      <c r="N198" s="34">
        <f t="shared" si="17"/>
        <v>215819</v>
      </c>
      <c r="O198" s="20" t="s">
        <v>21</v>
      </c>
      <c r="P198" s="20">
        <f t="shared" si="19"/>
        <v>161</v>
      </c>
    </row>
    <row r="199" spans="1:26" ht="15" customHeight="1" x14ac:dyDescent="0.25">
      <c r="A199" s="20" t="s">
        <v>18</v>
      </c>
      <c r="B199" s="63">
        <v>45972</v>
      </c>
      <c r="C199" s="109">
        <f t="shared" si="24"/>
        <v>284</v>
      </c>
      <c r="D199" s="20">
        <v>1</v>
      </c>
      <c r="E199" s="20"/>
      <c r="F199" s="20"/>
      <c r="G199" s="32" t="s">
        <v>3003</v>
      </c>
      <c r="H199" s="20" t="s">
        <v>3004</v>
      </c>
      <c r="I199" s="20">
        <v>131</v>
      </c>
      <c r="J199" s="20">
        <v>5118</v>
      </c>
      <c r="K199" s="20" t="s">
        <v>20</v>
      </c>
      <c r="L199" s="20">
        <v>1</v>
      </c>
      <c r="M199" s="34">
        <v>1006658</v>
      </c>
      <c r="N199" s="34">
        <f t="shared" si="17"/>
        <v>1006658</v>
      </c>
      <c r="O199" s="20" t="s">
        <v>21</v>
      </c>
      <c r="P199" s="20">
        <f t="shared" si="19"/>
        <v>162</v>
      </c>
    </row>
    <row r="200" spans="1:26" ht="15" customHeight="1" x14ac:dyDescent="0.25">
      <c r="A200" s="20" t="s">
        <v>18</v>
      </c>
      <c r="B200" s="63">
        <v>45973</v>
      </c>
      <c r="C200" s="109">
        <f t="shared" si="24"/>
        <v>285</v>
      </c>
      <c r="D200" s="20">
        <v>1</v>
      </c>
      <c r="E200" s="20"/>
      <c r="F200" s="20"/>
      <c r="G200" s="32" t="s">
        <v>3003</v>
      </c>
      <c r="H200" s="20" t="s">
        <v>3004</v>
      </c>
      <c r="I200" s="20">
        <v>131</v>
      </c>
      <c r="J200" s="20">
        <v>5118</v>
      </c>
      <c r="K200" s="20" t="s">
        <v>20</v>
      </c>
      <c r="L200" s="20">
        <v>1</v>
      </c>
      <c r="M200" s="34">
        <v>128294</v>
      </c>
      <c r="N200" s="34">
        <f t="shared" si="17"/>
        <v>128294</v>
      </c>
      <c r="O200" s="20" t="s">
        <v>21</v>
      </c>
      <c r="P200" s="20">
        <f t="shared" si="19"/>
        <v>163</v>
      </c>
    </row>
    <row r="201" spans="1:26" ht="15" customHeight="1" x14ac:dyDescent="0.25">
      <c r="A201" s="20" t="s">
        <v>18</v>
      </c>
      <c r="B201" s="63">
        <v>45974</v>
      </c>
      <c r="C201" s="109">
        <f t="shared" si="24"/>
        <v>286</v>
      </c>
      <c r="D201" s="20">
        <v>1</v>
      </c>
      <c r="E201" s="20"/>
      <c r="F201" s="20"/>
      <c r="G201" s="32" t="s">
        <v>3003</v>
      </c>
      <c r="H201" s="20" t="s">
        <v>3004</v>
      </c>
      <c r="I201" s="20">
        <v>131</v>
      </c>
      <c r="J201" s="20">
        <v>5118</v>
      </c>
      <c r="K201" s="20" t="s">
        <v>20</v>
      </c>
      <c r="L201" s="20">
        <v>1</v>
      </c>
      <c r="M201" s="34">
        <v>64697</v>
      </c>
      <c r="N201" s="34">
        <f t="shared" si="17"/>
        <v>64697</v>
      </c>
      <c r="O201" s="20" t="s">
        <v>21</v>
      </c>
      <c r="P201" s="20">
        <f t="shared" si="19"/>
        <v>164</v>
      </c>
    </row>
    <row r="202" spans="1:26" ht="15" customHeight="1" x14ac:dyDescent="0.25">
      <c r="A202" s="20" t="s">
        <v>18</v>
      </c>
      <c r="B202" s="63">
        <v>45981</v>
      </c>
      <c r="C202" s="109">
        <f t="shared" si="24"/>
        <v>287</v>
      </c>
      <c r="D202" s="20">
        <v>1</v>
      </c>
      <c r="E202" s="20"/>
      <c r="F202" s="20"/>
      <c r="G202" s="32" t="s">
        <v>3003</v>
      </c>
      <c r="H202" s="20" t="s">
        <v>3004</v>
      </c>
      <c r="I202" s="20">
        <v>131</v>
      </c>
      <c r="J202" s="20">
        <v>5118</v>
      </c>
      <c r="K202" s="20" t="s">
        <v>20</v>
      </c>
      <c r="L202" s="20">
        <v>1</v>
      </c>
      <c r="M202" s="34">
        <v>70189</v>
      </c>
      <c r="N202" s="34">
        <f t="shared" si="17"/>
        <v>70189</v>
      </c>
      <c r="O202" s="20" t="s">
        <v>21</v>
      </c>
      <c r="P202" s="20">
        <f t="shared" si="19"/>
        <v>165</v>
      </c>
    </row>
    <row r="203" spans="1:26" ht="15" customHeight="1" x14ac:dyDescent="0.25">
      <c r="A203" s="20" t="s">
        <v>18</v>
      </c>
      <c r="B203" s="63">
        <v>45986</v>
      </c>
      <c r="C203" s="109">
        <f t="shared" si="24"/>
        <v>288</v>
      </c>
      <c r="D203" s="20">
        <v>1</v>
      </c>
      <c r="E203" s="20"/>
      <c r="F203" s="20"/>
      <c r="G203" s="32" t="s">
        <v>3003</v>
      </c>
      <c r="H203" s="20" t="s">
        <v>3004</v>
      </c>
      <c r="I203" s="20">
        <v>131</v>
      </c>
      <c r="J203" s="20">
        <v>5118</v>
      </c>
      <c r="K203" s="20" t="s">
        <v>20</v>
      </c>
      <c r="L203" s="20">
        <v>1</v>
      </c>
      <c r="M203" s="34">
        <v>14830</v>
      </c>
      <c r="N203" s="34">
        <f t="shared" ref="N203:N208" si="25">L203*M203</f>
        <v>14830</v>
      </c>
      <c r="O203" s="20" t="s">
        <v>21</v>
      </c>
      <c r="P203" s="20">
        <f t="shared" si="19"/>
        <v>166</v>
      </c>
    </row>
    <row r="204" spans="1:26" ht="15" customHeight="1" x14ac:dyDescent="0.25">
      <c r="A204" s="20" t="s">
        <v>18</v>
      </c>
      <c r="B204" s="63">
        <v>45993</v>
      </c>
      <c r="C204" s="109">
        <f t="shared" si="24"/>
        <v>289</v>
      </c>
      <c r="D204" s="20">
        <v>1</v>
      </c>
      <c r="E204" s="20"/>
      <c r="F204" s="20"/>
      <c r="G204" s="32" t="s">
        <v>3003</v>
      </c>
      <c r="H204" s="20" t="s">
        <v>3004</v>
      </c>
      <c r="I204" s="20">
        <v>131</v>
      </c>
      <c r="J204" s="20">
        <v>5118</v>
      </c>
      <c r="K204" s="20" t="s">
        <v>20</v>
      </c>
      <c r="L204" s="20">
        <v>1</v>
      </c>
      <c r="M204" s="34">
        <v>113343</v>
      </c>
      <c r="N204" s="34">
        <f t="shared" si="25"/>
        <v>113343</v>
      </c>
      <c r="O204" s="20" t="s">
        <v>21</v>
      </c>
      <c r="P204" s="20">
        <f t="shared" si="19"/>
        <v>167</v>
      </c>
    </row>
    <row r="205" spans="1:26" ht="15" customHeight="1" x14ac:dyDescent="0.25">
      <c r="A205" s="20" t="s">
        <v>18</v>
      </c>
      <c r="B205" s="63">
        <v>45995</v>
      </c>
      <c r="C205" s="109">
        <f t="shared" si="24"/>
        <v>290</v>
      </c>
      <c r="D205" s="20">
        <v>1</v>
      </c>
      <c r="E205" s="20"/>
      <c r="F205" s="20"/>
      <c r="G205" s="32" t="s">
        <v>3003</v>
      </c>
      <c r="H205" s="20" t="s">
        <v>3004</v>
      </c>
      <c r="I205" s="20">
        <v>131</v>
      </c>
      <c r="J205" s="20">
        <v>5118</v>
      </c>
      <c r="K205" s="20" t="s">
        <v>20</v>
      </c>
      <c r="L205" s="20">
        <v>1</v>
      </c>
      <c r="M205" s="34">
        <v>84010</v>
      </c>
      <c r="N205" s="34">
        <f t="shared" si="25"/>
        <v>84010</v>
      </c>
      <c r="O205" s="20" t="s">
        <v>21</v>
      </c>
      <c r="P205" s="20">
        <f t="shared" si="19"/>
        <v>168</v>
      </c>
    </row>
    <row r="206" spans="1:26" ht="15" customHeight="1" x14ac:dyDescent="0.25">
      <c r="A206" s="20" t="s">
        <v>18</v>
      </c>
      <c r="B206" s="63">
        <v>46000</v>
      </c>
      <c r="C206" s="109">
        <f t="shared" si="24"/>
        <v>291</v>
      </c>
      <c r="D206" s="20">
        <v>1</v>
      </c>
      <c r="E206" s="20"/>
      <c r="F206" s="20"/>
      <c r="G206" s="32" t="s">
        <v>3003</v>
      </c>
      <c r="H206" s="20" t="s">
        <v>3004</v>
      </c>
      <c r="I206" s="20">
        <v>131</v>
      </c>
      <c r="J206" s="20">
        <v>5118</v>
      </c>
      <c r="K206" s="20" t="s">
        <v>20</v>
      </c>
      <c r="L206" s="20">
        <v>1</v>
      </c>
      <c r="M206" s="34">
        <v>75043</v>
      </c>
      <c r="N206" s="34">
        <f t="shared" si="25"/>
        <v>75043</v>
      </c>
      <c r="O206" s="20" t="s">
        <v>21</v>
      </c>
      <c r="P206" s="20">
        <f t="shared" si="19"/>
        <v>169</v>
      </c>
    </row>
    <row r="207" spans="1:26" ht="15" customHeight="1" x14ac:dyDescent="0.25">
      <c r="A207" s="20" t="s">
        <v>18</v>
      </c>
      <c r="B207" s="63">
        <v>46002</v>
      </c>
      <c r="C207" s="109">
        <f t="shared" si="24"/>
        <v>292</v>
      </c>
      <c r="D207" s="20">
        <v>1</v>
      </c>
      <c r="E207" s="20"/>
      <c r="F207" s="20"/>
      <c r="G207" s="32" t="s">
        <v>3003</v>
      </c>
      <c r="H207" s="20" t="s">
        <v>3004</v>
      </c>
      <c r="I207" s="20">
        <v>131</v>
      </c>
      <c r="J207" s="20">
        <v>5118</v>
      </c>
      <c r="K207" s="20" t="s">
        <v>20</v>
      </c>
      <c r="L207" s="20">
        <v>1</v>
      </c>
      <c r="M207" s="34">
        <v>12629</v>
      </c>
      <c r="N207" s="34">
        <f t="shared" si="25"/>
        <v>12629</v>
      </c>
      <c r="O207" s="20" t="s">
        <v>21</v>
      </c>
      <c r="P207" s="20">
        <f t="shared" si="19"/>
        <v>170</v>
      </c>
    </row>
    <row r="208" spans="1:26" ht="15" customHeight="1" x14ac:dyDescent="0.25">
      <c r="A208" s="20" t="s">
        <v>18</v>
      </c>
      <c r="B208" s="63">
        <v>46014</v>
      </c>
      <c r="C208" s="109">
        <f t="shared" si="24"/>
        <v>293</v>
      </c>
      <c r="D208" s="20">
        <v>1</v>
      </c>
      <c r="E208" s="20"/>
      <c r="F208" s="20"/>
      <c r="G208" s="32" t="s">
        <v>3003</v>
      </c>
      <c r="H208" s="20" t="s">
        <v>3004</v>
      </c>
      <c r="I208" s="20">
        <v>131</v>
      </c>
      <c r="J208" s="20">
        <v>5118</v>
      </c>
      <c r="K208" s="20" t="s">
        <v>20</v>
      </c>
      <c r="L208" s="20">
        <v>1</v>
      </c>
      <c r="M208" s="34">
        <v>25902</v>
      </c>
      <c r="N208" s="34">
        <f t="shared" si="25"/>
        <v>25902</v>
      </c>
      <c r="O208" s="20" t="s">
        <v>21</v>
      </c>
      <c r="P208" s="20">
        <f t="shared" si="19"/>
        <v>171</v>
      </c>
    </row>
  </sheetData>
  <autoFilter ref="A3:P208" xr:uid="{00000000-0009-0000-0000-000005000000}">
    <sortState xmlns:xlrd2="http://schemas.microsoft.com/office/spreadsheetml/2017/richdata2" ref="A4:P99">
      <sortCondition ref="P3:P99"/>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B119"/>
  <sheetViews>
    <sheetView topLeftCell="A43" workbookViewId="0">
      <selection activeCell="P1" sqref="P1"/>
    </sheetView>
  </sheetViews>
  <sheetFormatPr defaultRowHeight="15" x14ac:dyDescent="0.25"/>
  <cols>
    <col min="2" max="2" width="10.7109375" style="88" bestFit="1" customWidth="1"/>
    <col min="8" max="8" width="28.140625" customWidth="1"/>
    <col min="13" max="14" width="10.42578125" bestFit="1" customWidth="1"/>
    <col min="18" max="28" width="9.140625" style="60"/>
  </cols>
  <sheetData>
    <row r="1" spans="1:16" ht="15.75" thickBot="1" x14ac:dyDescent="0.3">
      <c r="A1" s="165" t="s">
        <v>0</v>
      </c>
      <c r="B1" s="169" t="s">
        <v>1</v>
      </c>
      <c r="C1" s="165" t="s">
        <v>2</v>
      </c>
      <c r="D1" s="167" t="s">
        <v>3</v>
      </c>
      <c r="E1" s="167" t="s">
        <v>4</v>
      </c>
      <c r="F1" s="167" t="s">
        <v>760</v>
      </c>
      <c r="G1" s="159" t="s">
        <v>6</v>
      </c>
      <c r="H1" s="161" t="s">
        <v>7</v>
      </c>
      <c r="I1" s="163" t="s">
        <v>8</v>
      </c>
      <c r="J1" s="164"/>
      <c r="K1" s="165" t="s">
        <v>9</v>
      </c>
      <c r="L1" s="165" t="s">
        <v>10</v>
      </c>
      <c r="M1" s="157" t="s">
        <v>98</v>
      </c>
      <c r="N1" s="157" t="s">
        <v>99</v>
      </c>
      <c r="O1" s="39" t="s">
        <v>100</v>
      </c>
      <c r="P1" s="152" t="s">
        <v>3991</v>
      </c>
    </row>
    <row r="2" spans="1:16" ht="15.75" thickBot="1" x14ac:dyDescent="0.3">
      <c r="A2" s="166"/>
      <c r="B2" s="170"/>
      <c r="C2" s="166"/>
      <c r="D2" s="171"/>
      <c r="E2" s="171"/>
      <c r="F2" s="168"/>
      <c r="G2" s="160"/>
      <c r="H2" s="162"/>
      <c r="I2" s="40" t="s">
        <v>13</v>
      </c>
      <c r="J2" s="41" t="s">
        <v>14</v>
      </c>
      <c r="K2" s="166"/>
      <c r="L2" s="166"/>
      <c r="M2" s="158"/>
      <c r="N2" s="158"/>
      <c r="O2" s="37" t="s">
        <v>100</v>
      </c>
      <c r="P2" s="37"/>
    </row>
    <row r="3" spans="1:16" x14ac:dyDescent="0.25">
      <c r="A3" s="42"/>
      <c r="B3" s="68"/>
      <c r="C3" s="42">
        <v>52</v>
      </c>
      <c r="D3" s="43">
        <v>1</v>
      </c>
      <c r="E3" s="43"/>
      <c r="F3" s="43"/>
      <c r="G3" s="58" t="s">
        <v>15</v>
      </c>
      <c r="H3" s="44"/>
      <c r="I3" s="44"/>
      <c r="J3" s="44"/>
      <c r="K3" s="42"/>
      <c r="L3" s="42"/>
      <c r="M3" s="66"/>
      <c r="N3" s="66"/>
      <c r="O3" s="37" t="s">
        <v>16</v>
      </c>
      <c r="P3" s="37" t="s">
        <v>17</v>
      </c>
    </row>
    <row r="4" spans="1:16" x14ac:dyDescent="0.25">
      <c r="A4" s="20" t="s">
        <v>18</v>
      </c>
      <c r="B4" s="63" t="s">
        <v>310</v>
      </c>
      <c r="C4" s="20">
        <f t="shared" ref="C4:C35" si="0">C3+D4</f>
        <v>53</v>
      </c>
      <c r="D4" s="20">
        <v>1</v>
      </c>
      <c r="E4" s="20"/>
      <c r="F4" s="20"/>
      <c r="G4" s="20" t="s">
        <v>91</v>
      </c>
      <c r="H4" s="20" t="s">
        <v>608</v>
      </c>
      <c r="I4" s="20">
        <v>131</v>
      </c>
      <c r="J4" s="20">
        <v>5113</v>
      </c>
      <c r="K4" s="20" t="s">
        <v>20</v>
      </c>
      <c r="L4" s="20">
        <v>1</v>
      </c>
      <c r="M4" s="34">
        <v>8602151</v>
      </c>
      <c r="N4" s="34">
        <f t="shared" ref="N4:N67" si="1">L4*M4</f>
        <v>8602151</v>
      </c>
      <c r="O4" s="20" t="s">
        <v>21</v>
      </c>
      <c r="P4" s="20">
        <v>1</v>
      </c>
    </row>
    <row r="5" spans="1:16" x14ac:dyDescent="0.25">
      <c r="A5" s="20" t="s">
        <v>18</v>
      </c>
      <c r="B5" s="63" t="s">
        <v>310</v>
      </c>
      <c r="C5" s="20">
        <f t="shared" si="0"/>
        <v>53</v>
      </c>
      <c r="D5" s="20">
        <v>0</v>
      </c>
      <c r="E5" s="20"/>
      <c r="F5" s="20"/>
      <c r="G5" s="20" t="s">
        <v>91</v>
      </c>
      <c r="H5" s="20" t="s">
        <v>626</v>
      </c>
      <c r="I5" s="20">
        <v>333821</v>
      </c>
      <c r="J5" s="20">
        <v>131</v>
      </c>
      <c r="K5" s="20" t="s">
        <v>20</v>
      </c>
      <c r="L5" s="20">
        <v>1</v>
      </c>
      <c r="M5" s="34">
        <v>86022</v>
      </c>
      <c r="N5" s="34">
        <f t="shared" si="1"/>
        <v>86022</v>
      </c>
      <c r="O5" s="20" t="s">
        <v>21</v>
      </c>
      <c r="P5" s="20">
        <f>P4+D5</f>
        <v>1</v>
      </c>
    </row>
    <row r="6" spans="1:16" x14ac:dyDescent="0.25">
      <c r="A6" s="20" t="s">
        <v>18</v>
      </c>
      <c r="B6" s="63" t="s">
        <v>445</v>
      </c>
      <c r="C6" s="20">
        <f t="shared" si="0"/>
        <v>54</v>
      </c>
      <c r="D6" s="20">
        <v>1</v>
      </c>
      <c r="E6" s="20"/>
      <c r="F6" s="20"/>
      <c r="G6" s="20" t="s">
        <v>59</v>
      </c>
      <c r="H6" s="20" t="s">
        <v>609</v>
      </c>
      <c r="I6" s="20">
        <v>131</v>
      </c>
      <c r="J6" s="20">
        <v>5113</v>
      </c>
      <c r="K6" s="20" t="s">
        <v>20</v>
      </c>
      <c r="L6" s="20">
        <v>1</v>
      </c>
      <c r="M6" s="34">
        <v>10752688</v>
      </c>
      <c r="N6" s="34">
        <f t="shared" si="1"/>
        <v>10752688</v>
      </c>
      <c r="O6" s="20" t="s">
        <v>21</v>
      </c>
      <c r="P6" s="20">
        <f t="shared" ref="P6:P69" si="2">P5+D6</f>
        <v>2</v>
      </c>
    </row>
    <row r="7" spans="1:16" x14ac:dyDescent="0.25">
      <c r="A7" s="20" t="s">
        <v>18</v>
      </c>
      <c r="B7" s="63" t="s">
        <v>445</v>
      </c>
      <c r="C7" s="20">
        <f t="shared" si="0"/>
        <v>54</v>
      </c>
      <c r="D7" s="20">
        <v>0</v>
      </c>
      <c r="E7" s="20"/>
      <c r="F7" s="20"/>
      <c r="G7" s="20" t="s">
        <v>59</v>
      </c>
      <c r="H7" s="20" t="s">
        <v>627</v>
      </c>
      <c r="I7" s="20">
        <v>333821</v>
      </c>
      <c r="J7" s="20">
        <v>131</v>
      </c>
      <c r="K7" s="20" t="s">
        <v>20</v>
      </c>
      <c r="L7" s="20">
        <v>1</v>
      </c>
      <c r="M7" s="34">
        <v>107527</v>
      </c>
      <c r="N7" s="34">
        <f t="shared" si="1"/>
        <v>107527</v>
      </c>
      <c r="O7" s="20" t="s">
        <v>21</v>
      </c>
      <c r="P7" s="20">
        <f t="shared" si="2"/>
        <v>2</v>
      </c>
    </row>
    <row r="8" spans="1:16" x14ac:dyDescent="0.25">
      <c r="A8" s="20" t="s">
        <v>18</v>
      </c>
      <c r="B8" s="63" t="s">
        <v>413</v>
      </c>
      <c r="C8" s="20">
        <f t="shared" si="0"/>
        <v>55</v>
      </c>
      <c r="D8" s="20">
        <v>1</v>
      </c>
      <c r="E8" s="20"/>
      <c r="F8" s="20"/>
      <c r="G8" s="20" t="s">
        <v>66</v>
      </c>
      <c r="H8" s="20" t="s">
        <v>610</v>
      </c>
      <c r="I8" s="20">
        <v>131</v>
      </c>
      <c r="J8" s="20">
        <v>5113</v>
      </c>
      <c r="K8" s="20" t="s">
        <v>20</v>
      </c>
      <c r="L8" s="20">
        <v>1</v>
      </c>
      <c r="M8" s="34">
        <v>9677419</v>
      </c>
      <c r="N8" s="34">
        <f t="shared" si="1"/>
        <v>9677419</v>
      </c>
      <c r="O8" s="20" t="s">
        <v>21</v>
      </c>
      <c r="P8" s="20">
        <f t="shared" si="2"/>
        <v>3</v>
      </c>
    </row>
    <row r="9" spans="1:16" x14ac:dyDescent="0.25">
      <c r="A9" s="20" t="s">
        <v>18</v>
      </c>
      <c r="B9" s="63" t="s">
        <v>413</v>
      </c>
      <c r="C9" s="20">
        <f t="shared" si="0"/>
        <v>55</v>
      </c>
      <c r="D9" s="20">
        <v>0</v>
      </c>
      <c r="E9" s="20"/>
      <c r="F9" s="20"/>
      <c r="G9" s="20" t="s">
        <v>66</v>
      </c>
      <c r="H9" s="20" t="s">
        <v>628</v>
      </c>
      <c r="I9" s="20">
        <v>333821</v>
      </c>
      <c r="J9" s="20">
        <v>131</v>
      </c>
      <c r="K9" s="20" t="s">
        <v>20</v>
      </c>
      <c r="L9" s="20">
        <v>1</v>
      </c>
      <c r="M9" s="34">
        <v>96774</v>
      </c>
      <c r="N9" s="34">
        <f t="shared" si="1"/>
        <v>96774</v>
      </c>
      <c r="O9" s="20" t="s">
        <v>21</v>
      </c>
      <c r="P9" s="20">
        <f t="shared" si="2"/>
        <v>3</v>
      </c>
    </row>
    <row r="10" spans="1:16" x14ac:dyDescent="0.25">
      <c r="A10" s="20" t="s">
        <v>18</v>
      </c>
      <c r="B10" s="63" t="s">
        <v>414</v>
      </c>
      <c r="C10" s="20">
        <f t="shared" si="0"/>
        <v>56</v>
      </c>
      <c r="D10" s="20">
        <v>1</v>
      </c>
      <c r="E10" s="20"/>
      <c r="F10" s="20"/>
      <c r="G10" s="20" t="s">
        <v>59</v>
      </c>
      <c r="H10" s="20" t="s">
        <v>611</v>
      </c>
      <c r="I10" s="20">
        <v>131</v>
      </c>
      <c r="J10" s="20">
        <v>5113</v>
      </c>
      <c r="K10" s="20" t="s">
        <v>20</v>
      </c>
      <c r="L10" s="20">
        <v>1</v>
      </c>
      <c r="M10" s="34">
        <v>8602150</v>
      </c>
      <c r="N10" s="34">
        <f t="shared" si="1"/>
        <v>8602150</v>
      </c>
      <c r="O10" s="20" t="s">
        <v>21</v>
      </c>
      <c r="P10" s="20">
        <f t="shared" si="2"/>
        <v>4</v>
      </c>
    </row>
    <row r="11" spans="1:16" x14ac:dyDescent="0.25">
      <c r="A11" s="20" t="s">
        <v>18</v>
      </c>
      <c r="B11" s="63" t="s">
        <v>414</v>
      </c>
      <c r="C11" s="20">
        <f t="shared" si="0"/>
        <v>56</v>
      </c>
      <c r="D11" s="20">
        <v>0</v>
      </c>
      <c r="E11" s="20"/>
      <c r="F11" s="20"/>
      <c r="G11" s="20" t="s">
        <v>59</v>
      </c>
      <c r="H11" s="20" t="s">
        <v>629</v>
      </c>
      <c r="I11" s="20">
        <v>333821</v>
      </c>
      <c r="J11" s="20">
        <v>131</v>
      </c>
      <c r="K11" s="20" t="s">
        <v>20</v>
      </c>
      <c r="L11" s="20">
        <v>1</v>
      </c>
      <c r="M11" s="34">
        <v>86021</v>
      </c>
      <c r="N11" s="34">
        <f t="shared" si="1"/>
        <v>86021</v>
      </c>
      <c r="O11" s="20" t="s">
        <v>21</v>
      </c>
      <c r="P11" s="20">
        <f t="shared" si="2"/>
        <v>4</v>
      </c>
    </row>
    <row r="12" spans="1:16" x14ac:dyDescent="0.25">
      <c r="A12" s="20" t="s">
        <v>18</v>
      </c>
      <c r="B12" s="63" t="s">
        <v>599</v>
      </c>
      <c r="C12" s="20">
        <f t="shared" si="0"/>
        <v>57</v>
      </c>
      <c r="D12" s="20">
        <v>1</v>
      </c>
      <c r="E12" s="20"/>
      <c r="F12" s="20"/>
      <c r="G12" s="20" t="s">
        <v>605</v>
      </c>
      <c r="H12" s="20" t="s">
        <v>612</v>
      </c>
      <c r="I12" s="20">
        <v>131</v>
      </c>
      <c r="J12" s="20">
        <v>5113</v>
      </c>
      <c r="K12" s="20" t="s">
        <v>20</v>
      </c>
      <c r="L12" s="20">
        <v>1</v>
      </c>
      <c r="M12" s="34">
        <v>14193548</v>
      </c>
      <c r="N12" s="34">
        <f t="shared" si="1"/>
        <v>14193548</v>
      </c>
      <c r="O12" s="20" t="s">
        <v>21</v>
      </c>
      <c r="P12" s="20">
        <f t="shared" si="2"/>
        <v>5</v>
      </c>
    </row>
    <row r="13" spans="1:16" x14ac:dyDescent="0.25">
      <c r="A13" s="20" t="s">
        <v>18</v>
      </c>
      <c r="B13" s="63" t="s">
        <v>599</v>
      </c>
      <c r="C13" s="20">
        <f t="shared" si="0"/>
        <v>57</v>
      </c>
      <c r="D13" s="20">
        <v>0</v>
      </c>
      <c r="E13" s="20"/>
      <c r="F13" s="20"/>
      <c r="G13" s="20" t="s">
        <v>605</v>
      </c>
      <c r="H13" s="20" t="s">
        <v>630</v>
      </c>
      <c r="I13" s="20">
        <v>333821</v>
      </c>
      <c r="J13" s="20">
        <v>131</v>
      </c>
      <c r="K13" s="20" t="s">
        <v>20</v>
      </c>
      <c r="L13" s="20">
        <v>1</v>
      </c>
      <c r="M13" s="34">
        <v>0</v>
      </c>
      <c r="N13" s="34">
        <f t="shared" si="1"/>
        <v>0</v>
      </c>
      <c r="O13" s="20" t="s">
        <v>21</v>
      </c>
      <c r="P13" s="20">
        <f t="shared" si="2"/>
        <v>5</v>
      </c>
    </row>
    <row r="14" spans="1:16" x14ac:dyDescent="0.25">
      <c r="A14" s="20" t="s">
        <v>18</v>
      </c>
      <c r="B14" s="63" t="s">
        <v>599</v>
      </c>
      <c r="C14" s="20">
        <f t="shared" si="0"/>
        <v>58</v>
      </c>
      <c r="D14" s="20">
        <v>1</v>
      </c>
      <c r="E14" s="20"/>
      <c r="F14" s="20"/>
      <c r="G14" s="20" t="s">
        <v>60</v>
      </c>
      <c r="H14" s="20" t="s">
        <v>613</v>
      </c>
      <c r="I14" s="20">
        <v>131</v>
      </c>
      <c r="J14" s="20">
        <v>5113</v>
      </c>
      <c r="K14" s="20" t="s">
        <v>20</v>
      </c>
      <c r="L14" s="20">
        <v>1</v>
      </c>
      <c r="M14" s="34">
        <v>8602151</v>
      </c>
      <c r="N14" s="34">
        <f t="shared" si="1"/>
        <v>8602151</v>
      </c>
      <c r="O14" s="20" t="s">
        <v>21</v>
      </c>
      <c r="P14" s="20">
        <f t="shared" si="2"/>
        <v>6</v>
      </c>
    </row>
    <row r="15" spans="1:16" x14ac:dyDescent="0.25">
      <c r="A15" s="20" t="s">
        <v>18</v>
      </c>
      <c r="B15" s="63" t="s">
        <v>599</v>
      </c>
      <c r="C15" s="20">
        <f t="shared" si="0"/>
        <v>58</v>
      </c>
      <c r="D15" s="20">
        <v>0</v>
      </c>
      <c r="E15" s="20"/>
      <c r="F15" s="20"/>
      <c r="G15" s="20" t="s">
        <v>60</v>
      </c>
      <c r="H15" s="20" t="s">
        <v>631</v>
      </c>
      <c r="I15" s="20">
        <v>333821</v>
      </c>
      <c r="J15" s="20">
        <v>131</v>
      </c>
      <c r="K15" s="20" t="s">
        <v>20</v>
      </c>
      <c r="L15" s="20">
        <v>1</v>
      </c>
      <c r="M15" s="34">
        <v>86022</v>
      </c>
      <c r="N15" s="34">
        <f t="shared" si="1"/>
        <v>86022</v>
      </c>
      <c r="O15" s="20" t="s">
        <v>21</v>
      </c>
      <c r="P15" s="20">
        <f t="shared" si="2"/>
        <v>6</v>
      </c>
    </row>
    <row r="16" spans="1:16" x14ac:dyDescent="0.25">
      <c r="A16" s="20" t="s">
        <v>18</v>
      </c>
      <c r="B16" s="63" t="s">
        <v>600</v>
      </c>
      <c r="C16" s="20">
        <f t="shared" si="0"/>
        <v>59</v>
      </c>
      <c r="D16" s="20">
        <v>1</v>
      </c>
      <c r="E16" s="20"/>
      <c r="F16" s="20"/>
      <c r="G16" s="20" t="s">
        <v>606</v>
      </c>
      <c r="H16" s="20" t="s">
        <v>614</v>
      </c>
      <c r="I16" s="20">
        <v>131</v>
      </c>
      <c r="J16" s="20">
        <v>5113</v>
      </c>
      <c r="K16" s="20" t="s">
        <v>20</v>
      </c>
      <c r="L16" s="20">
        <v>1</v>
      </c>
      <c r="M16" s="34">
        <v>9090909</v>
      </c>
      <c r="N16" s="34">
        <f t="shared" si="1"/>
        <v>9090909</v>
      </c>
      <c r="O16" s="20" t="s">
        <v>21</v>
      </c>
      <c r="P16" s="20">
        <f t="shared" si="2"/>
        <v>7</v>
      </c>
    </row>
    <row r="17" spans="1:16" x14ac:dyDescent="0.25">
      <c r="A17" s="20" t="s">
        <v>18</v>
      </c>
      <c r="B17" s="63" t="s">
        <v>600</v>
      </c>
      <c r="C17" s="20">
        <f t="shared" si="0"/>
        <v>59</v>
      </c>
      <c r="D17" s="20">
        <v>0</v>
      </c>
      <c r="E17" s="20"/>
      <c r="F17" s="20"/>
      <c r="G17" s="20" t="s">
        <v>606</v>
      </c>
      <c r="H17" s="20" t="s">
        <v>632</v>
      </c>
      <c r="I17" s="20">
        <v>333821</v>
      </c>
      <c r="J17" s="20">
        <v>131</v>
      </c>
      <c r="K17" s="20" t="s">
        <v>20</v>
      </c>
      <c r="L17" s="20">
        <v>1</v>
      </c>
      <c r="M17" s="34">
        <v>90909</v>
      </c>
      <c r="N17" s="34">
        <f t="shared" si="1"/>
        <v>90909</v>
      </c>
      <c r="O17" s="20" t="s">
        <v>21</v>
      </c>
      <c r="P17" s="20">
        <f t="shared" si="2"/>
        <v>7</v>
      </c>
    </row>
    <row r="18" spans="1:16" x14ac:dyDescent="0.25">
      <c r="A18" s="20" t="s">
        <v>18</v>
      </c>
      <c r="B18" s="63" t="s">
        <v>378</v>
      </c>
      <c r="C18" s="20">
        <f t="shared" si="0"/>
        <v>60</v>
      </c>
      <c r="D18" s="20">
        <v>1</v>
      </c>
      <c r="E18" s="20"/>
      <c r="F18" s="20"/>
      <c r="G18" s="20" t="s">
        <v>110</v>
      </c>
      <c r="H18" s="20" t="s">
        <v>615</v>
      </c>
      <c r="I18" s="20">
        <v>131</v>
      </c>
      <c r="J18" s="20">
        <v>5113</v>
      </c>
      <c r="K18" s="20" t="s">
        <v>20</v>
      </c>
      <c r="L18" s="20">
        <v>1</v>
      </c>
      <c r="M18" s="34">
        <v>9677419</v>
      </c>
      <c r="N18" s="34">
        <f t="shared" si="1"/>
        <v>9677419</v>
      </c>
      <c r="O18" s="20" t="s">
        <v>21</v>
      </c>
      <c r="P18" s="20">
        <f t="shared" si="2"/>
        <v>8</v>
      </c>
    </row>
    <row r="19" spans="1:16" x14ac:dyDescent="0.25">
      <c r="A19" s="20" t="s">
        <v>18</v>
      </c>
      <c r="B19" s="63" t="s">
        <v>378</v>
      </c>
      <c r="C19" s="20">
        <f t="shared" si="0"/>
        <v>60</v>
      </c>
      <c r="D19" s="20">
        <v>0</v>
      </c>
      <c r="E19" s="20"/>
      <c r="F19" s="20"/>
      <c r="G19" s="20" t="s">
        <v>110</v>
      </c>
      <c r="H19" s="20" t="s">
        <v>633</v>
      </c>
      <c r="I19" s="20">
        <v>333821</v>
      </c>
      <c r="J19" s="20">
        <v>131</v>
      </c>
      <c r="K19" s="20" t="s">
        <v>20</v>
      </c>
      <c r="L19" s="20">
        <v>1</v>
      </c>
      <c r="M19" s="34">
        <v>96774</v>
      </c>
      <c r="N19" s="34">
        <f t="shared" si="1"/>
        <v>96774</v>
      </c>
      <c r="O19" s="20" t="s">
        <v>21</v>
      </c>
      <c r="P19" s="20">
        <f t="shared" si="2"/>
        <v>8</v>
      </c>
    </row>
    <row r="20" spans="1:16" x14ac:dyDescent="0.25">
      <c r="A20" s="20" t="s">
        <v>18</v>
      </c>
      <c r="B20" s="63" t="s">
        <v>418</v>
      </c>
      <c r="C20" s="20">
        <f t="shared" si="0"/>
        <v>61</v>
      </c>
      <c r="D20" s="20">
        <v>1</v>
      </c>
      <c r="E20" s="20"/>
      <c r="F20" s="20"/>
      <c r="G20" s="20" t="s">
        <v>607</v>
      </c>
      <c r="H20" s="20" t="s">
        <v>616</v>
      </c>
      <c r="I20" s="20">
        <v>131</v>
      </c>
      <c r="J20" s="20">
        <v>5113</v>
      </c>
      <c r="K20" s="20" t="s">
        <v>20</v>
      </c>
      <c r="L20" s="20">
        <v>1</v>
      </c>
      <c r="M20" s="34">
        <v>8602151</v>
      </c>
      <c r="N20" s="34">
        <f t="shared" si="1"/>
        <v>8602151</v>
      </c>
      <c r="O20" s="20" t="s">
        <v>21</v>
      </c>
      <c r="P20" s="20">
        <f t="shared" si="2"/>
        <v>9</v>
      </c>
    </row>
    <row r="21" spans="1:16" x14ac:dyDescent="0.25">
      <c r="A21" s="20" t="s">
        <v>18</v>
      </c>
      <c r="B21" s="63" t="s">
        <v>418</v>
      </c>
      <c r="C21" s="20">
        <f t="shared" si="0"/>
        <v>61</v>
      </c>
      <c r="D21" s="20">
        <v>0</v>
      </c>
      <c r="E21" s="20"/>
      <c r="F21" s="20"/>
      <c r="G21" s="20" t="s">
        <v>607</v>
      </c>
      <c r="H21" s="20" t="s">
        <v>634</v>
      </c>
      <c r="I21" s="20">
        <v>333821</v>
      </c>
      <c r="J21" s="20">
        <v>131</v>
      </c>
      <c r="K21" s="20" t="s">
        <v>20</v>
      </c>
      <c r="L21" s="20">
        <v>1</v>
      </c>
      <c r="M21" s="34">
        <v>86022</v>
      </c>
      <c r="N21" s="34">
        <f t="shared" si="1"/>
        <v>86022</v>
      </c>
      <c r="O21" s="20" t="s">
        <v>21</v>
      </c>
      <c r="P21" s="20">
        <f t="shared" si="2"/>
        <v>9</v>
      </c>
    </row>
    <row r="22" spans="1:16" x14ac:dyDescent="0.25">
      <c r="A22" s="20" t="s">
        <v>18</v>
      </c>
      <c r="B22" s="63" t="s">
        <v>418</v>
      </c>
      <c r="C22" s="20">
        <f t="shared" si="0"/>
        <v>62</v>
      </c>
      <c r="D22" s="20">
        <v>1</v>
      </c>
      <c r="E22" s="20"/>
      <c r="F22" s="20"/>
      <c r="G22" s="20" t="s">
        <v>91</v>
      </c>
      <c r="H22" s="20" t="s">
        <v>617</v>
      </c>
      <c r="I22" s="20">
        <v>131</v>
      </c>
      <c r="J22" s="20">
        <v>5113</v>
      </c>
      <c r="K22" s="20" t="s">
        <v>20</v>
      </c>
      <c r="L22" s="20">
        <v>1</v>
      </c>
      <c r="M22" s="34">
        <v>8602151</v>
      </c>
      <c r="N22" s="34">
        <f t="shared" si="1"/>
        <v>8602151</v>
      </c>
      <c r="O22" s="20" t="s">
        <v>21</v>
      </c>
      <c r="P22" s="20">
        <f t="shared" si="2"/>
        <v>10</v>
      </c>
    </row>
    <row r="23" spans="1:16" x14ac:dyDescent="0.25">
      <c r="A23" s="20" t="s">
        <v>18</v>
      </c>
      <c r="B23" s="63" t="s">
        <v>418</v>
      </c>
      <c r="C23" s="20">
        <f t="shared" si="0"/>
        <v>62</v>
      </c>
      <c r="D23" s="20">
        <v>0</v>
      </c>
      <c r="E23" s="20"/>
      <c r="F23" s="20"/>
      <c r="G23" s="20" t="s">
        <v>91</v>
      </c>
      <c r="H23" s="20" t="s">
        <v>635</v>
      </c>
      <c r="I23" s="20">
        <v>333821</v>
      </c>
      <c r="J23" s="20">
        <v>131</v>
      </c>
      <c r="K23" s="20" t="s">
        <v>20</v>
      </c>
      <c r="L23" s="20">
        <v>1</v>
      </c>
      <c r="M23" s="34">
        <v>86022</v>
      </c>
      <c r="N23" s="34">
        <f t="shared" si="1"/>
        <v>86022</v>
      </c>
      <c r="O23" s="20" t="s">
        <v>21</v>
      </c>
      <c r="P23" s="20">
        <f t="shared" si="2"/>
        <v>10</v>
      </c>
    </row>
    <row r="24" spans="1:16" x14ac:dyDescent="0.25">
      <c r="A24" s="20" t="s">
        <v>18</v>
      </c>
      <c r="B24" s="63" t="s">
        <v>601</v>
      </c>
      <c r="C24" s="20">
        <f t="shared" si="0"/>
        <v>63</v>
      </c>
      <c r="D24" s="20">
        <v>1</v>
      </c>
      <c r="E24" s="20"/>
      <c r="F24" s="20"/>
      <c r="G24" s="20" t="s">
        <v>88</v>
      </c>
      <c r="H24" s="20" t="s">
        <v>618</v>
      </c>
      <c r="I24" s="20">
        <v>131</v>
      </c>
      <c r="J24" s="20">
        <v>5113</v>
      </c>
      <c r="K24" s="20" t="s">
        <v>20</v>
      </c>
      <c r="L24" s="20">
        <v>1</v>
      </c>
      <c r="M24" s="34">
        <v>7526882</v>
      </c>
      <c r="N24" s="34">
        <f t="shared" si="1"/>
        <v>7526882</v>
      </c>
      <c r="O24" s="20" t="s">
        <v>21</v>
      </c>
      <c r="P24" s="20">
        <f t="shared" si="2"/>
        <v>11</v>
      </c>
    </row>
    <row r="25" spans="1:16" x14ac:dyDescent="0.25">
      <c r="A25" s="20" t="s">
        <v>18</v>
      </c>
      <c r="B25" s="63" t="s">
        <v>601</v>
      </c>
      <c r="C25" s="20">
        <f t="shared" si="0"/>
        <v>63</v>
      </c>
      <c r="D25" s="20">
        <v>0</v>
      </c>
      <c r="E25" s="20"/>
      <c r="F25" s="20"/>
      <c r="G25" s="20" t="s">
        <v>88</v>
      </c>
      <c r="H25" s="20" t="s">
        <v>636</v>
      </c>
      <c r="I25" s="20">
        <v>333821</v>
      </c>
      <c r="J25" s="20">
        <v>131</v>
      </c>
      <c r="K25" s="20" t="s">
        <v>20</v>
      </c>
      <c r="L25" s="20">
        <v>1</v>
      </c>
      <c r="M25" s="34">
        <v>75269</v>
      </c>
      <c r="N25" s="34">
        <f t="shared" si="1"/>
        <v>75269</v>
      </c>
      <c r="O25" s="20" t="s">
        <v>21</v>
      </c>
      <c r="P25" s="20">
        <f t="shared" si="2"/>
        <v>11</v>
      </c>
    </row>
    <row r="26" spans="1:16" x14ac:dyDescent="0.25">
      <c r="A26" s="20" t="s">
        <v>18</v>
      </c>
      <c r="B26" s="63" t="s">
        <v>602</v>
      </c>
      <c r="C26" s="20">
        <f t="shared" si="0"/>
        <v>64</v>
      </c>
      <c r="D26" s="20">
        <v>1</v>
      </c>
      <c r="E26" s="20"/>
      <c r="F26" s="20"/>
      <c r="G26" s="20" t="s">
        <v>60</v>
      </c>
      <c r="H26" s="20" t="s">
        <v>619</v>
      </c>
      <c r="I26" s="20">
        <v>131</v>
      </c>
      <c r="J26" s="20">
        <v>5113</v>
      </c>
      <c r="K26" s="20" t="s">
        <v>20</v>
      </c>
      <c r="L26" s="20">
        <v>1</v>
      </c>
      <c r="M26" s="34">
        <v>8602151</v>
      </c>
      <c r="N26" s="34">
        <f t="shared" si="1"/>
        <v>8602151</v>
      </c>
      <c r="O26" s="20" t="s">
        <v>21</v>
      </c>
      <c r="P26" s="20">
        <f t="shared" si="2"/>
        <v>12</v>
      </c>
    </row>
    <row r="27" spans="1:16" x14ac:dyDescent="0.25">
      <c r="A27" s="20" t="s">
        <v>18</v>
      </c>
      <c r="B27" s="63" t="s">
        <v>602</v>
      </c>
      <c r="C27" s="20">
        <f t="shared" si="0"/>
        <v>64</v>
      </c>
      <c r="D27" s="20">
        <v>0</v>
      </c>
      <c r="E27" s="20"/>
      <c r="F27" s="20"/>
      <c r="G27" s="20" t="s">
        <v>60</v>
      </c>
      <c r="H27" s="20" t="s">
        <v>637</v>
      </c>
      <c r="I27" s="20">
        <v>333821</v>
      </c>
      <c r="J27" s="20">
        <v>131</v>
      </c>
      <c r="K27" s="20" t="s">
        <v>20</v>
      </c>
      <c r="L27" s="20">
        <v>1</v>
      </c>
      <c r="M27" s="34">
        <v>86022</v>
      </c>
      <c r="N27" s="34">
        <f t="shared" si="1"/>
        <v>86022</v>
      </c>
      <c r="O27" s="20" t="s">
        <v>21</v>
      </c>
      <c r="P27" s="20">
        <f t="shared" si="2"/>
        <v>12</v>
      </c>
    </row>
    <row r="28" spans="1:16" x14ac:dyDescent="0.25">
      <c r="A28" s="20" t="s">
        <v>18</v>
      </c>
      <c r="B28" s="63" t="s">
        <v>602</v>
      </c>
      <c r="C28" s="20">
        <f t="shared" si="0"/>
        <v>65</v>
      </c>
      <c r="D28" s="20">
        <v>1</v>
      </c>
      <c r="E28" s="20"/>
      <c r="F28" s="20"/>
      <c r="G28" s="20" t="s">
        <v>26</v>
      </c>
      <c r="H28" s="20" t="s">
        <v>620</v>
      </c>
      <c r="I28" s="20">
        <v>131</v>
      </c>
      <c r="J28" s="20">
        <v>5113</v>
      </c>
      <c r="K28" s="20" t="s">
        <v>20</v>
      </c>
      <c r="L28" s="20">
        <v>1</v>
      </c>
      <c r="M28" s="34">
        <v>9677419</v>
      </c>
      <c r="N28" s="34">
        <f t="shared" si="1"/>
        <v>9677419</v>
      </c>
      <c r="O28" s="20" t="s">
        <v>21</v>
      </c>
      <c r="P28" s="20">
        <f t="shared" si="2"/>
        <v>13</v>
      </c>
    </row>
    <row r="29" spans="1:16" x14ac:dyDescent="0.25">
      <c r="A29" s="20" t="s">
        <v>18</v>
      </c>
      <c r="B29" s="63" t="s">
        <v>602</v>
      </c>
      <c r="C29" s="20">
        <f t="shared" si="0"/>
        <v>65</v>
      </c>
      <c r="D29" s="20">
        <v>0</v>
      </c>
      <c r="E29" s="20"/>
      <c r="F29" s="20"/>
      <c r="G29" s="20" t="s">
        <v>26</v>
      </c>
      <c r="H29" s="20" t="s">
        <v>638</v>
      </c>
      <c r="I29" s="20">
        <v>333821</v>
      </c>
      <c r="J29" s="20">
        <v>131</v>
      </c>
      <c r="K29" s="20" t="s">
        <v>20</v>
      </c>
      <c r="L29" s="20">
        <v>1</v>
      </c>
      <c r="M29" s="34">
        <v>96774</v>
      </c>
      <c r="N29" s="34">
        <f t="shared" si="1"/>
        <v>96774</v>
      </c>
      <c r="O29" s="20" t="s">
        <v>21</v>
      </c>
      <c r="P29" s="20">
        <f t="shared" si="2"/>
        <v>13</v>
      </c>
    </row>
    <row r="30" spans="1:16" x14ac:dyDescent="0.25">
      <c r="A30" s="20" t="s">
        <v>18</v>
      </c>
      <c r="B30" s="63" t="s">
        <v>603</v>
      </c>
      <c r="C30" s="20">
        <f t="shared" si="0"/>
        <v>66</v>
      </c>
      <c r="D30" s="20">
        <v>1</v>
      </c>
      <c r="E30" s="20"/>
      <c r="F30" s="20"/>
      <c r="G30" s="20" t="s">
        <v>606</v>
      </c>
      <c r="H30" s="20" t="s">
        <v>621</v>
      </c>
      <c r="I30" s="20">
        <v>131</v>
      </c>
      <c r="J30" s="20">
        <v>5113</v>
      </c>
      <c r="K30" s="20" t="s">
        <v>20</v>
      </c>
      <c r="L30" s="20">
        <v>1</v>
      </c>
      <c r="M30" s="34">
        <v>9090909</v>
      </c>
      <c r="N30" s="34">
        <f t="shared" si="1"/>
        <v>9090909</v>
      </c>
      <c r="O30" s="20" t="s">
        <v>21</v>
      </c>
      <c r="P30" s="20">
        <f t="shared" si="2"/>
        <v>14</v>
      </c>
    </row>
    <row r="31" spans="1:16" x14ac:dyDescent="0.25">
      <c r="A31" s="20" t="s">
        <v>18</v>
      </c>
      <c r="B31" s="63" t="s">
        <v>603</v>
      </c>
      <c r="C31" s="20">
        <f t="shared" si="0"/>
        <v>66</v>
      </c>
      <c r="D31" s="20">
        <v>0</v>
      </c>
      <c r="E31" s="20"/>
      <c r="F31" s="20"/>
      <c r="G31" s="20" t="s">
        <v>606</v>
      </c>
      <c r="H31" s="20" t="s">
        <v>639</v>
      </c>
      <c r="I31" s="20">
        <v>333821</v>
      </c>
      <c r="J31" s="20">
        <v>131</v>
      </c>
      <c r="K31" s="20" t="s">
        <v>20</v>
      </c>
      <c r="L31" s="20">
        <v>1</v>
      </c>
      <c r="M31" s="34">
        <v>90909</v>
      </c>
      <c r="N31" s="34">
        <f t="shared" si="1"/>
        <v>90909</v>
      </c>
      <c r="O31" s="20" t="s">
        <v>21</v>
      </c>
      <c r="P31" s="20">
        <f t="shared" si="2"/>
        <v>14</v>
      </c>
    </row>
    <row r="32" spans="1:16" x14ac:dyDescent="0.25">
      <c r="A32" s="20" t="s">
        <v>18</v>
      </c>
      <c r="B32" s="63" t="s">
        <v>603</v>
      </c>
      <c r="C32" s="20">
        <f t="shared" si="0"/>
        <v>67</v>
      </c>
      <c r="D32" s="20">
        <v>1</v>
      </c>
      <c r="E32" s="20"/>
      <c r="F32" s="20"/>
      <c r="G32" s="20" t="s">
        <v>605</v>
      </c>
      <c r="H32" s="20" t="s">
        <v>622</v>
      </c>
      <c r="I32" s="20">
        <v>131</v>
      </c>
      <c r="J32" s="20">
        <v>5113</v>
      </c>
      <c r="K32" s="20" t="s">
        <v>20</v>
      </c>
      <c r="L32" s="20">
        <v>1</v>
      </c>
      <c r="M32" s="34">
        <v>7070707</v>
      </c>
      <c r="N32" s="34">
        <f t="shared" si="1"/>
        <v>7070707</v>
      </c>
      <c r="O32" s="20" t="s">
        <v>21</v>
      </c>
      <c r="P32" s="20">
        <f t="shared" si="2"/>
        <v>15</v>
      </c>
    </row>
    <row r="33" spans="1:16" x14ac:dyDescent="0.25">
      <c r="A33" s="20" t="s">
        <v>18</v>
      </c>
      <c r="B33" s="63" t="s">
        <v>603</v>
      </c>
      <c r="C33" s="20">
        <f t="shared" si="0"/>
        <v>67</v>
      </c>
      <c r="D33" s="20">
        <v>0</v>
      </c>
      <c r="E33" s="20"/>
      <c r="F33" s="20"/>
      <c r="G33" s="20" t="s">
        <v>605</v>
      </c>
      <c r="H33" s="20" t="s">
        <v>640</v>
      </c>
      <c r="I33" s="20">
        <v>333821</v>
      </c>
      <c r="J33" s="20">
        <v>131</v>
      </c>
      <c r="K33" s="20" t="s">
        <v>20</v>
      </c>
      <c r="L33" s="20">
        <v>1</v>
      </c>
      <c r="M33" s="34">
        <v>70707</v>
      </c>
      <c r="N33" s="34">
        <f t="shared" si="1"/>
        <v>70707</v>
      </c>
      <c r="O33" s="20" t="s">
        <v>21</v>
      </c>
      <c r="P33" s="20">
        <f t="shared" si="2"/>
        <v>15</v>
      </c>
    </row>
    <row r="34" spans="1:16" x14ac:dyDescent="0.25">
      <c r="A34" s="20" t="s">
        <v>18</v>
      </c>
      <c r="B34" s="63" t="s">
        <v>383</v>
      </c>
      <c r="C34" s="20">
        <f t="shared" si="0"/>
        <v>68</v>
      </c>
      <c r="D34" s="20">
        <v>1</v>
      </c>
      <c r="E34" s="20"/>
      <c r="F34" s="20"/>
      <c r="G34" s="20" t="s">
        <v>105</v>
      </c>
      <c r="H34" s="20" t="s">
        <v>623</v>
      </c>
      <c r="I34" s="20">
        <v>131</v>
      </c>
      <c r="J34" s="20">
        <v>5113</v>
      </c>
      <c r="K34" s="20" t="s">
        <v>20</v>
      </c>
      <c r="L34" s="20">
        <v>1</v>
      </c>
      <c r="M34" s="34">
        <v>11827957</v>
      </c>
      <c r="N34" s="34">
        <f t="shared" si="1"/>
        <v>11827957</v>
      </c>
      <c r="O34" s="20" t="s">
        <v>21</v>
      </c>
      <c r="P34" s="20">
        <f t="shared" si="2"/>
        <v>16</v>
      </c>
    </row>
    <row r="35" spans="1:16" x14ac:dyDescent="0.25">
      <c r="A35" s="20" t="s">
        <v>18</v>
      </c>
      <c r="B35" s="63" t="s">
        <v>383</v>
      </c>
      <c r="C35" s="20">
        <f t="shared" si="0"/>
        <v>68</v>
      </c>
      <c r="D35" s="20">
        <v>0</v>
      </c>
      <c r="E35" s="20"/>
      <c r="F35" s="20"/>
      <c r="G35" s="20" t="s">
        <v>105</v>
      </c>
      <c r="H35" s="20" t="s">
        <v>641</v>
      </c>
      <c r="I35" s="20">
        <v>333821</v>
      </c>
      <c r="J35" s="20">
        <v>131</v>
      </c>
      <c r="K35" s="20" t="s">
        <v>20</v>
      </c>
      <c r="L35" s="20">
        <v>1</v>
      </c>
      <c r="M35" s="34">
        <v>118280</v>
      </c>
      <c r="N35" s="34">
        <f t="shared" si="1"/>
        <v>118280</v>
      </c>
      <c r="O35" s="20" t="s">
        <v>21</v>
      </c>
      <c r="P35" s="20">
        <f t="shared" si="2"/>
        <v>16</v>
      </c>
    </row>
    <row r="36" spans="1:16" x14ac:dyDescent="0.25">
      <c r="A36" s="20" t="s">
        <v>18</v>
      </c>
      <c r="B36" s="63" t="s">
        <v>457</v>
      </c>
      <c r="C36" s="20">
        <f t="shared" ref="C36:C100" si="3">C35+D36</f>
        <v>69</v>
      </c>
      <c r="D36" s="20">
        <v>1</v>
      </c>
      <c r="E36" s="20"/>
      <c r="F36" s="20"/>
      <c r="G36" s="20" t="s">
        <v>105</v>
      </c>
      <c r="H36" s="20" t="s">
        <v>624</v>
      </c>
      <c r="I36" s="20">
        <v>131</v>
      </c>
      <c r="J36" s="20">
        <v>5113</v>
      </c>
      <c r="K36" s="20" t="s">
        <v>20</v>
      </c>
      <c r="L36" s="20">
        <v>1</v>
      </c>
      <c r="M36" s="34">
        <v>11827957</v>
      </c>
      <c r="N36" s="34">
        <f t="shared" si="1"/>
        <v>11827957</v>
      </c>
      <c r="O36" s="20" t="s">
        <v>21</v>
      </c>
      <c r="P36" s="20">
        <f t="shared" si="2"/>
        <v>17</v>
      </c>
    </row>
    <row r="37" spans="1:16" x14ac:dyDescent="0.25">
      <c r="A37" s="20" t="s">
        <v>18</v>
      </c>
      <c r="B37" s="63" t="s">
        <v>457</v>
      </c>
      <c r="C37" s="20">
        <f t="shared" si="3"/>
        <v>69</v>
      </c>
      <c r="D37" s="20">
        <v>0</v>
      </c>
      <c r="E37" s="20"/>
      <c r="F37" s="20"/>
      <c r="G37" s="20" t="s">
        <v>105</v>
      </c>
      <c r="H37" s="20" t="s">
        <v>642</v>
      </c>
      <c r="I37" s="20">
        <v>333821</v>
      </c>
      <c r="J37" s="20">
        <v>131</v>
      </c>
      <c r="K37" s="20" t="s">
        <v>20</v>
      </c>
      <c r="L37" s="20">
        <v>1</v>
      </c>
      <c r="M37" s="34">
        <v>118280</v>
      </c>
      <c r="N37" s="34">
        <f t="shared" si="1"/>
        <v>118280</v>
      </c>
      <c r="O37" s="20" t="s">
        <v>21</v>
      </c>
      <c r="P37" s="20">
        <f t="shared" si="2"/>
        <v>17</v>
      </c>
    </row>
    <row r="38" spans="1:16" x14ac:dyDescent="0.25">
      <c r="A38" s="20" t="s">
        <v>18</v>
      </c>
      <c r="B38" s="63" t="s">
        <v>604</v>
      </c>
      <c r="C38" s="20">
        <f t="shared" si="3"/>
        <v>70</v>
      </c>
      <c r="D38" s="20">
        <v>1</v>
      </c>
      <c r="E38" s="20"/>
      <c r="F38" s="20"/>
      <c r="G38" s="20" t="s">
        <v>97</v>
      </c>
      <c r="H38" s="20" t="s">
        <v>625</v>
      </c>
      <c r="I38" s="20">
        <v>131</v>
      </c>
      <c r="J38" s="20">
        <v>5113</v>
      </c>
      <c r="K38" s="20" t="s">
        <v>20</v>
      </c>
      <c r="L38" s="20">
        <v>1</v>
      </c>
      <c r="M38" s="34">
        <v>8602151</v>
      </c>
      <c r="N38" s="34">
        <f t="shared" si="1"/>
        <v>8602151</v>
      </c>
      <c r="O38" s="20" t="s">
        <v>21</v>
      </c>
      <c r="P38" s="20">
        <f t="shared" si="2"/>
        <v>18</v>
      </c>
    </row>
    <row r="39" spans="1:16" x14ac:dyDescent="0.25">
      <c r="A39" s="20" t="s">
        <v>18</v>
      </c>
      <c r="B39" s="63" t="s">
        <v>604</v>
      </c>
      <c r="C39" s="20">
        <f t="shared" si="3"/>
        <v>70</v>
      </c>
      <c r="D39" s="20">
        <v>0</v>
      </c>
      <c r="E39" s="20"/>
      <c r="F39" s="20"/>
      <c r="G39" s="20" t="s">
        <v>97</v>
      </c>
      <c r="H39" s="20" t="s">
        <v>643</v>
      </c>
      <c r="I39" s="20">
        <v>333821</v>
      </c>
      <c r="J39" s="20">
        <v>131</v>
      </c>
      <c r="K39" s="20" t="s">
        <v>20</v>
      </c>
      <c r="L39" s="20">
        <v>1</v>
      </c>
      <c r="M39" s="34">
        <v>86022</v>
      </c>
      <c r="N39" s="34">
        <f t="shared" si="1"/>
        <v>86022</v>
      </c>
      <c r="O39" s="20" t="s">
        <v>21</v>
      </c>
      <c r="P39" s="20">
        <f t="shared" si="2"/>
        <v>18</v>
      </c>
    </row>
    <row r="40" spans="1:16" x14ac:dyDescent="0.25">
      <c r="A40" s="20" t="s">
        <v>18</v>
      </c>
      <c r="B40" s="63" t="s">
        <v>310</v>
      </c>
      <c r="C40" s="20">
        <f t="shared" si="3"/>
        <v>71</v>
      </c>
      <c r="D40" s="20">
        <v>1</v>
      </c>
      <c r="E40" s="20"/>
      <c r="F40" s="20"/>
      <c r="G40" s="20" t="s">
        <v>277</v>
      </c>
      <c r="H40" s="20" t="s">
        <v>647</v>
      </c>
      <c r="I40" s="20">
        <v>6425</v>
      </c>
      <c r="J40" s="20">
        <v>331</v>
      </c>
      <c r="K40" s="20" t="s">
        <v>20</v>
      </c>
      <c r="L40" s="20">
        <v>1</v>
      </c>
      <c r="M40" s="34">
        <v>140378</v>
      </c>
      <c r="N40" s="34">
        <f t="shared" si="1"/>
        <v>140378</v>
      </c>
      <c r="O40" s="20" t="s">
        <v>21</v>
      </c>
      <c r="P40" s="20">
        <f t="shared" si="2"/>
        <v>19</v>
      </c>
    </row>
    <row r="41" spans="1:16" x14ac:dyDescent="0.25">
      <c r="A41" s="20" t="s">
        <v>18</v>
      </c>
      <c r="B41" s="63" t="s">
        <v>310</v>
      </c>
      <c r="C41" s="20">
        <f t="shared" si="3"/>
        <v>72</v>
      </c>
      <c r="D41" s="20">
        <v>1</v>
      </c>
      <c r="E41" s="20"/>
      <c r="F41" s="20"/>
      <c r="G41" s="14" t="s">
        <v>277</v>
      </c>
      <c r="H41" s="12" t="s">
        <v>649</v>
      </c>
      <c r="I41" s="20">
        <v>6425</v>
      </c>
      <c r="J41" s="20">
        <v>331</v>
      </c>
      <c r="K41" s="20" t="s">
        <v>20</v>
      </c>
      <c r="L41" s="20">
        <v>1</v>
      </c>
      <c r="M41" s="34">
        <v>261584</v>
      </c>
      <c r="N41" s="34">
        <f t="shared" si="1"/>
        <v>261584</v>
      </c>
      <c r="O41" s="20" t="s">
        <v>21</v>
      </c>
      <c r="P41" s="20">
        <f t="shared" si="2"/>
        <v>20</v>
      </c>
    </row>
    <row r="42" spans="1:16" x14ac:dyDescent="0.25">
      <c r="A42" s="20" t="s">
        <v>18</v>
      </c>
      <c r="B42" s="63" t="s">
        <v>468</v>
      </c>
      <c r="C42" s="20">
        <f t="shared" si="3"/>
        <v>73</v>
      </c>
      <c r="D42" s="20">
        <v>1</v>
      </c>
      <c r="E42" s="20"/>
      <c r="F42" s="20"/>
      <c r="G42" s="14" t="s">
        <v>277</v>
      </c>
      <c r="H42" s="20" t="s">
        <v>650</v>
      </c>
      <c r="I42" s="20">
        <v>6425</v>
      </c>
      <c r="J42" s="20">
        <v>331</v>
      </c>
      <c r="K42" s="20" t="s">
        <v>20</v>
      </c>
      <c r="L42" s="20">
        <v>1</v>
      </c>
      <c r="M42" s="34">
        <v>4921</v>
      </c>
      <c r="N42" s="34">
        <f t="shared" si="1"/>
        <v>4921</v>
      </c>
      <c r="O42" s="20" t="s">
        <v>21</v>
      </c>
      <c r="P42" s="20">
        <f t="shared" si="2"/>
        <v>21</v>
      </c>
    </row>
    <row r="43" spans="1:16" x14ac:dyDescent="0.25">
      <c r="A43" s="20" t="s">
        <v>18</v>
      </c>
      <c r="B43" s="63" t="s">
        <v>468</v>
      </c>
      <c r="C43" s="20">
        <f t="shared" si="3"/>
        <v>74</v>
      </c>
      <c r="D43" s="20">
        <v>1</v>
      </c>
      <c r="E43" s="20"/>
      <c r="F43" s="20"/>
      <c r="G43" s="20" t="s">
        <v>277</v>
      </c>
      <c r="H43" s="20" t="s">
        <v>651</v>
      </c>
      <c r="I43" s="20">
        <v>6425</v>
      </c>
      <c r="J43" s="20">
        <v>331</v>
      </c>
      <c r="K43" s="20" t="s">
        <v>20</v>
      </c>
      <c r="L43" s="20">
        <v>1</v>
      </c>
      <c r="M43" s="34">
        <v>53140</v>
      </c>
      <c r="N43" s="34">
        <f t="shared" si="1"/>
        <v>53140</v>
      </c>
      <c r="O43" s="20" t="s">
        <v>21</v>
      </c>
      <c r="P43" s="20">
        <f t="shared" si="2"/>
        <v>22</v>
      </c>
    </row>
    <row r="44" spans="1:16" x14ac:dyDescent="0.25">
      <c r="A44" s="20" t="s">
        <v>18</v>
      </c>
      <c r="B44" s="63">
        <v>45930</v>
      </c>
      <c r="C44" s="20">
        <f t="shared" si="3"/>
        <v>75</v>
      </c>
      <c r="D44" s="20">
        <v>1</v>
      </c>
      <c r="E44" s="20"/>
      <c r="F44" s="20"/>
      <c r="G44" s="14" t="s">
        <v>37</v>
      </c>
      <c r="H44" s="20" t="s">
        <v>644</v>
      </c>
      <c r="I44" s="20">
        <v>64277</v>
      </c>
      <c r="J44" s="20">
        <v>331</v>
      </c>
      <c r="K44" s="20" t="s">
        <v>20</v>
      </c>
      <c r="L44" s="20">
        <v>1</v>
      </c>
      <c r="M44" s="34">
        <v>2160000</v>
      </c>
      <c r="N44" s="34">
        <f t="shared" si="1"/>
        <v>2160000</v>
      </c>
      <c r="O44" s="20" t="s">
        <v>21</v>
      </c>
      <c r="P44" s="20">
        <f t="shared" si="2"/>
        <v>23</v>
      </c>
    </row>
    <row r="45" spans="1:16" x14ac:dyDescent="0.25">
      <c r="A45" s="20" t="s">
        <v>18</v>
      </c>
      <c r="B45" s="63">
        <v>45961</v>
      </c>
      <c r="C45" s="20">
        <f t="shared" si="3"/>
        <v>76</v>
      </c>
      <c r="D45" s="20">
        <v>1</v>
      </c>
      <c r="E45" s="20"/>
      <c r="F45" s="20"/>
      <c r="G45" s="20" t="s">
        <v>37</v>
      </c>
      <c r="H45" s="20" t="s">
        <v>645</v>
      </c>
      <c r="I45" s="20">
        <v>64277</v>
      </c>
      <c r="J45" s="20">
        <v>331</v>
      </c>
      <c r="K45" s="20" t="s">
        <v>20</v>
      </c>
      <c r="L45" s="20">
        <v>1</v>
      </c>
      <c r="M45" s="34">
        <v>2160000</v>
      </c>
      <c r="N45" s="34">
        <f t="shared" si="1"/>
        <v>2160000</v>
      </c>
      <c r="O45" s="20" t="s">
        <v>21</v>
      </c>
      <c r="P45" s="20">
        <f t="shared" si="2"/>
        <v>24</v>
      </c>
    </row>
    <row r="46" spans="1:16" x14ac:dyDescent="0.25">
      <c r="A46" s="20" t="s">
        <v>18</v>
      </c>
      <c r="B46" s="63" t="s">
        <v>522</v>
      </c>
      <c r="C46" s="20">
        <f t="shared" si="3"/>
        <v>77</v>
      </c>
      <c r="D46" s="20">
        <v>1</v>
      </c>
      <c r="E46" s="20"/>
      <c r="F46" s="20"/>
      <c r="G46" s="14" t="s">
        <v>277</v>
      </c>
      <c r="H46" s="12" t="s">
        <v>648</v>
      </c>
      <c r="I46" s="20">
        <v>6425</v>
      </c>
      <c r="J46" s="20">
        <v>331</v>
      </c>
      <c r="K46" s="20" t="s">
        <v>20</v>
      </c>
      <c r="L46" s="20">
        <v>1</v>
      </c>
      <c r="M46" s="34">
        <v>548900</v>
      </c>
      <c r="N46" s="34">
        <f t="shared" si="1"/>
        <v>548900</v>
      </c>
      <c r="O46" s="20" t="s">
        <v>21</v>
      </c>
      <c r="P46" s="20">
        <f t="shared" si="2"/>
        <v>25</v>
      </c>
    </row>
    <row r="47" spans="1:16" x14ac:dyDescent="0.25">
      <c r="A47" s="20" t="s">
        <v>18</v>
      </c>
      <c r="B47" s="63" t="s">
        <v>456</v>
      </c>
      <c r="C47" s="20">
        <f t="shared" si="3"/>
        <v>78</v>
      </c>
      <c r="D47" s="20">
        <v>1</v>
      </c>
      <c r="E47" s="20"/>
      <c r="F47" s="20"/>
      <c r="G47" s="20" t="s">
        <v>37</v>
      </c>
      <c r="H47" s="20" t="s">
        <v>646</v>
      </c>
      <c r="I47" s="20">
        <v>64277</v>
      </c>
      <c r="J47" s="20">
        <v>331</v>
      </c>
      <c r="K47" s="20" t="s">
        <v>20</v>
      </c>
      <c r="L47" s="20">
        <v>1</v>
      </c>
      <c r="M47" s="34">
        <v>2160000</v>
      </c>
      <c r="N47" s="34">
        <f t="shared" si="1"/>
        <v>2160000</v>
      </c>
      <c r="O47" s="20" t="s">
        <v>21</v>
      </c>
      <c r="P47" s="20">
        <f t="shared" si="2"/>
        <v>26</v>
      </c>
    </row>
    <row r="48" spans="1:16" x14ac:dyDescent="0.25">
      <c r="A48" s="20" t="s">
        <v>18</v>
      </c>
      <c r="B48" s="63" t="s">
        <v>2045</v>
      </c>
      <c r="C48" s="20">
        <f t="shared" ref="C48:C51" si="4">C47+D48</f>
        <v>79</v>
      </c>
      <c r="D48" s="20">
        <v>1</v>
      </c>
      <c r="E48" s="20"/>
      <c r="F48" s="20"/>
      <c r="G48" s="20" t="s">
        <v>35</v>
      </c>
      <c r="H48" s="20" t="s">
        <v>2565</v>
      </c>
      <c r="I48" s="20">
        <v>64277</v>
      </c>
      <c r="J48" s="20">
        <v>331</v>
      </c>
      <c r="K48" s="20" t="s">
        <v>20</v>
      </c>
      <c r="L48" s="20">
        <v>1</v>
      </c>
      <c r="M48" s="34">
        <v>1141938</v>
      </c>
      <c r="N48" s="34">
        <f t="shared" si="1"/>
        <v>1141938</v>
      </c>
      <c r="O48" s="20" t="s">
        <v>21</v>
      </c>
      <c r="P48" s="20">
        <f t="shared" si="2"/>
        <v>27</v>
      </c>
    </row>
    <row r="49" spans="1:16" x14ac:dyDescent="0.25">
      <c r="A49" s="20" t="s">
        <v>18</v>
      </c>
      <c r="B49" s="63" t="s">
        <v>2382</v>
      </c>
      <c r="C49" s="20">
        <f t="shared" si="4"/>
        <v>80</v>
      </c>
      <c r="D49" s="20">
        <v>1</v>
      </c>
      <c r="E49" s="20"/>
      <c r="F49" s="20"/>
      <c r="G49" s="20" t="s">
        <v>277</v>
      </c>
      <c r="H49" s="20" t="s">
        <v>4415</v>
      </c>
      <c r="I49" s="20">
        <v>6425</v>
      </c>
      <c r="J49" s="20">
        <v>331</v>
      </c>
      <c r="K49" s="20" t="s">
        <v>20</v>
      </c>
      <c r="L49" s="20">
        <v>1</v>
      </c>
      <c r="M49" s="34">
        <v>548900</v>
      </c>
      <c r="N49" s="34">
        <f t="shared" si="1"/>
        <v>548900</v>
      </c>
      <c r="O49" s="20" t="s">
        <v>21</v>
      </c>
      <c r="P49" s="20">
        <f t="shared" si="2"/>
        <v>28</v>
      </c>
    </row>
    <row r="50" spans="1:16" x14ac:dyDescent="0.25">
      <c r="A50" s="20" t="s">
        <v>18</v>
      </c>
      <c r="B50" s="63" t="s">
        <v>2504</v>
      </c>
      <c r="C50" s="20">
        <f t="shared" si="4"/>
        <v>81</v>
      </c>
      <c r="D50" s="20">
        <v>1</v>
      </c>
      <c r="E50" s="20"/>
      <c r="F50" s="20"/>
      <c r="G50" s="20" t="s">
        <v>2564</v>
      </c>
      <c r="H50" s="20" t="s">
        <v>2566</v>
      </c>
      <c r="I50" s="20">
        <v>64277</v>
      </c>
      <c r="J50" s="20">
        <v>331</v>
      </c>
      <c r="K50" s="20" t="s">
        <v>20</v>
      </c>
      <c r="L50" s="20">
        <v>1</v>
      </c>
      <c r="M50" s="34">
        <v>476280</v>
      </c>
      <c r="N50" s="34">
        <f t="shared" si="1"/>
        <v>476280</v>
      </c>
      <c r="O50" s="20" t="s">
        <v>21</v>
      </c>
      <c r="P50" s="20">
        <f t="shared" si="2"/>
        <v>29</v>
      </c>
    </row>
    <row r="51" spans="1:16" x14ac:dyDescent="0.25">
      <c r="A51" s="20" t="s">
        <v>18</v>
      </c>
      <c r="B51" s="63">
        <v>45961</v>
      </c>
      <c r="C51" s="20">
        <f t="shared" si="4"/>
        <v>82</v>
      </c>
      <c r="D51" s="20">
        <v>1</v>
      </c>
      <c r="E51" s="20"/>
      <c r="F51" s="20"/>
      <c r="G51" s="20" t="s">
        <v>93</v>
      </c>
      <c r="H51" s="20" t="s">
        <v>371</v>
      </c>
      <c r="I51" s="20">
        <v>64271</v>
      </c>
      <c r="J51" s="20">
        <v>3383</v>
      </c>
      <c r="K51" s="20" t="s">
        <v>20</v>
      </c>
      <c r="L51" s="20">
        <v>1</v>
      </c>
      <c r="M51" s="34">
        <v>690300</v>
      </c>
      <c r="N51" s="34">
        <f t="shared" si="1"/>
        <v>690300</v>
      </c>
      <c r="O51" s="20" t="s">
        <v>21</v>
      </c>
      <c r="P51" s="20">
        <f t="shared" si="2"/>
        <v>30</v>
      </c>
    </row>
    <row r="52" spans="1:16" x14ac:dyDescent="0.25">
      <c r="A52" s="20" t="s">
        <v>18</v>
      </c>
      <c r="B52" s="63">
        <v>45991</v>
      </c>
      <c r="C52" s="20">
        <f t="shared" si="3"/>
        <v>83</v>
      </c>
      <c r="D52" s="20">
        <v>1</v>
      </c>
      <c r="E52" s="20"/>
      <c r="F52" s="20"/>
      <c r="G52" s="14" t="s">
        <v>93</v>
      </c>
      <c r="H52" s="12" t="s">
        <v>372</v>
      </c>
      <c r="I52" s="12">
        <v>64271</v>
      </c>
      <c r="J52" s="20">
        <v>3383</v>
      </c>
      <c r="K52" s="20" t="s">
        <v>20</v>
      </c>
      <c r="L52" s="20">
        <v>1</v>
      </c>
      <c r="M52" s="34">
        <v>690300</v>
      </c>
      <c r="N52" s="34">
        <f t="shared" si="1"/>
        <v>690300</v>
      </c>
      <c r="O52" s="20" t="s">
        <v>21</v>
      </c>
      <c r="P52" s="20">
        <f t="shared" si="2"/>
        <v>31</v>
      </c>
    </row>
    <row r="53" spans="1:16" x14ac:dyDescent="0.25">
      <c r="A53" s="20" t="s">
        <v>18</v>
      </c>
      <c r="B53" s="63">
        <v>46022</v>
      </c>
      <c r="C53" s="20">
        <f t="shared" si="3"/>
        <v>84</v>
      </c>
      <c r="D53" s="20">
        <v>1</v>
      </c>
      <c r="E53" s="20"/>
      <c r="F53" s="20"/>
      <c r="G53" s="20" t="s">
        <v>93</v>
      </c>
      <c r="H53" s="20" t="s">
        <v>373</v>
      </c>
      <c r="I53" s="20">
        <v>64271</v>
      </c>
      <c r="J53" s="20">
        <v>3383</v>
      </c>
      <c r="K53" s="20" t="s">
        <v>20</v>
      </c>
      <c r="L53" s="20">
        <v>1</v>
      </c>
      <c r="M53" s="34">
        <v>690300</v>
      </c>
      <c r="N53" s="34">
        <f t="shared" si="1"/>
        <v>690300</v>
      </c>
      <c r="O53" s="20" t="s">
        <v>21</v>
      </c>
      <c r="P53" s="20">
        <f t="shared" si="2"/>
        <v>32</v>
      </c>
    </row>
    <row r="54" spans="1:16" x14ac:dyDescent="0.25">
      <c r="A54" s="20" t="s">
        <v>18</v>
      </c>
      <c r="B54" s="63" t="s">
        <v>2045</v>
      </c>
      <c r="C54" s="20">
        <f t="shared" si="3"/>
        <v>85</v>
      </c>
      <c r="D54" s="20">
        <v>1</v>
      </c>
      <c r="E54" s="20"/>
      <c r="F54" s="20"/>
      <c r="G54" s="20" t="s">
        <v>35</v>
      </c>
      <c r="H54" s="20" t="s">
        <v>2565</v>
      </c>
      <c r="I54" s="20">
        <v>64277</v>
      </c>
      <c r="J54" s="20">
        <v>331</v>
      </c>
      <c r="K54" s="20" t="s">
        <v>20</v>
      </c>
      <c r="L54" s="20">
        <v>1</v>
      </c>
      <c r="M54" s="34">
        <v>1141938</v>
      </c>
      <c r="N54" s="34">
        <f t="shared" si="1"/>
        <v>1141938</v>
      </c>
      <c r="O54" s="20" t="s">
        <v>21</v>
      </c>
      <c r="P54" s="20">
        <f t="shared" si="2"/>
        <v>33</v>
      </c>
    </row>
    <row r="55" spans="1:16" x14ac:dyDescent="0.25">
      <c r="A55" s="20" t="s">
        <v>18</v>
      </c>
      <c r="B55" s="63" t="s">
        <v>2504</v>
      </c>
      <c r="C55" s="20">
        <f t="shared" si="3"/>
        <v>86</v>
      </c>
      <c r="D55" s="20">
        <v>1</v>
      </c>
      <c r="E55" s="20"/>
      <c r="F55" s="20"/>
      <c r="G55" s="20" t="s">
        <v>2564</v>
      </c>
      <c r="H55" s="20" t="s">
        <v>2566</v>
      </c>
      <c r="I55" s="20">
        <v>64277</v>
      </c>
      <c r="J55" s="20">
        <v>331</v>
      </c>
      <c r="K55" s="20" t="s">
        <v>20</v>
      </c>
      <c r="L55" s="20">
        <v>1</v>
      </c>
      <c r="M55" s="34">
        <v>476280</v>
      </c>
      <c r="N55" s="34">
        <f t="shared" si="1"/>
        <v>476280</v>
      </c>
      <c r="O55" s="20" t="s">
        <v>21</v>
      </c>
      <c r="P55" s="20">
        <f t="shared" si="2"/>
        <v>34</v>
      </c>
    </row>
    <row r="56" spans="1:16" x14ac:dyDescent="0.25">
      <c r="A56" s="20" t="s">
        <v>18</v>
      </c>
      <c r="B56" s="63" t="s">
        <v>2382</v>
      </c>
      <c r="C56" s="20">
        <f t="shared" si="3"/>
        <v>87</v>
      </c>
      <c r="D56" s="20">
        <v>1</v>
      </c>
      <c r="E56" s="20"/>
      <c r="F56" s="20"/>
      <c r="G56" s="20" t="s">
        <v>2567</v>
      </c>
      <c r="H56" s="20" t="s">
        <v>2569</v>
      </c>
      <c r="I56" s="20">
        <v>131</v>
      </c>
      <c r="J56" s="20">
        <v>5113</v>
      </c>
      <c r="K56" s="20" t="s">
        <v>20</v>
      </c>
      <c r="L56" s="20">
        <v>1</v>
      </c>
      <c r="M56" s="34">
        <v>8064516</v>
      </c>
      <c r="N56" s="34">
        <f t="shared" si="1"/>
        <v>8064516</v>
      </c>
      <c r="O56" s="20" t="s">
        <v>21</v>
      </c>
      <c r="P56" s="20">
        <f t="shared" si="2"/>
        <v>35</v>
      </c>
    </row>
    <row r="57" spans="1:16" x14ac:dyDescent="0.25">
      <c r="A57" s="20" t="s">
        <v>18</v>
      </c>
      <c r="B57" s="63" t="s">
        <v>2382</v>
      </c>
      <c r="C57" s="20">
        <f t="shared" si="3"/>
        <v>87</v>
      </c>
      <c r="D57" s="20">
        <v>0</v>
      </c>
      <c r="E57" s="20"/>
      <c r="F57" s="20"/>
      <c r="G57" s="20" t="s">
        <v>2567</v>
      </c>
      <c r="H57" s="20" t="s">
        <v>2571</v>
      </c>
      <c r="I57" s="20">
        <v>333821</v>
      </c>
      <c r="J57" s="20">
        <v>131</v>
      </c>
      <c r="K57" s="20" t="s">
        <v>20</v>
      </c>
      <c r="L57" s="20">
        <v>1</v>
      </c>
      <c r="M57" s="34">
        <v>80645</v>
      </c>
      <c r="N57" s="34">
        <f t="shared" si="1"/>
        <v>80645</v>
      </c>
      <c r="O57" s="20" t="s">
        <v>21</v>
      </c>
      <c r="P57" s="20">
        <f t="shared" si="2"/>
        <v>35</v>
      </c>
    </row>
    <row r="58" spans="1:16" x14ac:dyDescent="0.25">
      <c r="A58" s="20" t="s">
        <v>18</v>
      </c>
      <c r="B58" s="63" t="s">
        <v>2504</v>
      </c>
      <c r="C58" s="20">
        <f t="shared" si="3"/>
        <v>88</v>
      </c>
      <c r="D58" s="20">
        <v>1</v>
      </c>
      <c r="E58" s="20"/>
      <c r="F58" s="20"/>
      <c r="G58" s="20" t="s">
        <v>2568</v>
      </c>
      <c r="H58" s="20" t="s">
        <v>2570</v>
      </c>
      <c r="I58" s="20">
        <v>131</v>
      </c>
      <c r="J58" s="20">
        <v>5113</v>
      </c>
      <c r="K58" s="20" t="s">
        <v>20</v>
      </c>
      <c r="L58" s="20">
        <v>1</v>
      </c>
      <c r="M58" s="34">
        <v>8602150</v>
      </c>
      <c r="N58" s="34">
        <f t="shared" si="1"/>
        <v>8602150</v>
      </c>
      <c r="O58" s="20" t="s">
        <v>21</v>
      </c>
      <c r="P58" s="20">
        <f t="shared" si="2"/>
        <v>36</v>
      </c>
    </row>
    <row r="59" spans="1:16" x14ac:dyDescent="0.25">
      <c r="A59" s="20" t="s">
        <v>18</v>
      </c>
      <c r="B59" s="63" t="s">
        <v>2504</v>
      </c>
      <c r="C59" s="20">
        <f t="shared" si="3"/>
        <v>88</v>
      </c>
      <c r="D59" s="20">
        <v>0</v>
      </c>
      <c r="E59" s="20"/>
      <c r="F59" s="20"/>
      <c r="G59" s="32" t="s">
        <v>2568</v>
      </c>
      <c r="H59" s="20" t="s">
        <v>2572</v>
      </c>
      <c r="I59" s="20">
        <v>333821</v>
      </c>
      <c r="J59" s="20">
        <v>131</v>
      </c>
      <c r="K59" s="20" t="s">
        <v>20</v>
      </c>
      <c r="L59" s="20">
        <v>1</v>
      </c>
      <c r="M59" s="34">
        <v>86021</v>
      </c>
      <c r="N59" s="34">
        <f t="shared" si="1"/>
        <v>86021</v>
      </c>
      <c r="O59" s="20" t="s">
        <v>21</v>
      </c>
      <c r="P59" s="20">
        <f t="shared" si="2"/>
        <v>36</v>
      </c>
    </row>
    <row r="60" spans="1:16" x14ac:dyDescent="0.25">
      <c r="A60" s="20" t="s">
        <v>2679</v>
      </c>
      <c r="B60" s="63" t="s">
        <v>308</v>
      </c>
      <c r="C60" s="20">
        <f t="shared" si="3"/>
        <v>89</v>
      </c>
      <c r="D60" s="20">
        <v>1</v>
      </c>
      <c r="E60" s="20"/>
      <c r="F60" s="20"/>
      <c r="G60" s="32" t="s">
        <v>91</v>
      </c>
      <c r="H60" s="20" t="s">
        <v>4416</v>
      </c>
      <c r="I60" s="20">
        <v>112111</v>
      </c>
      <c r="J60" s="20">
        <v>131</v>
      </c>
      <c r="K60" s="20" t="s">
        <v>20</v>
      </c>
      <c r="L60" s="20">
        <v>1</v>
      </c>
      <c r="M60" s="34">
        <v>8516129</v>
      </c>
      <c r="N60" s="34">
        <f t="shared" si="1"/>
        <v>8516129</v>
      </c>
      <c r="O60" s="20" t="s">
        <v>21</v>
      </c>
      <c r="P60" s="20">
        <f t="shared" si="2"/>
        <v>37</v>
      </c>
    </row>
    <row r="61" spans="1:16" x14ac:dyDescent="0.25">
      <c r="A61" s="20" t="s">
        <v>2679</v>
      </c>
      <c r="B61" s="63" t="s">
        <v>308</v>
      </c>
      <c r="C61" s="20">
        <f t="shared" si="3"/>
        <v>90</v>
      </c>
      <c r="D61" s="20">
        <v>1</v>
      </c>
      <c r="E61" s="20"/>
      <c r="F61" s="20"/>
      <c r="G61" s="32" t="s">
        <v>85</v>
      </c>
      <c r="H61" s="20" t="s">
        <v>4417</v>
      </c>
      <c r="I61" s="20">
        <v>112111</v>
      </c>
      <c r="J61" s="20">
        <v>131</v>
      </c>
      <c r="K61" s="20" t="s">
        <v>20</v>
      </c>
      <c r="L61" s="20">
        <v>1</v>
      </c>
      <c r="M61" s="34">
        <v>17032258</v>
      </c>
      <c r="N61" s="34">
        <f t="shared" si="1"/>
        <v>17032258</v>
      </c>
      <c r="O61" s="20" t="s">
        <v>21</v>
      </c>
      <c r="P61" s="20">
        <f t="shared" si="2"/>
        <v>38</v>
      </c>
    </row>
    <row r="62" spans="1:16" x14ac:dyDescent="0.25">
      <c r="A62" s="20" t="s">
        <v>2679</v>
      </c>
      <c r="B62" s="63" t="s">
        <v>309</v>
      </c>
      <c r="C62" s="20">
        <f t="shared" si="3"/>
        <v>91</v>
      </c>
      <c r="D62" s="20">
        <v>1</v>
      </c>
      <c r="E62" s="20"/>
      <c r="F62" s="20"/>
      <c r="G62" s="32" t="s">
        <v>59</v>
      </c>
      <c r="H62" s="20" t="s">
        <v>4418</v>
      </c>
      <c r="I62" s="20">
        <v>112111</v>
      </c>
      <c r="J62" s="20">
        <v>131</v>
      </c>
      <c r="K62" s="20" t="s">
        <v>20</v>
      </c>
      <c r="L62" s="20">
        <v>1</v>
      </c>
      <c r="M62" s="34">
        <v>17032258</v>
      </c>
      <c r="N62" s="34">
        <f t="shared" si="1"/>
        <v>17032258</v>
      </c>
      <c r="O62" s="20" t="s">
        <v>21</v>
      </c>
      <c r="P62" s="20">
        <f t="shared" si="2"/>
        <v>39</v>
      </c>
    </row>
    <row r="63" spans="1:16" x14ac:dyDescent="0.25">
      <c r="A63" s="20" t="s">
        <v>2679</v>
      </c>
      <c r="B63" s="63" t="s">
        <v>311</v>
      </c>
      <c r="C63" s="20">
        <f t="shared" si="3"/>
        <v>92</v>
      </c>
      <c r="D63" s="20">
        <v>1</v>
      </c>
      <c r="E63" s="20"/>
      <c r="F63" s="20"/>
      <c r="G63" s="32" t="s">
        <v>97</v>
      </c>
      <c r="H63" s="20" t="s">
        <v>4442</v>
      </c>
      <c r="I63" s="20">
        <v>112111</v>
      </c>
      <c r="J63" s="20">
        <v>131</v>
      </c>
      <c r="K63" s="20" t="s">
        <v>20</v>
      </c>
      <c r="L63" s="20">
        <v>1</v>
      </c>
      <c r="M63" s="34">
        <v>8516129</v>
      </c>
      <c r="N63" s="34">
        <f t="shared" si="1"/>
        <v>8516129</v>
      </c>
      <c r="O63" s="20" t="s">
        <v>21</v>
      </c>
      <c r="P63" s="20">
        <f t="shared" si="2"/>
        <v>40</v>
      </c>
    </row>
    <row r="64" spans="1:16" x14ac:dyDescent="0.25">
      <c r="A64" s="20" t="s">
        <v>2678</v>
      </c>
      <c r="B64" s="63" t="s">
        <v>599</v>
      </c>
      <c r="C64" s="20">
        <f t="shared" si="3"/>
        <v>93</v>
      </c>
      <c r="D64" s="20">
        <v>1</v>
      </c>
      <c r="E64" s="20"/>
      <c r="F64" s="20"/>
      <c r="G64" s="32" t="s">
        <v>196</v>
      </c>
      <c r="H64" s="20" t="s">
        <v>3017</v>
      </c>
      <c r="I64" s="20">
        <v>1111</v>
      </c>
      <c r="J64" s="20">
        <v>112111</v>
      </c>
      <c r="K64" s="20" t="s">
        <v>20</v>
      </c>
      <c r="L64" s="20">
        <v>1</v>
      </c>
      <c r="M64" s="34">
        <v>40000000</v>
      </c>
      <c r="N64" s="34">
        <f t="shared" si="1"/>
        <v>40000000</v>
      </c>
      <c r="O64" s="20" t="s">
        <v>21</v>
      </c>
      <c r="P64" s="20">
        <f t="shared" si="2"/>
        <v>41</v>
      </c>
    </row>
    <row r="65" spans="1:16" x14ac:dyDescent="0.25">
      <c r="A65" s="20" t="s">
        <v>2679</v>
      </c>
      <c r="B65" s="63" t="s">
        <v>469</v>
      </c>
      <c r="C65" s="20">
        <f t="shared" si="3"/>
        <v>94</v>
      </c>
      <c r="D65" s="20">
        <v>1</v>
      </c>
      <c r="E65" s="20"/>
      <c r="F65" s="20"/>
      <c r="G65" s="32" t="s">
        <v>606</v>
      </c>
      <c r="H65" s="20" t="s">
        <v>4419</v>
      </c>
      <c r="I65" s="20">
        <v>112111</v>
      </c>
      <c r="J65" s="20">
        <v>131</v>
      </c>
      <c r="K65" s="20" t="s">
        <v>20</v>
      </c>
      <c r="L65" s="20">
        <v>1</v>
      </c>
      <c r="M65" s="34">
        <v>9000000</v>
      </c>
      <c r="N65" s="34">
        <f t="shared" si="1"/>
        <v>9000000</v>
      </c>
      <c r="O65" s="20" t="s">
        <v>21</v>
      </c>
      <c r="P65" s="20">
        <f t="shared" si="2"/>
        <v>42</v>
      </c>
    </row>
    <row r="66" spans="1:16" x14ac:dyDescent="0.25">
      <c r="A66" s="20" t="s">
        <v>2679</v>
      </c>
      <c r="B66" s="63" t="s">
        <v>869</v>
      </c>
      <c r="C66" s="20">
        <f t="shared" si="3"/>
        <v>95</v>
      </c>
      <c r="D66" s="20">
        <v>1</v>
      </c>
      <c r="E66" s="20"/>
      <c r="F66" s="20"/>
      <c r="G66" s="32" t="s">
        <v>60</v>
      </c>
      <c r="H66" s="20" t="s">
        <v>4422</v>
      </c>
      <c r="I66" s="20">
        <v>112111</v>
      </c>
      <c r="J66" s="20">
        <v>131</v>
      </c>
      <c r="K66" s="20" t="s">
        <v>20</v>
      </c>
      <c r="L66" s="20">
        <v>1</v>
      </c>
      <c r="M66" s="34">
        <v>8516129</v>
      </c>
      <c r="N66" s="34">
        <f t="shared" si="1"/>
        <v>8516129</v>
      </c>
      <c r="O66" s="20" t="s">
        <v>21</v>
      </c>
      <c r="P66" s="20">
        <f t="shared" si="2"/>
        <v>43</v>
      </c>
    </row>
    <row r="67" spans="1:16" x14ac:dyDescent="0.25">
      <c r="A67" s="20" t="s">
        <v>2679</v>
      </c>
      <c r="B67" s="63" t="s">
        <v>377</v>
      </c>
      <c r="C67" s="20">
        <f t="shared" si="3"/>
        <v>96</v>
      </c>
      <c r="D67" s="20">
        <v>1</v>
      </c>
      <c r="E67" s="20"/>
      <c r="F67" s="20"/>
      <c r="G67" s="32" t="s">
        <v>66</v>
      </c>
      <c r="H67" s="20" t="s">
        <v>4420</v>
      </c>
      <c r="I67" s="20">
        <v>112111</v>
      </c>
      <c r="J67" s="20">
        <v>131</v>
      </c>
      <c r="K67" s="20" t="s">
        <v>20</v>
      </c>
      <c r="L67" s="20">
        <v>1</v>
      </c>
      <c r="M67" s="34">
        <v>9580645</v>
      </c>
      <c r="N67" s="34">
        <f t="shared" si="1"/>
        <v>9580645</v>
      </c>
      <c r="O67" s="20" t="s">
        <v>21</v>
      </c>
      <c r="P67" s="20">
        <f t="shared" si="2"/>
        <v>44</v>
      </c>
    </row>
    <row r="68" spans="1:16" x14ac:dyDescent="0.25">
      <c r="A68" s="20" t="s">
        <v>2679</v>
      </c>
      <c r="B68" s="63" t="s">
        <v>377</v>
      </c>
      <c r="C68" s="20">
        <f t="shared" si="3"/>
        <v>97</v>
      </c>
      <c r="D68" s="20">
        <v>1</v>
      </c>
      <c r="E68" s="20"/>
      <c r="F68" s="20"/>
      <c r="G68" s="32" t="s">
        <v>605</v>
      </c>
      <c r="H68" s="20" t="s">
        <v>4421</v>
      </c>
      <c r="I68" s="20">
        <v>112111</v>
      </c>
      <c r="J68" s="20">
        <v>131</v>
      </c>
      <c r="K68" s="20" t="s">
        <v>20</v>
      </c>
      <c r="L68" s="20">
        <v>1</v>
      </c>
      <c r="M68" s="34">
        <v>14193548</v>
      </c>
      <c r="N68" s="34">
        <f t="shared" ref="N68:N115" si="5">L68*M68</f>
        <v>14193548</v>
      </c>
      <c r="O68" s="20" t="s">
        <v>21</v>
      </c>
      <c r="P68" s="20">
        <f t="shared" si="2"/>
        <v>45</v>
      </c>
    </row>
    <row r="69" spans="1:16" x14ac:dyDescent="0.25">
      <c r="A69" s="20" t="s">
        <v>2679</v>
      </c>
      <c r="B69" s="63" t="s">
        <v>291</v>
      </c>
      <c r="C69" s="20">
        <f t="shared" si="3"/>
        <v>98</v>
      </c>
      <c r="D69" s="20">
        <v>1</v>
      </c>
      <c r="E69" s="20"/>
      <c r="F69" s="20"/>
      <c r="G69" s="32" t="s">
        <v>196</v>
      </c>
      <c r="H69" s="20" t="s">
        <v>2687</v>
      </c>
      <c r="I69" s="20">
        <v>112111</v>
      </c>
      <c r="J69" s="20">
        <v>5154</v>
      </c>
      <c r="K69" s="20" t="s">
        <v>20</v>
      </c>
      <c r="L69" s="20">
        <v>1</v>
      </c>
      <c r="M69" s="34">
        <v>3211</v>
      </c>
      <c r="N69" s="34">
        <f t="shared" si="5"/>
        <v>3211</v>
      </c>
      <c r="O69" s="20" t="s">
        <v>21</v>
      </c>
      <c r="P69" s="20">
        <f t="shared" si="2"/>
        <v>46</v>
      </c>
    </row>
    <row r="70" spans="1:16" x14ac:dyDescent="0.25">
      <c r="A70" s="20" t="s">
        <v>2678</v>
      </c>
      <c r="B70" s="63" t="s">
        <v>291</v>
      </c>
      <c r="C70" s="20">
        <f t="shared" si="3"/>
        <v>99</v>
      </c>
      <c r="D70" s="20">
        <v>1</v>
      </c>
      <c r="E70" s="20"/>
      <c r="F70" s="20"/>
      <c r="G70" s="32" t="s">
        <v>196</v>
      </c>
      <c r="H70" s="20" t="s">
        <v>3017</v>
      </c>
      <c r="I70" s="20">
        <v>1111</v>
      </c>
      <c r="J70" s="20">
        <v>112111</v>
      </c>
      <c r="K70" s="20" t="s">
        <v>20</v>
      </c>
      <c r="L70" s="20">
        <v>1</v>
      </c>
      <c r="M70" s="34">
        <v>23000000</v>
      </c>
      <c r="N70" s="34">
        <f t="shared" si="5"/>
        <v>23000000</v>
      </c>
      <c r="O70" s="20" t="s">
        <v>21</v>
      </c>
      <c r="P70" s="20">
        <f t="shared" ref="P70:P115" si="6">P69+D70</f>
        <v>47</v>
      </c>
    </row>
    <row r="71" spans="1:16" x14ac:dyDescent="0.25">
      <c r="A71" s="20" t="s">
        <v>2678</v>
      </c>
      <c r="B71" s="63" t="s">
        <v>291</v>
      </c>
      <c r="C71" s="20">
        <f t="shared" si="3"/>
        <v>100</v>
      </c>
      <c r="D71" s="20">
        <v>1</v>
      </c>
      <c r="E71" s="20"/>
      <c r="F71" s="20"/>
      <c r="G71" s="32" t="s">
        <v>196</v>
      </c>
      <c r="H71" s="20" t="s">
        <v>3017</v>
      </c>
      <c r="I71" s="20">
        <v>1111</v>
      </c>
      <c r="J71" s="20">
        <v>112111</v>
      </c>
      <c r="K71" s="20" t="s">
        <v>20</v>
      </c>
      <c r="L71" s="20">
        <v>1</v>
      </c>
      <c r="M71" s="34">
        <v>5000000</v>
      </c>
      <c r="N71" s="34">
        <f t="shared" si="5"/>
        <v>5000000</v>
      </c>
      <c r="O71" s="20" t="s">
        <v>21</v>
      </c>
      <c r="P71" s="20">
        <f t="shared" si="6"/>
        <v>48</v>
      </c>
    </row>
    <row r="72" spans="1:16" x14ac:dyDescent="0.25">
      <c r="A72" s="20" t="s">
        <v>2678</v>
      </c>
      <c r="B72" s="63" t="s">
        <v>291</v>
      </c>
      <c r="C72" s="20">
        <f t="shared" si="3"/>
        <v>101</v>
      </c>
      <c r="D72" s="20">
        <v>1</v>
      </c>
      <c r="E72" s="20"/>
      <c r="F72" s="20"/>
      <c r="G72" s="32" t="s">
        <v>196</v>
      </c>
      <c r="H72" s="20" t="s">
        <v>3017</v>
      </c>
      <c r="I72" s="20">
        <v>1111</v>
      </c>
      <c r="J72" s="20">
        <v>112111</v>
      </c>
      <c r="K72" s="20" t="s">
        <v>20</v>
      </c>
      <c r="L72" s="20">
        <v>1</v>
      </c>
      <c r="M72" s="34">
        <v>2000000</v>
      </c>
      <c r="N72" s="34">
        <f t="shared" si="5"/>
        <v>2000000</v>
      </c>
      <c r="O72" s="20" t="s">
        <v>21</v>
      </c>
      <c r="P72" s="20">
        <f t="shared" si="6"/>
        <v>49</v>
      </c>
    </row>
    <row r="73" spans="1:16" x14ac:dyDescent="0.25">
      <c r="A73" s="20" t="s">
        <v>2678</v>
      </c>
      <c r="B73" s="63" t="s">
        <v>292</v>
      </c>
      <c r="C73" s="20">
        <f t="shared" si="3"/>
        <v>102</v>
      </c>
      <c r="D73" s="20">
        <v>1</v>
      </c>
      <c r="E73" s="20"/>
      <c r="F73" s="20"/>
      <c r="G73" s="32" t="s">
        <v>196</v>
      </c>
      <c r="H73" s="20" t="s">
        <v>3017</v>
      </c>
      <c r="I73" s="20">
        <v>1111</v>
      </c>
      <c r="J73" s="20">
        <v>112111</v>
      </c>
      <c r="K73" s="20" t="s">
        <v>20</v>
      </c>
      <c r="L73" s="20">
        <v>1</v>
      </c>
      <c r="M73" s="34">
        <v>8000000</v>
      </c>
      <c r="N73" s="34">
        <f t="shared" si="5"/>
        <v>8000000</v>
      </c>
      <c r="O73" s="20" t="s">
        <v>21</v>
      </c>
      <c r="P73" s="20">
        <f t="shared" si="6"/>
        <v>50</v>
      </c>
    </row>
    <row r="74" spans="1:16" x14ac:dyDescent="0.25">
      <c r="A74" s="20" t="s">
        <v>2678</v>
      </c>
      <c r="B74" s="63" t="s">
        <v>313</v>
      </c>
      <c r="C74" s="20">
        <f t="shared" si="3"/>
        <v>103</v>
      </c>
      <c r="D74" s="20">
        <v>1</v>
      </c>
      <c r="E74" s="20"/>
      <c r="F74" s="20"/>
      <c r="G74" s="32" t="s">
        <v>196</v>
      </c>
      <c r="H74" s="20" t="s">
        <v>3017</v>
      </c>
      <c r="I74" s="20">
        <v>1111</v>
      </c>
      <c r="J74" s="20">
        <v>112111</v>
      </c>
      <c r="K74" s="20" t="s">
        <v>20</v>
      </c>
      <c r="L74" s="20">
        <v>1</v>
      </c>
      <c r="M74" s="34">
        <v>7000000</v>
      </c>
      <c r="N74" s="34">
        <f t="shared" si="5"/>
        <v>7000000</v>
      </c>
      <c r="O74" s="20" t="s">
        <v>21</v>
      </c>
      <c r="P74" s="20">
        <f t="shared" si="6"/>
        <v>51</v>
      </c>
    </row>
    <row r="75" spans="1:16" x14ac:dyDescent="0.25">
      <c r="A75" s="20" t="s">
        <v>2678</v>
      </c>
      <c r="B75" s="63" t="s">
        <v>315</v>
      </c>
      <c r="C75" s="20">
        <f t="shared" si="3"/>
        <v>104</v>
      </c>
      <c r="D75" s="20">
        <v>1</v>
      </c>
      <c r="E75" s="20"/>
      <c r="F75" s="20"/>
      <c r="G75" s="32" t="s">
        <v>196</v>
      </c>
      <c r="H75" s="20" t="s">
        <v>3017</v>
      </c>
      <c r="I75" s="20">
        <v>1111</v>
      </c>
      <c r="J75" s="20">
        <v>112111</v>
      </c>
      <c r="K75" s="20" t="s">
        <v>20</v>
      </c>
      <c r="L75" s="20">
        <v>1</v>
      </c>
      <c r="M75" s="34">
        <v>3000000</v>
      </c>
      <c r="N75" s="34">
        <f t="shared" si="5"/>
        <v>3000000</v>
      </c>
      <c r="O75" s="20" t="s">
        <v>21</v>
      </c>
      <c r="P75" s="20">
        <f t="shared" si="6"/>
        <v>52</v>
      </c>
    </row>
    <row r="76" spans="1:16" x14ac:dyDescent="0.25">
      <c r="A76" s="20" t="s">
        <v>2678</v>
      </c>
      <c r="B76" s="63" t="s">
        <v>315</v>
      </c>
      <c r="C76" s="20">
        <f t="shared" si="3"/>
        <v>105</v>
      </c>
      <c r="D76" s="20">
        <v>1</v>
      </c>
      <c r="E76" s="20"/>
      <c r="F76" s="20"/>
      <c r="G76" s="32" t="s">
        <v>196</v>
      </c>
      <c r="H76" s="20" t="s">
        <v>3017</v>
      </c>
      <c r="I76" s="20">
        <v>1111</v>
      </c>
      <c r="J76" s="20">
        <v>112111</v>
      </c>
      <c r="K76" s="20" t="s">
        <v>20</v>
      </c>
      <c r="L76" s="20">
        <v>1</v>
      </c>
      <c r="M76" s="34">
        <v>3000000</v>
      </c>
      <c r="N76" s="34">
        <f t="shared" si="5"/>
        <v>3000000</v>
      </c>
      <c r="O76" s="20" t="s">
        <v>21</v>
      </c>
      <c r="P76" s="20">
        <f t="shared" si="6"/>
        <v>53</v>
      </c>
    </row>
    <row r="77" spans="1:16" x14ac:dyDescent="0.25">
      <c r="A77" s="20" t="s">
        <v>2678</v>
      </c>
      <c r="B77" s="63" t="s">
        <v>600</v>
      </c>
      <c r="C77" s="20">
        <f t="shared" si="3"/>
        <v>106</v>
      </c>
      <c r="D77" s="20">
        <v>1</v>
      </c>
      <c r="E77" s="20"/>
      <c r="F77" s="20"/>
      <c r="G77" s="32" t="s">
        <v>196</v>
      </c>
      <c r="H77" s="20" t="s">
        <v>3017</v>
      </c>
      <c r="I77" s="20">
        <v>1111</v>
      </c>
      <c r="J77" s="20">
        <v>112111</v>
      </c>
      <c r="K77" s="20" t="s">
        <v>20</v>
      </c>
      <c r="L77" s="20">
        <v>1</v>
      </c>
      <c r="M77" s="34">
        <v>2000000</v>
      </c>
      <c r="N77" s="34">
        <f t="shared" si="5"/>
        <v>2000000</v>
      </c>
      <c r="O77" s="20" t="s">
        <v>21</v>
      </c>
      <c r="P77" s="20">
        <f t="shared" si="6"/>
        <v>54</v>
      </c>
    </row>
    <row r="78" spans="1:16" x14ac:dyDescent="0.25">
      <c r="A78" s="20" t="s">
        <v>2679</v>
      </c>
      <c r="B78" s="63" t="s">
        <v>319</v>
      </c>
      <c r="C78" s="20">
        <f t="shared" si="3"/>
        <v>107</v>
      </c>
      <c r="D78" s="20">
        <v>1</v>
      </c>
      <c r="E78" s="20"/>
      <c r="F78" s="20"/>
      <c r="G78" s="32" t="s">
        <v>43</v>
      </c>
      <c r="H78" s="20" t="s">
        <v>3019</v>
      </c>
      <c r="I78" s="20">
        <v>112111</v>
      </c>
      <c r="J78" s="20">
        <v>3388</v>
      </c>
      <c r="K78" s="20" t="s">
        <v>20</v>
      </c>
      <c r="L78" s="20">
        <v>1</v>
      </c>
      <c r="M78" s="34">
        <v>10000000</v>
      </c>
      <c r="N78" s="34">
        <f t="shared" si="5"/>
        <v>10000000</v>
      </c>
      <c r="O78" s="20" t="s">
        <v>21</v>
      </c>
      <c r="P78" s="20">
        <f t="shared" si="6"/>
        <v>55</v>
      </c>
    </row>
    <row r="79" spans="1:16" x14ac:dyDescent="0.25">
      <c r="A79" s="20" t="s">
        <v>2678</v>
      </c>
      <c r="B79" s="63" t="s">
        <v>513</v>
      </c>
      <c r="C79" s="20">
        <f t="shared" si="3"/>
        <v>108</v>
      </c>
      <c r="D79" s="20">
        <v>1</v>
      </c>
      <c r="E79" s="20"/>
      <c r="F79" s="20"/>
      <c r="G79" s="32" t="s">
        <v>196</v>
      </c>
      <c r="H79" s="20" t="s">
        <v>3017</v>
      </c>
      <c r="I79" s="20">
        <v>1111</v>
      </c>
      <c r="J79" s="20">
        <v>112111</v>
      </c>
      <c r="K79" s="20" t="s">
        <v>20</v>
      </c>
      <c r="L79" s="20">
        <v>1</v>
      </c>
      <c r="M79" s="34">
        <v>3000000</v>
      </c>
      <c r="N79" s="34">
        <f t="shared" si="5"/>
        <v>3000000</v>
      </c>
      <c r="O79" s="20" t="s">
        <v>21</v>
      </c>
      <c r="P79" s="20">
        <f t="shared" si="6"/>
        <v>56</v>
      </c>
    </row>
    <row r="80" spans="1:16" x14ac:dyDescent="0.25">
      <c r="A80" s="20" t="s">
        <v>2679</v>
      </c>
      <c r="B80" s="63" t="s">
        <v>522</v>
      </c>
      <c r="C80" s="20">
        <f t="shared" si="3"/>
        <v>109</v>
      </c>
      <c r="D80" s="20">
        <v>1</v>
      </c>
      <c r="E80" s="20"/>
      <c r="F80" s="20"/>
      <c r="G80" s="32" t="s">
        <v>607</v>
      </c>
      <c r="H80" s="20" t="s">
        <v>4422</v>
      </c>
      <c r="I80" s="20">
        <v>112111</v>
      </c>
      <c r="J80" s="20">
        <v>131</v>
      </c>
      <c r="K80" s="20" t="s">
        <v>20</v>
      </c>
      <c r="L80" s="20">
        <v>1</v>
      </c>
      <c r="M80" s="34">
        <v>8516129</v>
      </c>
      <c r="N80" s="34">
        <f t="shared" si="5"/>
        <v>8516129</v>
      </c>
      <c r="O80" s="20" t="s">
        <v>21</v>
      </c>
      <c r="P80" s="20">
        <f t="shared" si="6"/>
        <v>57</v>
      </c>
    </row>
    <row r="81" spans="1:16" x14ac:dyDescent="0.25">
      <c r="A81" s="20" t="s">
        <v>2679</v>
      </c>
      <c r="B81" s="63" t="s">
        <v>522</v>
      </c>
      <c r="C81" s="20">
        <f t="shared" ref="C81:C82" si="7">C80+D81</f>
        <v>109</v>
      </c>
      <c r="D81" s="20">
        <v>0</v>
      </c>
      <c r="E81" s="20"/>
      <c r="F81" s="20"/>
      <c r="G81" s="32" t="s">
        <v>607</v>
      </c>
      <c r="H81" s="20" t="s">
        <v>4422</v>
      </c>
      <c r="I81" s="20">
        <v>112111</v>
      </c>
      <c r="J81" s="20">
        <v>7118</v>
      </c>
      <c r="K81" s="20" t="s">
        <v>20</v>
      </c>
      <c r="L81" s="20">
        <v>1</v>
      </c>
      <c r="M81" s="34">
        <v>10000</v>
      </c>
      <c r="N81" s="34">
        <f t="shared" si="5"/>
        <v>10000</v>
      </c>
      <c r="O81" s="20" t="s">
        <v>21</v>
      </c>
      <c r="P81" s="20">
        <f t="shared" si="6"/>
        <v>57</v>
      </c>
    </row>
    <row r="82" spans="1:16" x14ac:dyDescent="0.25">
      <c r="A82" s="20" t="s">
        <v>2679</v>
      </c>
      <c r="B82" s="63" t="s">
        <v>522</v>
      </c>
      <c r="C82" s="20">
        <f t="shared" si="7"/>
        <v>110</v>
      </c>
      <c r="D82" s="20">
        <v>1</v>
      </c>
      <c r="E82" s="20"/>
      <c r="F82" s="20"/>
      <c r="G82" s="32" t="s">
        <v>91</v>
      </c>
      <c r="H82" s="20" t="s">
        <v>4423</v>
      </c>
      <c r="I82" s="20">
        <v>112111</v>
      </c>
      <c r="J82" s="20">
        <v>131</v>
      </c>
      <c r="K82" s="20" t="s">
        <v>20</v>
      </c>
      <c r="L82" s="20">
        <v>1</v>
      </c>
      <c r="M82" s="34">
        <v>8516129</v>
      </c>
      <c r="N82" s="34">
        <f t="shared" si="5"/>
        <v>8516129</v>
      </c>
      <c r="O82" s="20" t="s">
        <v>21</v>
      </c>
      <c r="P82" s="20">
        <f t="shared" si="6"/>
        <v>58</v>
      </c>
    </row>
    <row r="83" spans="1:16" x14ac:dyDescent="0.25">
      <c r="A83" s="20" t="s">
        <v>2679</v>
      </c>
      <c r="B83" s="63" t="s">
        <v>514</v>
      </c>
      <c r="C83" s="20">
        <f t="shared" si="3"/>
        <v>111</v>
      </c>
      <c r="D83" s="20">
        <v>1</v>
      </c>
      <c r="E83" s="20"/>
      <c r="F83" s="20"/>
      <c r="G83" s="32" t="s">
        <v>59</v>
      </c>
      <c r="H83" s="20" t="s">
        <v>4424</v>
      </c>
      <c r="I83" s="20">
        <v>112111</v>
      </c>
      <c r="J83" s="20">
        <v>131</v>
      </c>
      <c r="K83" s="20" t="s">
        <v>20</v>
      </c>
      <c r="L83" s="20">
        <v>1</v>
      </c>
      <c r="M83" s="34">
        <v>10645161</v>
      </c>
      <c r="N83" s="34">
        <f t="shared" si="5"/>
        <v>10645161</v>
      </c>
      <c r="O83" s="20" t="s">
        <v>21</v>
      </c>
      <c r="P83" s="20">
        <f t="shared" si="6"/>
        <v>59</v>
      </c>
    </row>
    <row r="84" spans="1:16" x14ac:dyDescent="0.25">
      <c r="A84" s="20" t="s">
        <v>2678</v>
      </c>
      <c r="B84" s="63" t="s">
        <v>514</v>
      </c>
      <c r="C84" s="20">
        <f t="shared" si="3"/>
        <v>112</v>
      </c>
      <c r="D84" s="20">
        <v>1</v>
      </c>
      <c r="E84" s="20"/>
      <c r="F84" s="20"/>
      <c r="G84" s="32" t="s">
        <v>196</v>
      </c>
      <c r="H84" s="20" t="s">
        <v>3017</v>
      </c>
      <c r="I84" s="20">
        <v>1111</v>
      </c>
      <c r="J84" s="20">
        <v>112111</v>
      </c>
      <c r="K84" s="20" t="s">
        <v>20</v>
      </c>
      <c r="L84" s="20">
        <v>1</v>
      </c>
      <c r="M84" s="34">
        <v>34000000</v>
      </c>
      <c r="N84" s="34">
        <f t="shared" si="5"/>
        <v>34000000</v>
      </c>
      <c r="O84" s="20" t="s">
        <v>21</v>
      </c>
      <c r="P84" s="20">
        <f t="shared" si="6"/>
        <v>60</v>
      </c>
    </row>
    <row r="85" spans="1:16" x14ac:dyDescent="0.25">
      <c r="A85" s="20" t="s">
        <v>2679</v>
      </c>
      <c r="B85" s="63" t="s">
        <v>602</v>
      </c>
      <c r="C85" s="20">
        <f t="shared" si="3"/>
        <v>113</v>
      </c>
      <c r="D85" s="20">
        <v>1</v>
      </c>
      <c r="E85" s="20"/>
      <c r="F85" s="20"/>
      <c r="G85" s="32" t="s">
        <v>88</v>
      </c>
      <c r="H85" s="20" t="s">
        <v>4438</v>
      </c>
      <c r="I85" s="20">
        <v>112111</v>
      </c>
      <c r="J85" s="20">
        <v>131</v>
      </c>
      <c r="K85" s="20" t="s">
        <v>20</v>
      </c>
      <c r="L85" s="20">
        <v>1</v>
      </c>
      <c r="M85" s="34">
        <v>7451613</v>
      </c>
      <c r="N85" s="34">
        <f t="shared" si="5"/>
        <v>7451613</v>
      </c>
      <c r="O85" s="20" t="s">
        <v>21</v>
      </c>
      <c r="P85" s="20">
        <f t="shared" si="6"/>
        <v>61</v>
      </c>
    </row>
    <row r="86" spans="1:16" x14ac:dyDescent="0.25">
      <c r="A86" s="20" t="s">
        <v>2679</v>
      </c>
      <c r="B86" s="63" t="s">
        <v>602</v>
      </c>
      <c r="C86" s="20">
        <f t="shared" si="3"/>
        <v>114</v>
      </c>
      <c r="D86" s="20">
        <v>1</v>
      </c>
      <c r="E86" s="20"/>
      <c r="F86" s="20"/>
      <c r="G86" s="32" t="s">
        <v>110</v>
      </c>
      <c r="H86" s="20" t="s">
        <v>4439</v>
      </c>
      <c r="I86" s="20">
        <v>112111</v>
      </c>
      <c r="J86" s="20">
        <v>131</v>
      </c>
      <c r="K86" s="20" t="s">
        <v>20</v>
      </c>
      <c r="L86" s="20">
        <v>1</v>
      </c>
      <c r="M86" s="34">
        <v>9580645</v>
      </c>
      <c r="N86" s="34">
        <f t="shared" si="5"/>
        <v>9580645</v>
      </c>
      <c r="O86" s="20" t="s">
        <v>21</v>
      </c>
      <c r="P86" s="20">
        <f t="shared" si="6"/>
        <v>62</v>
      </c>
    </row>
    <row r="87" spans="1:16" x14ac:dyDescent="0.25">
      <c r="A87" s="20" t="s">
        <v>2678</v>
      </c>
      <c r="B87" s="63" t="s">
        <v>588</v>
      </c>
      <c r="C87" s="20">
        <f t="shared" si="3"/>
        <v>115</v>
      </c>
      <c r="D87" s="20">
        <v>1</v>
      </c>
      <c r="E87" s="20"/>
      <c r="F87" s="20"/>
      <c r="G87" s="32" t="s">
        <v>196</v>
      </c>
      <c r="H87" s="20" t="s">
        <v>3017</v>
      </c>
      <c r="I87" s="20">
        <v>1111</v>
      </c>
      <c r="J87" s="20">
        <v>112111</v>
      </c>
      <c r="K87" s="20" t="s">
        <v>20</v>
      </c>
      <c r="L87" s="20">
        <v>1</v>
      </c>
      <c r="M87" s="34">
        <v>12000000</v>
      </c>
      <c r="N87" s="34">
        <f t="shared" si="5"/>
        <v>12000000</v>
      </c>
      <c r="O87" s="20" t="s">
        <v>21</v>
      </c>
      <c r="P87" s="20">
        <f t="shared" si="6"/>
        <v>63</v>
      </c>
    </row>
    <row r="88" spans="1:16" x14ac:dyDescent="0.25">
      <c r="A88" s="20" t="s">
        <v>2678</v>
      </c>
      <c r="B88" s="63" t="s">
        <v>588</v>
      </c>
      <c r="C88" s="20">
        <f t="shared" si="3"/>
        <v>116</v>
      </c>
      <c r="D88" s="20">
        <v>1</v>
      </c>
      <c r="E88" s="20"/>
      <c r="F88" s="20"/>
      <c r="G88" s="32" t="s">
        <v>196</v>
      </c>
      <c r="H88" s="20" t="s">
        <v>3017</v>
      </c>
      <c r="I88" s="20">
        <v>1111</v>
      </c>
      <c r="J88" s="20">
        <v>112111</v>
      </c>
      <c r="K88" s="20" t="s">
        <v>20</v>
      </c>
      <c r="L88" s="20">
        <v>1</v>
      </c>
      <c r="M88" s="34">
        <v>5000000</v>
      </c>
      <c r="N88" s="34">
        <f t="shared" si="5"/>
        <v>5000000</v>
      </c>
      <c r="O88" s="20" t="s">
        <v>21</v>
      </c>
      <c r="P88" s="20">
        <f t="shared" si="6"/>
        <v>64</v>
      </c>
    </row>
    <row r="89" spans="1:16" x14ac:dyDescent="0.25">
      <c r="A89" s="20" t="s">
        <v>2679</v>
      </c>
      <c r="B89" s="63" t="s">
        <v>379</v>
      </c>
      <c r="C89" s="20">
        <f t="shared" si="3"/>
        <v>117</v>
      </c>
      <c r="D89" s="20">
        <v>1</v>
      </c>
      <c r="E89" s="20"/>
      <c r="F89" s="20"/>
      <c r="G89" s="32" t="s">
        <v>196</v>
      </c>
      <c r="H89" s="20" t="s">
        <v>2687</v>
      </c>
      <c r="I89" s="20">
        <v>112111</v>
      </c>
      <c r="J89" s="20">
        <v>5154</v>
      </c>
      <c r="K89" s="20" t="s">
        <v>20</v>
      </c>
      <c r="L89" s="20">
        <v>1</v>
      </c>
      <c r="M89" s="34">
        <v>593</v>
      </c>
      <c r="N89" s="34">
        <f t="shared" si="5"/>
        <v>593</v>
      </c>
      <c r="O89" s="20" t="s">
        <v>21</v>
      </c>
      <c r="P89" s="20">
        <f t="shared" si="6"/>
        <v>65</v>
      </c>
    </row>
    <row r="90" spans="1:16" x14ac:dyDescent="0.25">
      <c r="A90" s="20" t="s">
        <v>2679</v>
      </c>
      <c r="B90" s="63" t="s">
        <v>379</v>
      </c>
      <c r="C90" s="20">
        <f t="shared" si="3"/>
        <v>118</v>
      </c>
      <c r="D90" s="20">
        <v>1</v>
      </c>
      <c r="E90" s="20"/>
      <c r="F90" s="20"/>
      <c r="G90" s="14" t="s">
        <v>43</v>
      </c>
      <c r="H90" s="20" t="s">
        <v>3019</v>
      </c>
      <c r="I90" s="20">
        <v>112111</v>
      </c>
      <c r="J90" s="20">
        <v>3388</v>
      </c>
      <c r="K90" s="20" t="s">
        <v>20</v>
      </c>
      <c r="L90" s="20">
        <v>1</v>
      </c>
      <c r="M90" s="34">
        <v>7000000</v>
      </c>
      <c r="N90" s="34">
        <f t="shared" si="5"/>
        <v>7000000</v>
      </c>
      <c r="O90" s="20" t="s">
        <v>21</v>
      </c>
      <c r="P90" s="20">
        <f t="shared" si="6"/>
        <v>66</v>
      </c>
    </row>
    <row r="91" spans="1:16" x14ac:dyDescent="0.25">
      <c r="A91" s="20" t="s">
        <v>2678</v>
      </c>
      <c r="B91" s="63" t="s">
        <v>523</v>
      </c>
      <c r="C91" s="20">
        <f t="shared" si="3"/>
        <v>119</v>
      </c>
      <c r="D91" s="20">
        <v>1</v>
      </c>
      <c r="E91" s="20"/>
      <c r="F91" s="20"/>
      <c r="G91" s="14" t="s">
        <v>43</v>
      </c>
      <c r="H91" s="20" t="s">
        <v>3428</v>
      </c>
      <c r="I91" s="20">
        <v>3388</v>
      </c>
      <c r="J91" s="20">
        <v>112111</v>
      </c>
      <c r="K91" s="20" t="s">
        <v>20</v>
      </c>
      <c r="L91" s="20">
        <v>1</v>
      </c>
      <c r="M91" s="34">
        <v>6000000</v>
      </c>
      <c r="N91" s="34">
        <f t="shared" si="5"/>
        <v>6000000</v>
      </c>
      <c r="O91" s="20" t="s">
        <v>21</v>
      </c>
      <c r="P91" s="20">
        <f t="shared" si="6"/>
        <v>67</v>
      </c>
    </row>
    <row r="92" spans="1:16" x14ac:dyDescent="0.25">
      <c r="A92" s="20" t="s">
        <v>2679</v>
      </c>
      <c r="B92" s="63" t="s">
        <v>523</v>
      </c>
      <c r="C92" s="20">
        <f t="shared" si="3"/>
        <v>120</v>
      </c>
      <c r="D92" s="20">
        <v>1</v>
      </c>
      <c r="E92" s="20"/>
      <c r="F92" s="20"/>
      <c r="G92" s="14" t="s">
        <v>43</v>
      </c>
      <c r="H92" s="20" t="s">
        <v>3019</v>
      </c>
      <c r="I92" s="20">
        <v>112111</v>
      </c>
      <c r="J92" s="20">
        <v>3388</v>
      </c>
      <c r="K92" s="20" t="s">
        <v>20</v>
      </c>
      <c r="L92" s="20">
        <v>1</v>
      </c>
      <c r="M92" s="34">
        <v>6000000</v>
      </c>
      <c r="N92" s="34">
        <f t="shared" si="5"/>
        <v>6000000</v>
      </c>
      <c r="O92" s="20" t="s">
        <v>21</v>
      </c>
      <c r="P92" s="20">
        <f t="shared" si="6"/>
        <v>68</v>
      </c>
    </row>
    <row r="93" spans="1:16" x14ac:dyDescent="0.25">
      <c r="A93" s="20" t="s">
        <v>2678</v>
      </c>
      <c r="B93" s="63" t="s">
        <v>523</v>
      </c>
      <c r="C93" s="20">
        <f t="shared" si="3"/>
        <v>121</v>
      </c>
      <c r="D93" s="20">
        <v>1</v>
      </c>
      <c r="E93" s="20"/>
      <c r="F93" s="20"/>
      <c r="G93" s="14" t="s">
        <v>43</v>
      </c>
      <c r="H93" s="20" t="s">
        <v>3428</v>
      </c>
      <c r="I93" s="20">
        <v>3388</v>
      </c>
      <c r="J93" s="20">
        <v>112111</v>
      </c>
      <c r="K93" s="20" t="s">
        <v>20</v>
      </c>
      <c r="L93" s="20">
        <v>1</v>
      </c>
      <c r="M93" s="34">
        <v>7000000</v>
      </c>
      <c r="N93" s="34">
        <f t="shared" si="5"/>
        <v>7000000</v>
      </c>
      <c r="O93" s="20" t="s">
        <v>21</v>
      </c>
      <c r="P93" s="20">
        <f t="shared" si="6"/>
        <v>69</v>
      </c>
    </row>
    <row r="94" spans="1:16" x14ac:dyDescent="0.25">
      <c r="A94" s="20" t="s">
        <v>2679</v>
      </c>
      <c r="B94" s="63" t="s">
        <v>455</v>
      </c>
      <c r="C94" s="20">
        <f t="shared" si="3"/>
        <v>122</v>
      </c>
      <c r="D94" s="20">
        <v>1</v>
      </c>
      <c r="E94" s="20"/>
      <c r="F94" s="20"/>
      <c r="G94" s="32" t="s">
        <v>60</v>
      </c>
      <c r="H94" s="20" t="s">
        <v>4440</v>
      </c>
      <c r="I94" s="20">
        <v>112111</v>
      </c>
      <c r="J94" s="20">
        <v>131</v>
      </c>
      <c r="K94" s="20" t="s">
        <v>20</v>
      </c>
      <c r="L94" s="20">
        <v>1</v>
      </c>
      <c r="M94" s="34">
        <v>8516129</v>
      </c>
      <c r="N94" s="34">
        <f t="shared" si="5"/>
        <v>8516129</v>
      </c>
      <c r="O94" s="20" t="s">
        <v>21</v>
      </c>
      <c r="P94" s="20">
        <f t="shared" si="6"/>
        <v>70</v>
      </c>
    </row>
    <row r="95" spans="1:16" x14ac:dyDescent="0.25">
      <c r="A95" s="20" t="s">
        <v>2679</v>
      </c>
      <c r="B95" s="63" t="s">
        <v>515</v>
      </c>
      <c r="C95" s="20">
        <f t="shared" si="3"/>
        <v>123</v>
      </c>
      <c r="D95" s="20">
        <v>1</v>
      </c>
      <c r="E95" s="20"/>
      <c r="F95" s="20"/>
      <c r="G95" s="32" t="s">
        <v>59</v>
      </c>
      <c r="H95" s="20" t="s">
        <v>4425</v>
      </c>
      <c r="I95" s="20">
        <v>112111</v>
      </c>
      <c r="J95" s="20">
        <v>131</v>
      </c>
      <c r="K95" s="20" t="s">
        <v>20</v>
      </c>
      <c r="L95" s="20">
        <v>1</v>
      </c>
      <c r="M95" s="34">
        <v>8516129</v>
      </c>
      <c r="N95" s="34">
        <f t="shared" si="5"/>
        <v>8516129</v>
      </c>
      <c r="O95" s="20" t="s">
        <v>21</v>
      </c>
      <c r="P95" s="20">
        <f t="shared" si="6"/>
        <v>71</v>
      </c>
    </row>
    <row r="96" spans="1:16" x14ac:dyDescent="0.25">
      <c r="A96" s="20" t="s">
        <v>2679</v>
      </c>
      <c r="B96" s="63" t="s">
        <v>515</v>
      </c>
      <c r="C96" s="20">
        <f t="shared" si="3"/>
        <v>124</v>
      </c>
      <c r="D96" s="20">
        <v>1</v>
      </c>
      <c r="E96" s="20"/>
      <c r="F96" s="20"/>
      <c r="G96" s="32" t="s">
        <v>26</v>
      </c>
      <c r="H96" s="20" t="s">
        <v>4441</v>
      </c>
      <c r="I96" s="20">
        <v>112111</v>
      </c>
      <c r="J96" s="20">
        <v>131</v>
      </c>
      <c r="K96" s="20" t="s">
        <v>20</v>
      </c>
      <c r="L96" s="20">
        <v>1</v>
      </c>
      <c r="M96" s="34">
        <v>9580645</v>
      </c>
      <c r="N96" s="34">
        <f t="shared" si="5"/>
        <v>9580645</v>
      </c>
      <c r="O96" s="20" t="s">
        <v>21</v>
      </c>
      <c r="P96" s="20">
        <f t="shared" si="6"/>
        <v>72</v>
      </c>
    </row>
    <row r="97" spans="1:16" x14ac:dyDescent="0.25">
      <c r="A97" s="20" t="s">
        <v>2678</v>
      </c>
      <c r="B97" s="63" t="s">
        <v>456</v>
      </c>
      <c r="C97" s="20">
        <f t="shared" si="3"/>
        <v>125</v>
      </c>
      <c r="D97" s="20">
        <v>1</v>
      </c>
      <c r="E97" s="20"/>
      <c r="F97" s="20"/>
      <c r="G97" s="32" t="s">
        <v>196</v>
      </c>
      <c r="H97" s="20" t="s">
        <v>3017</v>
      </c>
      <c r="I97" s="20">
        <v>1111</v>
      </c>
      <c r="J97" s="20">
        <v>112111</v>
      </c>
      <c r="K97" s="20" t="s">
        <v>20</v>
      </c>
      <c r="L97" s="20">
        <v>1</v>
      </c>
      <c r="M97" s="34">
        <v>18000000</v>
      </c>
      <c r="N97" s="34">
        <f t="shared" si="5"/>
        <v>18000000</v>
      </c>
      <c r="O97" s="20" t="s">
        <v>21</v>
      </c>
      <c r="P97" s="20">
        <f t="shared" si="6"/>
        <v>73</v>
      </c>
    </row>
    <row r="98" spans="1:16" x14ac:dyDescent="0.25">
      <c r="A98" s="20" t="s">
        <v>2679</v>
      </c>
      <c r="B98" s="63" t="s">
        <v>604</v>
      </c>
      <c r="C98" s="20">
        <f t="shared" si="3"/>
        <v>126</v>
      </c>
      <c r="D98" s="20">
        <v>1</v>
      </c>
      <c r="E98" s="20"/>
      <c r="F98" s="20"/>
      <c r="G98" s="32" t="s">
        <v>605</v>
      </c>
      <c r="H98" s="20" t="s">
        <v>4426</v>
      </c>
      <c r="I98" s="20">
        <v>112111</v>
      </c>
      <c r="J98" s="20">
        <v>131</v>
      </c>
      <c r="K98" s="20" t="s">
        <v>20</v>
      </c>
      <c r="L98" s="20">
        <v>1</v>
      </c>
      <c r="M98" s="34">
        <v>7000000</v>
      </c>
      <c r="N98" s="34">
        <f t="shared" si="5"/>
        <v>7000000</v>
      </c>
      <c r="O98" s="20" t="s">
        <v>21</v>
      </c>
      <c r="P98" s="20">
        <f t="shared" si="6"/>
        <v>74</v>
      </c>
    </row>
    <row r="99" spans="1:16" x14ac:dyDescent="0.25">
      <c r="A99" s="20" t="s">
        <v>2678</v>
      </c>
      <c r="B99" s="63" t="s">
        <v>2382</v>
      </c>
      <c r="C99" s="20">
        <f t="shared" si="3"/>
        <v>127</v>
      </c>
      <c r="D99" s="20">
        <v>1</v>
      </c>
      <c r="E99" s="20"/>
      <c r="F99" s="20"/>
      <c r="G99" s="32" t="s">
        <v>196</v>
      </c>
      <c r="H99" s="20" t="s">
        <v>3017</v>
      </c>
      <c r="I99" s="20">
        <v>1111</v>
      </c>
      <c r="J99" s="20">
        <v>112111</v>
      </c>
      <c r="K99" s="20" t="s">
        <v>20</v>
      </c>
      <c r="L99" s="20">
        <v>1</v>
      </c>
      <c r="M99" s="34">
        <v>16000000</v>
      </c>
      <c r="N99" s="34">
        <f t="shared" si="5"/>
        <v>16000000</v>
      </c>
      <c r="O99" s="20" t="s">
        <v>21</v>
      </c>
      <c r="P99" s="20">
        <f t="shared" si="6"/>
        <v>75</v>
      </c>
    </row>
    <row r="100" spans="1:16" x14ac:dyDescent="0.25">
      <c r="A100" s="20" t="s">
        <v>2719</v>
      </c>
      <c r="B100" s="63" t="s">
        <v>310</v>
      </c>
      <c r="C100" s="20">
        <f t="shared" si="3"/>
        <v>128</v>
      </c>
      <c r="D100" s="20">
        <v>1</v>
      </c>
      <c r="E100" s="20"/>
      <c r="F100" s="20"/>
      <c r="G100" s="32" t="s">
        <v>277</v>
      </c>
      <c r="H100" s="20" t="s">
        <v>4427</v>
      </c>
      <c r="I100" s="20">
        <v>331</v>
      </c>
      <c r="J100" s="20">
        <v>1111</v>
      </c>
      <c r="K100" s="20" t="s">
        <v>20</v>
      </c>
      <c r="L100" s="20">
        <v>1</v>
      </c>
      <c r="M100" s="34">
        <v>140378</v>
      </c>
      <c r="N100" s="34">
        <f t="shared" si="5"/>
        <v>140378</v>
      </c>
      <c r="O100" s="20" t="s">
        <v>21</v>
      </c>
      <c r="P100" s="20">
        <f t="shared" si="6"/>
        <v>76</v>
      </c>
    </row>
    <row r="101" spans="1:16" x14ac:dyDescent="0.25">
      <c r="A101" s="20" t="s">
        <v>2719</v>
      </c>
      <c r="B101" s="63" t="s">
        <v>310</v>
      </c>
      <c r="C101" s="20">
        <f t="shared" ref="C101:C116" si="8">C100+D101</f>
        <v>129</v>
      </c>
      <c r="D101" s="20">
        <v>1</v>
      </c>
      <c r="E101" s="20"/>
      <c r="F101" s="20"/>
      <c r="G101" s="32" t="s">
        <v>277</v>
      </c>
      <c r="H101" s="20" t="s">
        <v>4428</v>
      </c>
      <c r="I101" s="20">
        <v>331</v>
      </c>
      <c r="J101" s="20">
        <v>1111</v>
      </c>
      <c r="K101" s="20" t="s">
        <v>20</v>
      </c>
      <c r="L101" s="20">
        <v>1</v>
      </c>
      <c r="M101" s="34">
        <v>261584</v>
      </c>
      <c r="N101" s="34">
        <f t="shared" si="5"/>
        <v>261584</v>
      </c>
      <c r="O101" s="20" t="s">
        <v>21</v>
      </c>
      <c r="P101" s="20">
        <f t="shared" si="6"/>
        <v>77</v>
      </c>
    </row>
    <row r="102" spans="1:16" x14ac:dyDescent="0.25">
      <c r="A102" s="20" t="s">
        <v>2719</v>
      </c>
      <c r="B102" s="63" t="s">
        <v>468</v>
      </c>
      <c r="C102" s="20">
        <f t="shared" si="8"/>
        <v>130</v>
      </c>
      <c r="D102" s="20">
        <v>1</v>
      </c>
      <c r="E102" s="20"/>
      <c r="F102" s="20"/>
      <c r="G102" s="32" t="s">
        <v>277</v>
      </c>
      <c r="H102" s="20" t="s">
        <v>4429</v>
      </c>
      <c r="I102" s="20">
        <v>331</v>
      </c>
      <c r="J102" s="20">
        <v>1111</v>
      </c>
      <c r="K102" s="20" t="s">
        <v>20</v>
      </c>
      <c r="L102" s="20">
        <v>1</v>
      </c>
      <c r="M102" s="34">
        <v>4921</v>
      </c>
      <c r="N102" s="34">
        <f t="shared" si="5"/>
        <v>4921</v>
      </c>
      <c r="O102" s="20" t="s">
        <v>21</v>
      </c>
      <c r="P102" s="20">
        <f t="shared" si="6"/>
        <v>78</v>
      </c>
    </row>
    <row r="103" spans="1:16" x14ac:dyDescent="0.25">
      <c r="A103" s="20" t="s">
        <v>2719</v>
      </c>
      <c r="B103" s="63" t="s">
        <v>468</v>
      </c>
      <c r="C103" s="20">
        <f t="shared" si="8"/>
        <v>131</v>
      </c>
      <c r="D103" s="20">
        <v>1</v>
      </c>
      <c r="E103" s="20"/>
      <c r="F103" s="20"/>
      <c r="G103" s="32" t="s">
        <v>277</v>
      </c>
      <c r="H103" s="20" t="s">
        <v>4430</v>
      </c>
      <c r="I103" s="20">
        <v>331</v>
      </c>
      <c r="J103" s="20">
        <v>1111</v>
      </c>
      <c r="K103" s="20" t="s">
        <v>20</v>
      </c>
      <c r="L103" s="20">
        <v>1</v>
      </c>
      <c r="M103" s="34">
        <v>53140</v>
      </c>
      <c r="N103" s="34">
        <f t="shared" si="5"/>
        <v>53140</v>
      </c>
      <c r="O103" s="20" t="s">
        <v>21</v>
      </c>
      <c r="P103" s="20">
        <f t="shared" si="6"/>
        <v>79</v>
      </c>
    </row>
    <row r="104" spans="1:16" x14ac:dyDescent="0.25">
      <c r="A104" s="20" t="s">
        <v>2719</v>
      </c>
      <c r="B104" s="63" t="s">
        <v>314</v>
      </c>
      <c r="C104" s="20">
        <f t="shared" si="8"/>
        <v>132</v>
      </c>
      <c r="D104" s="20">
        <v>1</v>
      </c>
      <c r="E104" s="20"/>
      <c r="F104" s="20"/>
      <c r="G104" s="32" t="s">
        <v>37</v>
      </c>
      <c r="H104" s="20" t="s">
        <v>4431</v>
      </c>
      <c r="I104" s="20">
        <v>331</v>
      </c>
      <c r="J104" s="20">
        <v>1111</v>
      </c>
      <c r="K104" s="20" t="s">
        <v>20</v>
      </c>
      <c r="L104" s="20">
        <v>1</v>
      </c>
      <c r="M104" s="34">
        <v>2160000</v>
      </c>
      <c r="N104" s="34">
        <f t="shared" si="5"/>
        <v>2160000</v>
      </c>
      <c r="O104" s="20" t="s">
        <v>21</v>
      </c>
      <c r="P104" s="20">
        <f t="shared" si="6"/>
        <v>80</v>
      </c>
    </row>
    <row r="105" spans="1:16" x14ac:dyDescent="0.25">
      <c r="A105" s="20" t="s">
        <v>2719</v>
      </c>
      <c r="B105" s="63" t="s">
        <v>314</v>
      </c>
      <c r="C105" s="20">
        <f t="shared" si="8"/>
        <v>133</v>
      </c>
      <c r="D105" s="20">
        <v>1</v>
      </c>
      <c r="E105" s="20"/>
      <c r="F105" s="20"/>
      <c r="G105" s="32" t="s">
        <v>37</v>
      </c>
      <c r="H105" s="20" t="s">
        <v>4432</v>
      </c>
      <c r="I105" s="20">
        <v>331</v>
      </c>
      <c r="J105" s="20">
        <v>1111</v>
      </c>
      <c r="K105" s="20" t="s">
        <v>20</v>
      </c>
      <c r="L105" s="20">
        <v>1</v>
      </c>
      <c r="M105" s="34">
        <v>2160000</v>
      </c>
      <c r="N105" s="34">
        <f t="shared" si="5"/>
        <v>2160000</v>
      </c>
      <c r="O105" s="20" t="s">
        <v>21</v>
      </c>
      <c r="P105" s="20">
        <f t="shared" si="6"/>
        <v>81</v>
      </c>
    </row>
    <row r="106" spans="1:16" x14ac:dyDescent="0.25">
      <c r="A106" s="20" t="s">
        <v>2719</v>
      </c>
      <c r="B106" s="63" t="s">
        <v>522</v>
      </c>
      <c r="C106" s="20">
        <f t="shared" si="8"/>
        <v>134</v>
      </c>
      <c r="D106" s="20">
        <v>1</v>
      </c>
      <c r="E106" s="20"/>
      <c r="F106" s="20"/>
      <c r="G106" s="32" t="s">
        <v>277</v>
      </c>
      <c r="H106" s="20" t="s">
        <v>4433</v>
      </c>
      <c r="I106" s="20">
        <v>331</v>
      </c>
      <c r="J106" s="20">
        <v>1111</v>
      </c>
      <c r="K106" s="20" t="s">
        <v>20</v>
      </c>
      <c r="L106" s="20">
        <v>1</v>
      </c>
      <c r="M106" s="34">
        <v>548900</v>
      </c>
      <c r="N106" s="34">
        <f t="shared" si="5"/>
        <v>548900</v>
      </c>
      <c r="O106" s="20" t="s">
        <v>21</v>
      </c>
      <c r="P106" s="20">
        <f t="shared" si="6"/>
        <v>82</v>
      </c>
    </row>
    <row r="107" spans="1:16" x14ac:dyDescent="0.25">
      <c r="A107" s="20" t="s">
        <v>2719</v>
      </c>
      <c r="B107" s="63" t="s">
        <v>456</v>
      </c>
      <c r="C107" s="20">
        <f t="shared" si="8"/>
        <v>135</v>
      </c>
      <c r="D107" s="20">
        <v>1</v>
      </c>
      <c r="E107" s="20"/>
      <c r="F107" s="20"/>
      <c r="G107" s="32" t="s">
        <v>37</v>
      </c>
      <c r="H107" s="20" t="s">
        <v>4434</v>
      </c>
      <c r="I107" s="20">
        <v>331</v>
      </c>
      <c r="J107" s="20">
        <v>1111</v>
      </c>
      <c r="K107" s="20" t="s">
        <v>20</v>
      </c>
      <c r="L107" s="20">
        <v>1</v>
      </c>
      <c r="M107" s="34">
        <v>2160000</v>
      </c>
      <c r="N107" s="34">
        <f t="shared" si="5"/>
        <v>2160000</v>
      </c>
      <c r="O107" s="20" t="s">
        <v>21</v>
      </c>
      <c r="P107" s="20">
        <f t="shared" si="6"/>
        <v>83</v>
      </c>
    </row>
    <row r="108" spans="1:16" x14ac:dyDescent="0.25">
      <c r="A108" s="20" t="s">
        <v>2719</v>
      </c>
      <c r="B108" s="63" t="s">
        <v>2045</v>
      </c>
      <c r="C108" s="20">
        <f t="shared" si="8"/>
        <v>136</v>
      </c>
      <c r="D108" s="20">
        <v>1</v>
      </c>
      <c r="E108" s="20"/>
      <c r="F108" s="20"/>
      <c r="G108" s="32" t="s">
        <v>35</v>
      </c>
      <c r="H108" s="20" t="s">
        <v>4435</v>
      </c>
      <c r="I108" s="20">
        <v>331</v>
      </c>
      <c r="J108" s="20">
        <v>1111</v>
      </c>
      <c r="K108" s="20" t="s">
        <v>20</v>
      </c>
      <c r="L108" s="20">
        <v>1</v>
      </c>
      <c r="M108" s="34">
        <v>1141938</v>
      </c>
      <c r="N108" s="34">
        <f t="shared" si="5"/>
        <v>1141938</v>
      </c>
      <c r="O108" s="20" t="s">
        <v>21</v>
      </c>
      <c r="P108" s="20">
        <f t="shared" si="6"/>
        <v>84</v>
      </c>
    </row>
    <row r="109" spans="1:16" x14ac:dyDescent="0.25">
      <c r="A109" s="20" t="s">
        <v>2719</v>
      </c>
      <c r="B109" s="63" t="s">
        <v>2382</v>
      </c>
      <c r="C109" s="20">
        <f t="shared" si="8"/>
        <v>137</v>
      </c>
      <c r="D109" s="20">
        <v>1</v>
      </c>
      <c r="E109" s="20"/>
      <c r="F109" s="20"/>
      <c r="G109" s="32" t="s">
        <v>277</v>
      </c>
      <c r="H109" s="20" t="s">
        <v>4436</v>
      </c>
      <c r="I109" s="20">
        <v>331</v>
      </c>
      <c r="J109" s="20">
        <v>1111</v>
      </c>
      <c r="K109" s="20" t="s">
        <v>20</v>
      </c>
      <c r="L109" s="20">
        <v>1</v>
      </c>
      <c r="M109" s="34">
        <v>548900</v>
      </c>
      <c r="N109" s="34">
        <f t="shared" si="5"/>
        <v>548900</v>
      </c>
      <c r="O109" s="20" t="s">
        <v>21</v>
      </c>
      <c r="P109" s="20">
        <f t="shared" si="6"/>
        <v>85</v>
      </c>
    </row>
    <row r="110" spans="1:16" x14ac:dyDescent="0.25">
      <c r="A110" s="20" t="s">
        <v>2719</v>
      </c>
      <c r="B110" s="63" t="s">
        <v>2504</v>
      </c>
      <c r="C110" s="20">
        <f t="shared" si="8"/>
        <v>138</v>
      </c>
      <c r="D110" s="20">
        <v>1</v>
      </c>
      <c r="E110" s="20"/>
      <c r="F110" s="20"/>
      <c r="G110" s="32" t="s">
        <v>2564</v>
      </c>
      <c r="H110" s="20" t="s">
        <v>4437</v>
      </c>
      <c r="I110" s="20">
        <v>331</v>
      </c>
      <c r="J110" s="20">
        <v>1111</v>
      </c>
      <c r="K110" s="20" t="s">
        <v>20</v>
      </c>
      <c r="L110" s="20">
        <v>1</v>
      </c>
      <c r="M110" s="34">
        <v>476280</v>
      </c>
      <c r="N110" s="34">
        <f t="shared" si="5"/>
        <v>476280</v>
      </c>
      <c r="O110" s="20" t="s">
        <v>21</v>
      </c>
      <c r="P110" s="20">
        <f t="shared" si="6"/>
        <v>86</v>
      </c>
    </row>
    <row r="111" spans="1:16" x14ac:dyDescent="0.25">
      <c r="A111" s="20" t="s">
        <v>2719</v>
      </c>
      <c r="B111" s="63">
        <v>45961</v>
      </c>
      <c r="C111" s="20">
        <f t="shared" si="8"/>
        <v>139</v>
      </c>
      <c r="D111" s="20">
        <v>1</v>
      </c>
      <c r="E111" s="20"/>
      <c r="F111" s="20"/>
      <c r="G111" s="32" t="s">
        <v>93</v>
      </c>
      <c r="H111" s="20" t="s">
        <v>2684</v>
      </c>
      <c r="I111" s="20">
        <v>3383</v>
      </c>
      <c r="J111" s="20">
        <v>1111</v>
      </c>
      <c r="K111" s="20" t="s">
        <v>20</v>
      </c>
      <c r="L111" s="20">
        <v>1</v>
      </c>
      <c r="M111" s="34">
        <v>690300</v>
      </c>
      <c r="N111" s="34">
        <f t="shared" si="5"/>
        <v>690300</v>
      </c>
      <c r="O111" s="20" t="s">
        <v>21</v>
      </c>
      <c r="P111" s="20">
        <f t="shared" si="6"/>
        <v>87</v>
      </c>
    </row>
    <row r="112" spans="1:16" x14ac:dyDescent="0.25">
      <c r="A112" s="20" t="s">
        <v>2719</v>
      </c>
      <c r="B112" s="63">
        <v>45991</v>
      </c>
      <c r="C112" s="20">
        <f t="shared" si="8"/>
        <v>140</v>
      </c>
      <c r="D112" s="20">
        <v>1</v>
      </c>
      <c r="E112" s="20"/>
      <c r="F112" s="20"/>
      <c r="G112" s="32" t="s">
        <v>93</v>
      </c>
      <c r="H112" s="20" t="s">
        <v>2685</v>
      </c>
      <c r="I112" s="20">
        <v>3383</v>
      </c>
      <c r="J112" s="20">
        <v>1111</v>
      </c>
      <c r="K112" s="20" t="s">
        <v>20</v>
      </c>
      <c r="L112" s="20">
        <v>1</v>
      </c>
      <c r="M112" s="34">
        <v>690300</v>
      </c>
      <c r="N112" s="34">
        <f t="shared" si="5"/>
        <v>690300</v>
      </c>
      <c r="O112" s="20" t="s">
        <v>21</v>
      </c>
      <c r="P112" s="20">
        <f t="shared" si="6"/>
        <v>88</v>
      </c>
    </row>
    <row r="113" spans="1:16" x14ac:dyDescent="0.25">
      <c r="A113" s="20" t="s">
        <v>2719</v>
      </c>
      <c r="B113" s="63">
        <v>46022</v>
      </c>
      <c r="C113" s="20">
        <f t="shared" si="8"/>
        <v>141</v>
      </c>
      <c r="D113" s="20">
        <v>1</v>
      </c>
      <c r="E113" s="20"/>
      <c r="F113" s="20"/>
      <c r="G113" s="32" t="s">
        <v>93</v>
      </c>
      <c r="H113" s="20" t="s">
        <v>3036</v>
      </c>
      <c r="I113" s="20">
        <v>3383</v>
      </c>
      <c r="J113" s="20">
        <v>1111</v>
      </c>
      <c r="K113" s="20" t="s">
        <v>20</v>
      </c>
      <c r="L113" s="20">
        <v>1</v>
      </c>
      <c r="M113" s="34">
        <v>690300</v>
      </c>
      <c r="N113" s="34">
        <f t="shared" si="5"/>
        <v>690300</v>
      </c>
      <c r="O113" s="20" t="s">
        <v>21</v>
      </c>
      <c r="P113" s="20">
        <f t="shared" si="6"/>
        <v>89</v>
      </c>
    </row>
    <row r="114" spans="1:16" x14ac:dyDescent="0.25">
      <c r="A114" s="20" t="s">
        <v>2719</v>
      </c>
      <c r="B114" s="63" t="s">
        <v>2045</v>
      </c>
      <c r="C114" s="20">
        <f t="shared" si="8"/>
        <v>142</v>
      </c>
      <c r="D114" s="20">
        <v>1</v>
      </c>
      <c r="E114" s="20"/>
      <c r="F114" s="20"/>
      <c r="G114" s="32" t="s">
        <v>35</v>
      </c>
      <c r="H114" s="20" t="s">
        <v>4435</v>
      </c>
      <c r="I114" s="20">
        <v>331</v>
      </c>
      <c r="J114" s="20">
        <v>1111</v>
      </c>
      <c r="K114" s="20" t="s">
        <v>20</v>
      </c>
      <c r="L114" s="20">
        <v>1</v>
      </c>
      <c r="M114" s="34">
        <v>1141938</v>
      </c>
      <c r="N114" s="34">
        <f t="shared" si="5"/>
        <v>1141938</v>
      </c>
      <c r="O114" s="20" t="s">
        <v>21</v>
      </c>
      <c r="P114" s="20">
        <f t="shared" si="6"/>
        <v>90</v>
      </c>
    </row>
    <row r="115" spans="1:16" x14ac:dyDescent="0.25">
      <c r="A115" s="20" t="s">
        <v>2719</v>
      </c>
      <c r="B115" s="63" t="s">
        <v>2504</v>
      </c>
      <c r="C115" s="20">
        <f t="shared" si="8"/>
        <v>143</v>
      </c>
      <c r="D115" s="20">
        <v>1</v>
      </c>
      <c r="E115" s="20"/>
      <c r="F115" s="20"/>
      <c r="G115" s="32" t="s">
        <v>2564</v>
      </c>
      <c r="H115" s="20" t="s">
        <v>4437</v>
      </c>
      <c r="I115" s="20">
        <v>331</v>
      </c>
      <c r="J115" s="20">
        <v>1111</v>
      </c>
      <c r="K115" s="20" t="s">
        <v>20</v>
      </c>
      <c r="L115" s="20">
        <v>1</v>
      </c>
      <c r="M115" s="34">
        <v>476280</v>
      </c>
      <c r="N115" s="34">
        <f t="shared" si="5"/>
        <v>476280</v>
      </c>
      <c r="O115" s="20" t="s">
        <v>21</v>
      </c>
      <c r="P115" s="20">
        <f t="shared" si="6"/>
        <v>91</v>
      </c>
    </row>
    <row r="116" spans="1:16" x14ac:dyDescent="0.25">
      <c r="A116" s="20" t="s">
        <v>2679</v>
      </c>
      <c r="B116" s="63">
        <v>45930</v>
      </c>
      <c r="C116" s="20">
        <f t="shared" si="8"/>
        <v>144</v>
      </c>
      <c r="D116" s="20">
        <v>1</v>
      </c>
      <c r="E116" s="20"/>
      <c r="F116" s="20"/>
      <c r="G116" s="32" t="s">
        <v>196</v>
      </c>
      <c r="H116" s="20" t="s">
        <v>2687</v>
      </c>
      <c r="I116" s="20">
        <v>112111</v>
      </c>
      <c r="J116" s="20">
        <v>5154</v>
      </c>
      <c r="K116" s="20" t="s">
        <v>20</v>
      </c>
      <c r="L116" s="20">
        <v>1</v>
      </c>
      <c r="M116" s="34">
        <v>593</v>
      </c>
      <c r="N116" s="34">
        <f t="shared" ref="N116:N119" si="9">L116*M116</f>
        <v>593</v>
      </c>
      <c r="O116" s="20" t="s">
        <v>21</v>
      </c>
      <c r="P116" s="20">
        <f t="shared" ref="P116:P119" si="10">P115+D116</f>
        <v>92</v>
      </c>
    </row>
    <row r="117" spans="1:16" x14ac:dyDescent="0.25">
      <c r="A117" s="20" t="s">
        <v>2719</v>
      </c>
      <c r="B117" s="63">
        <v>45869</v>
      </c>
      <c r="C117" s="20">
        <f t="shared" ref="C117:C119" si="11">C116+D117</f>
        <v>145</v>
      </c>
      <c r="D117" s="20">
        <v>1</v>
      </c>
      <c r="E117" s="20"/>
      <c r="F117" s="20"/>
      <c r="G117" s="32" t="s">
        <v>93</v>
      </c>
      <c r="H117" s="20" t="s">
        <v>3863</v>
      </c>
      <c r="I117" s="20">
        <v>3383</v>
      </c>
      <c r="J117" s="20">
        <v>1111</v>
      </c>
      <c r="K117" s="20" t="s">
        <v>20</v>
      </c>
      <c r="L117" s="20">
        <v>1</v>
      </c>
      <c r="M117" s="34">
        <v>690300</v>
      </c>
      <c r="N117" s="34">
        <f t="shared" si="9"/>
        <v>690300</v>
      </c>
      <c r="O117" s="20" t="s">
        <v>21</v>
      </c>
      <c r="P117" s="20">
        <f t="shared" si="10"/>
        <v>93</v>
      </c>
    </row>
    <row r="118" spans="1:16" x14ac:dyDescent="0.25">
      <c r="A118" s="20" t="s">
        <v>2719</v>
      </c>
      <c r="B118" s="63">
        <v>45900</v>
      </c>
      <c r="C118" s="20">
        <f t="shared" si="11"/>
        <v>146</v>
      </c>
      <c r="D118" s="20">
        <v>1</v>
      </c>
      <c r="E118" s="20"/>
      <c r="F118" s="20"/>
      <c r="G118" s="32" t="s">
        <v>93</v>
      </c>
      <c r="H118" s="20" t="s">
        <v>3564</v>
      </c>
      <c r="I118" s="20">
        <v>3383</v>
      </c>
      <c r="J118" s="20">
        <v>1111</v>
      </c>
      <c r="K118" s="20" t="s">
        <v>20</v>
      </c>
      <c r="L118" s="20">
        <v>1</v>
      </c>
      <c r="M118" s="34">
        <v>690300</v>
      </c>
      <c r="N118" s="34">
        <f t="shared" si="9"/>
        <v>690300</v>
      </c>
      <c r="O118" s="20" t="s">
        <v>21</v>
      </c>
      <c r="P118" s="20">
        <f t="shared" si="10"/>
        <v>94</v>
      </c>
    </row>
    <row r="119" spans="1:16" x14ac:dyDescent="0.25">
      <c r="A119" s="20" t="s">
        <v>2719</v>
      </c>
      <c r="B119" s="63">
        <v>45930</v>
      </c>
      <c r="C119" s="20">
        <f t="shared" si="11"/>
        <v>147</v>
      </c>
      <c r="D119" s="20">
        <v>1</v>
      </c>
      <c r="E119" s="20"/>
      <c r="F119" s="20"/>
      <c r="G119" s="32" t="s">
        <v>93</v>
      </c>
      <c r="H119" s="20" t="s">
        <v>3164</v>
      </c>
      <c r="I119" s="20">
        <v>3383</v>
      </c>
      <c r="J119" s="20">
        <v>1111</v>
      </c>
      <c r="K119" s="20" t="s">
        <v>20</v>
      </c>
      <c r="L119" s="20">
        <v>1</v>
      </c>
      <c r="M119" s="34">
        <v>690300</v>
      </c>
      <c r="N119" s="34">
        <f t="shared" si="9"/>
        <v>690300</v>
      </c>
      <c r="O119" s="20" t="s">
        <v>21</v>
      </c>
      <c r="P119" s="20">
        <f t="shared" si="10"/>
        <v>95</v>
      </c>
    </row>
  </sheetData>
  <autoFilter ref="A3:P115" xr:uid="{00000000-0009-0000-0000-000006000000}">
    <sortState xmlns:xlrd2="http://schemas.microsoft.com/office/spreadsheetml/2017/richdata2" ref="A4:P59">
      <sortCondition ref="P3:P28"/>
    </sortState>
  </autoFilter>
  <mergeCells count="13">
    <mergeCell ref="K1:K2"/>
    <mergeCell ref="L1:L2"/>
    <mergeCell ref="M1:M2"/>
    <mergeCell ref="N1:N2"/>
    <mergeCell ref="A1:A2"/>
    <mergeCell ref="B1:B2"/>
    <mergeCell ref="C1:C2"/>
    <mergeCell ref="D1:D2"/>
    <mergeCell ref="E1:E2"/>
    <mergeCell ref="F1:F2"/>
    <mergeCell ref="G1:G2"/>
    <mergeCell ref="H1:H2"/>
    <mergeCell ref="I1:J1"/>
  </mergeCells>
  <hyperlinks>
    <hyperlink ref="P1" location="Summary!A1" display="Back to summary"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Y141"/>
  <sheetViews>
    <sheetView workbookViewId="0">
      <selection activeCell="I4" sqref="I4"/>
    </sheetView>
  </sheetViews>
  <sheetFormatPr defaultRowHeight="15" customHeight="1" x14ac:dyDescent="0.2"/>
  <cols>
    <col min="1" max="1" width="9.140625" style="12"/>
    <col min="2" max="2" width="10.7109375" style="36" bestFit="1" customWidth="1"/>
    <col min="3" max="4" width="9.140625" style="12"/>
    <col min="5" max="5" width="13.5703125" style="12" customWidth="1"/>
    <col min="6" max="6" width="9.140625" style="12"/>
    <col min="7" max="7" width="12.7109375" style="14" bestFit="1" customWidth="1"/>
    <col min="8" max="8" width="48.42578125" style="12" customWidth="1"/>
    <col min="9" max="12" width="9.140625" style="12"/>
    <col min="13" max="13" width="12" style="17" bestFit="1" customWidth="1"/>
    <col min="14" max="14" width="9.5703125" style="17" bestFit="1" customWidth="1"/>
    <col min="15" max="17" width="9.140625" style="12"/>
    <col min="18" max="18" width="9.85546875" style="12" bestFit="1" customWidth="1"/>
    <col min="19" max="19" width="9.140625" style="12"/>
    <col min="20" max="20" width="15.42578125" style="12" bestFit="1" customWidth="1"/>
    <col min="21" max="21" width="16.140625" style="12" bestFit="1" customWidth="1"/>
    <col min="22" max="22" width="7.85546875" style="12" customWidth="1"/>
    <col min="23" max="23" width="12.5703125" style="12" bestFit="1" customWidth="1"/>
    <col min="24" max="24" width="18.28515625" style="12" bestFit="1" customWidth="1"/>
    <col min="25" max="25" width="18.5703125" style="12" bestFit="1" customWidth="1"/>
    <col min="26" max="16384" width="9.140625" style="12"/>
  </cols>
  <sheetData>
    <row r="1" spans="1:25" ht="15" customHeight="1" thickBot="1" x14ac:dyDescent="0.25">
      <c r="A1" s="204" t="s">
        <v>0</v>
      </c>
      <c r="B1" s="206" t="s">
        <v>1</v>
      </c>
      <c r="C1" s="204" t="s">
        <v>2</v>
      </c>
      <c r="D1" s="202" t="s">
        <v>3</v>
      </c>
      <c r="E1" s="202" t="s">
        <v>4</v>
      </c>
      <c r="F1" s="202" t="s">
        <v>760</v>
      </c>
      <c r="G1" s="211" t="s">
        <v>6</v>
      </c>
      <c r="H1" s="213" t="s">
        <v>7</v>
      </c>
      <c r="I1" s="215" t="s">
        <v>8</v>
      </c>
      <c r="J1" s="216"/>
      <c r="K1" s="204" t="s">
        <v>9</v>
      </c>
      <c r="L1" s="204" t="s">
        <v>10</v>
      </c>
      <c r="M1" s="209" t="s">
        <v>98</v>
      </c>
      <c r="N1" s="209" t="s">
        <v>99</v>
      </c>
      <c r="O1" s="45" t="s">
        <v>100</v>
      </c>
      <c r="P1" s="152" t="s">
        <v>3991</v>
      </c>
    </row>
    <row r="2" spans="1:25" ht="15" customHeight="1" thickBot="1" x14ac:dyDescent="0.3">
      <c r="A2" s="205"/>
      <c r="B2" s="207"/>
      <c r="C2" s="205"/>
      <c r="D2" s="208"/>
      <c r="E2" s="208"/>
      <c r="F2" s="203"/>
      <c r="G2" s="212"/>
      <c r="H2" s="214"/>
      <c r="I2" s="46" t="s">
        <v>13</v>
      </c>
      <c r="J2" s="47" t="s">
        <v>14</v>
      </c>
      <c r="K2" s="205"/>
      <c r="L2" s="205"/>
      <c r="M2" s="210"/>
      <c r="N2" s="210"/>
      <c r="O2" s="38" t="s">
        <v>100</v>
      </c>
      <c r="P2" s="38"/>
      <c r="T2"/>
      <c r="U2"/>
      <c r="V2"/>
      <c r="W2"/>
      <c r="X2"/>
      <c r="Y2"/>
    </row>
    <row r="3" spans="1:25" ht="15" customHeight="1" x14ac:dyDescent="0.25">
      <c r="A3" s="48"/>
      <c r="B3" s="54"/>
      <c r="C3" s="48">
        <v>150</v>
      </c>
      <c r="D3" s="49"/>
      <c r="E3" s="49"/>
      <c r="F3" s="49"/>
      <c r="G3" s="51" t="s">
        <v>15</v>
      </c>
      <c r="H3" s="52"/>
      <c r="I3" s="52"/>
      <c r="J3" s="52"/>
      <c r="K3" s="48"/>
      <c r="L3" s="48"/>
      <c r="M3" s="53"/>
      <c r="N3" s="53"/>
      <c r="O3" s="38" t="s">
        <v>16</v>
      </c>
      <c r="P3" s="38" t="s">
        <v>17</v>
      </c>
      <c r="T3"/>
      <c r="U3"/>
      <c r="V3"/>
      <c r="W3"/>
      <c r="X3"/>
      <c r="Y3"/>
    </row>
    <row r="4" spans="1:25" ht="15" customHeight="1" x14ac:dyDescent="0.25">
      <c r="A4" s="38" t="s">
        <v>18</v>
      </c>
      <c r="B4" s="64" t="s">
        <v>290</v>
      </c>
      <c r="C4" s="38">
        <f t="shared" ref="C4:C33" si="0">C3+D4</f>
        <v>151</v>
      </c>
      <c r="D4" s="38">
        <v>1</v>
      </c>
      <c r="E4" s="38"/>
      <c r="F4" s="38"/>
      <c r="G4" s="55" t="s">
        <v>144</v>
      </c>
      <c r="H4" s="38" t="s">
        <v>655</v>
      </c>
      <c r="I4" s="38">
        <v>131</v>
      </c>
      <c r="J4" s="38">
        <v>5113</v>
      </c>
      <c r="K4" s="38" t="s">
        <v>20</v>
      </c>
      <c r="L4" s="38">
        <v>1</v>
      </c>
      <c r="M4" s="56">
        <v>27272727</v>
      </c>
      <c r="N4" s="56">
        <f t="shared" ref="N4:N33" si="1">L4*M4</f>
        <v>27272727</v>
      </c>
      <c r="O4" s="38" t="s">
        <v>21</v>
      </c>
      <c r="P4" s="38">
        <v>1</v>
      </c>
      <c r="Q4" s="12">
        <f>LEN(H4)</f>
        <v>163</v>
      </c>
      <c r="T4"/>
      <c r="U4"/>
      <c r="V4"/>
      <c r="W4"/>
      <c r="X4"/>
      <c r="Y4"/>
    </row>
    <row r="5" spans="1:25" ht="15" customHeight="1" x14ac:dyDescent="0.25">
      <c r="A5" s="38" t="s">
        <v>18</v>
      </c>
      <c r="B5" s="64" t="s">
        <v>290</v>
      </c>
      <c r="C5" s="38">
        <f t="shared" si="0"/>
        <v>151</v>
      </c>
      <c r="D5" s="38">
        <v>0</v>
      </c>
      <c r="E5" s="38"/>
      <c r="F5" s="38"/>
      <c r="G5" s="55" t="s">
        <v>144</v>
      </c>
      <c r="H5" s="38" t="s">
        <v>663</v>
      </c>
      <c r="I5" s="38">
        <v>333821</v>
      </c>
      <c r="J5" s="38">
        <v>131</v>
      </c>
      <c r="K5" s="38" t="s">
        <v>20</v>
      </c>
      <c r="L5" s="38">
        <v>1</v>
      </c>
      <c r="M5" s="56">
        <v>272727</v>
      </c>
      <c r="N5" s="56">
        <f t="shared" si="1"/>
        <v>272727</v>
      </c>
      <c r="O5" s="38" t="s">
        <v>21</v>
      </c>
      <c r="P5" s="38">
        <v>1</v>
      </c>
      <c r="Q5" s="12">
        <f t="shared" ref="Q5:Q66" si="2">LEN(H5)</f>
        <v>179</v>
      </c>
      <c r="T5"/>
      <c r="U5"/>
      <c r="V5"/>
      <c r="W5"/>
      <c r="X5"/>
      <c r="Y5"/>
    </row>
    <row r="6" spans="1:25" ht="15" customHeight="1" x14ac:dyDescent="0.25">
      <c r="A6" s="38" t="s">
        <v>18</v>
      </c>
      <c r="B6" s="64" t="s">
        <v>652</v>
      </c>
      <c r="C6" s="38">
        <f t="shared" si="0"/>
        <v>152</v>
      </c>
      <c r="D6" s="38">
        <v>1</v>
      </c>
      <c r="E6" s="38"/>
      <c r="F6" s="38"/>
      <c r="G6" s="55" t="s">
        <v>89</v>
      </c>
      <c r="H6" s="38" t="s">
        <v>656</v>
      </c>
      <c r="I6" s="38">
        <v>131</v>
      </c>
      <c r="J6" s="38">
        <v>5113</v>
      </c>
      <c r="K6" s="38" t="s">
        <v>20</v>
      </c>
      <c r="L6" s="38">
        <v>1</v>
      </c>
      <c r="M6" s="56">
        <v>37634409</v>
      </c>
      <c r="N6" s="56">
        <f t="shared" si="1"/>
        <v>37634409</v>
      </c>
      <c r="O6" s="38" t="s">
        <v>21</v>
      </c>
      <c r="P6" s="38">
        <v>2</v>
      </c>
      <c r="Q6" s="12">
        <f t="shared" si="2"/>
        <v>178</v>
      </c>
      <c r="T6"/>
      <c r="U6"/>
      <c r="V6"/>
      <c r="W6"/>
      <c r="X6"/>
      <c r="Y6"/>
    </row>
    <row r="7" spans="1:25" ht="15" customHeight="1" x14ac:dyDescent="0.25">
      <c r="A7" s="38" t="s">
        <v>18</v>
      </c>
      <c r="B7" s="64" t="s">
        <v>652</v>
      </c>
      <c r="C7" s="38">
        <f t="shared" si="0"/>
        <v>152</v>
      </c>
      <c r="D7" s="38">
        <v>0</v>
      </c>
      <c r="E7" s="38"/>
      <c r="F7" s="38"/>
      <c r="G7" s="55" t="s">
        <v>89</v>
      </c>
      <c r="H7" s="38" t="s">
        <v>664</v>
      </c>
      <c r="I7" s="38">
        <v>333821</v>
      </c>
      <c r="J7" s="38">
        <v>131</v>
      </c>
      <c r="K7" s="38" t="s">
        <v>20</v>
      </c>
      <c r="L7" s="38">
        <v>1</v>
      </c>
      <c r="M7" s="56">
        <v>376344</v>
      </c>
      <c r="N7" s="56">
        <f t="shared" si="1"/>
        <v>376344</v>
      </c>
      <c r="O7" s="38" t="s">
        <v>21</v>
      </c>
      <c r="P7" s="38">
        <v>2</v>
      </c>
      <c r="Q7" s="12">
        <f t="shared" si="2"/>
        <v>194</v>
      </c>
      <c r="T7"/>
      <c r="U7"/>
      <c r="V7"/>
      <c r="W7"/>
      <c r="X7"/>
      <c r="Y7"/>
    </row>
    <row r="8" spans="1:25" ht="15" customHeight="1" x14ac:dyDescent="0.25">
      <c r="A8" s="38" t="s">
        <v>18</v>
      </c>
      <c r="B8" s="64" t="s">
        <v>291</v>
      </c>
      <c r="C8" s="38">
        <f t="shared" si="0"/>
        <v>153</v>
      </c>
      <c r="D8" s="38">
        <v>1</v>
      </c>
      <c r="E8" s="38"/>
      <c r="F8" s="38"/>
      <c r="G8" s="55" t="s">
        <v>129</v>
      </c>
      <c r="H8" s="38" t="s">
        <v>657</v>
      </c>
      <c r="I8" s="38">
        <v>131</v>
      </c>
      <c r="J8" s="38">
        <v>5113</v>
      </c>
      <c r="K8" s="38" t="s">
        <v>20</v>
      </c>
      <c r="L8" s="38">
        <v>1</v>
      </c>
      <c r="M8" s="56">
        <v>21010101</v>
      </c>
      <c r="N8" s="56">
        <f t="shared" si="1"/>
        <v>21010101</v>
      </c>
      <c r="O8" s="38" t="s">
        <v>21</v>
      </c>
      <c r="P8" s="38">
        <v>3</v>
      </c>
      <c r="Q8" s="12">
        <f t="shared" si="2"/>
        <v>159</v>
      </c>
      <c r="T8"/>
      <c r="U8"/>
      <c r="V8"/>
      <c r="W8"/>
      <c r="X8"/>
      <c r="Y8"/>
    </row>
    <row r="9" spans="1:25" ht="15" customHeight="1" x14ac:dyDescent="0.25">
      <c r="A9" s="38" t="s">
        <v>18</v>
      </c>
      <c r="B9" s="64" t="s">
        <v>291</v>
      </c>
      <c r="C9" s="38">
        <f t="shared" si="0"/>
        <v>153</v>
      </c>
      <c r="D9" s="38">
        <v>0</v>
      </c>
      <c r="E9" s="38"/>
      <c r="F9" s="38"/>
      <c r="G9" s="55" t="s">
        <v>129</v>
      </c>
      <c r="H9" s="38" t="s">
        <v>665</v>
      </c>
      <c r="I9" s="38">
        <v>333821</v>
      </c>
      <c r="J9" s="38">
        <v>131</v>
      </c>
      <c r="K9" s="38" t="s">
        <v>20</v>
      </c>
      <c r="L9" s="38">
        <v>1</v>
      </c>
      <c r="M9" s="56">
        <v>210101</v>
      </c>
      <c r="N9" s="56">
        <f t="shared" si="1"/>
        <v>210101</v>
      </c>
      <c r="O9" s="38" t="s">
        <v>21</v>
      </c>
      <c r="P9" s="38">
        <v>3</v>
      </c>
      <c r="Q9" s="12">
        <f t="shared" si="2"/>
        <v>175</v>
      </c>
      <c r="T9"/>
      <c r="U9"/>
      <c r="V9"/>
      <c r="W9"/>
      <c r="X9"/>
      <c r="Y9"/>
    </row>
    <row r="10" spans="1:25" ht="15" customHeight="1" x14ac:dyDescent="0.25">
      <c r="A10" s="38" t="s">
        <v>18</v>
      </c>
      <c r="B10" s="64" t="s">
        <v>316</v>
      </c>
      <c r="C10" s="38">
        <f t="shared" si="0"/>
        <v>154</v>
      </c>
      <c r="D10" s="38">
        <v>1</v>
      </c>
      <c r="E10" s="38"/>
      <c r="F10" s="38"/>
      <c r="G10" s="55" t="s">
        <v>419</v>
      </c>
      <c r="H10" s="38" t="s">
        <v>658</v>
      </c>
      <c r="I10" s="38">
        <v>131</v>
      </c>
      <c r="J10" s="38">
        <v>5113</v>
      </c>
      <c r="K10" s="38" t="s">
        <v>20</v>
      </c>
      <c r="L10" s="38">
        <v>1</v>
      </c>
      <c r="M10" s="56">
        <v>15151515</v>
      </c>
      <c r="N10" s="56">
        <f t="shared" si="1"/>
        <v>15151515</v>
      </c>
      <c r="O10" s="38" t="s">
        <v>21</v>
      </c>
      <c r="P10" s="38">
        <v>4</v>
      </c>
      <c r="Q10" s="12">
        <f t="shared" si="2"/>
        <v>102</v>
      </c>
      <c r="T10"/>
      <c r="U10"/>
      <c r="V10"/>
      <c r="W10"/>
      <c r="X10"/>
      <c r="Y10"/>
    </row>
    <row r="11" spans="1:25" ht="15" customHeight="1" x14ac:dyDescent="0.25">
      <c r="A11" s="38" t="s">
        <v>18</v>
      </c>
      <c r="B11" s="64" t="s">
        <v>316</v>
      </c>
      <c r="C11" s="38">
        <f t="shared" si="0"/>
        <v>154</v>
      </c>
      <c r="D11" s="38">
        <v>0</v>
      </c>
      <c r="E11" s="38"/>
      <c r="F11" s="38"/>
      <c r="G11" s="55" t="s">
        <v>419</v>
      </c>
      <c r="H11" s="38" t="s">
        <v>666</v>
      </c>
      <c r="I11" s="38">
        <v>333821</v>
      </c>
      <c r="J11" s="38">
        <v>131</v>
      </c>
      <c r="K11" s="38" t="s">
        <v>20</v>
      </c>
      <c r="L11" s="38">
        <v>1</v>
      </c>
      <c r="M11" s="56">
        <v>151515</v>
      </c>
      <c r="N11" s="56">
        <f t="shared" si="1"/>
        <v>151515</v>
      </c>
      <c r="O11" s="38" t="s">
        <v>21</v>
      </c>
      <c r="P11" s="38">
        <v>4</v>
      </c>
      <c r="Q11" s="12">
        <f t="shared" si="2"/>
        <v>118</v>
      </c>
      <c r="T11"/>
      <c r="U11"/>
      <c r="V11"/>
      <c r="W11"/>
      <c r="X11"/>
      <c r="Y11"/>
    </row>
    <row r="12" spans="1:25" ht="15" customHeight="1" x14ac:dyDescent="0.25">
      <c r="A12" s="38" t="s">
        <v>18</v>
      </c>
      <c r="B12" s="64" t="s">
        <v>417</v>
      </c>
      <c r="C12" s="38">
        <f t="shared" si="0"/>
        <v>155</v>
      </c>
      <c r="D12" s="38">
        <v>1</v>
      </c>
      <c r="E12" s="38"/>
      <c r="F12" s="38"/>
      <c r="G12" s="55" t="s">
        <v>653</v>
      </c>
      <c r="H12" s="38" t="s">
        <v>659</v>
      </c>
      <c r="I12" s="38">
        <v>131</v>
      </c>
      <c r="J12" s="38">
        <v>5113</v>
      </c>
      <c r="K12" s="38" t="s">
        <v>20</v>
      </c>
      <c r="L12" s="38">
        <v>1</v>
      </c>
      <c r="M12" s="56">
        <v>12121212</v>
      </c>
      <c r="N12" s="56">
        <f t="shared" si="1"/>
        <v>12121212</v>
      </c>
      <c r="O12" s="38" t="s">
        <v>21</v>
      </c>
      <c r="P12" s="38">
        <v>5</v>
      </c>
      <c r="Q12" s="12">
        <f t="shared" si="2"/>
        <v>167</v>
      </c>
      <c r="T12"/>
      <c r="U12"/>
      <c r="V12"/>
      <c r="W12"/>
      <c r="X12"/>
      <c r="Y12"/>
    </row>
    <row r="13" spans="1:25" ht="15" customHeight="1" x14ac:dyDescent="0.25">
      <c r="A13" s="38" t="s">
        <v>18</v>
      </c>
      <c r="B13" s="64" t="s">
        <v>417</v>
      </c>
      <c r="C13" s="38">
        <f t="shared" si="0"/>
        <v>155</v>
      </c>
      <c r="D13" s="38">
        <v>0</v>
      </c>
      <c r="E13" s="38"/>
      <c r="F13" s="38"/>
      <c r="G13" s="55" t="s">
        <v>653</v>
      </c>
      <c r="H13" s="38" t="s">
        <v>667</v>
      </c>
      <c r="I13" s="38">
        <v>333821</v>
      </c>
      <c r="J13" s="38">
        <v>131</v>
      </c>
      <c r="K13" s="38" t="s">
        <v>20</v>
      </c>
      <c r="L13" s="38">
        <v>1</v>
      </c>
      <c r="M13" s="56">
        <v>121212</v>
      </c>
      <c r="N13" s="56">
        <f t="shared" si="1"/>
        <v>121212</v>
      </c>
      <c r="O13" s="38" t="s">
        <v>21</v>
      </c>
      <c r="P13" s="38">
        <v>5</v>
      </c>
      <c r="Q13" s="12">
        <f t="shared" si="2"/>
        <v>183</v>
      </c>
      <c r="T13"/>
      <c r="U13"/>
      <c r="V13"/>
      <c r="W13"/>
      <c r="X13"/>
      <c r="Y13"/>
    </row>
    <row r="14" spans="1:25" ht="15" customHeight="1" x14ac:dyDescent="0.25">
      <c r="A14" s="38" t="s">
        <v>18</v>
      </c>
      <c r="B14" s="64" t="s">
        <v>318</v>
      </c>
      <c r="C14" s="38">
        <f t="shared" si="0"/>
        <v>156</v>
      </c>
      <c r="D14" s="38">
        <v>1</v>
      </c>
      <c r="E14" s="38"/>
      <c r="F14" s="38"/>
      <c r="G14" s="55" t="s">
        <v>654</v>
      </c>
      <c r="H14" s="38" t="s">
        <v>858</v>
      </c>
      <c r="I14" s="38">
        <v>131</v>
      </c>
      <c r="J14" s="38">
        <v>5113</v>
      </c>
      <c r="K14" s="38" t="s">
        <v>20</v>
      </c>
      <c r="L14" s="38">
        <v>1</v>
      </c>
      <c r="M14" s="56">
        <v>15151515</v>
      </c>
      <c r="N14" s="56">
        <f t="shared" si="1"/>
        <v>15151515</v>
      </c>
      <c r="O14" s="38" t="s">
        <v>21</v>
      </c>
      <c r="P14" s="38">
        <v>6</v>
      </c>
      <c r="Q14" s="12">
        <f t="shared" si="2"/>
        <v>119</v>
      </c>
      <c r="T14"/>
      <c r="U14"/>
      <c r="V14"/>
      <c r="W14"/>
      <c r="X14"/>
      <c r="Y14"/>
    </row>
    <row r="15" spans="1:25" ht="15" customHeight="1" x14ac:dyDescent="0.25">
      <c r="A15" s="38" t="s">
        <v>18</v>
      </c>
      <c r="B15" s="64" t="s">
        <v>318</v>
      </c>
      <c r="C15" s="38">
        <f t="shared" si="0"/>
        <v>156</v>
      </c>
      <c r="D15" s="38">
        <v>0</v>
      </c>
      <c r="E15" s="38"/>
      <c r="F15" s="38"/>
      <c r="G15" s="55" t="s">
        <v>654</v>
      </c>
      <c r="H15" s="38" t="s">
        <v>859</v>
      </c>
      <c r="I15" s="38">
        <v>333821</v>
      </c>
      <c r="J15" s="38">
        <v>131</v>
      </c>
      <c r="K15" s="38" t="s">
        <v>20</v>
      </c>
      <c r="L15" s="38">
        <v>1</v>
      </c>
      <c r="M15" s="56">
        <v>151515</v>
      </c>
      <c r="N15" s="56">
        <f t="shared" si="1"/>
        <v>151515</v>
      </c>
      <c r="O15" s="38" t="s">
        <v>21</v>
      </c>
      <c r="P15" s="38">
        <v>6</v>
      </c>
      <c r="Q15" s="12">
        <f t="shared" si="2"/>
        <v>135</v>
      </c>
      <c r="T15"/>
      <c r="U15"/>
      <c r="V15"/>
      <c r="W15"/>
      <c r="X15"/>
      <c r="Y15"/>
    </row>
    <row r="16" spans="1:25" ht="15" customHeight="1" x14ac:dyDescent="0.25">
      <c r="A16" s="38" t="s">
        <v>18</v>
      </c>
      <c r="B16" s="64" t="s">
        <v>525</v>
      </c>
      <c r="C16" s="38">
        <f t="shared" si="0"/>
        <v>157</v>
      </c>
      <c r="D16" s="38">
        <v>1</v>
      </c>
      <c r="E16" s="38"/>
      <c r="F16" s="38"/>
      <c r="G16" s="55" t="s">
        <v>129</v>
      </c>
      <c r="H16" s="38" t="s">
        <v>660</v>
      </c>
      <c r="I16" s="38">
        <v>131</v>
      </c>
      <c r="J16" s="38">
        <v>5113</v>
      </c>
      <c r="K16" s="38" t="s">
        <v>20</v>
      </c>
      <c r="L16" s="38">
        <v>1</v>
      </c>
      <c r="M16" s="56">
        <v>11146909</v>
      </c>
      <c r="N16" s="56">
        <f t="shared" si="1"/>
        <v>11146909</v>
      </c>
      <c r="O16" s="38" t="s">
        <v>21</v>
      </c>
      <c r="P16" s="38">
        <v>7</v>
      </c>
      <c r="Q16" s="12">
        <f t="shared" si="2"/>
        <v>159</v>
      </c>
      <c r="T16"/>
      <c r="U16"/>
      <c r="V16"/>
      <c r="W16"/>
      <c r="X16"/>
      <c r="Y16"/>
    </row>
    <row r="17" spans="1:25" ht="15" customHeight="1" x14ac:dyDescent="0.25">
      <c r="A17" s="38" t="s">
        <v>18</v>
      </c>
      <c r="B17" s="64" t="s">
        <v>525</v>
      </c>
      <c r="C17" s="38">
        <f t="shared" si="0"/>
        <v>157</v>
      </c>
      <c r="D17" s="38">
        <v>0</v>
      </c>
      <c r="E17" s="38"/>
      <c r="F17" s="38"/>
      <c r="G17" s="55" t="s">
        <v>129</v>
      </c>
      <c r="H17" s="38" t="s">
        <v>668</v>
      </c>
      <c r="I17" s="38">
        <v>333821</v>
      </c>
      <c r="J17" s="38">
        <v>131</v>
      </c>
      <c r="K17" s="38" t="s">
        <v>20</v>
      </c>
      <c r="L17" s="38">
        <v>1</v>
      </c>
      <c r="M17" s="56">
        <v>111469</v>
      </c>
      <c r="N17" s="56">
        <f t="shared" si="1"/>
        <v>111469</v>
      </c>
      <c r="O17" s="38" t="s">
        <v>21</v>
      </c>
      <c r="P17" s="38">
        <v>7</v>
      </c>
      <c r="Q17" s="12">
        <f t="shared" si="2"/>
        <v>175</v>
      </c>
      <c r="T17"/>
      <c r="U17"/>
      <c r="V17"/>
      <c r="W17"/>
      <c r="X17"/>
      <c r="Y17"/>
    </row>
    <row r="18" spans="1:25" ht="15" customHeight="1" x14ac:dyDescent="0.25">
      <c r="A18" s="38" t="s">
        <v>18</v>
      </c>
      <c r="B18" s="64" t="s">
        <v>380</v>
      </c>
      <c r="C18" s="38">
        <f t="shared" si="0"/>
        <v>158</v>
      </c>
      <c r="D18" s="38">
        <v>1</v>
      </c>
      <c r="E18" s="38"/>
      <c r="F18" s="38"/>
      <c r="G18" s="55" t="s">
        <v>29</v>
      </c>
      <c r="H18" s="38" t="s">
        <v>661</v>
      </c>
      <c r="I18" s="38">
        <v>131</v>
      </c>
      <c r="J18" s="38">
        <v>5113</v>
      </c>
      <c r="K18" s="38" t="s">
        <v>20</v>
      </c>
      <c r="L18" s="38">
        <v>1</v>
      </c>
      <c r="M18" s="56">
        <v>29032258</v>
      </c>
      <c r="N18" s="56">
        <f t="shared" si="1"/>
        <v>29032258</v>
      </c>
      <c r="O18" s="38" t="s">
        <v>21</v>
      </c>
      <c r="P18" s="38">
        <v>8</v>
      </c>
      <c r="Q18" s="12">
        <f t="shared" si="2"/>
        <v>167</v>
      </c>
      <c r="T18"/>
      <c r="U18"/>
      <c r="V18"/>
      <c r="W18"/>
      <c r="X18"/>
      <c r="Y18"/>
    </row>
    <row r="19" spans="1:25" ht="15" customHeight="1" x14ac:dyDescent="0.25">
      <c r="A19" s="38" t="s">
        <v>18</v>
      </c>
      <c r="B19" s="64" t="s">
        <v>380</v>
      </c>
      <c r="C19" s="38">
        <f t="shared" si="0"/>
        <v>158</v>
      </c>
      <c r="D19" s="38">
        <v>0</v>
      </c>
      <c r="E19" s="38"/>
      <c r="F19" s="38"/>
      <c r="G19" s="55" t="s">
        <v>29</v>
      </c>
      <c r="H19" s="38" t="s">
        <v>669</v>
      </c>
      <c r="I19" s="38">
        <v>333821</v>
      </c>
      <c r="J19" s="38">
        <v>131</v>
      </c>
      <c r="K19" s="38" t="s">
        <v>20</v>
      </c>
      <c r="L19" s="38">
        <v>1</v>
      </c>
      <c r="M19" s="56">
        <v>290323</v>
      </c>
      <c r="N19" s="56">
        <f t="shared" si="1"/>
        <v>290323</v>
      </c>
      <c r="O19" s="38" t="s">
        <v>21</v>
      </c>
      <c r="P19" s="38">
        <v>8</v>
      </c>
      <c r="Q19" s="12">
        <f t="shared" si="2"/>
        <v>183</v>
      </c>
      <c r="T19"/>
      <c r="U19"/>
      <c r="V19"/>
      <c r="W19"/>
      <c r="X19"/>
      <c r="Y19"/>
    </row>
    <row r="20" spans="1:25" ht="15" customHeight="1" x14ac:dyDescent="0.25">
      <c r="A20" s="38" t="s">
        <v>18</v>
      </c>
      <c r="B20" s="64" t="s">
        <v>383</v>
      </c>
      <c r="C20" s="38">
        <f t="shared" si="0"/>
        <v>159</v>
      </c>
      <c r="D20" s="38">
        <v>1</v>
      </c>
      <c r="E20" s="38"/>
      <c r="F20" s="38"/>
      <c r="G20" s="55" t="s">
        <v>419</v>
      </c>
      <c r="H20" s="38" t="s">
        <v>662</v>
      </c>
      <c r="I20" s="38">
        <v>131</v>
      </c>
      <c r="J20" s="38">
        <v>5113</v>
      </c>
      <c r="K20" s="38" t="s">
        <v>20</v>
      </c>
      <c r="L20" s="38">
        <v>1</v>
      </c>
      <c r="M20" s="56">
        <v>20202020</v>
      </c>
      <c r="N20" s="56">
        <f t="shared" si="1"/>
        <v>20202020</v>
      </c>
      <c r="O20" s="38" t="s">
        <v>21</v>
      </c>
      <c r="P20" s="38">
        <v>9</v>
      </c>
      <c r="Q20" s="12">
        <f t="shared" si="2"/>
        <v>103</v>
      </c>
      <c r="T20"/>
      <c r="U20"/>
      <c r="V20"/>
      <c r="W20"/>
      <c r="X20"/>
      <c r="Y20"/>
    </row>
    <row r="21" spans="1:25" ht="15" customHeight="1" x14ac:dyDescent="0.25">
      <c r="A21" s="38" t="s">
        <v>18</v>
      </c>
      <c r="B21" s="64" t="s">
        <v>383</v>
      </c>
      <c r="C21" s="38">
        <f t="shared" si="0"/>
        <v>159</v>
      </c>
      <c r="D21" s="38">
        <v>0</v>
      </c>
      <c r="E21" s="38"/>
      <c r="F21" s="38"/>
      <c r="G21" s="55" t="s">
        <v>419</v>
      </c>
      <c r="H21" s="38" t="s">
        <v>670</v>
      </c>
      <c r="I21" s="38">
        <v>333821</v>
      </c>
      <c r="J21" s="38">
        <v>131</v>
      </c>
      <c r="K21" s="38" t="s">
        <v>20</v>
      </c>
      <c r="L21" s="38">
        <v>1</v>
      </c>
      <c r="M21" s="56">
        <v>202020</v>
      </c>
      <c r="N21" s="56">
        <f t="shared" si="1"/>
        <v>202020</v>
      </c>
      <c r="O21" s="38" t="s">
        <v>21</v>
      </c>
      <c r="P21" s="38">
        <v>9</v>
      </c>
      <c r="Q21" s="12">
        <f t="shared" si="2"/>
        <v>119</v>
      </c>
      <c r="T21"/>
      <c r="U21"/>
      <c r="V21"/>
      <c r="W21"/>
      <c r="X21"/>
      <c r="Y21"/>
    </row>
    <row r="22" spans="1:25" ht="15" customHeight="1" x14ac:dyDescent="0.25">
      <c r="A22" s="38" t="s">
        <v>18</v>
      </c>
      <c r="B22" s="64" t="s">
        <v>2045</v>
      </c>
      <c r="C22" s="38">
        <f t="shared" si="0"/>
        <v>160</v>
      </c>
      <c r="D22" s="38">
        <v>1</v>
      </c>
      <c r="E22" s="38"/>
      <c r="F22" s="38"/>
      <c r="G22" s="55" t="s">
        <v>2514</v>
      </c>
      <c r="H22" s="38" t="s">
        <v>2575</v>
      </c>
      <c r="I22" s="38">
        <v>131</v>
      </c>
      <c r="J22" s="38">
        <v>5113</v>
      </c>
      <c r="K22" s="38" t="s">
        <v>20</v>
      </c>
      <c r="L22" s="38">
        <v>1</v>
      </c>
      <c r="M22" s="56">
        <v>20202020</v>
      </c>
      <c r="N22" s="56">
        <f t="shared" si="1"/>
        <v>20202020</v>
      </c>
      <c r="O22" s="38" t="s">
        <v>21</v>
      </c>
      <c r="P22" s="38">
        <v>10</v>
      </c>
      <c r="Q22" s="12">
        <f t="shared" si="2"/>
        <v>188</v>
      </c>
      <c r="T22"/>
      <c r="U22"/>
      <c r="V22"/>
      <c r="W22"/>
      <c r="X22"/>
      <c r="Y22"/>
    </row>
    <row r="23" spans="1:25" ht="15" customHeight="1" x14ac:dyDescent="0.25">
      <c r="A23" s="38" t="s">
        <v>18</v>
      </c>
      <c r="B23" s="64" t="s">
        <v>2045</v>
      </c>
      <c r="C23" s="38">
        <f t="shared" si="0"/>
        <v>160</v>
      </c>
      <c r="D23" s="38">
        <v>0</v>
      </c>
      <c r="E23" s="38"/>
      <c r="F23" s="38"/>
      <c r="G23" s="55" t="s">
        <v>2514</v>
      </c>
      <c r="H23" s="38" t="s">
        <v>4786</v>
      </c>
      <c r="I23" s="38">
        <v>333821</v>
      </c>
      <c r="J23" s="38">
        <v>131</v>
      </c>
      <c r="K23" s="38" t="s">
        <v>20</v>
      </c>
      <c r="L23" s="38">
        <v>1</v>
      </c>
      <c r="M23" s="56">
        <v>202020</v>
      </c>
      <c r="N23" s="56">
        <f t="shared" si="1"/>
        <v>202020</v>
      </c>
      <c r="O23" s="38" t="s">
        <v>21</v>
      </c>
      <c r="P23" s="38">
        <v>10</v>
      </c>
      <c r="Q23" s="12">
        <f t="shared" si="2"/>
        <v>162</v>
      </c>
      <c r="T23"/>
      <c r="U23"/>
      <c r="V23"/>
      <c r="W23"/>
      <c r="X23"/>
      <c r="Y23"/>
    </row>
    <row r="24" spans="1:25" ht="15" customHeight="1" x14ac:dyDescent="0.25">
      <c r="A24" s="38" t="s">
        <v>18</v>
      </c>
      <c r="B24" s="64" t="s">
        <v>2382</v>
      </c>
      <c r="C24" s="38">
        <f t="shared" si="0"/>
        <v>161</v>
      </c>
      <c r="D24" s="38">
        <v>1</v>
      </c>
      <c r="E24" s="38"/>
      <c r="F24" s="38"/>
      <c r="G24" s="55" t="s">
        <v>2514</v>
      </c>
      <c r="H24" s="38" t="s">
        <v>2576</v>
      </c>
      <c r="I24" s="38">
        <v>131</v>
      </c>
      <c r="J24" s="38">
        <v>5113</v>
      </c>
      <c r="K24" s="38" t="s">
        <v>20</v>
      </c>
      <c r="L24" s="38">
        <v>1</v>
      </c>
      <c r="M24" s="56">
        <v>10101010</v>
      </c>
      <c r="N24" s="56">
        <f t="shared" si="1"/>
        <v>10101010</v>
      </c>
      <c r="O24" s="38" t="s">
        <v>21</v>
      </c>
      <c r="P24" s="38">
        <v>11</v>
      </c>
      <c r="Q24" s="12">
        <f t="shared" si="2"/>
        <v>179</v>
      </c>
      <c r="T24"/>
      <c r="U24"/>
      <c r="V24"/>
      <c r="W24"/>
      <c r="X24"/>
      <c r="Y24"/>
    </row>
    <row r="25" spans="1:25" ht="15" customHeight="1" x14ac:dyDescent="0.25">
      <c r="A25" s="38" t="s">
        <v>18</v>
      </c>
      <c r="B25" s="64" t="s">
        <v>2382</v>
      </c>
      <c r="C25" s="38">
        <f t="shared" si="0"/>
        <v>161</v>
      </c>
      <c r="D25" s="38">
        <v>0</v>
      </c>
      <c r="E25" s="38"/>
      <c r="F25" s="38"/>
      <c r="G25" s="55" t="s">
        <v>2514</v>
      </c>
      <c r="H25" s="38" t="s">
        <v>2577</v>
      </c>
      <c r="I25" s="38">
        <v>333821</v>
      </c>
      <c r="J25" s="38">
        <v>131</v>
      </c>
      <c r="K25" s="38" t="s">
        <v>20</v>
      </c>
      <c r="L25" s="38">
        <v>1</v>
      </c>
      <c r="M25" s="56">
        <v>101010</v>
      </c>
      <c r="N25" s="56">
        <f t="shared" si="1"/>
        <v>101010</v>
      </c>
      <c r="O25" s="38" t="s">
        <v>21</v>
      </c>
      <c r="P25" s="38">
        <v>11</v>
      </c>
      <c r="Q25" s="12">
        <f t="shared" si="2"/>
        <v>195</v>
      </c>
      <c r="T25"/>
      <c r="U25"/>
      <c r="V25"/>
      <c r="W25"/>
      <c r="X25"/>
      <c r="Y25"/>
    </row>
    <row r="26" spans="1:25" ht="15" customHeight="1" x14ac:dyDescent="0.25">
      <c r="A26" s="38" t="s">
        <v>18</v>
      </c>
      <c r="B26" s="64" t="s">
        <v>310</v>
      </c>
      <c r="C26" s="38">
        <f t="shared" si="0"/>
        <v>162</v>
      </c>
      <c r="D26" s="38">
        <v>1</v>
      </c>
      <c r="E26" s="38"/>
      <c r="F26" s="38"/>
      <c r="G26" s="55" t="s">
        <v>37</v>
      </c>
      <c r="H26" s="38" t="s">
        <v>677</v>
      </c>
      <c r="I26" s="38">
        <v>64277</v>
      </c>
      <c r="J26" s="38">
        <v>331</v>
      </c>
      <c r="K26" s="38" t="s">
        <v>20</v>
      </c>
      <c r="L26" s="38">
        <v>1</v>
      </c>
      <c r="M26" s="56">
        <v>2592000</v>
      </c>
      <c r="N26" s="56">
        <f t="shared" si="1"/>
        <v>2592000</v>
      </c>
      <c r="O26" s="38" t="s">
        <v>21</v>
      </c>
      <c r="P26" s="38">
        <v>11</v>
      </c>
      <c r="Q26" s="12">
        <f t="shared" si="2"/>
        <v>42</v>
      </c>
      <c r="T26"/>
      <c r="U26"/>
      <c r="V26"/>
      <c r="W26"/>
      <c r="X26"/>
      <c r="Y26"/>
    </row>
    <row r="27" spans="1:25" ht="15" customHeight="1" x14ac:dyDescent="0.25">
      <c r="A27" s="38" t="s">
        <v>18</v>
      </c>
      <c r="B27" s="64" t="s">
        <v>311</v>
      </c>
      <c r="C27" s="38">
        <f t="shared" si="0"/>
        <v>163</v>
      </c>
      <c r="D27" s="38">
        <v>1</v>
      </c>
      <c r="E27" s="38"/>
      <c r="F27" s="38"/>
      <c r="G27" s="55" t="s">
        <v>115</v>
      </c>
      <c r="H27" s="38" t="s">
        <v>860</v>
      </c>
      <c r="I27" s="38">
        <v>64277</v>
      </c>
      <c r="J27" s="38">
        <v>331</v>
      </c>
      <c r="K27" s="38" t="s">
        <v>20</v>
      </c>
      <c r="L27" s="38">
        <v>1</v>
      </c>
      <c r="M27" s="56">
        <v>20000</v>
      </c>
      <c r="N27" s="56">
        <f t="shared" si="1"/>
        <v>20000</v>
      </c>
      <c r="O27" s="38" t="s">
        <v>21</v>
      </c>
      <c r="P27" s="38">
        <f t="shared" ref="P27:P93" si="3">P26+1</f>
        <v>12</v>
      </c>
      <c r="Q27" s="12">
        <f t="shared" si="2"/>
        <v>39</v>
      </c>
      <c r="T27"/>
      <c r="U27"/>
      <c r="V27"/>
      <c r="W27"/>
      <c r="X27"/>
      <c r="Y27"/>
    </row>
    <row r="28" spans="1:25" ht="15" customHeight="1" x14ac:dyDescent="0.25">
      <c r="A28" s="38" t="s">
        <v>18</v>
      </c>
      <c r="B28" s="64" t="s">
        <v>468</v>
      </c>
      <c r="C28" s="38">
        <f t="shared" si="0"/>
        <v>164</v>
      </c>
      <c r="D28" s="38">
        <v>1</v>
      </c>
      <c r="E28" s="38"/>
      <c r="F28" s="38"/>
      <c r="G28" s="55" t="s">
        <v>673</v>
      </c>
      <c r="H28" s="38" t="s">
        <v>680</v>
      </c>
      <c r="I28" s="38">
        <v>6425</v>
      </c>
      <c r="J28" s="38">
        <v>331</v>
      </c>
      <c r="K28" s="38" t="s">
        <v>20</v>
      </c>
      <c r="L28" s="38">
        <v>1</v>
      </c>
      <c r="M28" s="56">
        <v>2087996</v>
      </c>
      <c r="N28" s="56">
        <f t="shared" si="1"/>
        <v>2087996</v>
      </c>
      <c r="O28" s="38" t="s">
        <v>21</v>
      </c>
      <c r="P28" s="38">
        <f t="shared" si="3"/>
        <v>13</v>
      </c>
      <c r="Q28" s="12">
        <f t="shared" si="2"/>
        <v>26</v>
      </c>
      <c r="T28"/>
      <c r="U28"/>
      <c r="V28"/>
      <c r="W28"/>
      <c r="X28"/>
      <c r="Y28"/>
    </row>
    <row r="29" spans="1:25" ht="15" customHeight="1" x14ac:dyDescent="0.25">
      <c r="A29" s="38" t="s">
        <v>18</v>
      </c>
      <c r="B29" s="64" t="s">
        <v>468</v>
      </c>
      <c r="C29" s="38">
        <f t="shared" si="0"/>
        <v>165</v>
      </c>
      <c r="D29" s="38">
        <v>1</v>
      </c>
      <c r="E29" s="38"/>
      <c r="F29" s="38"/>
      <c r="G29" s="55" t="s">
        <v>673</v>
      </c>
      <c r="H29" s="38" t="s">
        <v>681</v>
      </c>
      <c r="I29" s="38">
        <v>6425</v>
      </c>
      <c r="J29" s="38">
        <v>331</v>
      </c>
      <c r="K29" s="38" t="s">
        <v>20</v>
      </c>
      <c r="L29" s="38">
        <v>1</v>
      </c>
      <c r="M29" s="56">
        <v>1082840</v>
      </c>
      <c r="N29" s="56">
        <f t="shared" si="1"/>
        <v>1082840</v>
      </c>
      <c r="O29" s="38" t="s">
        <v>21</v>
      </c>
      <c r="P29" s="38">
        <f t="shared" si="3"/>
        <v>14</v>
      </c>
      <c r="Q29" s="12">
        <f t="shared" si="2"/>
        <v>26</v>
      </c>
      <c r="T29"/>
      <c r="U29"/>
      <c r="V29"/>
      <c r="W29"/>
      <c r="X29"/>
      <c r="Y29"/>
    </row>
    <row r="30" spans="1:25" ht="15" customHeight="1" x14ac:dyDescent="0.25">
      <c r="A30" s="38" t="s">
        <v>18</v>
      </c>
      <c r="B30" s="64" t="s">
        <v>414</v>
      </c>
      <c r="C30" s="38">
        <f t="shared" si="0"/>
        <v>166</v>
      </c>
      <c r="D30" s="38">
        <v>1</v>
      </c>
      <c r="E30" s="38"/>
      <c r="F30" s="38"/>
      <c r="G30" s="55" t="s">
        <v>30</v>
      </c>
      <c r="H30" s="38" t="s">
        <v>684</v>
      </c>
      <c r="I30" s="38">
        <v>64276</v>
      </c>
      <c r="J30" s="38">
        <v>331</v>
      </c>
      <c r="K30" s="38" t="s">
        <v>20</v>
      </c>
      <c r="L30" s="38">
        <v>1</v>
      </c>
      <c r="M30" s="56">
        <v>6896000</v>
      </c>
      <c r="N30" s="56">
        <f t="shared" si="1"/>
        <v>6896000</v>
      </c>
      <c r="O30" s="38" t="s">
        <v>21</v>
      </c>
      <c r="P30" s="38">
        <f t="shared" si="3"/>
        <v>15</v>
      </c>
      <c r="Q30" s="12">
        <f t="shared" si="2"/>
        <v>38</v>
      </c>
      <c r="T30"/>
      <c r="U30"/>
      <c r="V30"/>
      <c r="W30"/>
      <c r="X30"/>
      <c r="Y30"/>
    </row>
    <row r="31" spans="1:25" ht="15" customHeight="1" x14ac:dyDescent="0.25">
      <c r="A31" s="38" t="s">
        <v>18</v>
      </c>
      <c r="B31" s="64" t="s">
        <v>414</v>
      </c>
      <c r="C31" s="38">
        <f t="shared" si="0"/>
        <v>167</v>
      </c>
      <c r="D31" s="38">
        <v>1</v>
      </c>
      <c r="E31" s="38"/>
      <c r="F31" s="38"/>
      <c r="G31" s="55" t="s">
        <v>30</v>
      </c>
      <c r="H31" s="38" t="s">
        <v>685</v>
      </c>
      <c r="I31" s="38">
        <v>64276</v>
      </c>
      <c r="J31" s="38">
        <v>331</v>
      </c>
      <c r="K31" s="38" t="s">
        <v>20</v>
      </c>
      <c r="L31" s="38">
        <v>1</v>
      </c>
      <c r="M31" s="56">
        <v>3199000</v>
      </c>
      <c r="N31" s="56">
        <f t="shared" si="1"/>
        <v>3199000</v>
      </c>
      <c r="O31" s="38" t="s">
        <v>21</v>
      </c>
      <c r="P31" s="38">
        <f t="shared" si="3"/>
        <v>16</v>
      </c>
      <c r="Q31" s="12">
        <f t="shared" si="2"/>
        <v>38</v>
      </c>
      <c r="T31"/>
      <c r="U31"/>
      <c r="V31"/>
      <c r="W31"/>
      <c r="X31"/>
      <c r="Y31"/>
    </row>
    <row r="32" spans="1:25" ht="15" customHeight="1" x14ac:dyDescent="0.25">
      <c r="A32" s="38" t="s">
        <v>18</v>
      </c>
      <c r="B32" s="64" t="s">
        <v>512</v>
      </c>
      <c r="C32" s="38">
        <f t="shared" si="0"/>
        <v>168</v>
      </c>
      <c r="D32" s="38">
        <v>1</v>
      </c>
      <c r="E32" s="38"/>
      <c r="F32" s="38"/>
      <c r="G32" s="55" t="s">
        <v>120</v>
      </c>
      <c r="H32" s="38" t="s">
        <v>686</v>
      </c>
      <c r="I32" s="38">
        <v>64276</v>
      </c>
      <c r="J32" s="38">
        <v>331</v>
      </c>
      <c r="K32" s="38" t="s">
        <v>20</v>
      </c>
      <c r="L32" s="38">
        <v>1</v>
      </c>
      <c r="M32" s="56">
        <v>4895722</v>
      </c>
      <c r="N32" s="56">
        <f t="shared" si="1"/>
        <v>4895722</v>
      </c>
      <c r="O32" s="38" t="s">
        <v>21</v>
      </c>
      <c r="P32" s="38">
        <f t="shared" si="3"/>
        <v>17</v>
      </c>
      <c r="Q32" s="12">
        <f t="shared" si="2"/>
        <v>38</v>
      </c>
      <c r="T32"/>
      <c r="U32"/>
      <c r="V32"/>
      <c r="W32"/>
      <c r="X32"/>
      <c r="Y32"/>
    </row>
    <row r="33" spans="1:25" ht="15" customHeight="1" x14ac:dyDescent="0.25">
      <c r="A33" s="38" t="s">
        <v>18</v>
      </c>
      <c r="B33" s="64" t="s">
        <v>291</v>
      </c>
      <c r="C33" s="38">
        <f t="shared" si="0"/>
        <v>169</v>
      </c>
      <c r="D33" s="38">
        <v>1</v>
      </c>
      <c r="E33" s="38"/>
      <c r="F33" s="38"/>
      <c r="G33" s="55" t="s">
        <v>674</v>
      </c>
      <c r="H33" s="38" t="s">
        <v>687</v>
      </c>
      <c r="I33" s="38">
        <v>64276</v>
      </c>
      <c r="J33" s="38">
        <v>331</v>
      </c>
      <c r="K33" s="38" t="s">
        <v>20</v>
      </c>
      <c r="L33" s="38">
        <v>1</v>
      </c>
      <c r="M33" s="56">
        <v>781000</v>
      </c>
      <c r="N33" s="56">
        <f t="shared" si="1"/>
        <v>781000</v>
      </c>
      <c r="O33" s="38" t="s">
        <v>21</v>
      </c>
      <c r="P33" s="38">
        <f t="shared" si="3"/>
        <v>18</v>
      </c>
      <c r="Q33" s="12">
        <f t="shared" si="2"/>
        <v>37</v>
      </c>
      <c r="T33"/>
      <c r="U33"/>
      <c r="V33"/>
      <c r="W33"/>
      <c r="X33"/>
      <c r="Y33"/>
    </row>
    <row r="34" spans="1:25" ht="15" customHeight="1" x14ac:dyDescent="0.25">
      <c r="A34" s="38" t="s">
        <v>18</v>
      </c>
      <c r="B34" s="64" t="s">
        <v>671</v>
      </c>
      <c r="C34" s="38">
        <f t="shared" ref="C34:C50" si="4">C33+D34</f>
        <v>170</v>
      </c>
      <c r="D34" s="38">
        <v>1</v>
      </c>
      <c r="E34" s="38"/>
      <c r="F34" s="38"/>
      <c r="G34" s="55" t="s">
        <v>30</v>
      </c>
      <c r="H34" s="38" t="s">
        <v>688</v>
      </c>
      <c r="I34" s="38">
        <v>64276</v>
      </c>
      <c r="J34" s="38">
        <v>331</v>
      </c>
      <c r="K34" s="38" t="s">
        <v>20</v>
      </c>
      <c r="L34" s="38">
        <v>1</v>
      </c>
      <c r="M34" s="56">
        <v>1699000</v>
      </c>
      <c r="N34" s="56">
        <f t="shared" ref="N34:N97" si="5">L34*M34</f>
        <v>1699000</v>
      </c>
      <c r="O34" s="38" t="s">
        <v>21</v>
      </c>
      <c r="P34" s="38">
        <f t="shared" si="3"/>
        <v>19</v>
      </c>
      <c r="Q34" s="12">
        <f t="shared" si="2"/>
        <v>38</v>
      </c>
      <c r="T34"/>
      <c r="U34"/>
      <c r="V34"/>
      <c r="W34"/>
      <c r="X34"/>
      <c r="Y34"/>
    </row>
    <row r="35" spans="1:25" ht="15" customHeight="1" x14ac:dyDescent="0.25">
      <c r="A35" s="38" t="s">
        <v>18</v>
      </c>
      <c r="B35" s="64" t="s">
        <v>316</v>
      </c>
      <c r="C35" s="38">
        <f t="shared" si="4"/>
        <v>171</v>
      </c>
      <c r="D35" s="38">
        <v>1</v>
      </c>
      <c r="E35" s="38"/>
      <c r="F35" s="38"/>
      <c r="G35" s="55" t="s">
        <v>120</v>
      </c>
      <c r="H35" s="38" t="s">
        <v>689</v>
      </c>
      <c r="I35" s="38">
        <v>64276</v>
      </c>
      <c r="J35" s="38">
        <v>331</v>
      </c>
      <c r="K35" s="38" t="s">
        <v>20</v>
      </c>
      <c r="L35" s="38">
        <v>1</v>
      </c>
      <c r="M35" s="56">
        <v>4206650</v>
      </c>
      <c r="N35" s="56">
        <f t="shared" si="5"/>
        <v>4206650</v>
      </c>
      <c r="O35" s="38" t="s">
        <v>21</v>
      </c>
      <c r="P35" s="38">
        <f t="shared" si="3"/>
        <v>20</v>
      </c>
      <c r="Q35" s="12">
        <f t="shared" si="2"/>
        <v>38</v>
      </c>
      <c r="T35"/>
      <c r="U35"/>
      <c r="V35"/>
      <c r="W35"/>
      <c r="X35"/>
      <c r="Y35"/>
    </row>
    <row r="36" spans="1:25" ht="15" customHeight="1" x14ac:dyDescent="0.25">
      <c r="A36" s="38" t="s">
        <v>18</v>
      </c>
      <c r="B36" s="64" t="s">
        <v>416</v>
      </c>
      <c r="C36" s="38">
        <f t="shared" si="4"/>
        <v>172</v>
      </c>
      <c r="D36" s="38">
        <v>1</v>
      </c>
      <c r="E36" s="38"/>
      <c r="F36" s="38"/>
      <c r="G36" s="55" t="s">
        <v>115</v>
      </c>
      <c r="H36" s="38" t="s">
        <v>861</v>
      </c>
      <c r="I36" s="38">
        <v>64277</v>
      </c>
      <c r="J36" s="38">
        <v>331</v>
      </c>
      <c r="K36" s="38" t="s">
        <v>20</v>
      </c>
      <c r="L36" s="38">
        <v>1</v>
      </c>
      <c r="M36" s="56">
        <v>20000</v>
      </c>
      <c r="N36" s="56">
        <f t="shared" si="5"/>
        <v>20000</v>
      </c>
      <c r="O36" s="38" t="s">
        <v>21</v>
      </c>
      <c r="P36" s="38">
        <f t="shared" si="3"/>
        <v>21</v>
      </c>
      <c r="Q36" s="12">
        <f t="shared" si="2"/>
        <v>39</v>
      </c>
      <c r="T36"/>
      <c r="U36"/>
      <c r="V36"/>
      <c r="W36"/>
      <c r="X36"/>
      <c r="Y36"/>
    </row>
    <row r="37" spans="1:25" ht="15" customHeight="1" x14ac:dyDescent="0.25">
      <c r="A37" s="38" t="s">
        <v>18</v>
      </c>
      <c r="B37" s="64" t="s">
        <v>317</v>
      </c>
      <c r="C37" s="38">
        <f t="shared" si="4"/>
        <v>173</v>
      </c>
      <c r="D37" s="38">
        <v>1</v>
      </c>
      <c r="E37" s="38"/>
      <c r="F37" s="38"/>
      <c r="G37" s="55" t="s">
        <v>37</v>
      </c>
      <c r="H37" s="38" t="s">
        <v>678</v>
      </c>
      <c r="I37" s="38">
        <v>64277</v>
      </c>
      <c r="J37" s="38">
        <v>331</v>
      </c>
      <c r="K37" s="38" t="s">
        <v>20</v>
      </c>
      <c r="L37" s="38">
        <v>1</v>
      </c>
      <c r="M37" s="56">
        <v>2916000</v>
      </c>
      <c r="N37" s="56">
        <f t="shared" si="5"/>
        <v>2916000</v>
      </c>
      <c r="O37" s="38" t="s">
        <v>21</v>
      </c>
      <c r="P37" s="38">
        <f t="shared" si="3"/>
        <v>22</v>
      </c>
      <c r="Q37" s="12">
        <f t="shared" si="2"/>
        <v>42</v>
      </c>
      <c r="T37"/>
      <c r="U37"/>
      <c r="V37"/>
      <c r="W37"/>
      <c r="X37"/>
      <c r="Y37"/>
    </row>
    <row r="38" spans="1:25" ht="15" customHeight="1" x14ac:dyDescent="0.25">
      <c r="A38" s="38" t="s">
        <v>18</v>
      </c>
      <c r="B38" s="64" t="s">
        <v>317</v>
      </c>
      <c r="C38" s="38">
        <f t="shared" si="4"/>
        <v>174</v>
      </c>
      <c r="D38" s="38">
        <v>1</v>
      </c>
      <c r="E38" s="38"/>
      <c r="F38" s="38"/>
      <c r="G38" s="55" t="s">
        <v>115</v>
      </c>
      <c r="H38" s="38" t="s">
        <v>862</v>
      </c>
      <c r="I38" s="38">
        <v>64277</v>
      </c>
      <c r="J38" s="38">
        <v>331</v>
      </c>
      <c r="K38" s="38" t="s">
        <v>20</v>
      </c>
      <c r="L38" s="38">
        <v>1</v>
      </c>
      <c r="M38" s="56">
        <v>18000</v>
      </c>
      <c r="N38" s="56">
        <f t="shared" si="5"/>
        <v>18000</v>
      </c>
      <c r="O38" s="38" t="s">
        <v>21</v>
      </c>
      <c r="P38" s="38">
        <f t="shared" si="3"/>
        <v>23</v>
      </c>
      <c r="Q38" s="12">
        <f t="shared" si="2"/>
        <v>39</v>
      </c>
      <c r="T38"/>
      <c r="U38"/>
      <c r="V38"/>
      <c r="W38"/>
      <c r="X38"/>
      <c r="Y38"/>
    </row>
    <row r="39" spans="1:25" ht="15" customHeight="1" x14ac:dyDescent="0.25">
      <c r="A39" s="38" t="s">
        <v>18</v>
      </c>
      <c r="B39" s="64" t="s">
        <v>417</v>
      </c>
      <c r="C39" s="38">
        <f t="shared" si="4"/>
        <v>175</v>
      </c>
      <c r="D39" s="38">
        <v>1</v>
      </c>
      <c r="E39" s="38"/>
      <c r="F39" s="38"/>
      <c r="G39" s="55" t="s">
        <v>675</v>
      </c>
      <c r="H39" s="38" t="s">
        <v>863</v>
      </c>
      <c r="I39" s="38">
        <v>64277</v>
      </c>
      <c r="J39" s="38">
        <v>331</v>
      </c>
      <c r="K39" s="38" t="s">
        <v>20</v>
      </c>
      <c r="L39" s="38">
        <v>1</v>
      </c>
      <c r="M39" s="56">
        <v>3303000</v>
      </c>
      <c r="N39" s="56">
        <f t="shared" si="5"/>
        <v>3303000</v>
      </c>
      <c r="O39" s="38" t="s">
        <v>21</v>
      </c>
      <c r="P39" s="38">
        <f t="shared" si="3"/>
        <v>24</v>
      </c>
      <c r="Q39" s="12">
        <f t="shared" si="2"/>
        <v>36</v>
      </c>
      <c r="T39"/>
      <c r="U39"/>
      <c r="V39"/>
      <c r="W39"/>
      <c r="X39"/>
      <c r="Y39"/>
    </row>
    <row r="40" spans="1:25" ht="15" customHeight="1" x14ac:dyDescent="0.25">
      <c r="A40" s="38" t="s">
        <v>18</v>
      </c>
      <c r="B40" s="64" t="s">
        <v>318</v>
      </c>
      <c r="C40" s="38">
        <f t="shared" si="4"/>
        <v>176</v>
      </c>
      <c r="D40" s="38">
        <v>1</v>
      </c>
      <c r="E40" s="38"/>
      <c r="F40" s="38"/>
      <c r="G40" s="55" t="s">
        <v>30</v>
      </c>
      <c r="H40" s="38" t="s">
        <v>690</v>
      </c>
      <c r="I40" s="38">
        <v>64276</v>
      </c>
      <c r="J40" s="38">
        <v>331</v>
      </c>
      <c r="K40" s="38" t="s">
        <v>20</v>
      </c>
      <c r="L40" s="38">
        <v>1</v>
      </c>
      <c r="M40" s="56">
        <v>6996000</v>
      </c>
      <c r="N40" s="56">
        <f t="shared" si="5"/>
        <v>6996000</v>
      </c>
      <c r="O40" s="38" t="s">
        <v>21</v>
      </c>
      <c r="P40" s="38">
        <f t="shared" si="3"/>
        <v>25</v>
      </c>
      <c r="Q40" s="12">
        <f t="shared" si="2"/>
        <v>38</v>
      </c>
      <c r="T40"/>
      <c r="U40"/>
      <c r="V40"/>
      <c r="W40"/>
      <c r="X40"/>
      <c r="Y40"/>
    </row>
    <row r="41" spans="1:25" ht="15" customHeight="1" x14ac:dyDescent="0.25">
      <c r="A41" s="38" t="s">
        <v>18</v>
      </c>
      <c r="B41" s="64" t="s">
        <v>318</v>
      </c>
      <c r="C41" s="38">
        <f t="shared" si="4"/>
        <v>177</v>
      </c>
      <c r="D41" s="38">
        <v>1</v>
      </c>
      <c r="E41" s="38"/>
      <c r="F41" s="38"/>
      <c r="G41" s="55" t="s">
        <v>673</v>
      </c>
      <c r="H41" s="38" t="s">
        <v>682</v>
      </c>
      <c r="I41" s="38">
        <v>6425</v>
      </c>
      <c r="J41" s="38">
        <v>331</v>
      </c>
      <c r="K41" s="38" t="s">
        <v>20</v>
      </c>
      <c r="L41" s="38">
        <v>1</v>
      </c>
      <c r="M41" s="56">
        <v>948048</v>
      </c>
      <c r="N41" s="56">
        <f t="shared" si="5"/>
        <v>948048</v>
      </c>
      <c r="O41" s="38" t="s">
        <v>21</v>
      </c>
      <c r="P41" s="38">
        <f t="shared" si="3"/>
        <v>26</v>
      </c>
      <c r="Q41" s="12">
        <f t="shared" si="2"/>
        <v>26</v>
      </c>
      <c r="T41"/>
      <c r="U41"/>
      <c r="V41"/>
      <c r="W41"/>
      <c r="X41"/>
      <c r="Y41"/>
    </row>
    <row r="42" spans="1:25" ht="15" customHeight="1" x14ac:dyDescent="0.25">
      <c r="A42" s="38" t="s">
        <v>18</v>
      </c>
      <c r="B42" s="64" t="s">
        <v>318</v>
      </c>
      <c r="C42" s="38">
        <f t="shared" si="4"/>
        <v>178</v>
      </c>
      <c r="D42" s="38">
        <v>1</v>
      </c>
      <c r="E42" s="38"/>
      <c r="F42" s="38"/>
      <c r="G42" s="55" t="s">
        <v>673</v>
      </c>
      <c r="H42" s="38" t="s">
        <v>683</v>
      </c>
      <c r="I42" s="38">
        <v>6425</v>
      </c>
      <c r="J42" s="38">
        <v>331</v>
      </c>
      <c r="K42" s="38" t="s">
        <v>20</v>
      </c>
      <c r="L42" s="38">
        <v>1</v>
      </c>
      <c r="M42" s="56">
        <v>1797734</v>
      </c>
      <c r="N42" s="56">
        <f t="shared" si="5"/>
        <v>1797734</v>
      </c>
      <c r="O42" s="38" t="s">
        <v>21</v>
      </c>
      <c r="P42" s="38">
        <f t="shared" si="3"/>
        <v>27</v>
      </c>
      <c r="Q42" s="12">
        <f t="shared" si="2"/>
        <v>26</v>
      </c>
      <c r="T42"/>
      <c r="U42"/>
      <c r="V42"/>
      <c r="W42"/>
      <c r="X42"/>
      <c r="Y42"/>
    </row>
    <row r="43" spans="1:25" ht="15" customHeight="1" x14ac:dyDescent="0.25">
      <c r="A43" s="38" t="s">
        <v>18</v>
      </c>
      <c r="B43" s="64" t="s">
        <v>318</v>
      </c>
      <c r="C43" s="38">
        <f t="shared" si="4"/>
        <v>179</v>
      </c>
      <c r="D43" s="38">
        <v>1</v>
      </c>
      <c r="E43" s="38"/>
      <c r="F43" s="38"/>
      <c r="G43" s="55" t="s">
        <v>120</v>
      </c>
      <c r="H43" s="38" t="s">
        <v>691</v>
      </c>
      <c r="I43" s="38">
        <v>64276</v>
      </c>
      <c r="J43" s="38">
        <v>331</v>
      </c>
      <c r="K43" s="38" t="s">
        <v>20</v>
      </c>
      <c r="L43" s="38">
        <v>1</v>
      </c>
      <c r="M43" s="56">
        <v>3261373</v>
      </c>
      <c r="N43" s="56">
        <f t="shared" si="5"/>
        <v>3261373</v>
      </c>
      <c r="O43" s="38" t="s">
        <v>21</v>
      </c>
      <c r="P43" s="38">
        <f t="shared" si="3"/>
        <v>28</v>
      </c>
      <c r="Q43" s="12">
        <f t="shared" si="2"/>
        <v>38</v>
      </c>
      <c r="T43"/>
      <c r="U43"/>
      <c r="V43"/>
      <c r="W43"/>
      <c r="X43"/>
      <c r="Y43"/>
    </row>
    <row r="44" spans="1:25" ht="15" customHeight="1" x14ac:dyDescent="0.25">
      <c r="A44" s="38" t="s">
        <v>18</v>
      </c>
      <c r="B44" s="64" t="s">
        <v>601</v>
      </c>
      <c r="C44" s="38">
        <f t="shared" si="4"/>
        <v>180</v>
      </c>
      <c r="D44" s="38">
        <v>1</v>
      </c>
      <c r="E44" s="38"/>
      <c r="F44" s="38"/>
      <c r="G44" s="55" t="s">
        <v>676</v>
      </c>
      <c r="H44" s="38" t="s">
        <v>692</v>
      </c>
      <c r="I44" s="38">
        <v>64276</v>
      </c>
      <c r="J44" s="38">
        <v>331</v>
      </c>
      <c r="K44" s="38" t="s">
        <v>20</v>
      </c>
      <c r="L44" s="38">
        <v>1</v>
      </c>
      <c r="M44" s="56">
        <v>3200000</v>
      </c>
      <c r="N44" s="56">
        <f t="shared" si="5"/>
        <v>3200000</v>
      </c>
      <c r="O44" s="38" t="s">
        <v>21</v>
      </c>
      <c r="P44" s="38">
        <f t="shared" si="3"/>
        <v>29</v>
      </c>
      <c r="Q44" s="12">
        <f t="shared" si="2"/>
        <v>36</v>
      </c>
      <c r="T44"/>
      <c r="U44"/>
      <c r="V44"/>
      <c r="W44"/>
      <c r="X44"/>
      <c r="Y44"/>
    </row>
    <row r="45" spans="1:25" ht="15" customHeight="1" x14ac:dyDescent="0.25">
      <c r="A45" s="38" t="s">
        <v>18</v>
      </c>
      <c r="B45" s="64" t="s">
        <v>672</v>
      </c>
      <c r="C45" s="38">
        <f t="shared" si="4"/>
        <v>181</v>
      </c>
      <c r="D45" s="38">
        <v>1</v>
      </c>
      <c r="E45" s="38"/>
      <c r="F45" s="38"/>
      <c r="G45" s="55" t="s">
        <v>37</v>
      </c>
      <c r="H45" s="38" t="s">
        <v>679</v>
      </c>
      <c r="I45" s="38">
        <v>64277</v>
      </c>
      <c r="J45" s="38">
        <v>331</v>
      </c>
      <c r="K45" s="38" t="s">
        <v>20</v>
      </c>
      <c r="L45" s="38">
        <v>1</v>
      </c>
      <c r="M45" s="56">
        <v>2916000</v>
      </c>
      <c r="N45" s="56">
        <f t="shared" si="5"/>
        <v>2916000</v>
      </c>
      <c r="O45" s="38" t="s">
        <v>21</v>
      </c>
      <c r="P45" s="38">
        <f t="shared" si="3"/>
        <v>30</v>
      </c>
      <c r="Q45" s="12">
        <f t="shared" si="2"/>
        <v>42</v>
      </c>
      <c r="T45"/>
      <c r="U45"/>
      <c r="V45"/>
      <c r="W45"/>
      <c r="X45"/>
      <c r="Y45"/>
    </row>
    <row r="46" spans="1:25" ht="15" customHeight="1" x14ac:dyDescent="0.25">
      <c r="A46" s="38" t="s">
        <v>18</v>
      </c>
      <c r="B46" s="64" t="s">
        <v>603</v>
      </c>
      <c r="C46" s="38">
        <f t="shared" si="4"/>
        <v>182</v>
      </c>
      <c r="D46" s="38">
        <v>1</v>
      </c>
      <c r="E46" s="38"/>
      <c r="F46" s="38"/>
      <c r="G46" s="55" t="s">
        <v>115</v>
      </c>
      <c r="H46" s="38" t="s">
        <v>2574</v>
      </c>
      <c r="I46" s="38">
        <v>64277</v>
      </c>
      <c r="J46" s="38">
        <v>331</v>
      </c>
      <c r="K46" s="38" t="s">
        <v>20</v>
      </c>
      <c r="L46" s="38">
        <v>1</v>
      </c>
      <c r="M46" s="56">
        <v>-20000</v>
      </c>
      <c r="N46" s="56">
        <f t="shared" si="5"/>
        <v>-20000</v>
      </c>
      <c r="O46" s="38" t="s">
        <v>21</v>
      </c>
      <c r="P46" s="38">
        <f t="shared" si="3"/>
        <v>31</v>
      </c>
      <c r="Q46" s="12">
        <f t="shared" si="2"/>
        <v>69</v>
      </c>
      <c r="T46"/>
      <c r="U46"/>
      <c r="V46"/>
      <c r="W46"/>
      <c r="X46"/>
      <c r="Y46"/>
    </row>
    <row r="47" spans="1:25" ht="15" customHeight="1" x14ac:dyDescent="0.25">
      <c r="A47" s="38" t="s">
        <v>18</v>
      </c>
      <c r="B47" s="64" t="s">
        <v>2561</v>
      </c>
      <c r="C47" s="38">
        <f t="shared" si="4"/>
        <v>183</v>
      </c>
      <c r="D47" s="38">
        <v>1</v>
      </c>
      <c r="E47" s="38"/>
      <c r="F47" s="38"/>
      <c r="G47" s="55" t="s">
        <v>30</v>
      </c>
      <c r="H47" s="38" t="s">
        <v>2573</v>
      </c>
      <c r="I47" s="38">
        <v>64276</v>
      </c>
      <c r="J47" s="38">
        <v>331</v>
      </c>
      <c r="K47" s="38" t="s">
        <v>20</v>
      </c>
      <c r="L47" s="38">
        <v>1</v>
      </c>
      <c r="M47" s="56">
        <v>3198000</v>
      </c>
      <c r="N47" s="56">
        <f t="shared" si="5"/>
        <v>3198000</v>
      </c>
      <c r="O47" s="38" t="s">
        <v>21</v>
      </c>
      <c r="P47" s="38">
        <f t="shared" si="3"/>
        <v>32</v>
      </c>
      <c r="Q47" s="12">
        <f t="shared" si="2"/>
        <v>38</v>
      </c>
      <c r="T47"/>
      <c r="U47"/>
      <c r="V47"/>
      <c r="W47"/>
      <c r="X47"/>
      <c r="Y47"/>
    </row>
    <row r="48" spans="1:25" ht="15" customHeight="1" x14ac:dyDescent="0.25">
      <c r="A48" s="38" t="s">
        <v>18</v>
      </c>
      <c r="B48" s="36">
        <v>45961</v>
      </c>
      <c r="C48" s="38">
        <f t="shared" si="4"/>
        <v>184</v>
      </c>
      <c r="D48" s="38">
        <v>1</v>
      </c>
      <c r="G48" s="55" t="s">
        <v>45</v>
      </c>
      <c r="H48" s="38" t="s">
        <v>371</v>
      </c>
      <c r="I48" s="38">
        <v>64271</v>
      </c>
      <c r="J48" s="38">
        <v>3383</v>
      </c>
      <c r="K48" s="38" t="s">
        <v>20</v>
      </c>
      <c r="L48" s="38">
        <v>1</v>
      </c>
      <c r="M48" s="57">
        <v>690300</v>
      </c>
      <c r="N48" s="56">
        <f t="shared" si="5"/>
        <v>690300</v>
      </c>
      <c r="O48" s="38" t="s">
        <v>21</v>
      </c>
      <c r="P48" s="38">
        <f t="shared" si="3"/>
        <v>33</v>
      </c>
      <c r="Q48" s="12">
        <f t="shared" si="2"/>
        <v>30</v>
      </c>
      <c r="T48"/>
      <c r="U48"/>
      <c r="V48"/>
      <c r="W48"/>
      <c r="X48"/>
      <c r="Y48"/>
    </row>
    <row r="49" spans="1:25" ht="15" customHeight="1" x14ac:dyDescent="0.25">
      <c r="A49" s="38" t="s">
        <v>18</v>
      </c>
      <c r="B49" s="36">
        <v>45991</v>
      </c>
      <c r="C49" s="38">
        <f t="shared" si="4"/>
        <v>185</v>
      </c>
      <c r="D49" s="38">
        <v>1</v>
      </c>
      <c r="G49" s="55" t="s">
        <v>45</v>
      </c>
      <c r="H49" s="38" t="s">
        <v>372</v>
      </c>
      <c r="I49" s="38">
        <v>64271</v>
      </c>
      <c r="J49" s="38">
        <v>3383</v>
      </c>
      <c r="K49" s="38" t="s">
        <v>20</v>
      </c>
      <c r="L49" s="38">
        <v>1</v>
      </c>
      <c r="M49" s="57">
        <v>690300</v>
      </c>
      <c r="N49" s="56">
        <f t="shared" si="5"/>
        <v>690300</v>
      </c>
      <c r="O49" s="38" t="s">
        <v>21</v>
      </c>
      <c r="P49" s="38">
        <f t="shared" si="3"/>
        <v>34</v>
      </c>
      <c r="Q49" s="12">
        <f t="shared" si="2"/>
        <v>30</v>
      </c>
      <c r="T49"/>
      <c r="U49"/>
      <c r="V49"/>
      <c r="W49"/>
      <c r="X49"/>
      <c r="Y49"/>
    </row>
    <row r="50" spans="1:25" ht="15" customHeight="1" x14ac:dyDescent="0.25">
      <c r="A50" s="38" t="s">
        <v>18</v>
      </c>
      <c r="B50" s="36">
        <v>46022</v>
      </c>
      <c r="C50" s="38">
        <f t="shared" si="4"/>
        <v>186</v>
      </c>
      <c r="D50" s="38">
        <v>1</v>
      </c>
      <c r="G50" s="55" t="s">
        <v>45</v>
      </c>
      <c r="H50" s="38" t="s">
        <v>373</v>
      </c>
      <c r="I50" s="38">
        <v>64271</v>
      </c>
      <c r="J50" s="38">
        <v>3383</v>
      </c>
      <c r="K50" s="38" t="s">
        <v>20</v>
      </c>
      <c r="L50" s="38">
        <v>1</v>
      </c>
      <c r="M50" s="57">
        <v>690300</v>
      </c>
      <c r="N50" s="56">
        <f t="shared" si="5"/>
        <v>690300</v>
      </c>
      <c r="O50" s="38" t="s">
        <v>21</v>
      </c>
      <c r="P50" s="38">
        <f t="shared" si="3"/>
        <v>35</v>
      </c>
      <c r="Q50" s="12">
        <f t="shared" si="2"/>
        <v>30</v>
      </c>
      <c r="T50"/>
      <c r="U50"/>
      <c r="V50"/>
      <c r="W50"/>
      <c r="X50"/>
      <c r="Y50"/>
    </row>
    <row r="51" spans="1:25" ht="15" customHeight="1" x14ac:dyDescent="0.25">
      <c r="A51" s="12" t="s">
        <v>2678</v>
      </c>
      <c r="B51" s="36" t="s">
        <v>443</v>
      </c>
      <c r="C51" s="38">
        <f t="shared" ref="C51:C114" si="6">C50+D51</f>
        <v>187</v>
      </c>
      <c r="D51" s="38">
        <v>1</v>
      </c>
      <c r="G51" s="14" t="s">
        <v>101</v>
      </c>
      <c r="H51" s="12" t="s">
        <v>3017</v>
      </c>
      <c r="I51" s="12">
        <v>1111</v>
      </c>
      <c r="J51" s="12">
        <v>112121</v>
      </c>
      <c r="K51" s="38" t="s">
        <v>20</v>
      </c>
      <c r="L51" s="38">
        <v>1</v>
      </c>
      <c r="M51" s="17">
        <v>87000000</v>
      </c>
      <c r="N51" s="56">
        <f t="shared" si="5"/>
        <v>87000000</v>
      </c>
      <c r="O51" s="12" t="s">
        <v>21</v>
      </c>
      <c r="P51" s="38">
        <f t="shared" si="3"/>
        <v>36</v>
      </c>
      <c r="Q51" s="12">
        <f t="shared" si="2"/>
        <v>40</v>
      </c>
      <c r="T51"/>
      <c r="U51"/>
      <c r="V51"/>
      <c r="W51"/>
      <c r="X51"/>
      <c r="Y51"/>
    </row>
    <row r="52" spans="1:25" ht="15" customHeight="1" x14ac:dyDescent="0.25">
      <c r="A52" s="12" t="s">
        <v>2679</v>
      </c>
      <c r="B52" s="36" t="s">
        <v>310</v>
      </c>
      <c r="C52" s="38">
        <f t="shared" si="6"/>
        <v>188</v>
      </c>
      <c r="D52" s="38">
        <v>1</v>
      </c>
      <c r="G52" s="14" t="s">
        <v>45</v>
      </c>
      <c r="H52" s="12" t="s">
        <v>3019</v>
      </c>
      <c r="I52" s="12">
        <v>112121</v>
      </c>
      <c r="J52" s="12">
        <v>3388</v>
      </c>
      <c r="K52" s="38" t="s">
        <v>20</v>
      </c>
      <c r="L52" s="38">
        <v>1</v>
      </c>
      <c r="M52" s="17">
        <v>24000000</v>
      </c>
      <c r="N52" s="56">
        <f t="shared" si="5"/>
        <v>24000000</v>
      </c>
      <c r="O52" s="12" t="s">
        <v>21</v>
      </c>
      <c r="P52" s="38">
        <f t="shared" si="3"/>
        <v>37</v>
      </c>
      <c r="Q52" s="12">
        <f t="shared" si="2"/>
        <v>27</v>
      </c>
      <c r="T52"/>
      <c r="U52"/>
      <c r="V52"/>
      <c r="W52"/>
      <c r="X52"/>
      <c r="Y52"/>
    </row>
    <row r="53" spans="1:25" ht="15" customHeight="1" x14ac:dyDescent="0.25">
      <c r="A53" s="12" t="s">
        <v>2678</v>
      </c>
      <c r="B53" s="36" t="s">
        <v>445</v>
      </c>
      <c r="C53" s="38">
        <f t="shared" si="6"/>
        <v>189</v>
      </c>
      <c r="D53" s="38">
        <v>1</v>
      </c>
      <c r="G53" s="14" t="s">
        <v>101</v>
      </c>
      <c r="H53" s="12" t="s">
        <v>3017</v>
      </c>
      <c r="I53" s="12">
        <v>1111</v>
      </c>
      <c r="J53" s="12">
        <v>112121</v>
      </c>
      <c r="K53" s="38" t="s">
        <v>20</v>
      </c>
      <c r="L53" s="38">
        <v>1</v>
      </c>
      <c r="M53" s="17">
        <v>15000000</v>
      </c>
      <c r="N53" s="56">
        <f t="shared" si="5"/>
        <v>15000000</v>
      </c>
      <c r="O53" s="12" t="s">
        <v>21</v>
      </c>
      <c r="P53" s="38">
        <f t="shared" si="3"/>
        <v>38</v>
      </c>
      <c r="Q53" s="12">
        <f t="shared" si="2"/>
        <v>40</v>
      </c>
      <c r="T53"/>
      <c r="U53"/>
      <c r="V53"/>
      <c r="W53"/>
      <c r="X53"/>
      <c r="Y53"/>
    </row>
    <row r="54" spans="1:25" ht="15" customHeight="1" x14ac:dyDescent="0.25">
      <c r="A54" s="12" t="s">
        <v>2678</v>
      </c>
      <c r="B54" s="36" t="s">
        <v>468</v>
      </c>
      <c r="C54" s="38">
        <f t="shared" si="6"/>
        <v>190</v>
      </c>
      <c r="D54" s="38">
        <v>1</v>
      </c>
      <c r="G54" s="14" t="s">
        <v>101</v>
      </c>
      <c r="H54" s="12" t="s">
        <v>3017</v>
      </c>
      <c r="I54" s="12">
        <v>1111</v>
      </c>
      <c r="J54" s="12">
        <v>112121</v>
      </c>
      <c r="K54" s="38" t="s">
        <v>20</v>
      </c>
      <c r="L54" s="38">
        <v>1</v>
      </c>
      <c r="M54" s="17">
        <v>10000000</v>
      </c>
      <c r="N54" s="56">
        <f t="shared" si="5"/>
        <v>10000000</v>
      </c>
      <c r="O54" s="12" t="s">
        <v>21</v>
      </c>
      <c r="P54" s="38">
        <f t="shared" si="3"/>
        <v>39</v>
      </c>
      <c r="Q54" s="12">
        <f t="shared" si="2"/>
        <v>40</v>
      </c>
      <c r="T54"/>
      <c r="U54"/>
      <c r="V54"/>
      <c r="W54"/>
      <c r="X54"/>
      <c r="Y54"/>
    </row>
    <row r="55" spans="1:25" ht="15" customHeight="1" x14ac:dyDescent="0.25">
      <c r="A55" s="12" t="s">
        <v>2679</v>
      </c>
      <c r="B55" s="36" t="s">
        <v>469</v>
      </c>
      <c r="C55" s="38">
        <f t="shared" si="6"/>
        <v>191</v>
      </c>
      <c r="D55" s="38">
        <v>1</v>
      </c>
      <c r="G55" s="14" t="s">
        <v>144</v>
      </c>
      <c r="H55" s="38" t="s">
        <v>3237</v>
      </c>
      <c r="I55" s="12">
        <v>112121</v>
      </c>
      <c r="J55" s="12">
        <v>131</v>
      </c>
      <c r="K55" s="38" t="s">
        <v>20</v>
      </c>
      <c r="L55" s="38">
        <v>1</v>
      </c>
      <c r="M55" s="17">
        <v>29032258</v>
      </c>
      <c r="N55" s="56">
        <f t="shared" si="5"/>
        <v>29032258</v>
      </c>
      <c r="O55" s="38" t="s">
        <v>21</v>
      </c>
      <c r="P55" s="38">
        <f t="shared" si="3"/>
        <v>40</v>
      </c>
      <c r="Q55" s="12">
        <f t="shared" si="2"/>
        <v>168</v>
      </c>
      <c r="T55"/>
      <c r="U55"/>
      <c r="V55"/>
      <c r="W55"/>
      <c r="X55"/>
      <c r="Y55"/>
    </row>
    <row r="56" spans="1:25" ht="15" customHeight="1" x14ac:dyDescent="0.25">
      <c r="A56" s="12" t="s">
        <v>2678</v>
      </c>
      <c r="B56" s="36" t="s">
        <v>415</v>
      </c>
      <c r="C56" s="38">
        <f t="shared" si="6"/>
        <v>192</v>
      </c>
      <c r="D56" s="38">
        <v>1</v>
      </c>
      <c r="G56" s="14" t="s">
        <v>101</v>
      </c>
      <c r="H56" s="12" t="s">
        <v>3017</v>
      </c>
      <c r="I56" s="12">
        <v>1111</v>
      </c>
      <c r="J56" s="12">
        <v>112121</v>
      </c>
      <c r="K56" s="38" t="s">
        <v>20</v>
      </c>
      <c r="L56" s="38">
        <v>1</v>
      </c>
      <c r="M56" s="17">
        <v>10000000</v>
      </c>
      <c r="N56" s="56">
        <f t="shared" si="5"/>
        <v>10000000</v>
      </c>
      <c r="O56" s="12" t="s">
        <v>21</v>
      </c>
      <c r="P56" s="38">
        <f t="shared" si="3"/>
        <v>41</v>
      </c>
      <c r="Q56" s="12">
        <f t="shared" si="2"/>
        <v>40</v>
      </c>
      <c r="T56"/>
      <c r="U56"/>
      <c r="V56"/>
      <c r="W56"/>
      <c r="X56"/>
      <c r="Y56"/>
    </row>
    <row r="57" spans="1:25" ht="15" customHeight="1" x14ac:dyDescent="0.25">
      <c r="A57" s="12" t="s">
        <v>2678</v>
      </c>
      <c r="B57" s="36" t="s">
        <v>448</v>
      </c>
      <c r="C57" s="38">
        <f t="shared" si="6"/>
        <v>193</v>
      </c>
      <c r="D57" s="38">
        <v>1</v>
      </c>
      <c r="G57" s="14" t="s">
        <v>101</v>
      </c>
      <c r="H57" s="12" t="s">
        <v>3017</v>
      </c>
      <c r="I57" s="12">
        <v>1111</v>
      </c>
      <c r="J57" s="12">
        <v>112121</v>
      </c>
      <c r="K57" s="38" t="s">
        <v>20</v>
      </c>
      <c r="L57" s="38">
        <v>1</v>
      </c>
      <c r="M57" s="17">
        <v>5000000</v>
      </c>
      <c r="N57" s="56">
        <f t="shared" si="5"/>
        <v>5000000</v>
      </c>
      <c r="O57" s="12" t="s">
        <v>21</v>
      </c>
      <c r="P57" s="38">
        <f t="shared" si="3"/>
        <v>42</v>
      </c>
      <c r="Q57" s="12">
        <f t="shared" si="2"/>
        <v>40</v>
      </c>
      <c r="T57"/>
      <c r="U57"/>
      <c r="V57"/>
      <c r="W57"/>
      <c r="X57"/>
      <c r="Y57"/>
    </row>
    <row r="58" spans="1:25" ht="15" customHeight="1" x14ac:dyDescent="0.25">
      <c r="A58" s="12" t="s">
        <v>2679</v>
      </c>
      <c r="B58" s="36" t="s">
        <v>448</v>
      </c>
      <c r="C58" s="38">
        <f t="shared" si="6"/>
        <v>194</v>
      </c>
      <c r="D58" s="38">
        <v>1</v>
      </c>
      <c r="G58" s="14" t="s">
        <v>101</v>
      </c>
      <c r="H58" s="12" t="s">
        <v>2687</v>
      </c>
      <c r="I58" s="12">
        <v>112121</v>
      </c>
      <c r="J58" s="12">
        <v>5154</v>
      </c>
      <c r="K58" s="38" t="s">
        <v>20</v>
      </c>
      <c r="L58" s="38">
        <v>1</v>
      </c>
      <c r="M58" s="17">
        <v>8409</v>
      </c>
      <c r="N58" s="56">
        <f t="shared" si="5"/>
        <v>8409</v>
      </c>
      <c r="O58" s="12" t="s">
        <v>21</v>
      </c>
      <c r="P58" s="38">
        <f t="shared" si="3"/>
        <v>43</v>
      </c>
      <c r="Q58" s="12">
        <f t="shared" si="2"/>
        <v>12</v>
      </c>
      <c r="T58"/>
      <c r="U58"/>
      <c r="V58"/>
      <c r="W58"/>
      <c r="X58"/>
      <c r="Y58"/>
    </row>
    <row r="59" spans="1:25" ht="15" customHeight="1" x14ac:dyDescent="0.25">
      <c r="A59" s="12" t="s">
        <v>2678</v>
      </c>
      <c r="B59" s="36" t="s">
        <v>312</v>
      </c>
      <c r="C59" s="38">
        <f t="shared" si="6"/>
        <v>195</v>
      </c>
      <c r="D59" s="38">
        <v>1</v>
      </c>
      <c r="G59" s="14" t="s">
        <v>2717</v>
      </c>
      <c r="H59" s="12" t="s">
        <v>2718</v>
      </c>
      <c r="I59" s="12">
        <v>333821</v>
      </c>
      <c r="J59" s="12">
        <v>112121</v>
      </c>
      <c r="K59" s="38" t="s">
        <v>20</v>
      </c>
      <c r="L59" s="38">
        <v>1</v>
      </c>
      <c r="M59" s="17">
        <v>266880</v>
      </c>
      <c r="N59" s="56">
        <f t="shared" si="5"/>
        <v>266880</v>
      </c>
      <c r="O59" s="12" t="s">
        <v>21</v>
      </c>
      <c r="P59" s="38">
        <f t="shared" si="3"/>
        <v>44</v>
      </c>
      <c r="Q59" s="12">
        <f t="shared" si="2"/>
        <v>27</v>
      </c>
      <c r="T59"/>
      <c r="U59"/>
      <c r="V59"/>
      <c r="W59"/>
      <c r="X59"/>
      <c r="Y59"/>
    </row>
    <row r="60" spans="1:25" ht="15" customHeight="1" x14ac:dyDescent="0.25">
      <c r="A60" s="12" t="s">
        <v>2678</v>
      </c>
      <c r="B60" s="36" t="s">
        <v>312</v>
      </c>
      <c r="C60" s="38">
        <f t="shared" si="6"/>
        <v>196</v>
      </c>
      <c r="D60" s="38">
        <v>1</v>
      </c>
      <c r="G60" s="14" t="s">
        <v>2717</v>
      </c>
      <c r="H60" s="12" t="s">
        <v>2718</v>
      </c>
      <c r="I60" s="12">
        <v>333821</v>
      </c>
      <c r="J60" s="12">
        <v>112121</v>
      </c>
      <c r="K60" s="38" t="s">
        <v>20</v>
      </c>
      <c r="L60" s="38">
        <v>1</v>
      </c>
      <c r="M60" s="17">
        <v>15013864</v>
      </c>
      <c r="N60" s="56">
        <f t="shared" si="5"/>
        <v>15013864</v>
      </c>
      <c r="O60" s="12" t="s">
        <v>21</v>
      </c>
      <c r="P60" s="38">
        <f t="shared" si="3"/>
        <v>45</v>
      </c>
      <c r="Q60" s="12">
        <f t="shared" si="2"/>
        <v>27</v>
      </c>
      <c r="T60"/>
      <c r="U60"/>
      <c r="V60"/>
      <c r="W60"/>
      <c r="X60"/>
      <c r="Y60"/>
    </row>
    <row r="61" spans="1:25" ht="15" customHeight="1" x14ac:dyDescent="0.25">
      <c r="A61" s="12" t="s">
        <v>2678</v>
      </c>
      <c r="B61" s="36" t="s">
        <v>312</v>
      </c>
      <c r="C61" s="38">
        <f t="shared" si="6"/>
        <v>197</v>
      </c>
      <c r="D61" s="38">
        <v>1</v>
      </c>
      <c r="G61" s="14" t="s">
        <v>2717</v>
      </c>
      <c r="H61" s="12" t="s">
        <v>2718</v>
      </c>
      <c r="I61" s="12">
        <v>8118</v>
      </c>
      <c r="J61" s="12">
        <v>112121</v>
      </c>
      <c r="K61" s="38" t="s">
        <v>20</v>
      </c>
      <c r="L61" s="38">
        <v>1</v>
      </c>
      <c r="M61" s="17">
        <v>529</v>
      </c>
      <c r="N61" s="56">
        <f t="shared" si="5"/>
        <v>529</v>
      </c>
      <c r="O61" s="12" t="s">
        <v>21</v>
      </c>
      <c r="P61" s="38">
        <f t="shared" si="3"/>
        <v>46</v>
      </c>
      <c r="Q61" s="12">
        <f t="shared" si="2"/>
        <v>27</v>
      </c>
      <c r="T61"/>
      <c r="U61"/>
      <c r="V61"/>
      <c r="W61"/>
      <c r="X61"/>
      <c r="Y61"/>
    </row>
    <row r="62" spans="1:25" ht="15" customHeight="1" x14ac:dyDescent="0.25">
      <c r="A62" s="12" t="s">
        <v>2678</v>
      </c>
      <c r="B62" s="36" t="s">
        <v>312</v>
      </c>
      <c r="C62" s="38">
        <f t="shared" si="6"/>
        <v>198</v>
      </c>
      <c r="D62" s="38">
        <v>1</v>
      </c>
      <c r="G62" s="14" t="s">
        <v>2717</v>
      </c>
      <c r="H62" s="12" t="s">
        <v>2718</v>
      </c>
      <c r="I62" s="12">
        <v>333821</v>
      </c>
      <c r="J62" s="12">
        <v>112121</v>
      </c>
      <c r="K62" s="38" t="s">
        <v>20</v>
      </c>
      <c r="L62" s="38">
        <v>1</v>
      </c>
      <c r="M62" s="17">
        <v>133440</v>
      </c>
      <c r="N62" s="56">
        <f t="shared" si="5"/>
        <v>133440</v>
      </c>
      <c r="O62" s="12" t="s">
        <v>21</v>
      </c>
      <c r="P62" s="38">
        <f t="shared" si="3"/>
        <v>47</v>
      </c>
      <c r="Q62" s="12">
        <f t="shared" si="2"/>
        <v>27</v>
      </c>
      <c r="T62"/>
      <c r="U62"/>
      <c r="V62"/>
      <c r="W62"/>
      <c r="X62"/>
      <c r="Y62"/>
    </row>
    <row r="63" spans="1:25" ht="15" customHeight="1" x14ac:dyDescent="0.25">
      <c r="A63" s="12" t="s">
        <v>2678</v>
      </c>
      <c r="B63" s="36" t="s">
        <v>312</v>
      </c>
      <c r="C63" s="38">
        <f t="shared" si="6"/>
        <v>199</v>
      </c>
      <c r="D63" s="38">
        <v>1</v>
      </c>
      <c r="G63" s="14" t="s">
        <v>2717</v>
      </c>
      <c r="H63" s="12" t="s">
        <v>2718</v>
      </c>
      <c r="I63" s="12">
        <v>333821</v>
      </c>
      <c r="J63" s="12">
        <v>112121</v>
      </c>
      <c r="K63" s="38" t="s">
        <v>20</v>
      </c>
      <c r="L63" s="38">
        <v>1</v>
      </c>
      <c r="M63" s="17">
        <v>6991287</v>
      </c>
      <c r="N63" s="56">
        <f t="shared" si="5"/>
        <v>6991287</v>
      </c>
      <c r="O63" s="12" t="s">
        <v>21</v>
      </c>
      <c r="P63" s="38">
        <f t="shared" si="3"/>
        <v>48</v>
      </c>
      <c r="Q63" s="12">
        <f t="shared" si="2"/>
        <v>27</v>
      </c>
      <c r="T63"/>
      <c r="U63"/>
      <c r="V63"/>
      <c r="W63"/>
      <c r="X63"/>
      <c r="Y63"/>
    </row>
    <row r="64" spans="1:25" ht="15" customHeight="1" x14ac:dyDescent="0.25">
      <c r="A64" s="12" t="s">
        <v>2678</v>
      </c>
      <c r="B64" s="36" t="s">
        <v>312</v>
      </c>
      <c r="C64" s="38">
        <f t="shared" si="6"/>
        <v>200</v>
      </c>
      <c r="D64" s="38">
        <v>1</v>
      </c>
      <c r="G64" s="14" t="s">
        <v>2717</v>
      </c>
      <c r="H64" s="12" t="s">
        <v>2718</v>
      </c>
      <c r="I64" s="12">
        <v>8118</v>
      </c>
      <c r="J64" s="12">
        <v>112121</v>
      </c>
      <c r="K64" s="38" t="s">
        <v>20</v>
      </c>
      <c r="L64" s="38">
        <v>1</v>
      </c>
      <c r="M64" s="17">
        <v>1058</v>
      </c>
      <c r="N64" s="56">
        <f t="shared" si="5"/>
        <v>1058</v>
      </c>
      <c r="O64" s="12" t="s">
        <v>21</v>
      </c>
      <c r="P64" s="38">
        <f t="shared" si="3"/>
        <v>49</v>
      </c>
      <c r="Q64" s="12">
        <f t="shared" si="2"/>
        <v>27</v>
      </c>
      <c r="T64"/>
      <c r="U64"/>
      <c r="V64"/>
      <c r="W64"/>
      <c r="X64"/>
      <c r="Y64"/>
    </row>
    <row r="65" spans="1:25" ht="15" customHeight="1" x14ac:dyDescent="0.25">
      <c r="A65" s="12" t="s">
        <v>2678</v>
      </c>
      <c r="B65" s="36" t="s">
        <v>652</v>
      </c>
      <c r="C65" s="38">
        <f t="shared" si="6"/>
        <v>201</v>
      </c>
      <c r="D65" s="38">
        <v>1</v>
      </c>
      <c r="G65" s="14" t="s">
        <v>101</v>
      </c>
      <c r="H65" s="12" t="s">
        <v>3017</v>
      </c>
      <c r="I65" s="12">
        <v>1111</v>
      </c>
      <c r="J65" s="12">
        <v>112121</v>
      </c>
      <c r="K65" s="38" t="s">
        <v>20</v>
      </c>
      <c r="L65" s="38">
        <v>1</v>
      </c>
      <c r="M65" s="17">
        <v>5000000</v>
      </c>
      <c r="N65" s="56">
        <f t="shared" si="5"/>
        <v>5000000</v>
      </c>
      <c r="O65" s="12" t="s">
        <v>21</v>
      </c>
      <c r="P65" s="38">
        <f t="shared" si="3"/>
        <v>50</v>
      </c>
      <c r="Q65" s="12">
        <f t="shared" si="2"/>
        <v>40</v>
      </c>
      <c r="T65"/>
      <c r="U65"/>
      <c r="V65"/>
      <c r="W65"/>
      <c r="X65"/>
      <c r="Y65"/>
    </row>
    <row r="66" spans="1:25" ht="15" customHeight="1" x14ac:dyDescent="0.25">
      <c r="A66" s="12" t="s">
        <v>2678</v>
      </c>
      <c r="B66" s="36" t="s">
        <v>869</v>
      </c>
      <c r="C66" s="38">
        <f t="shared" si="6"/>
        <v>202</v>
      </c>
      <c r="D66" s="38">
        <v>1</v>
      </c>
      <c r="G66" s="14" t="s">
        <v>101</v>
      </c>
      <c r="H66" s="12" t="s">
        <v>3017</v>
      </c>
      <c r="I66" s="12">
        <v>1111</v>
      </c>
      <c r="J66" s="12">
        <v>112121</v>
      </c>
      <c r="K66" s="38" t="s">
        <v>20</v>
      </c>
      <c r="L66" s="38">
        <v>1</v>
      </c>
      <c r="M66" s="17">
        <v>10000000</v>
      </c>
      <c r="N66" s="56">
        <f t="shared" si="5"/>
        <v>10000000</v>
      </c>
      <c r="O66" s="12" t="s">
        <v>21</v>
      </c>
      <c r="P66" s="38">
        <f t="shared" si="3"/>
        <v>51</v>
      </c>
      <c r="Q66" s="12">
        <f t="shared" si="2"/>
        <v>40</v>
      </c>
      <c r="T66"/>
      <c r="U66"/>
      <c r="V66"/>
      <c r="W66"/>
      <c r="X66"/>
      <c r="Y66"/>
    </row>
    <row r="67" spans="1:25" ht="15" customHeight="1" x14ac:dyDescent="0.25">
      <c r="A67" s="12" t="s">
        <v>2679</v>
      </c>
      <c r="B67" s="36" t="s">
        <v>313</v>
      </c>
      <c r="C67" s="38">
        <f t="shared" si="6"/>
        <v>203</v>
      </c>
      <c r="D67" s="38">
        <v>1</v>
      </c>
      <c r="G67" s="14" t="s">
        <v>45</v>
      </c>
      <c r="H67" s="12" t="s">
        <v>3019</v>
      </c>
      <c r="I67" s="12">
        <v>112121</v>
      </c>
      <c r="J67" s="12">
        <v>3388</v>
      </c>
      <c r="K67" s="38" t="s">
        <v>20</v>
      </c>
      <c r="L67" s="38">
        <v>1</v>
      </c>
      <c r="M67" s="17">
        <v>24000000</v>
      </c>
      <c r="N67" s="56">
        <f t="shared" si="5"/>
        <v>24000000</v>
      </c>
      <c r="O67" s="12" t="s">
        <v>21</v>
      </c>
      <c r="P67" s="38">
        <f t="shared" si="3"/>
        <v>52</v>
      </c>
      <c r="Q67" s="12">
        <f t="shared" ref="Q67:Q122" si="7">LEN(H67)</f>
        <v>27</v>
      </c>
      <c r="T67"/>
      <c r="U67"/>
      <c r="V67"/>
      <c r="W67"/>
      <c r="X67"/>
      <c r="Y67"/>
    </row>
    <row r="68" spans="1:25" ht="15" customHeight="1" x14ac:dyDescent="0.25">
      <c r="A68" s="12" t="s">
        <v>2679</v>
      </c>
      <c r="B68" s="36" t="s">
        <v>315</v>
      </c>
      <c r="C68" s="38">
        <f>C67+D68</f>
        <v>204</v>
      </c>
      <c r="D68" s="38">
        <v>1</v>
      </c>
      <c r="G68" s="14" t="s">
        <v>89</v>
      </c>
      <c r="H68" s="12" t="s">
        <v>3229</v>
      </c>
      <c r="I68" s="12">
        <v>112121</v>
      </c>
      <c r="J68" s="12">
        <v>131</v>
      </c>
      <c r="K68" s="38" t="s">
        <v>20</v>
      </c>
      <c r="L68" s="38">
        <v>1</v>
      </c>
      <c r="M68" s="17">
        <v>37258065</v>
      </c>
      <c r="N68" s="56">
        <f t="shared" si="5"/>
        <v>37258065</v>
      </c>
      <c r="O68" s="12" t="s">
        <v>21</v>
      </c>
      <c r="P68" s="38">
        <f>P67+1</f>
        <v>53</v>
      </c>
      <c r="Q68" s="12">
        <f t="shared" si="7"/>
        <v>183</v>
      </c>
      <c r="T68"/>
      <c r="U68"/>
      <c r="V68"/>
      <c r="W68"/>
      <c r="X68"/>
      <c r="Y68"/>
    </row>
    <row r="69" spans="1:25" ht="15" customHeight="1" x14ac:dyDescent="0.25">
      <c r="A69" s="12" t="s">
        <v>2678</v>
      </c>
      <c r="B69" s="36" t="s">
        <v>315</v>
      </c>
      <c r="C69" s="38">
        <f t="shared" si="6"/>
        <v>205</v>
      </c>
      <c r="D69" s="38">
        <v>1</v>
      </c>
      <c r="G69" s="14" t="s">
        <v>101</v>
      </c>
      <c r="H69" s="12" t="s">
        <v>3017</v>
      </c>
      <c r="I69" s="12">
        <v>1111</v>
      </c>
      <c r="J69" s="12">
        <v>112121</v>
      </c>
      <c r="K69" s="38" t="s">
        <v>20</v>
      </c>
      <c r="L69" s="38">
        <v>1</v>
      </c>
      <c r="M69" s="17">
        <v>20000000</v>
      </c>
      <c r="N69" s="56">
        <f t="shared" si="5"/>
        <v>20000000</v>
      </c>
      <c r="O69" s="12" t="s">
        <v>21</v>
      </c>
      <c r="P69" s="38">
        <f t="shared" si="3"/>
        <v>54</v>
      </c>
      <c r="Q69" s="12">
        <f t="shared" si="7"/>
        <v>40</v>
      </c>
      <c r="T69"/>
      <c r="U69"/>
      <c r="V69"/>
      <c r="W69"/>
      <c r="X69"/>
      <c r="Y69"/>
    </row>
    <row r="70" spans="1:25" ht="15" customHeight="1" x14ac:dyDescent="0.25">
      <c r="A70" s="12" t="s">
        <v>2679</v>
      </c>
      <c r="B70" s="36" t="s">
        <v>470</v>
      </c>
      <c r="C70" s="38">
        <f t="shared" si="6"/>
        <v>206</v>
      </c>
      <c r="D70" s="38">
        <v>1</v>
      </c>
      <c r="G70" s="14" t="s">
        <v>129</v>
      </c>
      <c r="H70" s="12" t="s">
        <v>3230</v>
      </c>
      <c r="I70" s="12">
        <v>112121</v>
      </c>
      <c r="J70" s="12">
        <v>131</v>
      </c>
      <c r="K70" s="38" t="s">
        <v>20</v>
      </c>
      <c r="L70" s="38">
        <v>1</v>
      </c>
      <c r="M70" s="17">
        <v>20800000</v>
      </c>
      <c r="N70" s="56">
        <f t="shared" si="5"/>
        <v>20800000</v>
      </c>
      <c r="O70" s="12" t="s">
        <v>21</v>
      </c>
      <c r="P70" s="38">
        <f t="shared" si="3"/>
        <v>55</v>
      </c>
      <c r="Q70" s="12">
        <f t="shared" si="7"/>
        <v>164</v>
      </c>
      <c r="T70"/>
      <c r="U70"/>
      <c r="V70"/>
      <c r="W70"/>
      <c r="X70"/>
      <c r="Y70"/>
    </row>
    <row r="71" spans="1:25" ht="15" customHeight="1" x14ac:dyDescent="0.25">
      <c r="A71" s="12" t="s">
        <v>2678</v>
      </c>
      <c r="B71" s="36" t="s">
        <v>416</v>
      </c>
      <c r="C71" s="38">
        <f t="shared" si="6"/>
        <v>207</v>
      </c>
      <c r="D71" s="38">
        <v>1</v>
      </c>
      <c r="G71" s="14" t="s">
        <v>101</v>
      </c>
      <c r="H71" s="12" t="s">
        <v>3017</v>
      </c>
      <c r="I71" s="12">
        <v>1111</v>
      </c>
      <c r="J71" s="12">
        <v>112121</v>
      </c>
      <c r="K71" s="38" t="s">
        <v>20</v>
      </c>
      <c r="L71" s="38">
        <v>1</v>
      </c>
      <c r="M71" s="17">
        <v>10000000</v>
      </c>
      <c r="N71" s="56">
        <f t="shared" si="5"/>
        <v>10000000</v>
      </c>
      <c r="O71" s="12" t="s">
        <v>21</v>
      </c>
      <c r="P71" s="38">
        <f t="shared" si="3"/>
        <v>56</v>
      </c>
      <c r="Q71" s="12">
        <f t="shared" si="7"/>
        <v>40</v>
      </c>
      <c r="T71"/>
      <c r="U71"/>
      <c r="V71"/>
      <c r="W71"/>
      <c r="X71"/>
      <c r="Y71"/>
    </row>
    <row r="72" spans="1:25" ht="15" customHeight="1" x14ac:dyDescent="0.25">
      <c r="A72" s="12" t="s">
        <v>2678</v>
      </c>
      <c r="B72" s="36" t="s">
        <v>471</v>
      </c>
      <c r="C72" s="38">
        <f t="shared" si="6"/>
        <v>208</v>
      </c>
      <c r="D72" s="38">
        <v>1</v>
      </c>
      <c r="G72" s="14" t="s">
        <v>101</v>
      </c>
      <c r="H72" s="12" t="s">
        <v>3017</v>
      </c>
      <c r="I72" s="12">
        <v>1111</v>
      </c>
      <c r="J72" s="12">
        <v>112121</v>
      </c>
      <c r="K72" s="38" t="s">
        <v>20</v>
      </c>
      <c r="L72" s="38">
        <v>1</v>
      </c>
      <c r="M72" s="17">
        <v>10000000</v>
      </c>
      <c r="N72" s="56">
        <f t="shared" si="5"/>
        <v>10000000</v>
      </c>
      <c r="O72" s="12" t="s">
        <v>21</v>
      </c>
      <c r="P72" s="38">
        <f t="shared" si="3"/>
        <v>57</v>
      </c>
      <c r="Q72" s="12">
        <f t="shared" si="7"/>
        <v>40</v>
      </c>
      <c r="T72"/>
      <c r="U72"/>
      <c r="V72"/>
      <c r="W72"/>
      <c r="X72"/>
      <c r="Y72"/>
    </row>
    <row r="73" spans="1:25" ht="15" customHeight="1" x14ac:dyDescent="0.25">
      <c r="A73" s="12" t="s">
        <v>2678</v>
      </c>
      <c r="B73" s="36" t="s">
        <v>451</v>
      </c>
      <c r="C73" s="38">
        <f t="shared" si="6"/>
        <v>209</v>
      </c>
      <c r="D73" s="38">
        <v>1</v>
      </c>
      <c r="G73" s="14" t="s">
        <v>45</v>
      </c>
      <c r="H73" s="12" t="s">
        <v>4455</v>
      </c>
      <c r="I73" s="12">
        <v>6428</v>
      </c>
      <c r="J73" s="12">
        <v>112121</v>
      </c>
      <c r="K73" s="38" t="s">
        <v>20</v>
      </c>
      <c r="L73" s="38">
        <v>1</v>
      </c>
      <c r="M73" s="17">
        <v>10000000</v>
      </c>
      <c r="N73" s="56">
        <f t="shared" si="5"/>
        <v>10000000</v>
      </c>
      <c r="O73" s="12" t="s">
        <v>21</v>
      </c>
      <c r="P73" s="38">
        <f t="shared" si="3"/>
        <v>58</v>
      </c>
      <c r="Q73" s="12">
        <f t="shared" si="7"/>
        <v>21</v>
      </c>
      <c r="T73"/>
      <c r="U73"/>
      <c r="V73"/>
      <c r="W73"/>
      <c r="X73"/>
      <c r="Y73"/>
    </row>
    <row r="74" spans="1:25" ht="15" customHeight="1" x14ac:dyDescent="0.25">
      <c r="A74" s="12" t="s">
        <v>2679</v>
      </c>
      <c r="B74" s="36" t="s">
        <v>417</v>
      </c>
      <c r="C74" s="38">
        <f t="shared" si="6"/>
        <v>210</v>
      </c>
      <c r="D74" s="38">
        <v>1</v>
      </c>
      <c r="G74" s="14" t="s">
        <v>653</v>
      </c>
      <c r="H74" s="12" t="s">
        <v>3231</v>
      </c>
      <c r="I74" s="12">
        <v>112121</v>
      </c>
      <c r="J74" s="12">
        <v>131</v>
      </c>
      <c r="K74" s="38" t="s">
        <v>20</v>
      </c>
      <c r="L74" s="38">
        <v>1</v>
      </c>
      <c r="M74" s="17">
        <v>12000000</v>
      </c>
      <c r="N74" s="56">
        <f t="shared" si="5"/>
        <v>12000000</v>
      </c>
      <c r="O74" s="12" t="s">
        <v>21</v>
      </c>
      <c r="P74" s="38">
        <f t="shared" si="3"/>
        <v>59</v>
      </c>
      <c r="Q74" s="12">
        <f t="shared" si="7"/>
        <v>172</v>
      </c>
      <c r="T74"/>
      <c r="U74"/>
      <c r="V74"/>
      <c r="W74"/>
      <c r="X74"/>
      <c r="Y74"/>
    </row>
    <row r="75" spans="1:25" ht="15" customHeight="1" x14ac:dyDescent="0.25">
      <c r="A75" s="12" t="s">
        <v>2679</v>
      </c>
      <c r="B75" s="36" t="s">
        <v>318</v>
      </c>
      <c r="C75" s="38">
        <f t="shared" si="6"/>
        <v>211</v>
      </c>
      <c r="D75" s="38">
        <v>1</v>
      </c>
      <c r="G75" s="14" t="s">
        <v>654</v>
      </c>
      <c r="H75" s="12" t="s">
        <v>3232</v>
      </c>
      <c r="I75" s="12">
        <v>112121</v>
      </c>
      <c r="J75" s="12">
        <v>131</v>
      </c>
      <c r="K75" s="38" t="s">
        <v>20</v>
      </c>
      <c r="L75" s="38">
        <v>1</v>
      </c>
      <c r="M75" s="17">
        <v>15000000</v>
      </c>
      <c r="N75" s="56">
        <f t="shared" si="5"/>
        <v>15000000</v>
      </c>
      <c r="O75" s="12" t="s">
        <v>21</v>
      </c>
      <c r="P75" s="38">
        <f t="shared" si="3"/>
        <v>60</v>
      </c>
      <c r="Q75" s="12">
        <f t="shared" si="7"/>
        <v>125</v>
      </c>
      <c r="T75"/>
      <c r="U75"/>
      <c r="V75"/>
      <c r="W75"/>
      <c r="X75"/>
      <c r="Y75"/>
    </row>
    <row r="76" spans="1:25" ht="15" customHeight="1" x14ac:dyDescent="0.25">
      <c r="A76" s="12" t="s">
        <v>2678</v>
      </c>
      <c r="B76" s="36" t="s">
        <v>318</v>
      </c>
      <c r="C76" s="38">
        <f t="shared" si="6"/>
        <v>212</v>
      </c>
      <c r="D76" s="38">
        <v>1</v>
      </c>
      <c r="G76" s="14" t="s">
        <v>101</v>
      </c>
      <c r="H76" s="12" t="s">
        <v>3017</v>
      </c>
      <c r="I76" s="12">
        <v>1111</v>
      </c>
      <c r="J76" s="12">
        <v>112121</v>
      </c>
      <c r="K76" s="38" t="s">
        <v>20</v>
      </c>
      <c r="L76" s="38">
        <v>1</v>
      </c>
      <c r="M76" s="17">
        <v>59000000</v>
      </c>
      <c r="N76" s="56">
        <f t="shared" si="5"/>
        <v>59000000</v>
      </c>
      <c r="O76" s="12" t="s">
        <v>21</v>
      </c>
      <c r="P76" s="38">
        <f t="shared" si="3"/>
        <v>61</v>
      </c>
      <c r="Q76" s="12">
        <f t="shared" si="7"/>
        <v>40</v>
      </c>
      <c r="T76"/>
      <c r="U76"/>
      <c r="V76"/>
      <c r="W76"/>
      <c r="X76"/>
      <c r="Y76"/>
    </row>
    <row r="77" spans="1:25" ht="15" customHeight="1" x14ac:dyDescent="0.25">
      <c r="A77" s="12" t="s">
        <v>2679</v>
      </c>
      <c r="B77" s="36" t="s">
        <v>601</v>
      </c>
      <c r="C77" s="38">
        <f t="shared" si="6"/>
        <v>213</v>
      </c>
      <c r="D77" s="38">
        <v>1</v>
      </c>
      <c r="G77" s="14" t="s">
        <v>419</v>
      </c>
      <c r="H77" s="12" t="s">
        <v>3233</v>
      </c>
      <c r="I77" s="12">
        <v>112121</v>
      </c>
      <c r="J77" s="12">
        <v>131</v>
      </c>
      <c r="K77" s="38" t="s">
        <v>20</v>
      </c>
      <c r="L77" s="38">
        <v>1</v>
      </c>
      <c r="M77" s="17">
        <v>15000000</v>
      </c>
      <c r="N77" s="56">
        <f t="shared" si="5"/>
        <v>15000000</v>
      </c>
      <c r="O77" s="12" t="s">
        <v>21</v>
      </c>
      <c r="P77" s="38">
        <f t="shared" si="3"/>
        <v>62</v>
      </c>
      <c r="Q77" s="12">
        <f t="shared" si="7"/>
        <v>107</v>
      </c>
      <c r="T77"/>
      <c r="U77"/>
      <c r="V77"/>
      <c r="W77"/>
      <c r="X77"/>
      <c r="Y77"/>
    </row>
    <row r="78" spans="1:25" ht="15" customHeight="1" x14ac:dyDescent="0.25">
      <c r="A78" s="12" t="s">
        <v>2678</v>
      </c>
      <c r="B78" s="36" t="s">
        <v>601</v>
      </c>
      <c r="C78" s="38">
        <f t="shared" si="6"/>
        <v>214</v>
      </c>
      <c r="D78" s="38">
        <v>1</v>
      </c>
      <c r="G78" s="14" t="s">
        <v>144</v>
      </c>
      <c r="H78" s="12" t="s">
        <v>3238</v>
      </c>
      <c r="I78" s="12">
        <v>131</v>
      </c>
      <c r="J78" s="12">
        <v>112121</v>
      </c>
      <c r="K78" s="38" t="s">
        <v>20</v>
      </c>
      <c r="L78" s="38">
        <v>1</v>
      </c>
      <c r="M78" s="17">
        <v>2032258</v>
      </c>
      <c r="N78" s="56">
        <f t="shared" si="5"/>
        <v>2032258</v>
      </c>
      <c r="O78" s="38" t="s">
        <v>21</v>
      </c>
      <c r="P78" s="38">
        <f t="shared" si="3"/>
        <v>63</v>
      </c>
      <c r="Q78" s="12">
        <f t="shared" si="7"/>
        <v>34</v>
      </c>
      <c r="R78" s="17"/>
      <c r="T78"/>
      <c r="U78"/>
      <c r="V78"/>
      <c r="W78"/>
      <c r="X78"/>
      <c r="Y78"/>
    </row>
    <row r="79" spans="1:25" ht="15" customHeight="1" x14ac:dyDescent="0.25">
      <c r="A79" s="12" t="s">
        <v>2678</v>
      </c>
      <c r="B79" s="36" t="s">
        <v>2042</v>
      </c>
      <c r="C79" s="38">
        <f t="shared" si="6"/>
        <v>215</v>
      </c>
      <c r="D79" s="38">
        <v>1</v>
      </c>
      <c r="G79" s="14" t="s">
        <v>101</v>
      </c>
      <c r="H79" s="12" t="s">
        <v>3017</v>
      </c>
      <c r="I79" s="12">
        <v>1111</v>
      </c>
      <c r="J79" s="12">
        <v>112121</v>
      </c>
      <c r="K79" s="38" t="s">
        <v>20</v>
      </c>
      <c r="L79" s="38">
        <v>1</v>
      </c>
      <c r="M79" s="17">
        <v>5000000</v>
      </c>
      <c r="N79" s="56">
        <f t="shared" si="5"/>
        <v>5000000</v>
      </c>
      <c r="O79" s="12" t="s">
        <v>21</v>
      </c>
      <c r="P79" s="38">
        <f t="shared" si="3"/>
        <v>64</v>
      </c>
      <c r="Q79" s="12">
        <f t="shared" si="7"/>
        <v>40</v>
      </c>
      <c r="T79"/>
      <c r="U79"/>
      <c r="V79"/>
      <c r="W79"/>
      <c r="X79"/>
      <c r="Y79"/>
    </row>
    <row r="80" spans="1:25" ht="15" customHeight="1" x14ac:dyDescent="0.25">
      <c r="A80" s="12" t="s">
        <v>2679</v>
      </c>
      <c r="B80" s="36" t="s">
        <v>713</v>
      </c>
      <c r="C80" s="38">
        <f t="shared" si="6"/>
        <v>216</v>
      </c>
      <c r="D80" s="38">
        <v>1</v>
      </c>
      <c r="G80" s="14" t="s">
        <v>101</v>
      </c>
      <c r="H80" s="12" t="s">
        <v>2687</v>
      </c>
      <c r="I80" s="12">
        <v>112121</v>
      </c>
      <c r="J80" s="12">
        <v>5154</v>
      </c>
      <c r="K80" s="38" t="s">
        <v>20</v>
      </c>
      <c r="L80" s="38">
        <v>1</v>
      </c>
      <c r="M80" s="17">
        <v>4448</v>
      </c>
      <c r="N80" s="56">
        <f t="shared" si="5"/>
        <v>4448</v>
      </c>
      <c r="O80" s="12" t="s">
        <v>21</v>
      </c>
      <c r="P80" s="38">
        <f t="shared" si="3"/>
        <v>65</v>
      </c>
      <c r="Q80" s="12">
        <f t="shared" si="7"/>
        <v>12</v>
      </c>
      <c r="T80"/>
      <c r="U80"/>
      <c r="V80"/>
      <c r="W80"/>
      <c r="X80"/>
      <c r="Y80"/>
    </row>
    <row r="81" spans="1:25" ht="15" customHeight="1" x14ac:dyDescent="0.25">
      <c r="A81" s="12" t="s">
        <v>2678</v>
      </c>
      <c r="B81" s="36" t="s">
        <v>588</v>
      </c>
      <c r="C81" s="38">
        <f t="shared" si="6"/>
        <v>217</v>
      </c>
      <c r="D81" s="38">
        <v>1</v>
      </c>
      <c r="G81" s="14" t="s">
        <v>101</v>
      </c>
      <c r="H81" s="12" t="s">
        <v>3017</v>
      </c>
      <c r="I81" s="12">
        <v>1111</v>
      </c>
      <c r="J81" s="12">
        <v>112121</v>
      </c>
      <c r="K81" s="38" t="s">
        <v>20</v>
      </c>
      <c r="L81" s="38">
        <v>1</v>
      </c>
      <c r="M81" s="17">
        <v>8000000</v>
      </c>
      <c r="N81" s="56">
        <f t="shared" si="5"/>
        <v>8000000</v>
      </c>
      <c r="O81" s="12" t="s">
        <v>21</v>
      </c>
      <c r="P81" s="38">
        <f t="shared" si="3"/>
        <v>66</v>
      </c>
      <c r="Q81" s="12">
        <f t="shared" si="7"/>
        <v>40</v>
      </c>
      <c r="T81"/>
      <c r="U81"/>
      <c r="V81"/>
      <c r="W81"/>
      <c r="X81"/>
      <c r="Y81"/>
    </row>
    <row r="82" spans="1:25" ht="15" customHeight="1" x14ac:dyDescent="0.25">
      <c r="A82" s="12" t="s">
        <v>2679</v>
      </c>
      <c r="B82" s="36" t="s">
        <v>603</v>
      </c>
      <c r="C82" s="38">
        <f t="shared" si="6"/>
        <v>218</v>
      </c>
      <c r="D82" s="38">
        <v>1</v>
      </c>
      <c r="G82" s="14" t="s">
        <v>129</v>
      </c>
      <c r="H82" s="12" t="s">
        <v>3234</v>
      </c>
      <c r="I82" s="12">
        <v>112121</v>
      </c>
      <c r="J82" s="12">
        <v>131</v>
      </c>
      <c r="K82" s="38" t="s">
        <v>20</v>
      </c>
      <c r="L82" s="38">
        <v>1</v>
      </c>
      <c r="M82" s="17">
        <v>11035440</v>
      </c>
      <c r="N82" s="56">
        <f t="shared" si="5"/>
        <v>11035440</v>
      </c>
      <c r="O82" s="12" t="s">
        <v>21</v>
      </c>
      <c r="P82" s="38">
        <f t="shared" si="3"/>
        <v>67</v>
      </c>
      <c r="Q82" s="12">
        <f t="shared" si="7"/>
        <v>164</v>
      </c>
      <c r="T82"/>
      <c r="U82"/>
      <c r="V82"/>
      <c r="W82"/>
      <c r="X82"/>
      <c r="Y82"/>
    </row>
    <row r="83" spans="1:25" ht="15" customHeight="1" x14ac:dyDescent="0.25">
      <c r="A83" s="12" t="s">
        <v>2679</v>
      </c>
      <c r="B83" s="36" t="s">
        <v>604</v>
      </c>
      <c r="C83" s="38">
        <f t="shared" si="6"/>
        <v>219</v>
      </c>
      <c r="D83" s="38">
        <v>1</v>
      </c>
      <c r="G83" s="14" t="s">
        <v>419</v>
      </c>
      <c r="H83" s="12" t="s">
        <v>3235</v>
      </c>
      <c r="I83" s="12">
        <v>112121</v>
      </c>
      <c r="J83" s="12">
        <v>131</v>
      </c>
      <c r="K83" s="38" t="s">
        <v>20</v>
      </c>
      <c r="L83" s="38">
        <v>1</v>
      </c>
      <c r="M83" s="17">
        <v>20000000</v>
      </c>
      <c r="N83" s="56">
        <f t="shared" si="5"/>
        <v>20000000</v>
      </c>
      <c r="O83" s="12" t="s">
        <v>21</v>
      </c>
      <c r="P83" s="38">
        <f t="shared" si="3"/>
        <v>68</v>
      </c>
      <c r="Q83" s="12">
        <f t="shared" si="7"/>
        <v>108</v>
      </c>
      <c r="T83"/>
      <c r="U83"/>
      <c r="V83"/>
      <c r="W83"/>
      <c r="X83"/>
      <c r="Y83"/>
    </row>
    <row r="84" spans="1:25" ht="15" customHeight="1" x14ac:dyDescent="0.25">
      <c r="A84" s="12" t="s">
        <v>2678</v>
      </c>
      <c r="B84" s="36" t="s">
        <v>1930</v>
      </c>
      <c r="C84" s="38">
        <f t="shared" si="6"/>
        <v>220</v>
      </c>
      <c r="D84" s="38">
        <v>1</v>
      </c>
      <c r="G84" s="14" t="s">
        <v>101</v>
      </c>
      <c r="H84" s="12" t="s">
        <v>3017</v>
      </c>
      <c r="I84" s="12">
        <v>1111</v>
      </c>
      <c r="J84" s="12">
        <v>112121</v>
      </c>
      <c r="K84" s="38" t="s">
        <v>20</v>
      </c>
      <c r="L84" s="38">
        <v>1</v>
      </c>
      <c r="M84" s="17">
        <v>30000000</v>
      </c>
      <c r="N84" s="56">
        <f t="shared" si="5"/>
        <v>30000000</v>
      </c>
      <c r="O84" s="12" t="s">
        <v>21</v>
      </c>
      <c r="P84" s="38">
        <f t="shared" si="3"/>
        <v>69</v>
      </c>
      <c r="Q84" s="12">
        <f t="shared" si="7"/>
        <v>40</v>
      </c>
      <c r="T84"/>
      <c r="U84"/>
      <c r="V84"/>
      <c r="W84"/>
      <c r="X84"/>
      <c r="Y84"/>
    </row>
    <row r="85" spans="1:25" ht="15" customHeight="1" x14ac:dyDescent="0.25">
      <c r="A85" s="12" t="s">
        <v>2679</v>
      </c>
      <c r="B85" s="36" t="s">
        <v>1930</v>
      </c>
      <c r="C85" s="38">
        <f t="shared" si="6"/>
        <v>221</v>
      </c>
      <c r="D85" s="38">
        <v>1</v>
      </c>
      <c r="G85" s="14" t="s">
        <v>93</v>
      </c>
      <c r="H85" s="12" t="s">
        <v>3162</v>
      </c>
      <c r="I85" s="12">
        <v>112121</v>
      </c>
      <c r="J85" s="12">
        <v>131</v>
      </c>
      <c r="K85" s="38" t="s">
        <v>20</v>
      </c>
      <c r="L85" s="38">
        <v>1</v>
      </c>
      <c r="M85" s="17">
        <v>985431</v>
      </c>
      <c r="N85" s="56">
        <f t="shared" si="5"/>
        <v>985431</v>
      </c>
      <c r="O85" s="12" t="s">
        <v>21</v>
      </c>
      <c r="P85" s="38">
        <f t="shared" si="3"/>
        <v>70</v>
      </c>
      <c r="Q85" s="12">
        <f t="shared" si="7"/>
        <v>41</v>
      </c>
      <c r="T85"/>
      <c r="U85"/>
      <c r="V85"/>
      <c r="W85"/>
      <c r="X85"/>
      <c r="Y85"/>
    </row>
    <row r="86" spans="1:25" ht="15" customHeight="1" x14ac:dyDescent="0.25">
      <c r="A86" s="12" t="s">
        <v>18</v>
      </c>
      <c r="B86" s="36" t="s">
        <v>1930</v>
      </c>
      <c r="C86" s="38">
        <f t="shared" ref="C86:C87" si="8">C85+D86</f>
        <v>222</v>
      </c>
      <c r="D86" s="38">
        <v>1</v>
      </c>
      <c r="G86" s="14" t="s">
        <v>93</v>
      </c>
      <c r="H86" s="12" t="s">
        <v>3161</v>
      </c>
      <c r="I86" s="12">
        <v>131</v>
      </c>
      <c r="J86" s="12">
        <v>5118</v>
      </c>
      <c r="K86" s="38" t="s">
        <v>20</v>
      </c>
      <c r="L86" s="38">
        <v>1</v>
      </c>
      <c r="M86" s="17">
        <v>985431</v>
      </c>
      <c r="N86" s="56">
        <f t="shared" si="5"/>
        <v>985431</v>
      </c>
      <c r="O86" s="12" t="s">
        <v>21</v>
      </c>
      <c r="P86" s="38">
        <f t="shared" si="3"/>
        <v>71</v>
      </c>
      <c r="Q86" s="12">
        <f t="shared" si="7"/>
        <v>36</v>
      </c>
      <c r="T86"/>
      <c r="U86"/>
      <c r="V86"/>
      <c r="W86"/>
      <c r="X86"/>
      <c r="Y86"/>
    </row>
    <row r="87" spans="1:25" ht="15" customHeight="1" x14ac:dyDescent="0.25">
      <c r="A87" s="12" t="s">
        <v>2678</v>
      </c>
      <c r="B87" s="36" t="s">
        <v>1930</v>
      </c>
      <c r="C87" s="38">
        <f t="shared" si="8"/>
        <v>223</v>
      </c>
      <c r="D87" s="38">
        <v>1</v>
      </c>
      <c r="G87" s="14" t="s">
        <v>2717</v>
      </c>
      <c r="H87" s="12" t="s">
        <v>4785</v>
      </c>
      <c r="I87" s="12">
        <v>8118</v>
      </c>
      <c r="J87" s="12">
        <v>112121</v>
      </c>
      <c r="K87" s="38" t="s">
        <v>20</v>
      </c>
      <c r="L87" s="38">
        <v>1</v>
      </c>
      <c r="M87" s="17">
        <v>2402</v>
      </c>
      <c r="N87" s="56">
        <f t="shared" si="5"/>
        <v>2402</v>
      </c>
      <c r="O87" s="12" t="s">
        <v>21</v>
      </c>
      <c r="P87" s="38">
        <f t="shared" si="3"/>
        <v>72</v>
      </c>
      <c r="Q87" s="12">
        <f t="shared" si="7"/>
        <v>17</v>
      </c>
      <c r="T87"/>
      <c r="U87"/>
      <c r="V87"/>
      <c r="W87"/>
      <c r="X87"/>
      <c r="Y87"/>
    </row>
    <row r="88" spans="1:25" ht="15" customHeight="1" x14ac:dyDescent="0.25">
      <c r="A88" s="12" t="s">
        <v>2679</v>
      </c>
      <c r="B88" s="36" t="s">
        <v>2382</v>
      </c>
      <c r="C88" s="38">
        <f t="shared" si="6"/>
        <v>224</v>
      </c>
      <c r="D88" s="38">
        <v>1</v>
      </c>
      <c r="G88" s="14" t="s">
        <v>93</v>
      </c>
      <c r="H88" s="12" t="s">
        <v>3162</v>
      </c>
      <c r="I88" s="12">
        <v>112121</v>
      </c>
      <c r="J88" s="12">
        <v>131</v>
      </c>
      <c r="K88" s="38" t="s">
        <v>20</v>
      </c>
      <c r="L88" s="38">
        <v>1</v>
      </c>
      <c r="M88" s="17">
        <v>9391931</v>
      </c>
      <c r="N88" s="56">
        <f t="shared" si="5"/>
        <v>9391931</v>
      </c>
      <c r="O88" s="12" t="s">
        <v>21</v>
      </c>
      <c r="P88" s="38">
        <f t="shared" si="3"/>
        <v>73</v>
      </c>
      <c r="Q88" s="12">
        <f t="shared" si="7"/>
        <v>41</v>
      </c>
      <c r="T88"/>
      <c r="U88"/>
      <c r="V88"/>
      <c r="W88"/>
      <c r="X88"/>
      <c r="Y88"/>
    </row>
    <row r="89" spans="1:25" ht="15" customHeight="1" x14ac:dyDescent="0.25">
      <c r="A89" s="12" t="s">
        <v>18</v>
      </c>
      <c r="B89" s="36" t="s">
        <v>2382</v>
      </c>
      <c r="C89" s="38">
        <f t="shared" ref="C89:C90" si="9">C88+D89</f>
        <v>225</v>
      </c>
      <c r="D89" s="38">
        <v>1</v>
      </c>
      <c r="G89" s="14" t="s">
        <v>93</v>
      </c>
      <c r="H89" s="12" t="s">
        <v>3161</v>
      </c>
      <c r="I89" s="12">
        <v>131</v>
      </c>
      <c r="J89" s="12">
        <v>5118</v>
      </c>
      <c r="K89" s="38" t="s">
        <v>20</v>
      </c>
      <c r="L89" s="38">
        <v>1</v>
      </c>
      <c r="M89" s="17">
        <v>9391931</v>
      </c>
      <c r="N89" s="56">
        <f t="shared" ref="N89" si="10">L89*M89</f>
        <v>9391931</v>
      </c>
      <c r="O89" s="12" t="s">
        <v>21</v>
      </c>
      <c r="P89" s="38">
        <f t="shared" si="3"/>
        <v>74</v>
      </c>
      <c r="Q89" s="12">
        <f t="shared" si="7"/>
        <v>36</v>
      </c>
      <c r="T89"/>
      <c r="U89"/>
      <c r="V89"/>
      <c r="W89"/>
      <c r="X89"/>
      <c r="Y89"/>
    </row>
    <row r="90" spans="1:25" ht="15" customHeight="1" x14ac:dyDescent="0.25">
      <c r="A90" s="12" t="s">
        <v>2678</v>
      </c>
      <c r="B90" s="36" t="s">
        <v>2382</v>
      </c>
      <c r="C90" s="38">
        <f t="shared" si="9"/>
        <v>226</v>
      </c>
      <c r="D90" s="38">
        <v>1</v>
      </c>
      <c r="G90" s="14" t="s">
        <v>101</v>
      </c>
      <c r="H90" s="12" t="s">
        <v>3017</v>
      </c>
      <c r="I90" s="12">
        <v>1111</v>
      </c>
      <c r="J90" s="12">
        <v>112121</v>
      </c>
      <c r="K90" s="38" t="s">
        <v>20</v>
      </c>
      <c r="L90" s="38">
        <v>1</v>
      </c>
      <c r="M90" s="17">
        <v>11000000</v>
      </c>
      <c r="N90" s="56">
        <f t="shared" si="5"/>
        <v>11000000</v>
      </c>
      <c r="O90" s="12" t="s">
        <v>21</v>
      </c>
      <c r="P90" s="38">
        <f t="shared" si="3"/>
        <v>75</v>
      </c>
      <c r="Q90" s="12">
        <f t="shared" si="7"/>
        <v>40</v>
      </c>
      <c r="T90"/>
      <c r="U90"/>
      <c r="V90"/>
      <c r="W90"/>
      <c r="X90"/>
      <c r="Y90"/>
    </row>
    <row r="91" spans="1:25" ht="15" customHeight="1" x14ac:dyDescent="0.25">
      <c r="A91" s="12" t="s">
        <v>2679</v>
      </c>
      <c r="B91" s="36" t="s">
        <v>2504</v>
      </c>
      <c r="C91" s="38">
        <f t="shared" si="6"/>
        <v>227</v>
      </c>
      <c r="D91" s="38">
        <v>1</v>
      </c>
      <c r="G91" s="14" t="s">
        <v>29</v>
      </c>
      <c r="H91" s="12" t="s">
        <v>3236</v>
      </c>
      <c r="I91" s="12">
        <v>112121</v>
      </c>
      <c r="J91" s="12">
        <v>131</v>
      </c>
      <c r="K91" s="38" t="s">
        <v>20</v>
      </c>
      <c r="L91" s="38">
        <v>1</v>
      </c>
      <c r="M91" s="17">
        <v>28741935</v>
      </c>
      <c r="N91" s="56">
        <f t="shared" si="5"/>
        <v>28741935</v>
      </c>
      <c r="O91" s="12" t="s">
        <v>21</v>
      </c>
      <c r="P91" s="38">
        <f t="shared" si="3"/>
        <v>76</v>
      </c>
      <c r="Q91" s="12">
        <f t="shared" si="7"/>
        <v>172</v>
      </c>
      <c r="T91"/>
      <c r="U91"/>
      <c r="V91"/>
      <c r="W91"/>
      <c r="X91"/>
      <c r="Y91"/>
    </row>
    <row r="92" spans="1:25" ht="15" customHeight="1" x14ac:dyDescent="0.25">
      <c r="A92" s="12" t="s">
        <v>2679</v>
      </c>
      <c r="B92" s="36" t="s">
        <v>2513</v>
      </c>
      <c r="C92" s="38">
        <f t="shared" si="6"/>
        <v>228</v>
      </c>
      <c r="D92" s="38">
        <v>1</v>
      </c>
      <c r="G92" s="14" t="s">
        <v>101</v>
      </c>
      <c r="H92" s="12" t="s">
        <v>2687</v>
      </c>
      <c r="I92" s="12">
        <v>112121</v>
      </c>
      <c r="J92" s="12">
        <v>5154</v>
      </c>
      <c r="K92" s="38" t="s">
        <v>20</v>
      </c>
      <c r="L92" s="38">
        <v>1</v>
      </c>
      <c r="M92" s="17">
        <v>1086</v>
      </c>
      <c r="N92" s="56">
        <f t="shared" si="5"/>
        <v>1086</v>
      </c>
      <c r="O92" s="12" t="s">
        <v>21</v>
      </c>
      <c r="P92" s="38">
        <f t="shared" ref="P92" si="11">P91+1</f>
        <v>77</v>
      </c>
      <c r="Q92" s="12">
        <f t="shared" si="7"/>
        <v>12</v>
      </c>
      <c r="T92"/>
      <c r="U92"/>
      <c r="V92"/>
      <c r="W92"/>
      <c r="X92"/>
      <c r="Y92"/>
    </row>
    <row r="93" spans="1:25" ht="15" customHeight="1" x14ac:dyDescent="0.25">
      <c r="A93" s="38" t="s">
        <v>2719</v>
      </c>
      <c r="B93" s="64" t="s">
        <v>310</v>
      </c>
      <c r="C93" s="38">
        <f t="shared" si="6"/>
        <v>229</v>
      </c>
      <c r="D93" s="38">
        <v>1</v>
      </c>
      <c r="E93" s="38"/>
      <c r="F93" s="38"/>
      <c r="G93" s="55" t="s">
        <v>37</v>
      </c>
      <c r="H93" s="38" t="s">
        <v>3239</v>
      </c>
      <c r="I93" s="38">
        <v>331</v>
      </c>
      <c r="J93" s="38">
        <v>1111</v>
      </c>
      <c r="K93" s="38" t="s">
        <v>20</v>
      </c>
      <c r="L93" s="38">
        <v>1</v>
      </c>
      <c r="M93" s="56">
        <v>2592000</v>
      </c>
      <c r="N93" s="56">
        <f t="shared" si="5"/>
        <v>2592000</v>
      </c>
      <c r="O93" s="38" t="s">
        <v>21</v>
      </c>
      <c r="P93" s="38">
        <f t="shared" si="3"/>
        <v>78</v>
      </c>
      <c r="Q93" s="12">
        <f t="shared" si="7"/>
        <v>53</v>
      </c>
      <c r="T93"/>
      <c r="U93"/>
      <c r="V93"/>
      <c r="W93"/>
      <c r="X93"/>
      <c r="Y93"/>
    </row>
    <row r="94" spans="1:25" ht="15" customHeight="1" x14ac:dyDescent="0.25">
      <c r="A94" s="38" t="s">
        <v>2719</v>
      </c>
      <c r="B94" s="64" t="s">
        <v>311</v>
      </c>
      <c r="C94" s="38">
        <f t="shared" si="6"/>
        <v>230</v>
      </c>
      <c r="D94" s="38">
        <v>1</v>
      </c>
      <c r="E94" s="38"/>
      <c r="F94" s="38"/>
      <c r="G94" s="55" t="s">
        <v>115</v>
      </c>
      <c r="H94" s="38" t="s">
        <v>3240</v>
      </c>
      <c r="I94" s="38">
        <v>331</v>
      </c>
      <c r="J94" s="38">
        <v>1111</v>
      </c>
      <c r="K94" s="38" t="s">
        <v>20</v>
      </c>
      <c r="L94" s="38">
        <v>1</v>
      </c>
      <c r="M94" s="56">
        <v>20000</v>
      </c>
      <c r="N94" s="56">
        <f t="shared" si="5"/>
        <v>20000</v>
      </c>
      <c r="O94" s="38" t="s">
        <v>21</v>
      </c>
      <c r="P94" s="38">
        <f t="shared" ref="P94:P122" si="12">P93+1</f>
        <v>79</v>
      </c>
      <c r="Q94" s="12">
        <f t="shared" si="7"/>
        <v>50</v>
      </c>
      <c r="T94"/>
      <c r="U94"/>
      <c r="V94"/>
      <c r="W94"/>
      <c r="X94"/>
      <c r="Y94"/>
    </row>
    <row r="95" spans="1:25" ht="15" customHeight="1" x14ac:dyDescent="0.25">
      <c r="A95" s="38" t="s">
        <v>2719</v>
      </c>
      <c r="B95" s="64" t="s">
        <v>468</v>
      </c>
      <c r="C95" s="38">
        <f t="shared" si="6"/>
        <v>231</v>
      </c>
      <c r="D95" s="38">
        <v>1</v>
      </c>
      <c r="E95" s="38"/>
      <c r="F95" s="38"/>
      <c r="G95" s="55" t="s">
        <v>673</v>
      </c>
      <c r="H95" s="38" t="s">
        <v>3241</v>
      </c>
      <c r="I95" s="38">
        <v>331</v>
      </c>
      <c r="J95" s="38">
        <v>1111</v>
      </c>
      <c r="K95" s="38" t="s">
        <v>20</v>
      </c>
      <c r="L95" s="38">
        <v>1</v>
      </c>
      <c r="M95" s="56">
        <v>2087996</v>
      </c>
      <c r="N95" s="56">
        <f t="shared" si="5"/>
        <v>2087996</v>
      </c>
      <c r="O95" s="38" t="s">
        <v>21</v>
      </c>
      <c r="P95" s="38">
        <f t="shared" si="12"/>
        <v>80</v>
      </c>
      <c r="Q95" s="12">
        <f t="shared" si="7"/>
        <v>37</v>
      </c>
      <c r="T95"/>
      <c r="U95"/>
      <c r="V95"/>
      <c r="W95"/>
      <c r="X95"/>
      <c r="Y95"/>
    </row>
    <row r="96" spans="1:25" ht="15" customHeight="1" x14ac:dyDescent="0.25">
      <c r="A96" s="38" t="s">
        <v>2719</v>
      </c>
      <c r="B96" s="64" t="s">
        <v>468</v>
      </c>
      <c r="C96" s="38">
        <f t="shared" si="6"/>
        <v>232</v>
      </c>
      <c r="D96" s="38">
        <v>1</v>
      </c>
      <c r="E96" s="38"/>
      <c r="F96" s="38"/>
      <c r="G96" s="55" t="s">
        <v>673</v>
      </c>
      <c r="H96" s="38" t="s">
        <v>3242</v>
      </c>
      <c r="I96" s="38">
        <v>331</v>
      </c>
      <c r="J96" s="38">
        <v>1111</v>
      </c>
      <c r="K96" s="38" t="s">
        <v>20</v>
      </c>
      <c r="L96" s="38">
        <v>1</v>
      </c>
      <c r="M96" s="56">
        <v>1082840</v>
      </c>
      <c r="N96" s="56">
        <f t="shared" si="5"/>
        <v>1082840</v>
      </c>
      <c r="O96" s="38" t="s">
        <v>21</v>
      </c>
      <c r="P96" s="38">
        <f t="shared" si="12"/>
        <v>81</v>
      </c>
      <c r="Q96" s="12">
        <f t="shared" si="7"/>
        <v>37</v>
      </c>
      <c r="T96"/>
      <c r="U96"/>
      <c r="V96"/>
      <c r="W96"/>
      <c r="X96"/>
      <c r="Y96"/>
    </row>
    <row r="97" spans="1:25" ht="15" customHeight="1" x14ac:dyDescent="0.25">
      <c r="A97" s="38" t="s">
        <v>2719</v>
      </c>
      <c r="B97" s="64" t="s">
        <v>414</v>
      </c>
      <c r="C97" s="38">
        <f t="shared" si="6"/>
        <v>233</v>
      </c>
      <c r="D97" s="38">
        <v>1</v>
      </c>
      <c r="E97" s="38"/>
      <c r="F97" s="38"/>
      <c r="G97" s="55" t="s">
        <v>30</v>
      </c>
      <c r="H97" s="38" t="s">
        <v>3243</v>
      </c>
      <c r="I97" s="38">
        <v>331</v>
      </c>
      <c r="J97" s="38">
        <v>1111</v>
      </c>
      <c r="K97" s="38" t="s">
        <v>20</v>
      </c>
      <c r="L97" s="38">
        <v>1</v>
      </c>
      <c r="M97" s="56">
        <v>6896000</v>
      </c>
      <c r="N97" s="56">
        <f t="shared" si="5"/>
        <v>6896000</v>
      </c>
      <c r="O97" s="38" t="s">
        <v>21</v>
      </c>
      <c r="P97" s="38">
        <f t="shared" si="12"/>
        <v>82</v>
      </c>
      <c r="Q97" s="12">
        <f t="shared" si="7"/>
        <v>49</v>
      </c>
      <c r="T97"/>
      <c r="U97"/>
      <c r="V97"/>
      <c r="W97"/>
      <c r="X97"/>
      <c r="Y97"/>
    </row>
    <row r="98" spans="1:25" ht="15" customHeight="1" x14ac:dyDescent="0.25">
      <c r="A98" s="38" t="s">
        <v>2719</v>
      </c>
      <c r="B98" s="64" t="s">
        <v>414</v>
      </c>
      <c r="C98" s="38">
        <f t="shared" si="6"/>
        <v>234</v>
      </c>
      <c r="D98" s="38">
        <v>1</v>
      </c>
      <c r="E98" s="38"/>
      <c r="F98" s="38"/>
      <c r="G98" s="55" t="s">
        <v>30</v>
      </c>
      <c r="H98" s="38" t="s">
        <v>3244</v>
      </c>
      <c r="I98" s="38">
        <v>331</v>
      </c>
      <c r="J98" s="38">
        <v>1111</v>
      </c>
      <c r="K98" s="38" t="s">
        <v>20</v>
      </c>
      <c r="L98" s="38">
        <v>1</v>
      </c>
      <c r="M98" s="56">
        <v>3199000</v>
      </c>
      <c r="N98" s="56">
        <f t="shared" ref="N98:N118" si="13">L98*M98</f>
        <v>3199000</v>
      </c>
      <c r="O98" s="38" t="s">
        <v>21</v>
      </c>
      <c r="P98" s="38">
        <f t="shared" si="12"/>
        <v>83</v>
      </c>
      <c r="Q98" s="12">
        <f t="shared" si="7"/>
        <v>49</v>
      </c>
      <c r="T98"/>
      <c r="U98"/>
      <c r="V98"/>
      <c r="W98"/>
      <c r="X98"/>
      <c r="Y98"/>
    </row>
    <row r="99" spans="1:25" ht="15" customHeight="1" x14ac:dyDescent="0.25">
      <c r="A99" s="38" t="s">
        <v>2719</v>
      </c>
      <c r="B99" s="64" t="s">
        <v>512</v>
      </c>
      <c r="C99" s="38">
        <f t="shared" si="6"/>
        <v>235</v>
      </c>
      <c r="D99" s="38">
        <v>1</v>
      </c>
      <c r="E99" s="38"/>
      <c r="F99" s="38"/>
      <c r="G99" s="55" t="s">
        <v>120</v>
      </c>
      <c r="H99" s="38" t="s">
        <v>3245</v>
      </c>
      <c r="I99" s="38">
        <v>331</v>
      </c>
      <c r="J99" s="38">
        <v>1111</v>
      </c>
      <c r="K99" s="38" t="s">
        <v>20</v>
      </c>
      <c r="L99" s="38">
        <v>1</v>
      </c>
      <c r="M99" s="56">
        <v>4895722</v>
      </c>
      <c r="N99" s="56">
        <f t="shared" si="13"/>
        <v>4895722</v>
      </c>
      <c r="O99" s="38" t="s">
        <v>21</v>
      </c>
      <c r="P99" s="38">
        <f t="shared" si="12"/>
        <v>84</v>
      </c>
      <c r="Q99" s="12">
        <f t="shared" si="7"/>
        <v>49</v>
      </c>
      <c r="T99"/>
      <c r="U99"/>
      <c r="V99"/>
      <c r="W99"/>
      <c r="X99"/>
      <c r="Y99"/>
    </row>
    <row r="100" spans="1:25" ht="15" customHeight="1" x14ac:dyDescent="0.25">
      <c r="A100" s="38" t="s">
        <v>2719</v>
      </c>
      <c r="B100" s="64" t="s">
        <v>291</v>
      </c>
      <c r="C100" s="38">
        <f t="shared" si="6"/>
        <v>236</v>
      </c>
      <c r="D100" s="38">
        <v>1</v>
      </c>
      <c r="E100" s="38"/>
      <c r="F100" s="38"/>
      <c r="G100" s="55" t="s">
        <v>674</v>
      </c>
      <c r="H100" s="38" t="s">
        <v>3246</v>
      </c>
      <c r="I100" s="38">
        <v>331</v>
      </c>
      <c r="J100" s="38">
        <v>1111</v>
      </c>
      <c r="K100" s="38" t="s">
        <v>20</v>
      </c>
      <c r="L100" s="38">
        <v>1</v>
      </c>
      <c r="M100" s="56">
        <v>781000</v>
      </c>
      <c r="N100" s="56">
        <f t="shared" si="13"/>
        <v>781000</v>
      </c>
      <c r="O100" s="38" t="s">
        <v>21</v>
      </c>
      <c r="P100" s="38">
        <f t="shared" si="12"/>
        <v>85</v>
      </c>
      <c r="Q100" s="12">
        <f t="shared" si="7"/>
        <v>48</v>
      </c>
      <c r="T100"/>
      <c r="U100"/>
      <c r="V100"/>
      <c r="W100"/>
      <c r="X100"/>
      <c r="Y100"/>
    </row>
    <row r="101" spans="1:25" ht="15" customHeight="1" x14ac:dyDescent="0.25">
      <c r="A101" s="38" t="s">
        <v>2719</v>
      </c>
      <c r="B101" s="64" t="s">
        <v>671</v>
      </c>
      <c r="C101" s="38">
        <f t="shared" si="6"/>
        <v>237</v>
      </c>
      <c r="D101" s="38">
        <v>1</v>
      </c>
      <c r="E101" s="38"/>
      <c r="F101" s="38"/>
      <c r="G101" s="55" t="s">
        <v>30</v>
      </c>
      <c r="H101" s="38" t="s">
        <v>3247</v>
      </c>
      <c r="I101" s="38">
        <v>331</v>
      </c>
      <c r="J101" s="38">
        <v>1111</v>
      </c>
      <c r="K101" s="38" t="s">
        <v>20</v>
      </c>
      <c r="L101" s="38">
        <v>1</v>
      </c>
      <c r="M101" s="56">
        <v>1699000</v>
      </c>
      <c r="N101" s="56">
        <f t="shared" si="13"/>
        <v>1699000</v>
      </c>
      <c r="O101" s="38" t="s">
        <v>21</v>
      </c>
      <c r="P101" s="38">
        <f t="shared" si="12"/>
        <v>86</v>
      </c>
      <c r="Q101" s="12">
        <f t="shared" si="7"/>
        <v>49</v>
      </c>
      <c r="T101"/>
      <c r="U101"/>
      <c r="V101"/>
      <c r="W101"/>
      <c r="X101"/>
      <c r="Y101"/>
    </row>
    <row r="102" spans="1:25" ht="15" customHeight="1" x14ac:dyDescent="0.25">
      <c r="A102" s="38" t="s">
        <v>2719</v>
      </c>
      <c r="B102" s="64" t="s">
        <v>316</v>
      </c>
      <c r="C102" s="38">
        <f t="shared" si="6"/>
        <v>238</v>
      </c>
      <c r="D102" s="38">
        <v>1</v>
      </c>
      <c r="E102" s="38"/>
      <c r="F102" s="38"/>
      <c r="G102" s="55" t="s">
        <v>120</v>
      </c>
      <c r="H102" s="38" t="s">
        <v>3248</v>
      </c>
      <c r="I102" s="38">
        <v>331</v>
      </c>
      <c r="J102" s="38">
        <v>1111</v>
      </c>
      <c r="K102" s="38" t="s">
        <v>20</v>
      </c>
      <c r="L102" s="38">
        <v>1</v>
      </c>
      <c r="M102" s="56">
        <v>4206650</v>
      </c>
      <c r="N102" s="56">
        <f t="shared" si="13"/>
        <v>4206650</v>
      </c>
      <c r="O102" s="38" t="s">
        <v>21</v>
      </c>
      <c r="P102" s="38">
        <f t="shared" si="12"/>
        <v>87</v>
      </c>
      <c r="Q102" s="12">
        <f t="shared" si="7"/>
        <v>49</v>
      </c>
      <c r="T102"/>
      <c r="U102"/>
      <c r="V102"/>
      <c r="W102"/>
      <c r="X102"/>
      <c r="Y102"/>
    </row>
    <row r="103" spans="1:25" ht="15" customHeight="1" x14ac:dyDescent="0.25">
      <c r="A103" s="38" t="s">
        <v>2719</v>
      </c>
      <c r="B103" s="64" t="s">
        <v>416</v>
      </c>
      <c r="C103" s="38">
        <f t="shared" si="6"/>
        <v>239</v>
      </c>
      <c r="D103" s="38">
        <v>1</v>
      </c>
      <c r="E103" s="38"/>
      <c r="F103" s="38"/>
      <c r="G103" s="55" t="s">
        <v>115</v>
      </c>
      <c r="H103" s="38" t="s">
        <v>3249</v>
      </c>
      <c r="I103" s="38">
        <v>331</v>
      </c>
      <c r="J103" s="38">
        <v>1111</v>
      </c>
      <c r="K103" s="38" t="s">
        <v>20</v>
      </c>
      <c r="L103" s="38">
        <v>1</v>
      </c>
      <c r="M103" s="56">
        <v>20000</v>
      </c>
      <c r="N103" s="56">
        <f t="shared" si="13"/>
        <v>20000</v>
      </c>
      <c r="O103" s="38" t="s">
        <v>21</v>
      </c>
      <c r="P103" s="38">
        <f t="shared" si="12"/>
        <v>88</v>
      </c>
      <c r="Q103" s="12">
        <f t="shared" si="7"/>
        <v>50</v>
      </c>
      <c r="T103"/>
      <c r="U103"/>
      <c r="V103"/>
      <c r="W103"/>
      <c r="X103"/>
      <c r="Y103"/>
    </row>
    <row r="104" spans="1:25" ht="15" customHeight="1" x14ac:dyDescent="0.25">
      <c r="A104" s="38" t="s">
        <v>2719</v>
      </c>
      <c r="B104" s="64" t="s">
        <v>317</v>
      </c>
      <c r="C104" s="38">
        <f t="shared" si="6"/>
        <v>240</v>
      </c>
      <c r="D104" s="38">
        <v>1</v>
      </c>
      <c r="E104" s="38"/>
      <c r="F104" s="38"/>
      <c r="G104" s="55" t="s">
        <v>37</v>
      </c>
      <c r="H104" s="38" t="s">
        <v>3250</v>
      </c>
      <c r="I104" s="38">
        <v>331</v>
      </c>
      <c r="J104" s="38">
        <v>1111</v>
      </c>
      <c r="K104" s="38" t="s">
        <v>20</v>
      </c>
      <c r="L104" s="38">
        <v>1</v>
      </c>
      <c r="M104" s="56">
        <v>2916000</v>
      </c>
      <c r="N104" s="56">
        <f t="shared" si="13"/>
        <v>2916000</v>
      </c>
      <c r="O104" s="38" t="s">
        <v>21</v>
      </c>
      <c r="P104" s="38">
        <f t="shared" si="12"/>
        <v>89</v>
      </c>
      <c r="Q104" s="12">
        <f t="shared" si="7"/>
        <v>53</v>
      </c>
      <c r="T104"/>
      <c r="U104"/>
      <c r="V104"/>
      <c r="W104"/>
      <c r="X104"/>
      <c r="Y104"/>
    </row>
    <row r="105" spans="1:25" ht="15" customHeight="1" x14ac:dyDescent="0.25">
      <c r="A105" s="38" t="s">
        <v>2719</v>
      </c>
      <c r="B105" s="64" t="s">
        <v>317</v>
      </c>
      <c r="C105" s="38">
        <f t="shared" si="6"/>
        <v>241</v>
      </c>
      <c r="D105" s="38">
        <v>1</v>
      </c>
      <c r="E105" s="38"/>
      <c r="F105" s="38"/>
      <c r="G105" s="55" t="s">
        <v>115</v>
      </c>
      <c r="H105" s="38" t="s">
        <v>3251</v>
      </c>
      <c r="I105" s="38">
        <v>331</v>
      </c>
      <c r="J105" s="38">
        <v>1111</v>
      </c>
      <c r="K105" s="38" t="s">
        <v>20</v>
      </c>
      <c r="L105" s="38">
        <v>1</v>
      </c>
      <c r="M105" s="56">
        <v>18000</v>
      </c>
      <c r="N105" s="56">
        <f t="shared" si="13"/>
        <v>18000</v>
      </c>
      <c r="O105" s="38" t="s">
        <v>21</v>
      </c>
      <c r="P105" s="38">
        <f t="shared" si="12"/>
        <v>90</v>
      </c>
      <c r="Q105" s="12">
        <f t="shared" si="7"/>
        <v>50</v>
      </c>
      <c r="T105"/>
      <c r="U105"/>
      <c r="V105"/>
      <c r="W105"/>
      <c r="X105"/>
      <c r="Y105"/>
    </row>
    <row r="106" spans="1:25" ht="15" customHeight="1" x14ac:dyDescent="0.25">
      <c r="A106" s="38" t="s">
        <v>2719</v>
      </c>
      <c r="B106" s="64" t="s">
        <v>417</v>
      </c>
      <c r="C106" s="38">
        <f t="shared" si="6"/>
        <v>242</v>
      </c>
      <c r="D106" s="38">
        <v>1</v>
      </c>
      <c r="E106" s="38"/>
      <c r="F106" s="38"/>
      <c r="G106" s="55" t="s">
        <v>675</v>
      </c>
      <c r="H106" s="38" t="s">
        <v>3252</v>
      </c>
      <c r="I106" s="38">
        <v>331</v>
      </c>
      <c r="J106" s="38">
        <v>1111</v>
      </c>
      <c r="K106" s="38" t="s">
        <v>20</v>
      </c>
      <c r="L106" s="38">
        <v>1</v>
      </c>
      <c r="M106" s="56">
        <v>3303000</v>
      </c>
      <c r="N106" s="56">
        <f t="shared" si="13"/>
        <v>3303000</v>
      </c>
      <c r="O106" s="38" t="s">
        <v>21</v>
      </c>
      <c r="P106" s="38">
        <f t="shared" si="12"/>
        <v>91</v>
      </c>
      <c r="Q106" s="12">
        <f t="shared" si="7"/>
        <v>47</v>
      </c>
      <c r="T106"/>
      <c r="U106"/>
      <c r="V106"/>
      <c r="W106"/>
      <c r="X106"/>
      <c r="Y106"/>
    </row>
    <row r="107" spans="1:25" ht="15" customHeight="1" x14ac:dyDescent="0.25">
      <c r="A107" s="38" t="s">
        <v>2719</v>
      </c>
      <c r="B107" s="64" t="s">
        <v>318</v>
      </c>
      <c r="C107" s="38">
        <f t="shared" si="6"/>
        <v>243</v>
      </c>
      <c r="D107" s="38">
        <v>1</v>
      </c>
      <c r="E107" s="38"/>
      <c r="F107" s="38"/>
      <c r="G107" s="55" t="s">
        <v>30</v>
      </c>
      <c r="H107" s="38" t="s">
        <v>3253</v>
      </c>
      <c r="I107" s="38">
        <v>331</v>
      </c>
      <c r="J107" s="38">
        <v>1111</v>
      </c>
      <c r="K107" s="38" t="s">
        <v>20</v>
      </c>
      <c r="L107" s="38">
        <v>1</v>
      </c>
      <c r="M107" s="56">
        <v>6996000</v>
      </c>
      <c r="N107" s="56">
        <f t="shared" si="13"/>
        <v>6996000</v>
      </c>
      <c r="O107" s="38" t="s">
        <v>21</v>
      </c>
      <c r="P107" s="38">
        <f t="shared" si="12"/>
        <v>92</v>
      </c>
      <c r="Q107" s="12">
        <f t="shared" si="7"/>
        <v>49</v>
      </c>
      <c r="T107"/>
      <c r="U107"/>
      <c r="V107"/>
      <c r="W107"/>
      <c r="X107"/>
      <c r="Y107"/>
    </row>
    <row r="108" spans="1:25" ht="15" customHeight="1" x14ac:dyDescent="0.25">
      <c r="A108" s="38" t="s">
        <v>2719</v>
      </c>
      <c r="B108" s="64" t="s">
        <v>318</v>
      </c>
      <c r="C108" s="38">
        <f t="shared" si="6"/>
        <v>244</v>
      </c>
      <c r="D108" s="38">
        <v>1</v>
      </c>
      <c r="E108" s="38"/>
      <c r="F108" s="38"/>
      <c r="G108" s="55" t="s">
        <v>673</v>
      </c>
      <c r="H108" s="38" t="s">
        <v>3254</v>
      </c>
      <c r="I108" s="38">
        <v>331</v>
      </c>
      <c r="J108" s="38">
        <v>1111</v>
      </c>
      <c r="K108" s="38" t="s">
        <v>20</v>
      </c>
      <c r="L108" s="38">
        <v>1</v>
      </c>
      <c r="M108" s="56">
        <v>948048</v>
      </c>
      <c r="N108" s="56">
        <f t="shared" si="13"/>
        <v>948048</v>
      </c>
      <c r="O108" s="38" t="s">
        <v>21</v>
      </c>
      <c r="P108" s="38">
        <f t="shared" si="12"/>
        <v>93</v>
      </c>
      <c r="Q108" s="12">
        <f t="shared" si="7"/>
        <v>37</v>
      </c>
      <c r="T108"/>
      <c r="U108"/>
      <c r="V108"/>
      <c r="W108"/>
      <c r="X108"/>
      <c r="Y108"/>
    </row>
    <row r="109" spans="1:25" ht="15" customHeight="1" x14ac:dyDescent="0.25">
      <c r="A109" s="38" t="s">
        <v>2719</v>
      </c>
      <c r="B109" s="64" t="s">
        <v>318</v>
      </c>
      <c r="C109" s="38">
        <f t="shared" si="6"/>
        <v>245</v>
      </c>
      <c r="D109" s="38">
        <v>1</v>
      </c>
      <c r="E109" s="38"/>
      <c r="F109" s="38"/>
      <c r="G109" s="55" t="s">
        <v>673</v>
      </c>
      <c r="H109" s="38" t="s">
        <v>3255</v>
      </c>
      <c r="I109" s="38">
        <v>331</v>
      </c>
      <c r="J109" s="38">
        <v>1111</v>
      </c>
      <c r="K109" s="38" t="s">
        <v>20</v>
      </c>
      <c r="L109" s="38">
        <v>1</v>
      </c>
      <c r="M109" s="56">
        <v>1797734</v>
      </c>
      <c r="N109" s="56">
        <f t="shared" si="13"/>
        <v>1797734</v>
      </c>
      <c r="O109" s="38" t="s">
        <v>21</v>
      </c>
      <c r="P109" s="38">
        <f t="shared" si="12"/>
        <v>94</v>
      </c>
      <c r="Q109" s="12">
        <f t="shared" si="7"/>
        <v>37</v>
      </c>
      <c r="T109"/>
      <c r="U109"/>
      <c r="V109"/>
      <c r="W109"/>
      <c r="X109"/>
      <c r="Y109"/>
    </row>
    <row r="110" spans="1:25" ht="15" customHeight="1" x14ac:dyDescent="0.25">
      <c r="A110" s="38" t="s">
        <v>2719</v>
      </c>
      <c r="B110" s="64" t="s">
        <v>318</v>
      </c>
      <c r="C110" s="38">
        <f t="shared" si="6"/>
        <v>246</v>
      </c>
      <c r="D110" s="38">
        <v>1</v>
      </c>
      <c r="E110" s="38"/>
      <c r="F110" s="38"/>
      <c r="G110" s="55" t="s">
        <v>120</v>
      </c>
      <c r="H110" s="38" t="s">
        <v>3256</v>
      </c>
      <c r="I110" s="38">
        <v>331</v>
      </c>
      <c r="J110" s="38">
        <v>1111</v>
      </c>
      <c r="K110" s="38" t="s">
        <v>20</v>
      </c>
      <c r="L110" s="38">
        <v>1</v>
      </c>
      <c r="M110" s="56">
        <v>3261373</v>
      </c>
      <c r="N110" s="56">
        <f t="shared" si="13"/>
        <v>3261373</v>
      </c>
      <c r="O110" s="38" t="s">
        <v>21</v>
      </c>
      <c r="P110" s="38">
        <f t="shared" si="12"/>
        <v>95</v>
      </c>
      <c r="Q110" s="12">
        <f t="shared" si="7"/>
        <v>49</v>
      </c>
      <c r="T110"/>
      <c r="U110"/>
      <c r="V110"/>
      <c r="W110"/>
      <c r="X110"/>
      <c r="Y110"/>
    </row>
    <row r="111" spans="1:25" ht="15" customHeight="1" x14ac:dyDescent="0.25">
      <c r="A111" s="38" t="s">
        <v>2719</v>
      </c>
      <c r="B111" s="64" t="s">
        <v>601</v>
      </c>
      <c r="C111" s="38">
        <f t="shared" si="6"/>
        <v>247</v>
      </c>
      <c r="D111" s="38">
        <v>1</v>
      </c>
      <c r="E111" s="38"/>
      <c r="F111" s="38"/>
      <c r="G111" s="55" t="s">
        <v>676</v>
      </c>
      <c r="H111" s="38" t="s">
        <v>3257</v>
      </c>
      <c r="I111" s="38">
        <v>331</v>
      </c>
      <c r="J111" s="38">
        <v>1111</v>
      </c>
      <c r="K111" s="38" t="s">
        <v>20</v>
      </c>
      <c r="L111" s="38">
        <v>1</v>
      </c>
      <c r="M111" s="56">
        <v>3200000</v>
      </c>
      <c r="N111" s="56">
        <f t="shared" si="13"/>
        <v>3200000</v>
      </c>
      <c r="O111" s="38" t="s">
        <v>21</v>
      </c>
      <c r="P111" s="38">
        <f t="shared" si="12"/>
        <v>96</v>
      </c>
      <c r="Q111" s="12">
        <f t="shared" si="7"/>
        <v>47</v>
      </c>
      <c r="T111"/>
      <c r="U111"/>
      <c r="V111"/>
      <c r="W111"/>
      <c r="X111"/>
      <c r="Y111"/>
    </row>
    <row r="112" spans="1:25" ht="15" customHeight="1" x14ac:dyDescent="0.25">
      <c r="A112" s="38" t="s">
        <v>2719</v>
      </c>
      <c r="B112" s="64" t="s">
        <v>672</v>
      </c>
      <c r="C112" s="38">
        <f t="shared" si="6"/>
        <v>248</v>
      </c>
      <c r="D112" s="38">
        <v>1</v>
      </c>
      <c r="E112" s="38"/>
      <c r="F112" s="38"/>
      <c r="G112" s="55" t="s">
        <v>37</v>
      </c>
      <c r="H112" s="38" t="s">
        <v>3258</v>
      </c>
      <c r="I112" s="38">
        <v>331</v>
      </c>
      <c r="J112" s="38">
        <v>1111</v>
      </c>
      <c r="K112" s="38" t="s">
        <v>20</v>
      </c>
      <c r="L112" s="38">
        <v>1</v>
      </c>
      <c r="M112" s="56">
        <v>2916000</v>
      </c>
      <c r="N112" s="56">
        <f t="shared" si="13"/>
        <v>2916000</v>
      </c>
      <c r="O112" s="38" t="s">
        <v>21</v>
      </c>
      <c r="P112" s="38">
        <f t="shared" si="12"/>
        <v>97</v>
      </c>
      <c r="Q112" s="12">
        <f t="shared" si="7"/>
        <v>53</v>
      </c>
      <c r="T112"/>
      <c r="U112"/>
      <c r="V112"/>
      <c r="W112"/>
      <c r="X112"/>
      <c r="Y112"/>
    </row>
    <row r="113" spans="1:25" ht="15" customHeight="1" x14ac:dyDescent="0.25">
      <c r="A113" s="38" t="s">
        <v>2719</v>
      </c>
      <c r="B113" s="64" t="s">
        <v>603</v>
      </c>
      <c r="C113" s="38">
        <f t="shared" si="6"/>
        <v>249</v>
      </c>
      <c r="D113" s="38">
        <v>1</v>
      </c>
      <c r="E113" s="38"/>
      <c r="F113" s="38"/>
      <c r="G113" s="55" t="s">
        <v>115</v>
      </c>
      <c r="H113" s="38" t="s">
        <v>3259</v>
      </c>
      <c r="I113" s="38">
        <v>331</v>
      </c>
      <c r="J113" s="38">
        <v>1111</v>
      </c>
      <c r="K113" s="38" t="s">
        <v>20</v>
      </c>
      <c r="L113" s="38">
        <v>1</v>
      </c>
      <c r="M113" s="56">
        <v>-20000</v>
      </c>
      <c r="N113" s="56">
        <f t="shared" si="13"/>
        <v>-20000</v>
      </c>
      <c r="O113" s="38" t="s">
        <v>21</v>
      </c>
      <c r="P113" s="38">
        <f t="shared" si="12"/>
        <v>98</v>
      </c>
      <c r="Q113" s="12">
        <f t="shared" si="7"/>
        <v>80</v>
      </c>
      <c r="T113"/>
      <c r="U113"/>
      <c r="V113"/>
      <c r="W113"/>
      <c r="X113"/>
      <c r="Y113"/>
    </row>
    <row r="114" spans="1:25" ht="15" customHeight="1" x14ac:dyDescent="0.25">
      <c r="A114" s="38" t="s">
        <v>2719</v>
      </c>
      <c r="B114" s="64" t="s">
        <v>2561</v>
      </c>
      <c r="C114" s="38">
        <f t="shared" si="6"/>
        <v>250</v>
      </c>
      <c r="D114" s="38">
        <v>1</v>
      </c>
      <c r="E114" s="38"/>
      <c r="F114" s="38"/>
      <c r="G114" s="55" t="s">
        <v>30</v>
      </c>
      <c r="H114" s="38" t="s">
        <v>3260</v>
      </c>
      <c r="I114" s="38">
        <v>331</v>
      </c>
      <c r="J114" s="38">
        <v>1111</v>
      </c>
      <c r="K114" s="38" t="s">
        <v>20</v>
      </c>
      <c r="L114" s="38">
        <v>1</v>
      </c>
      <c r="M114" s="56">
        <v>3198000</v>
      </c>
      <c r="N114" s="56">
        <f t="shared" si="13"/>
        <v>3198000</v>
      </c>
      <c r="O114" s="38" t="s">
        <v>21</v>
      </c>
      <c r="P114" s="38">
        <f t="shared" si="12"/>
        <v>99</v>
      </c>
      <c r="Q114" s="12">
        <f t="shared" si="7"/>
        <v>49</v>
      </c>
      <c r="T114"/>
      <c r="U114"/>
      <c r="V114"/>
      <c r="W114"/>
      <c r="X114"/>
      <c r="Y114"/>
    </row>
    <row r="115" spans="1:25" ht="15" customHeight="1" x14ac:dyDescent="0.25">
      <c r="A115" s="38" t="s">
        <v>2719</v>
      </c>
      <c r="B115" s="36">
        <v>45961</v>
      </c>
      <c r="C115" s="38">
        <f t="shared" ref="C115:C118" si="14">C114+D115</f>
        <v>251</v>
      </c>
      <c r="D115" s="38">
        <v>1</v>
      </c>
      <c r="F115" s="38"/>
      <c r="G115" s="55" t="s">
        <v>45</v>
      </c>
      <c r="H115" s="38" t="s">
        <v>2684</v>
      </c>
      <c r="I115" s="38">
        <v>3383</v>
      </c>
      <c r="J115" s="38">
        <v>1111</v>
      </c>
      <c r="K115" s="38" t="s">
        <v>20</v>
      </c>
      <c r="L115" s="38">
        <v>1</v>
      </c>
      <c r="M115" s="57">
        <v>690300</v>
      </c>
      <c r="N115" s="56">
        <f t="shared" si="13"/>
        <v>690300</v>
      </c>
      <c r="O115" s="38" t="s">
        <v>21</v>
      </c>
      <c r="P115" s="38">
        <f t="shared" si="12"/>
        <v>100</v>
      </c>
      <c r="Q115" s="12">
        <f t="shared" si="7"/>
        <v>34</v>
      </c>
      <c r="T115"/>
      <c r="U115"/>
      <c r="V115"/>
      <c r="W115"/>
      <c r="X115"/>
      <c r="Y115"/>
    </row>
    <row r="116" spans="1:25" ht="15" customHeight="1" x14ac:dyDescent="0.25">
      <c r="A116" s="38" t="s">
        <v>2719</v>
      </c>
      <c r="B116" s="36">
        <v>45991</v>
      </c>
      <c r="C116" s="38">
        <f t="shared" si="14"/>
        <v>252</v>
      </c>
      <c r="D116" s="38">
        <v>1</v>
      </c>
      <c r="F116" s="38"/>
      <c r="G116" s="55" t="s">
        <v>45</v>
      </c>
      <c r="H116" s="38" t="s">
        <v>2685</v>
      </c>
      <c r="I116" s="38">
        <v>3383</v>
      </c>
      <c r="J116" s="38">
        <v>1111</v>
      </c>
      <c r="K116" s="38" t="s">
        <v>20</v>
      </c>
      <c r="L116" s="38">
        <v>1</v>
      </c>
      <c r="M116" s="57">
        <v>690300</v>
      </c>
      <c r="N116" s="56">
        <f t="shared" si="13"/>
        <v>690300</v>
      </c>
      <c r="O116" s="38" t="s">
        <v>21</v>
      </c>
      <c r="P116" s="38">
        <f t="shared" si="12"/>
        <v>101</v>
      </c>
      <c r="Q116" s="12">
        <f t="shared" si="7"/>
        <v>34</v>
      </c>
      <c r="T116"/>
      <c r="U116"/>
      <c r="V116"/>
      <c r="W116"/>
      <c r="X116"/>
      <c r="Y116"/>
    </row>
    <row r="117" spans="1:25" ht="15" customHeight="1" x14ac:dyDescent="0.25">
      <c r="A117" s="38" t="s">
        <v>2719</v>
      </c>
      <c r="B117" s="36">
        <v>46022</v>
      </c>
      <c r="C117" s="38">
        <f t="shared" si="14"/>
        <v>253</v>
      </c>
      <c r="D117" s="38">
        <v>1</v>
      </c>
      <c r="F117" s="38"/>
      <c r="G117" s="55" t="s">
        <v>45</v>
      </c>
      <c r="H117" s="38" t="s">
        <v>3036</v>
      </c>
      <c r="I117" s="38">
        <v>3383</v>
      </c>
      <c r="J117" s="38">
        <v>1111</v>
      </c>
      <c r="K117" s="38" t="s">
        <v>20</v>
      </c>
      <c r="L117" s="38">
        <v>1</v>
      </c>
      <c r="M117" s="57">
        <v>690300</v>
      </c>
      <c r="N117" s="56">
        <f t="shared" si="13"/>
        <v>690300</v>
      </c>
      <c r="O117" s="38" t="s">
        <v>21</v>
      </c>
      <c r="P117" s="38">
        <f t="shared" si="12"/>
        <v>102</v>
      </c>
      <c r="Q117" s="12">
        <f t="shared" si="7"/>
        <v>34</v>
      </c>
      <c r="T117"/>
      <c r="U117"/>
      <c r="V117"/>
      <c r="W117"/>
      <c r="X117"/>
      <c r="Y117"/>
    </row>
    <row r="118" spans="1:25" ht="15" customHeight="1" x14ac:dyDescent="0.25">
      <c r="A118" s="12" t="s">
        <v>2719</v>
      </c>
      <c r="B118" s="36" t="s">
        <v>310</v>
      </c>
      <c r="C118" s="38">
        <f t="shared" si="14"/>
        <v>254</v>
      </c>
      <c r="D118" s="38">
        <v>1</v>
      </c>
      <c r="G118" s="14" t="s">
        <v>45</v>
      </c>
      <c r="H118" s="12" t="s">
        <v>4470</v>
      </c>
      <c r="I118" s="12">
        <v>3388</v>
      </c>
      <c r="J118" s="12">
        <v>1111</v>
      </c>
      <c r="K118" s="38" t="s">
        <v>20</v>
      </c>
      <c r="L118" s="38">
        <v>1</v>
      </c>
      <c r="M118" s="17">
        <v>24000000</v>
      </c>
      <c r="N118" s="56">
        <f t="shared" si="13"/>
        <v>24000000</v>
      </c>
      <c r="O118" s="38" t="s">
        <v>21</v>
      </c>
      <c r="P118" s="38">
        <f t="shared" si="12"/>
        <v>103</v>
      </c>
      <c r="Q118" s="12">
        <f t="shared" si="7"/>
        <v>32</v>
      </c>
      <c r="T118"/>
      <c r="U118"/>
      <c r="V118"/>
      <c r="W118"/>
      <c r="X118"/>
      <c r="Y118"/>
    </row>
    <row r="119" spans="1:25" ht="15" customHeight="1" x14ac:dyDescent="0.25">
      <c r="A119" s="12" t="s">
        <v>2719</v>
      </c>
      <c r="B119" s="36" t="s">
        <v>313</v>
      </c>
      <c r="C119" s="38">
        <f t="shared" ref="C119:C122" si="15">C118+D119</f>
        <v>255</v>
      </c>
      <c r="D119" s="38">
        <v>1</v>
      </c>
      <c r="G119" s="14" t="s">
        <v>45</v>
      </c>
      <c r="H119" s="12" t="s">
        <v>4470</v>
      </c>
      <c r="I119" s="12">
        <v>3388</v>
      </c>
      <c r="J119" s="12">
        <v>1111</v>
      </c>
      <c r="K119" s="38" t="s">
        <v>20</v>
      </c>
      <c r="L119" s="38">
        <v>1</v>
      </c>
      <c r="M119" s="17">
        <v>24000000</v>
      </c>
      <c r="N119" s="56">
        <f t="shared" ref="N119:N122" si="16">L119*M119</f>
        <v>24000000</v>
      </c>
      <c r="O119" s="38" t="s">
        <v>21</v>
      </c>
      <c r="P119" s="38">
        <f t="shared" si="12"/>
        <v>104</v>
      </c>
      <c r="Q119" s="12">
        <f t="shared" si="7"/>
        <v>32</v>
      </c>
      <c r="T119"/>
      <c r="U119"/>
      <c r="V119"/>
      <c r="W119"/>
      <c r="X119"/>
      <c r="Y119"/>
    </row>
    <row r="120" spans="1:25" ht="15" customHeight="1" x14ac:dyDescent="0.25">
      <c r="A120" s="12" t="s">
        <v>2679</v>
      </c>
      <c r="B120" s="36">
        <v>45961</v>
      </c>
      <c r="C120" s="38">
        <f t="shared" si="15"/>
        <v>256</v>
      </c>
      <c r="D120" s="38">
        <v>1</v>
      </c>
      <c r="G120" s="14" t="s">
        <v>101</v>
      </c>
      <c r="H120" s="12" t="s">
        <v>2687</v>
      </c>
      <c r="I120" s="12">
        <v>112111</v>
      </c>
      <c r="J120" s="12">
        <v>5154</v>
      </c>
      <c r="K120" s="38" t="s">
        <v>20</v>
      </c>
      <c r="L120" s="38">
        <v>1</v>
      </c>
      <c r="M120" s="17">
        <v>101</v>
      </c>
      <c r="N120" s="56">
        <f t="shared" si="16"/>
        <v>101</v>
      </c>
      <c r="O120" s="38" t="s">
        <v>21</v>
      </c>
      <c r="P120" s="38">
        <f t="shared" si="12"/>
        <v>105</v>
      </c>
      <c r="Q120" s="12">
        <f t="shared" si="7"/>
        <v>12</v>
      </c>
      <c r="T120"/>
      <c r="U120"/>
      <c r="V120"/>
      <c r="W120"/>
      <c r="X120"/>
      <c r="Y120"/>
    </row>
    <row r="121" spans="1:25" ht="15" customHeight="1" x14ac:dyDescent="0.25">
      <c r="A121" s="12" t="s">
        <v>2679</v>
      </c>
      <c r="B121" s="36">
        <v>45991</v>
      </c>
      <c r="C121" s="38">
        <f t="shared" si="15"/>
        <v>257</v>
      </c>
      <c r="D121" s="38">
        <v>1</v>
      </c>
      <c r="G121" s="14" t="s">
        <v>101</v>
      </c>
      <c r="H121" s="12" t="s">
        <v>2687</v>
      </c>
      <c r="I121" s="12">
        <v>112111</v>
      </c>
      <c r="J121" s="12">
        <v>5154</v>
      </c>
      <c r="K121" s="38" t="s">
        <v>20</v>
      </c>
      <c r="L121" s="38">
        <v>1</v>
      </c>
      <c r="M121" s="17">
        <v>97</v>
      </c>
      <c r="N121" s="56">
        <f t="shared" si="16"/>
        <v>97</v>
      </c>
      <c r="O121" s="38" t="s">
        <v>21</v>
      </c>
      <c r="P121" s="38">
        <f t="shared" si="12"/>
        <v>106</v>
      </c>
      <c r="Q121" s="12">
        <f t="shared" si="7"/>
        <v>12</v>
      </c>
      <c r="T121"/>
      <c r="U121"/>
      <c r="V121"/>
      <c r="W121"/>
      <c r="X121"/>
      <c r="Y121"/>
    </row>
    <row r="122" spans="1:25" ht="15" customHeight="1" x14ac:dyDescent="0.25">
      <c r="A122" s="12" t="s">
        <v>2679</v>
      </c>
      <c r="B122" s="36">
        <v>46022</v>
      </c>
      <c r="C122" s="38">
        <f t="shared" si="15"/>
        <v>258</v>
      </c>
      <c r="D122" s="38">
        <v>1</v>
      </c>
      <c r="G122" s="14" t="s">
        <v>101</v>
      </c>
      <c r="H122" s="12" t="s">
        <v>2687</v>
      </c>
      <c r="I122" s="12">
        <v>112111</v>
      </c>
      <c r="J122" s="12">
        <v>5154</v>
      </c>
      <c r="K122" s="38" t="s">
        <v>20</v>
      </c>
      <c r="L122" s="38">
        <v>1</v>
      </c>
      <c r="M122" s="17">
        <v>101</v>
      </c>
      <c r="N122" s="56">
        <f t="shared" si="16"/>
        <v>101</v>
      </c>
      <c r="O122" s="38" t="s">
        <v>21</v>
      </c>
      <c r="P122" s="38">
        <f t="shared" si="12"/>
        <v>107</v>
      </c>
      <c r="Q122" s="12">
        <f t="shared" si="7"/>
        <v>12</v>
      </c>
      <c r="T122"/>
      <c r="U122"/>
      <c r="V122"/>
      <c r="W122"/>
      <c r="X122"/>
      <c r="Y122"/>
    </row>
    <row r="123" spans="1:25" ht="15" customHeight="1" x14ac:dyDescent="0.25">
      <c r="T123"/>
      <c r="U123"/>
      <c r="V123"/>
      <c r="W123"/>
      <c r="X123"/>
      <c r="Y123"/>
    </row>
    <row r="124" spans="1:25" ht="15" customHeight="1" x14ac:dyDescent="0.25">
      <c r="T124"/>
      <c r="U124"/>
      <c r="V124"/>
      <c r="W124"/>
      <c r="X124"/>
      <c r="Y124"/>
    </row>
    <row r="125" spans="1:25" ht="15" customHeight="1" x14ac:dyDescent="0.25">
      <c r="T125"/>
      <c r="U125"/>
      <c r="V125"/>
      <c r="W125"/>
      <c r="X125"/>
      <c r="Y125"/>
    </row>
    <row r="126" spans="1:25" ht="15" customHeight="1" x14ac:dyDescent="0.25">
      <c r="T126"/>
      <c r="U126"/>
      <c r="V126"/>
      <c r="W126"/>
      <c r="X126"/>
      <c r="Y126"/>
    </row>
    <row r="127" spans="1:25" ht="15" customHeight="1" x14ac:dyDescent="0.25">
      <c r="T127"/>
      <c r="U127"/>
      <c r="V127"/>
      <c r="W127"/>
      <c r="X127"/>
      <c r="Y127"/>
    </row>
    <row r="128" spans="1:25" ht="15" customHeight="1" x14ac:dyDescent="0.25">
      <c r="T128"/>
      <c r="U128"/>
      <c r="V128"/>
      <c r="W128"/>
      <c r="X128"/>
      <c r="Y128"/>
    </row>
    <row r="129" spans="20:25" ht="15" customHeight="1" x14ac:dyDescent="0.25">
      <c r="T129"/>
      <c r="U129"/>
      <c r="V129"/>
      <c r="W129"/>
      <c r="X129"/>
      <c r="Y129"/>
    </row>
    <row r="130" spans="20:25" ht="15" customHeight="1" x14ac:dyDescent="0.25">
      <c r="T130"/>
      <c r="U130"/>
      <c r="V130"/>
      <c r="W130"/>
      <c r="X130"/>
      <c r="Y130"/>
    </row>
    <row r="131" spans="20:25" ht="15" customHeight="1" x14ac:dyDescent="0.25">
      <c r="T131"/>
      <c r="U131"/>
      <c r="V131"/>
      <c r="W131"/>
      <c r="X131"/>
      <c r="Y131"/>
    </row>
    <row r="132" spans="20:25" ht="15" customHeight="1" x14ac:dyDescent="0.25">
      <c r="T132"/>
      <c r="U132"/>
      <c r="V132"/>
      <c r="W132"/>
      <c r="X132"/>
      <c r="Y132"/>
    </row>
    <row r="133" spans="20:25" ht="15" customHeight="1" x14ac:dyDescent="0.25">
      <c r="T133"/>
      <c r="U133"/>
      <c r="V133"/>
      <c r="W133"/>
      <c r="X133"/>
      <c r="Y133"/>
    </row>
    <row r="134" spans="20:25" ht="15" customHeight="1" x14ac:dyDescent="0.25">
      <c r="T134"/>
      <c r="U134"/>
      <c r="V134"/>
      <c r="W134"/>
      <c r="X134"/>
      <c r="Y134"/>
    </row>
    <row r="135" spans="20:25" ht="15" customHeight="1" x14ac:dyDescent="0.25">
      <c r="T135"/>
      <c r="U135"/>
      <c r="V135"/>
      <c r="W135"/>
      <c r="X135"/>
      <c r="Y135"/>
    </row>
    <row r="136" spans="20:25" ht="15" customHeight="1" x14ac:dyDescent="0.25">
      <c r="T136"/>
      <c r="U136"/>
      <c r="V136"/>
      <c r="W136"/>
      <c r="X136"/>
      <c r="Y136"/>
    </row>
    <row r="137" spans="20:25" ht="15" customHeight="1" x14ac:dyDescent="0.25">
      <c r="T137"/>
      <c r="U137"/>
      <c r="V137"/>
      <c r="W137"/>
      <c r="X137"/>
      <c r="Y137"/>
    </row>
    <row r="138" spans="20:25" ht="15" customHeight="1" x14ac:dyDescent="0.25">
      <c r="T138"/>
      <c r="U138"/>
      <c r="V138"/>
      <c r="W138"/>
      <c r="X138"/>
      <c r="Y138"/>
    </row>
    <row r="139" spans="20:25" ht="15" customHeight="1" x14ac:dyDescent="0.25">
      <c r="T139"/>
      <c r="U139"/>
      <c r="V139"/>
      <c r="W139"/>
      <c r="X139"/>
      <c r="Y139"/>
    </row>
    <row r="140" spans="20:25" ht="15" customHeight="1" x14ac:dyDescent="0.25">
      <c r="T140"/>
      <c r="U140"/>
      <c r="V140"/>
      <c r="W140"/>
      <c r="X140"/>
      <c r="Y140"/>
    </row>
    <row r="141" spans="20:25" ht="15" customHeight="1" x14ac:dyDescent="0.25">
      <c r="T141"/>
      <c r="U141"/>
      <c r="V141"/>
      <c r="W141"/>
      <c r="X141"/>
      <c r="Y141"/>
    </row>
  </sheetData>
  <autoFilter ref="A3:Q122" xr:uid="{00000000-0001-0000-0700-000000000000}"/>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7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A80"/>
  <sheetViews>
    <sheetView workbookViewId="0">
      <selection sqref="A1:A2"/>
    </sheetView>
  </sheetViews>
  <sheetFormatPr defaultRowHeight="15" customHeight="1" x14ac:dyDescent="0.2"/>
  <cols>
    <col min="1" max="1" width="9.140625" style="12"/>
    <col min="2" max="2" width="9.140625" style="36"/>
    <col min="3" max="6" width="9.140625" style="12"/>
    <col min="7" max="7" width="9.140625" style="14"/>
    <col min="8" max="8" width="35.42578125" style="12" customWidth="1"/>
    <col min="9" max="12" width="9.140625" style="12"/>
    <col min="13" max="14" width="9.85546875" style="17" bestFit="1" customWidth="1"/>
    <col min="15" max="17" width="9.140625" style="12"/>
    <col min="18" max="27" width="9.140625" style="14"/>
    <col min="28" max="16384" width="9.140625" style="12"/>
  </cols>
  <sheetData>
    <row r="1" spans="1:16" ht="15" customHeight="1" thickBot="1" x14ac:dyDescent="0.25">
      <c r="A1" s="204" t="s">
        <v>0</v>
      </c>
      <c r="B1" s="219" t="s">
        <v>1</v>
      </c>
      <c r="C1" s="204" t="s">
        <v>2</v>
      </c>
      <c r="D1" s="202" t="s">
        <v>3</v>
      </c>
      <c r="E1" s="202" t="s">
        <v>4</v>
      </c>
      <c r="F1" s="202" t="s">
        <v>760</v>
      </c>
      <c r="G1" s="211" t="s">
        <v>6</v>
      </c>
      <c r="H1" s="213" t="s">
        <v>7</v>
      </c>
      <c r="I1" s="215" t="s">
        <v>8</v>
      </c>
      <c r="J1" s="216"/>
      <c r="K1" s="204" t="s">
        <v>9</v>
      </c>
      <c r="L1" s="204" t="s">
        <v>10</v>
      </c>
      <c r="M1" s="217" t="s">
        <v>98</v>
      </c>
      <c r="N1" s="217" t="s">
        <v>99</v>
      </c>
      <c r="O1" s="45" t="s">
        <v>100</v>
      </c>
      <c r="P1" s="152" t="s">
        <v>3991</v>
      </c>
    </row>
    <row r="2" spans="1:16" ht="15" customHeight="1" thickBot="1" x14ac:dyDescent="0.25">
      <c r="A2" s="205"/>
      <c r="B2" s="220"/>
      <c r="C2" s="205"/>
      <c r="D2" s="208"/>
      <c r="E2" s="208"/>
      <c r="F2" s="203"/>
      <c r="G2" s="212"/>
      <c r="H2" s="214"/>
      <c r="I2" s="46" t="s">
        <v>13</v>
      </c>
      <c r="J2" s="47" t="s">
        <v>14</v>
      </c>
      <c r="K2" s="205"/>
      <c r="L2" s="205"/>
      <c r="M2" s="218"/>
      <c r="N2" s="218"/>
      <c r="O2" s="38" t="s">
        <v>100</v>
      </c>
      <c r="P2" s="38"/>
    </row>
    <row r="3" spans="1:16" ht="15" customHeight="1" x14ac:dyDescent="0.2">
      <c r="A3" s="48"/>
      <c r="B3" s="83"/>
      <c r="C3" s="48">
        <v>153</v>
      </c>
      <c r="D3" s="49"/>
      <c r="E3" s="49"/>
      <c r="F3" s="49"/>
      <c r="G3" s="51" t="s">
        <v>15</v>
      </c>
      <c r="H3" s="52"/>
      <c r="I3" s="52"/>
      <c r="J3" s="52"/>
      <c r="K3" s="48"/>
      <c r="L3" s="48"/>
      <c r="M3" s="84"/>
      <c r="N3" s="84"/>
      <c r="O3" s="38" t="s">
        <v>16</v>
      </c>
      <c r="P3" s="38" t="s">
        <v>17</v>
      </c>
    </row>
    <row r="4" spans="1:16" ht="15" customHeight="1" x14ac:dyDescent="0.2">
      <c r="A4" s="12" t="s">
        <v>18</v>
      </c>
      <c r="B4" s="36" t="s">
        <v>445</v>
      </c>
      <c r="C4" s="12">
        <f t="shared" ref="C4:C33" si="0">C3+D4</f>
        <v>154</v>
      </c>
      <c r="D4" s="12">
        <v>1</v>
      </c>
      <c r="G4" s="14" t="s">
        <v>279</v>
      </c>
      <c r="H4" s="12" t="s">
        <v>693</v>
      </c>
      <c r="I4" s="12">
        <v>131</v>
      </c>
      <c r="J4" s="12">
        <v>5113</v>
      </c>
      <c r="K4" s="12" t="s">
        <v>20</v>
      </c>
      <c r="L4" s="12">
        <v>1</v>
      </c>
      <c r="M4" s="17">
        <v>55555556</v>
      </c>
      <c r="N4" s="17">
        <f t="shared" ref="N4:N66" si="1">L4*M4</f>
        <v>55555556</v>
      </c>
      <c r="O4" s="12" t="s">
        <v>21</v>
      </c>
      <c r="P4" s="12">
        <v>1</v>
      </c>
    </row>
    <row r="5" spans="1:16" ht="15" customHeight="1" x14ac:dyDescent="0.2">
      <c r="A5" s="12" t="s">
        <v>18</v>
      </c>
      <c r="B5" s="36" t="s">
        <v>445</v>
      </c>
      <c r="C5" s="12">
        <f t="shared" si="0"/>
        <v>154</v>
      </c>
      <c r="D5" s="12">
        <v>0</v>
      </c>
      <c r="G5" s="14" t="s">
        <v>279</v>
      </c>
      <c r="H5" s="12" t="s">
        <v>698</v>
      </c>
      <c r="I5" s="12">
        <v>333821</v>
      </c>
      <c r="J5" s="12">
        <v>131</v>
      </c>
      <c r="K5" s="12" t="s">
        <v>20</v>
      </c>
      <c r="L5" s="12">
        <v>1</v>
      </c>
      <c r="M5" s="17">
        <v>555556</v>
      </c>
      <c r="N5" s="17">
        <f t="shared" si="1"/>
        <v>555556</v>
      </c>
      <c r="O5" s="12" t="s">
        <v>21</v>
      </c>
      <c r="P5" s="12">
        <f>P4+D5</f>
        <v>1</v>
      </c>
    </row>
    <row r="6" spans="1:16" ht="15" customHeight="1" x14ac:dyDescent="0.2">
      <c r="A6" s="12" t="s">
        <v>18</v>
      </c>
      <c r="B6" s="36">
        <v>45965</v>
      </c>
      <c r="C6" s="12">
        <f t="shared" si="0"/>
        <v>155</v>
      </c>
      <c r="D6" s="12">
        <v>1</v>
      </c>
      <c r="G6" s="14" t="s">
        <v>4443</v>
      </c>
      <c r="H6" s="12" t="s">
        <v>4446</v>
      </c>
      <c r="I6" s="12">
        <v>131</v>
      </c>
      <c r="J6" s="12">
        <v>5113</v>
      </c>
      <c r="K6" s="12" t="s">
        <v>20</v>
      </c>
      <c r="L6" s="12">
        <v>1</v>
      </c>
      <c r="M6" s="17">
        <v>10752688</v>
      </c>
      <c r="N6" s="17">
        <f t="shared" si="1"/>
        <v>10752688</v>
      </c>
      <c r="O6" s="12" t="s">
        <v>21</v>
      </c>
      <c r="P6" s="12">
        <f t="shared" ref="P6:P69" si="2">P5+D6</f>
        <v>2</v>
      </c>
    </row>
    <row r="7" spans="1:16" ht="15" customHeight="1" x14ac:dyDescent="0.2">
      <c r="A7" s="12" t="s">
        <v>18</v>
      </c>
      <c r="B7" s="36">
        <v>45965</v>
      </c>
      <c r="C7" s="12">
        <f t="shared" si="0"/>
        <v>155</v>
      </c>
      <c r="D7" s="12">
        <v>0</v>
      </c>
      <c r="G7" s="14" t="s">
        <v>4443</v>
      </c>
      <c r="H7" s="12" t="s">
        <v>4447</v>
      </c>
      <c r="I7" s="12">
        <v>333821</v>
      </c>
      <c r="J7" s="12">
        <v>131</v>
      </c>
      <c r="K7" s="12" t="s">
        <v>20</v>
      </c>
      <c r="L7" s="12">
        <v>1</v>
      </c>
      <c r="M7" s="17">
        <v>107527</v>
      </c>
      <c r="N7" s="17">
        <f t="shared" si="1"/>
        <v>107527</v>
      </c>
      <c r="O7" s="12" t="s">
        <v>21</v>
      </c>
      <c r="P7" s="12">
        <f t="shared" si="2"/>
        <v>2</v>
      </c>
    </row>
    <row r="8" spans="1:16" ht="15" customHeight="1" x14ac:dyDescent="0.2">
      <c r="A8" s="12" t="s">
        <v>18</v>
      </c>
      <c r="B8" s="36" t="s">
        <v>316</v>
      </c>
      <c r="C8" s="12">
        <f t="shared" si="0"/>
        <v>156</v>
      </c>
      <c r="D8" s="12">
        <v>1</v>
      </c>
      <c r="G8" s="14" t="s">
        <v>279</v>
      </c>
      <c r="H8" s="12" t="s">
        <v>4444</v>
      </c>
      <c r="I8" s="12">
        <v>131</v>
      </c>
      <c r="J8" s="12">
        <v>5113</v>
      </c>
      <c r="K8" s="12" t="s">
        <v>20</v>
      </c>
      <c r="L8" s="12">
        <v>1</v>
      </c>
      <c r="M8" s="17">
        <v>83512544</v>
      </c>
      <c r="N8" s="17">
        <f t="shared" si="1"/>
        <v>83512544</v>
      </c>
      <c r="O8" s="12" t="s">
        <v>21</v>
      </c>
      <c r="P8" s="12">
        <f t="shared" si="2"/>
        <v>3</v>
      </c>
    </row>
    <row r="9" spans="1:16" ht="15" customHeight="1" x14ac:dyDescent="0.2">
      <c r="A9" s="12" t="s">
        <v>18</v>
      </c>
      <c r="B9" s="36" t="s">
        <v>316</v>
      </c>
      <c r="C9" s="12">
        <f t="shared" si="0"/>
        <v>156</v>
      </c>
      <c r="D9" s="12">
        <v>0</v>
      </c>
      <c r="G9" s="14" t="s">
        <v>279</v>
      </c>
      <c r="H9" s="12" t="s">
        <v>4445</v>
      </c>
      <c r="I9" s="12">
        <v>333821</v>
      </c>
      <c r="J9" s="12">
        <v>131</v>
      </c>
      <c r="K9" s="12" t="s">
        <v>20</v>
      </c>
      <c r="L9" s="12">
        <v>1</v>
      </c>
      <c r="M9" s="17">
        <v>835125</v>
      </c>
      <c r="N9" s="17">
        <f t="shared" si="1"/>
        <v>835125</v>
      </c>
      <c r="O9" s="12" t="s">
        <v>21</v>
      </c>
      <c r="P9" s="12">
        <f t="shared" si="2"/>
        <v>3</v>
      </c>
    </row>
    <row r="10" spans="1:16" ht="15" customHeight="1" x14ac:dyDescent="0.2">
      <c r="A10" s="12" t="s">
        <v>18</v>
      </c>
      <c r="B10" s="36" t="s">
        <v>515</v>
      </c>
      <c r="C10" s="12">
        <f t="shared" si="0"/>
        <v>157</v>
      </c>
      <c r="D10" s="12">
        <v>1</v>
      </c>
      <c r="G10" s="14" t="s">
        <v>472</v>
      </c>
      <c r="H10" s="12" t="s">
        <v>694</v>
      </c>
      <c r="I10" s="12">
        <v>131</v>
      </c>
      <c r="J10" s="12">
        <v>5113</v>
      </c>
      <c r="K10" s="12" t="s">
        <v>20</v>
      </c>
      <c r="L10" s="12">
        <v>1</v>
      </c>
      <c r="M10" s="17">
        <v>5376344</v>
      </c>
      <c r="N10" s="17">
        <f t="shared" si="1"/>
        <v>5376344</v>
      </c>
      <c r="O10" s="12" t="s">
        <v>21</v>
      </c>
      <c r="P10" s="12">
        <f t="shared" si="2"/>
        <v>4</v>
      </c>
    </row>
    <row r="11" spans="1:16" ht="15" customHeight="1" x14ac:dyDescent="0.2">
      <c r="A11" s="12" t="s">
        <v>18</v>
      </c>
      <c r="B11" s="36" t="s">
        <v>515</v>
      </c>
      <c r="C11" s="12">
        <f t="shared" si="0"/>
        <v>157</v>
      </c>
      <c r="D11" s="12">
        <v>0</v>
      </c>
      <c r="G11" s="14" t="s">
        <v>472</v>
      </c>
      <c r="H11" s="12" t="s">
        <v>699</v>
      </c>
      <c r="I11" s="12">
        <v>333821</v>
      </c>
      <c r="J11" s="12">
        <v>131</v>
      </c>
      <c r="K11" s="12" t="s">
        <v>20</v>
      </c>
      <c r="L11" s="12">
        <v>1</v>
      </c>
      <c r="M11" s="17">
        <v>53763</v>
      </c>
      <c r="N11" s="17">
        <f t="shared" si="1"/>
        <v>53763</v>
      </c>
      <c r="O11" s="12" t="s">
        <v>21</v>
      </c>
      <c r="P11" s="12">
        <f t="shared" si="2"/>
        <v>4</v>
      </c>
    </row>
    <row r="12" spans="1:16" ht="15" customHeight="1" x14ac:dyDescent="0.2">
      <c r="A12" s="12" t="s">
        <v>18</v>
      </c>
      <c r="B12" s="36" t="s">
        <v>456</v>
      </c>
      <c r="C12" s="12">
        <f t="shared" si="0"/>
        <v>158</v>
      </c>
      <c r="D12" s="12">
        <v>1</v>
      </c>
      <c r="G12" s="14" t="s">
        <v>280</v>
      </c>
      <c r="H12" s="12" t="s">
        <v>695</v>
      </c>
      <c r="I12" s="12">
        <v>131</v>
      </c>
      <c r="J12" s="12">
        <v>5113</v>
      </c>
      <c r="K12" s="12" t="s">
        <v>20</v>
      </c>
      <c r="L12" s="12">
        <v>1</v>
      </c>
      <c r="M12" s="17">
        <v>8602151</v>
      </c>
      <c r="N12" s="17">
        <f t="shared" si="1"/>
        <v>8602151</v>
      </c>
      <c r="O12" s="12" t="s">
        <v>21</v>
      </c>
      <c r="P12" s="12">
        <f t="shared" si="2"/>
        <v>5</v>
      </c>
    </row>
    <row r="13" spans="1:16" ht="15" customHeight="1" x14ac:dyDescent="0.2">
      <c r="A13" s="12" t="s">
        <v>18</v>
      </c>
      <c r="B13" s="36" t="s">
        <v>456</v>
      </c>
      <c r="C13" s="12">
        <f t="shared" si="0"/>
        <v>158</v>
      </c>
      <c r="D13" s="12">
        <v>0</v>
      </c>
      <c r="G13" s="14" t="s">
        <v>280</v>
      </c>
      <c r="H13" s="12" t="s">
        <v>700</v>
      </c>
      <c r="I13" s="12">
        <v>333821</v>
      </c>
      <c r="J13" s="12">
        <v>131</v>
      </c>
      <c r="K13" s="12" t="s">
        <v>20</v>
      </c>
      <c r="L13" s="12">
        <v>1</v>
      </c>
      <c r="M13" s="17">
        <v>86022</v>
      </c>
      <c r="N13" s="17">
        <f t="shared" si="1"/>
        <v>86022</v>
      </c>
      <c r="O13" s="12" t="s">
        <v>21</v>
      </c>
      <c r="P13" s="12">
        <f t="shared" si="2"/>
        <v>5</v>
      </c>
    </row>
    <row r="14" spans="1:16" ht="15" customHeight="1" x14ac:dyDescent="0.2">
      <c r="A14" s="12" t="s">
        <v>18</v>
      </c>
      <c r="B14" s="36" t="s">
        <v>456</v>
      </c>
      <c r="C14" s="12">
        <f t="shared" si="0"/>
        <v>159</v>
      </c>
      <c r="D14" s="12">
        <v>1</v>
      </c>
      <c r="G14" s="14" t="s">
        <v>279</v>
      </c>
      <c r="H14" s="12" t="s">
        <v>696</v>
      </c>
      <c r="I14" s="12">
        <v>131</v>
      </c>
      <c r="J14" s="12">
        <v>5113</v>
      </c>
      <c r="K14" s="12" t="s">
        <v>20</v>
      </c>
      <c r="L14" s="12">
        <v>1</v>
      </c>
      <c r="M14" s="17">
        <v>66666667</v>
      </c>
      <c r="N14" s="17">
        <f t="shared" si="1"/>
        <v>66666667</v>
      </c>
      <c r="O14" s="12" t="s">
        <v>21</v>
      </c>
      <c r="P14" s="12">
        <f t="shared" si="2"/>
        <v>6</v>
      </c>
    </row>
    <row r="15" spans="1:16" ht="15" customHeight="1" x14ac:dyDescent="0.2">
      <c r="A15" s="12" t="s">
        <v>18</v>
      </c>
      <c r="B15" s="36" t="s">
        <v>456</v>
      </c>
      <c r="C15" s="12">
        <f t="shared" si="0"/>
        <v>159</v>
      </c>
      <c r="D15" s="12">
        <v>0</v>
      </c>
      <c r="G15" s="14" t="s">
        <v>279</v>
      </c>
      <c r="H15" s="12" t="s">
        <v>701</v>
      </c>
      <c r="I15" s="12">
        <v>333821</v>
      </c>
      <c r="J15" s="12">
        <v>131</v>
      </c>
      <c r="K15" s="12" t="s">
        <v>20</v>
      </c>
      <c r="L15" s="12">
        <v>1</v>
      </c>
      <c r="M15" s="17">
        <v>666667</v>
      </c>
      <c r="N15" s="17">
        <f t="shared" si="1"/>
        <v>666667</v>
      </c>
      <c r="O15" s="12" t="s">
        <v>21</v>
      </c>
      <c r="P15" s="12">
        <f t="shared" si="2"/>
        <v>6</v>
      </c>
    </row>
    <row r="16" spans="1:16" ht="15" customHeight="1" x14ac:dyDescent="0.2">
      <c r="A16" s="12" t="s">
        <v>18</v>
      </c>
      <c r="B16" s="36" t="s">
        <v>604</v>
      </c>
      <c r="C16" s="12">
        <f t="shared" si="0"/>
        <v>160</v>
      </c>
      <c r="D16" s="12">
        <v>1</v>
      </c>
      <c r="G16" s="14" t="s">
        <v>279</v>
      </c>
      <c r="H16" s="12" t="s">
        <v>697</v>
      </c>
      <c r="I16" s="12">
        <v>131</v>
      </c>
      <c r="J16" s="12">
        <v>5113</v>
      </c>
      <c r="K16" s="12" t="s">
        <v>20</v>
      </c>
      <c r="L16" s="12">
        <v>1</v>
      </c>
      <c r="M16" s="17">
        <v>24193548</v>
      </c>
      <c r="N16" s="17">
        <f t="shared" si="1"/>
        <v>24193548</v>
      </c>
      <c r="O16" s="12" t="s">
        <v>21</v>
      </c>
      <c r="P16" s="12">
        <f t="shared" si="2"/>
        <v>7</v>
      </c>
    </row>
    <row r="17" spans="1:16" ht="15" customHeight="1" x14ac:dyDescent="0.2">
      <c r="A17" s="12" t="s">
        <v>18</v>
      </c>
      <c r="B17" s="36" t="s">
        <v>604</v>
      </c>
      <c r="C17" s="12">
        <f t="shared" si="0"/>
        <v>160</v>
      </c>
      <c r="D17" s="12">
        <v>0</v>
      </c>
      <c r="G17" s="14" t="s">
        <v>279</v>
      </c>
      <c r="H17" s="12" t="s">
        <v>702</v>
      </c>
      <c r="I17" s="12">
        <v>333821</v>
      </c>
      <c r="J17" s="12">
        <v>131</v>
      </c>
      <c r="K17" s="12" t="s">
        <v>20</v>
      </c>
      <c r="L17" s="12">
        <v>1</v>
      </c>
      <c r="M17" s="17">
        <v>241935</v>
      </c>
      <c r="N17" s="17">
        <f t="shared" si="1"/>
        <v>241935</v>
      </c>
      <c r="O17" s="12" t="s">
        <v>21</v>
      </c>
      <c r="P17" s="12">
        <f t="shared" si="2"/>
        <v>7</v>
      </c>
    </row>
    <row r="18" spans="1:16" ht="15" customHeight="1" x14ac:dyDescent="0.2">
      <c r="A18" s="12" t="s">
        <v>18</v>
      </c>
      <c r="B18" s="36" t="s">
        <v>2504</v>
      </c>
      <c r="C18" s="12">
        <f t="shared" si="0"/>
        <v>161</v>
      </c>
      <c r="D18" s="12">
        <v>1</v>
      </c>
      <c r="G18" s="14" t="s">
        <v>2578</v>
      </c>
      <c r="H18" s="12" t="s">
        <v>2580</v>
      </c>
      <c r="I18" s="12">
        <v>131</v>
      </c>
      <c r="J18" s="12">
        <v>5113</v>
      </c>
      <c r="K18" s="12" t="s">
        <v>20</v>
      </c>
      <c r="L18" s="12">
        <v>1</v>
      </c>
      <c r="M18" s="17">
        <v>5376324</v>
      </c>
      <c r="N18" s="17">
        <f t="shared" si="1"/>
        <v>5376324</v>
      </c>
      <c r="O18" s="12" t="s">
        <v>21</v>
      </c>
      <c r="P18" s="12">
        <f t="shared" si="2"/>
        <v>8</v>
      </c>
    </row>
    <row r="19" spans="1:16" ht="15" customHeight="1" x14ac:dyDescent="0.2">
      <c r="A19" s="12" t="s">
        <v>18</v>
      </c>
      <c r="B19" s="36" t="s">
        <v>2504</v>
      </c>
      <c r="C19" s="12">
        <f t="shared" si="0"/>
        <v>161</v>
      </c>
      <c r="D19" s="12">
        <v>0</v>
      </c>
      <c r="G19" s="14" t="s">
        <v>2578</v>
      </c>
      <c r="H19" s="12" t="s">
        <v>2582</v>
      </c>
      <c r="I19" s="12">
        <v>333821</v>
      </c>
      <c r="J19" s="12">
        <v>131</v>
      </c>
      <c r="K19" s="12" t="s">
        <v>20</v>
      </c>
      <c r="L19" s="12">
        <v>1</v>
      </c>
      <c r="M19" s="17">
        <v>53763</v>
      </c>
      <c r="N19" s="17">
        <f t="shared" si="1"/>
        <v>53763</v>
      </c>
      <c r="O19" s="12" t="s">
        <v>21</v>
      </c>
      <c r="P19" s="12">
        <f t="shared" si="2"/>
        <v>8</v>
      </c>
    </row>
    <row r="20" spans="1:16" ht="15" customHeight="1" x14ac:dyDescent="0.2">
      <c r="A20" s="12" t="s">
        <v>18</v>
      </c>
      <c r="B20" s="36" t="s">
        <v>2504</v>
      </c>
      <c r="C20" s="12">
        <f t="shared" si="0"/>
        <v>162</v>
      </c>
      <c r="D20" s="12">
        <v>1</v>
      </c>
      <c r="G20" s="14" t="s">
        <v>2579</v>
      </c>
      <c r="H20" s="12" t="s">
        <v>2581</v>
      </c>
      <c r="I20" s="12">
        <v>131</v>
      </c>
      <c r="J20" s="12">
        <v>5113</v>
      </c>
      <c r="K20" s="12" t="s">
        <v>20</v>
      </c>
      <c r="L20" s="12">
        <v>1</v>
      </c>
      <c r="M20" s="17">
        <v>10752688</v>
      </c>
      <c r="N20" s="17">
        <f t="shared" si="1"/>
        <v>10752688</v>
      </c>
      <c r="O20" s="12" t="s">
        <v>21</v>
      </c>
      <c r="P20" s="12">
        <f t="shared" si="2"/>
        <v>9</v>
      </c>
    </row>
    <row r="21" spans="1:16" ht="15" customHeight="1" x14ac:dyDescent="0.2">
      <c r="A21" s="12" t="s">
        <v>18</v>
      </c>
      <c r="B21" s="36" t="s">
        <v>2504</v>
      </c>
      <c r="C21" s="12">
        <f t="shared" si="0"/>
        <v>162</v>
      </c>
      <c r="D21" s="12">
        <v>0</v>
      </c>
      <c r="G21" s="14" t="s">
        <v>2579</v>
      </c>
      <c r="H21" s="12" t="s">
        <v>2583</v>
      </c>
      <c r="I21" s="12">
        <v>333821</v>
      </c>
      <c r="J21" s="12">
        <v>131</v>
      </c>
      <c r="K21" s="12" t="s">
        <v>20</v>
      </c>
      <c r="L21" s="12">
        <v>1</v>
      </c>
      <c r="M21" s="17">
        <v>107527</v>
      </c>
      <c r="N21" s="17">
        <f t="shared" si="1"/>
        <v>107527</v>
      </c>
      <c r="O21" s="12" t="s">
        <v>21</v>
      </c>
      <c r="P21" s="12">
        <f t="shared" si="2"/>
        <v>9</v>
      </c>
    </row>
    <row r="22" spans="1:16" ht="15" customHeight="1" x14ac:dyDescent="0.2">
      <c r="A22" s="12" t="s">
        <v>18</v>
      </c>
      <c r="B22" s="36" t="s">
        <v>413</v>
      </c>
      <c r="C22" s="12">
        <f t="shared" si="0"/>
        <v>163</v>
      </c>
      <c r="D22" s="12">
        <v>1</v>
      </c>
      <c r="G22" s="14" t="s">
        <v>37</v>
      </c>
      <c r="H22" s="12" t="s">
        <v>706</v>
      </c>
      <c r="I22" s="12">
        <v>64277</v>
      </c>
      <c r="J22" s="12">
        <v>331</v>
      </c>
      <c r="K22" s="12" t="s">
        <v>20</v>
      </c>
      <c r="L22" s="12">
        <v>1</v>
      </c>
      <c r="M22" s="17">
        <v>2700000</v>
      </c>
      <c r="N22" s="17">
        <f t="shared" si="1"/>
        <v>2700000</v>
      </c>
      <c r="O22" s="12" t="s">
        <v>21</v>
      </c>
      <c r="P22" s="12">
        <f t="shared" si="2"/>
        <v>10</v>
      </c>
    </row>
    <row r="23" spans="1:16" ht="15" customHeight="1" x14ac:dyDescent="0.2">
      <c r="A23" s="12" t="s">
        <v>18</v>
      </c>
      <c r="B23" s="36" t="s">
        <v>652</v>
      </c>
      <c r="C23" s="12">
        <f t="shared" si="0"/>
        <v>164</v>
      </c>
      <c r="D23" s="12">
        <v>1</v>
      </c>
      <c r="G23" s="14" t="s">
        <v>703</v>
      </c>
      <c r="H23" s="12" t="s">
        <v>864</v>
      </c>
      <c r="I23" s="12">
        <v>64277</v>
      </c>
      <c r="J23" s="12">
        <v>331</v>
      </c>
      <c r="K23" s="12" t="s">
        <v>20</v>
      </c>
      <c r="L23" s="12">
        <v>1</v>
      </c>
      <c r="M23" s="17">
        <v>820800</v>
      </c>
      <c r="N23" s="17">
        <f t="shared" si="1"/>
        <v>820800</v>
      </c>
      <c r="O23" s="12" t="s">
        <v>21</v>
      </c>
      <c r="P23" s="12">
        <f t="shared" si="2"/>
        <v>11</v>
      </c>
    </row>
    <row r="24" spans="1:16" ht="15" customHeight="1" x14ac:dyDescent="0.2">
      <c r="A24" s="12" t="s">
        <v>18</v>
      </c>
      <c r="B24" s="36" t="s">
        <v>378</v>
      </c>
      <c r="C24" s="12">
        <f t="shared" si="0"/>
        <v>165</v>
      </c>
      <c r="D24" s="12">
        <v>1</v>
      </c>
      <c r="G24" s="14" t="s">
        <v>704</v>
      </c>
      <c r="H24" s="12" t="s">
        <v>865</v>
      </c>
      <c r="I24" s="12">
        <v>64277</v>
      </c>
      <c r="J24" s="12">
        <v>331</v>
      </c>
      <c r="K24" s="12" t="s">
        <v>20</v>
      </c>
      <c r="L24" s="12">
        <v>1</v>
      </c>
      <c r="M24" s="17">
        <v>1304640</v>
      </c>
      <c r="N24" s="17">
        <f t="shared" si="1"/>
        <v>1304640</v>
      </c>
      <c r="O24" s="12" t="s">
        <v>21</v>
      </c>
      <c r="P24" s="12">
        <f t="shared" si="2"/>
        <v>12</v>
      </c>
    </row>
    <row r="25" spans="1:16" ht="15" customHeight="1" x14ac:dyDescent="0.2">
      <c r="A25" s="12" t="s">
        <v>18</v>
      </c>
      <c r="B25" s="36" t="s">
        <v>318</v>
      </c>
      <c r="C25" s="12">
        <f t="shared" si="0"/>
        <v>166</v>
      </c>
      <c r="D25" s="12">
        <v>1</v>
      </c>
      <c r="G25" s="14" t="s">
        <v>44</v>
      </c>
      <c r="H25" s="12" t="s">
        <v>710</v>
      </c>
      <c r="I25" s="12">
        <v>64277</v>
      </c>
      <c r="J25" s="12">
        <v>331</v>
      </c>
      <c r="K25" s="12" t="s">
        <v>20</v>
      </c>
      <c r="L25" s="12">
        <v>1</v>
      </c>
      <c r="M25" s="17">
        <v>2013000</v>
      </c>
      <c r="N25" s="17">
        <f t="shared" si="1"/>
        <v>2013000</v>
      </c>
      <c r="O25" s="12" t="s">
        <v>21</v>
      </c>
      <c r="P25" s="12">
        <f t="shared" si="2"/>
        <v>13</v>
      </c>
    </row>
    <row r="26" spans="1:16" ht="15" customHeight="1" x14ac:dyDescent="0.2">
      <c r="A26" s="12" t="s">
        <v>18</v>
      </c>
      <c r="B26" s="36" t="s">
        <v>522</v>
      </c>
      <c r="C26" s="12">
        <f t="shared" si="0"/>
        <v>167</v>
      </c>
      <c r="D26" s="12">
        <v>1</v>
      </c>
      <c r="G26" s="14" t="s">
        <v>37</v>
      </c>
      <c r="H26" s="12" t="s">
        <v>707</v>
      </c>
      <c r="I26" s="12">
        <v>64277</v>
      </c>
      <c r="J26" s="12">
        <v>331</v>
      </c>
      <c r="K26" s="12" t="s">
        <v>20</v>
      </c>
      <c r="L26" s="12">
        <v>1</v>
      </c>
      <c r="M26" s="17">
        <v>5400000</v>
      </c>
      <c r="N26" s="17">
        <f t="shared" si="1"/>
        <v>5400000</v>
      </c>
      <c r="O26" s="12" t="s">
        <v>21</v>
      </c>
      <c r="P26" s="12">
        <f t="shared" si="2"/>
        <v>14</v>
      </c>
    </row>
    <row r="27" spans="1:16" ht="15" customHeight="1" x14ac:dyDescent="0.2">
      <c r="A27" s="12" t="s">
        <v>18</v>
      </c>
      <c r="B27" s="36" t="s">
        <v>588</v>
      </c>
      <c r="C27" s="12">
        <f t="shared" si="0"/>
        <v>168</v>
      </c>
      <c r="D27" s="12">
        <v>1</v>
      </c>
      <c r="G27" s="14" t="s">
        <v>705</v>
      </c>
      <c r="H27" s="12" t="s">
        <v>711</v>
      </c>
      <c r="I27" s="12">
        <v>64277</v>
      </c>
      <c r="J27" s="12">
        <v>331</v>
      </c>
      <c r="K27" s="12" t="s">
        <v>20</v>
      </c>
      <c r="L27" s="12">
        <v>1</v>
      </c>
      <c r="M27" s="17">
        <v>1349400</v>
      </c>
      <c r="N27" s="17">
        <f t="shared" si="1"/>
        <v>1349400</v>
      </c>
      <c r="O27" s="12" t="s">
        <v>21</v>
      </c>
      <c r="P27" s="12">
        <f t="shared" si="2"/>
        <v>15</v>
      </c>
    </row>
    <row r="28" spans="1:16" ht="15" customHeight="1" x14ac:dyDescent="0.2">
      <c r="A28" s="12" t="s">
        <v>18</v>
      </c>
      <c r="B28" s="36" t="s">
        <v>588</v>
      </c>
      <c r="C28" s="12">
        <f t="shared" si="0"/>
        <v>169</v>
      </c>
      <c r="D28" s="12">
        <v>1</v>
      </c>
      <c r="G28" s="14" t="s">
        <v>705</v>
      </c>
      <c r="H28" s="12" t="s">
        <v>712</v>
      </c>
      <c r="I28" s="12">
        <v>64277</v>
      </c>
      <c r="J28" s="12">
        <v>331</v>
      </c>
      <c r="K28" s="12" t="s">
        <v>20</v>
      </c>
      <c r="L28" s="12">
        <v>1</v>
      </c>
      <c r="M28" s="17">
        <v>37171</v>
      </c>
      <c r="N28" s="17">
        <f t="shared" si="1"/>
        <v>37171</v>
      </c>
      <c r="O28" s="12" t="s">
        <v>21</v>
      </c>
      <c r="P28" s="12">
        <f t="shared" si="2"/>
        <v>16</v>
      </c>
    </row>
    <row r="29" spans="1:16" ht="15" customHeight="1" x14ac:dyDescent="0.2">
      <c r="A29" s="12" t="s">
        <v>18</v>
      </c>
      <c r="B29" s="36" t="s">
        <v>524</v>
      </c>
      <c r="C29" s="12">
        <f t="shared" si="0"/>
        <v>170</v>
      </c>
      <c r="D29" s="12">
        <v>1</v>
      </c>
      <c r="G29" s="14" t="s">
        <v>64</v>
      </c>
      <c r="H29" s="12" t="s">
        <v>708</v>
      </c>
      <c r="I29" s="12">
        <v>64277</v>
      </c>
      <c r="J29" s="12">
        <v>331</v>
      </c>
      <c r="K29" s="12" t="s">
        <v>20</v>
      </c>
      <c r="L29" s="12">
        <v>1</v>
      </c>
      <c r="M29" s="17">
        <v>99000</v>
      </c>
      <c r="N29" s="17">
        <f t="shared" si="1"/>
        <v>99000</v>
      </c>
      <c r="O29" s="12" t="s">
        <v>21</v>
      </c>
      <c r="P29" s="12">
        <f t="shared" si="2"/>
        <v>17</v>
      </c>
    </row>
    <row r="30" spans="1:16" ht="15" customHeight="1" x14ac:dyDescent="0.2">
      <c r="A30" s="12" t="s">
        <v>18</v>
      </c>
      <c r="B30" s="36" t="s">
        <v>589</v>
      </c>
      <c r="C30" s="12">
        <f t="shared" si="0"/>
        <v>171</v>
      </c>
      <c r="D30" s="12">
        <v>1</v>
      </c>
      <c r="G30" s="14" t="s">
        <v>37</v>
      </c>
      <c r="H30" s="12" t="s">
        <v>709</v>
      </c>
      <c r="I30" s="12">
        <v>64277</v>
      </c>
      <c r="J30" s="12">
        <v>331</v>
      </c>
      <c r="K30" s="12" t="s">
        <v>20</v>
      </c>
      <c r="L30" s="12">
        <v>1</v>
      </c>
      <c r="M30" s="17">
        <v>2700000</v>
      </c>
      <c r="N30" s="17">
        <f t="shared" si="1"/>
        <v>2700000</v>
      </c>
      <c r="O30" s="12" t="s">
        <v>21</v>
      </c>
      <c r="P30" s="12">
        <f t="shared" si="2"/>
        <v>18</v>
      </c>
    </row>
    <row r="31" spans="1:16" ht="15" customHeight="1" x14ac:dyDescent="0.2">
      <c r="A31" s="12" t="s">
        <v>18</v>
      </c>
      <c r="B31" s="36">
        <v>45961</v>
      </c>
      <c r="C31" s="12">
        <f t="shared" si="0"/>
        <v>172</v>
      </c>
      <c r="D31" s="12">
        <v>1</v>
      </c>
      <c r="G31" s="14" t="s">
        <v>93</v>
      </c>
      <c r="H31" s="12" t="s">
        <v>371</v>
      </c>
      <c r="I31" s="12">
        <v>64271</v>
      </c>
      <c r="J31" s="12">
        <v>3383</v>
      </c>
      <c r="K31" s="12" t="s">
        <v>20</v>
      </c>
      <c r="L31" s="12">
        <v>1</v>
      </c>
      <c r="M31" s="17">
        <v>690300</v>
      </c>
      <c r="N31" s="17">
        <f t="shared" si="1"/>
        <v>690300</v>
      </c>
      <c r="O31" s="12" t="s">
        <v>21</v>
      </c>
      <c r="P31" s="12">
        <f t="shared" si="2"/>
        <v>19</v>
      </c>
    </row>
    <row r="32" spans="1:16" ht="15" customHeight="1" x14ac:dyDescent="0.2">
      <c r="A32" s="12" t="s">
        <v>18</v>
      </c>
      <c r="B32" s="36">
        <v>45991</v>
      </c>
      <c r="C32" s="12">
        <f t="shared" si="0"/>
        <v>173</v>
      </c>
      <c r="D32" s="12">
        <v>1</v>
      </c>
      <c r="G32" s="14" t="s">
        <v>93</v>
      </c>
      <c r="H32" s="12" t="s">
        <v>372</v>
      </c>
      <c r="I32" s="12">
        <v>64271</v>
      </c>
      <c r="J32" s="12">
        <v>3383</v>
      </c>
      <c r="K32" s="12" t="s">
        <v>20</v>
      </c>
      <c r="L32" s="12">
        <v>1</v>
      </c>
      <c r="M32" s="17">
        <v>690300</v>
      </c>
      <c r="N32" s="17">
        <f t="shared" si="1"/>
        <v>690300</v>
      </c>
      <c r="O32" s="12" t="s">
        <v>21</v>
      </c>
      <c r="P32" s="12">
        <f t="shared" si="2"/>
        <v>20</v>
      </c>
    </row>
    <row r="33" spans="1:16" ht="15" customHeight="1" x14ac:dyDescent="0.2">
      <c r="A33" s="12" t="s">
        <v>18</v>
      </c>
      <c r="B33" s="36">
        <v>46022</v>
      </c>
      <c r="C33" s="12">
        <f t="shared" si="0"/>
        <v>174</v>
      </c>
      <c r="D33" s="12">
        <v>1</v>
      </c>
      <c r="G33" s="14" t="s">
        <v>93</v>
      </c>
      <c r="H33" s="12" t="s">
        <v>373</v>
      </c>
      <c r="I33" s="12">
        <v>64271</v>
      </c>
      <c r="J33" s="12">
        <v>3383</v>
      </c>
      <c r="K33" s="12" t="s">
        <v>20</v>
      </c>
      <c r="L33" s="12">
        <v>1</v>
      </c>
      <c r="M33" s="17">
        <v>690300</v>
      </c>
      <c r="N33" s="17">
        <f t="shared" si="1"/>
        <v>690300</v>
      </c>
      <c r="O33" s="12" t="s">
        <v>21</v>
      </c>
      <c r="P33" s="12">
        <f t="shared" si="2"/>
        <v>21</v>
      </c>
    </row>
    <row r="34" spans="1:16" ht="15" customHeight="1" x14ac:dyDescent="0.2">
      <c r="A34" s="12" t="s">
        <v>2678</v>
      </c>
      <c r="B34" s="36">
        <v>45934</v>
      </c>
      <c r="C34" s="12">
        <f t="shared" ref="C34:C49" si="3">C33+D34</f>
        <v>175</v>
      </c>
      <c r="D34" s="12">
        <v>1</v>
      </c>
      <c r="G34" s="14" t="s">
        <v>204</v>
      </c>
      <c r="H34" s="12" t="s">
        <v>3017</v>
      </c>
      <c r="I34" s="12">
        <v>1111</v>
      </c>
      <c r="J34" s="12">
        <v>112111</v>
      </c>
      <c r="K34" s="12" t="s">
        <v>20</v>
      </c>
      <c r="L34" s="12">
        <v>1</v>
      </c>
      <c r="M34" s="17">
        <v>13000000</v>
      </c>
      <c r="N34" s="17">
        <f t="shared" si="1"/>
        <v>13000000</v>
      </c>
      <c r="O34" s="12" t="s">
        <v>21</v>
      </c>
      <c r="P34" s="12">
        <f t="shared" si="2"/>
        <v>22</v>
      </c>
    </row>
    <row r="35" spans="1:16" ht="15" customHeight="1" x14ac:dyDescent="0.2">
      <c r="A35" s="12" t="s">
        <v>18</v>
      </c>
      <c r="B35" s="36">
        <v>45934</v>
      </c>
      <c r="C35" s="12">
        <f t="shared" ref="C35:C36" si="4">C34+D35</f>
        <v>176</v>
      </c>
      <c r="D35" s="12">
        <v>1</v>
      </c>
      <c r="G35" s="32" t="s">
        <v>43</v>
      </c>
      <c r="H35" s="20" t="s">
        <v>3161</v>
      </c>
      <c r="I35" s="12">
        <v>131</v>
      </c>
      <c r="J35" s="12">
        <v>5118</v>
      </c>
      <c r="K35" s="12" t="s">
        <v>20</v>
      </c>
      <c r="L35" s="12">
        <v>1</v>
      </c>
      <c r="M35" s="17">
        <v>4941423</v>
      </c>
      <c r="N35" s="17">
        <f t="shared" si="1"/>
        <v>4941423</v>
      </c>
      <c r="O35" s="12" t="s">
        <v>21</v>
      </c>
      <c r="P35" s="12">
        <f t="shared" ref="P35:P36" si="5">P34+D35</f>
        <v>23</v>
      </c>
    </row>
    <row r="36" spans="1:16" ht="15" customHeight="1" x14ac:dyDescent="0.2">
      <c r="A36" s="12" t="s">
        <v>2679</v>
      </c>
      <c r="B36" s="36">
        <v>45934</v>
      </c>
      <c r="C36" s="12">
        <f t="shared" si="4"/>
        <v>177</v>
      </c>
      <c r="D36" s="12">
        <v>1</v>
      </c>
      <c r="G36" s="32" t="s">
        <v>43</v>
      </c>
      <c r="H36" s="20" t="s">
        <v>3162</v>
      </c>
      <c r="I36" s="12">
        <v>112111</v>
      </c>
      <c r="J36" s="12">
        <v>131</v>
      </c>
      <c r="K36" s="12" t="s">
        <v>20</v>
      </c>
      <c r="L36" s="12">
        <v>1</v>
      </c>
      <c r="M36" s="17">
        <v>4941423</v>
      </c>
      <c r="N36" s="17">
        <f t="shared" si="1"/>
        <v>4941423</v>
      </c>
      <c r="O36" s="12" t="s">
        <v>21</v>
      </c>
      <c r="P36" s="12">
        <f t="shared" si="5"/>
        <v>24</v>
      </c>
    </row>
    <row r="37" spans="1:16" ht="15" customHeight="1" x14ac:dyDescent="0.2">
      <c r="A37" s="12" t="s">
        <v>2678</v>
      </c>
      <c r="B37" s="36">
        <v>45940</v>
      </c>
      <c r="C37" s="12">
        <f t="shared" si="3"/>
        <v>178</v>
      </c>
      <c r="D37" s="12">
        <v>1</v>
      </c>
      <c r="G37" s="32" t="s">
        <v>45</v>
      </c>
      <c r="H37" s="12" t="s">
        <v>4455</v>
      </c>
      <c r="I37" s="12">
        <v>6428</v>
      </c>
      <c r="J37" s="12">
        <v>112111</v>
      </c>
      <c r="K37" s="12" t="s">
        <v>20</v>
      </c>
      <c r="L37" s="12">
        <v>1</v>
      </c>
      <c r="M37" s="17">
        <v>700000</v>
      </c>
      <c r="N37" s="17">
        <f t="shared" si="1"/>
        <v>700000</v>
      </c>
      <c r="O37" s="12" t="s">
        <v>21</v>
      </c>
      <c r="P37" s="12">
        <f t="shared" si="2"/>
        <v>25</v>
      </c>
    </row>
    <row r="38" spans="1:16" ht="15" customHeight="1" x14ac:dyDescent="0.2">
      <c r="A38" s="12" t="s">
        <v>2679</v>
      </c>
      <c r="B38" s="36">
        <v>45944</v>
      </c>
      <c r="C38" s="12">
        <f t="shared" si="3"/>
        <v>179</v>
      </c>
      <c r="D38" s="12">
        <v>1</v>
      </c>
      <c r="G38" s="14" t="s">
        <v>68</v>
      </c>
      <c r="H38" s="12" t="s">
        <v>4448</v>
      </c>
      <c r="I38" s="12">
        <v>112111</v>
      </c>
      <c r="J38" s="12">
        <v>131</v>
      </c>
      <c r="K38" s="12" t="s">
        <v>20</v>
      </c>
      <c r="L38" s="12">
        <v>1</v>
      </c>
      <c r="M38" s="17">
        <v>3193548</v>
      </c>
      <c r="N38" s="17">
        <f t="shared" si="1"/>
        <v>3193548</v>
      </c>
      <c r="O38" s="12" t="s">
        <v>21</v>
      </c>
      <c r="P38" s="12">
        <f t="shared" si="2"/>
        <v>26</v>
      </c>
    </row>
    <row r="39" spans="1:16" ht="15" customHeight="1" x14ac:dyDescent="0.2">
      <c r="A39" s="12" t="s">
        <v>2678</v>
      </c>
      <c r="B39" s="36" t="s">
        <v>868</v>
      </c>
      <c r="C39" s="12">
        <f t="shared" si="3"/>
        <v>180</v>
      </c>
      <c r="D39" s="12">
        <v>1</v>
      </c>
      <c r="G39" s="14" t="s">
        <v>204</v>
      </c>
      <c r="H39" s="12" t="s">
        <v>3017</v>
      </c>
      <c r="I39" s="12">
        <v>1111</v>
      </c>
      <c r="J39" s="12">
        <v>112111</v>
      </c>
      <c r="K39" s="12" t="s">
        <v>20</v>
      </c>
      <c r="L39" s="12">
        <v>1</v>
      </c>
      <c r="M39" s="17">
        <v>7000000</v>
      </c>
      <c r="N39" s="17">
        <f t="shared" si="1"/>
        <v>7000000</v>
      </c>
      <c r="O39" s="12" t="s">
        <v>21</v>
      </c>
      <c r="P39" s="12">
        <f t="shared" si="2"/>
        <v>27</v>
      </c>
    </row>
    <row r="40" spans="1:16" ht="15" customHeight="1" x14ac:dyDescent="0.2">
      <c r="A40" s="12" t="s">
        <v>2679</v>
      </c>
      <c r="B40" s="36" t="s">
        <v>511</v>
      </c>
      <c r="C40" s="12">
        <f t="shared" ref="C40:C41" si="6">C39+D40</f>
        <v>181</v>
      </c>
      <c r="D40" s="12">
        <v>1</v>
      </c>
      <c r="G40" s="14" t="s">
        <v>279</v>
      </c>
      <c r="H40" s="12" t="s">
        <v>4449</v>
      </c>
      <c r="I40" s="12">
        <v>112111</v>
      </c>
      <c r="J40" s="12">
        <v>131</v>
      </c>
      <c r="K40" s="12" t="s">
        <v>20</v>
      </c>
      <c r="L40" s="12">
        <v>1</v>
      </c>
      <c r="M40" s="17">
        <v>55000000</v>
      </c>
      <c r="N40" s="17">
        <f t="shared" si="1"/>
        <v>55000000</v>
      </c>
      <c r="O40" s="12" t="s">
        <v>21</v>
      </c>
      <c r="P40" s="12">
        <f t="shared" si="2"/>
        <v>28</v>
      </c>
    </row>
    <row r="41" spans="1:16" ht="15" customHeight="1" x14ac:dyDescent="0.2">
      <c r="A41" s="12" t="s">
        <v>2678</v>
      </c>
      <c r="B41" s="36">
        <v>45950</v>
      </c>
      <c r="C41" s="12">
        <f t="shared" si="6"/>
        <v>182</v>
      </c>
      <c r="D41" s="12">
        <v>1</v>
      </c>
      <c r="G41" s="14" t="s">
        <v>204</v>
      </c>
      <c r="H41" s="12" t="s">
        <v>3017</v>
      </c>
      <c r="I41" s="12">
        <v>1111</v>
      </c>
      <c r="J41" s="12">
        <v>112111</v>
      </c>
      <c r="K41" s="12" t="s">
        <v>20</v>
      </c>
      <c r="L41" s="12">
        <v>1</v>
      </c>
      <c r="M41" s="17">
        <v>15000000</v>
      </c>
      <c r="N41" s="17">
        <f t="shared" si="1"/>
        <v>15000000</v>
      </c>
      <c r="O41" s="12" t="s">
        <v>21</v>
      </c>
      <c r="P41" s="12">
        <f t="shared" si="2"/>
        <v>29</v>
      </c>
    </row>
    <row r="42" spans="1:16" ht="15" customHeight="1" x14ac:dyDescent="0.2">
      <c r="A42" s="12" t="s">
        <v>2678</v>
      </c>
      <c r="B42" s="36">
        <v>45951</v>
      </c>
      <c r="C42" s="12">
        <f t="shared" si="3"/>
        <v>183</v>
      </c>
      <c r="D42" s="12">
        <v>1</v>
      </c>
      <c r="G42" s="14" t="s">
        <v>204</v>
      </c>
      <c r="H42" s="12" t="s">
        <v>3017</v>
      </c>
      <c r="I42" s="12">
        <v>1111</v>
      </c>
      <c r="J42" s="12">
        <v>112111</v>
      </c>
      <c r="K42" s="12" t="s">
        <v>20</v>
      </c>
      <c r="L42" s="12">
        <v>1</v>
      </c>
      <c r="M42" s="17">
        <v>20000000</v>
      </c>
      <c r="N42" s="17">
        <f t="shared" si="1"/>
        <v>20000000</v>
      </c>
      <c r="O42" s="12" t="s">
        <v>21</v>
      </c>
      <c r="P42" s="12">
        <f t="shared" si="2"/>
        <v>30</v>
      </c>
    </row>
    <row r="43" spans="1:16" ht="15" customHeight="1" x14ac:dyDescent="0.2">
      <c r="A43" s="12" t="s">
        <v>2678</v>
      </c>
      <c r="B43" s="36">
        <v>45951</v>
      </c>
      <c r="C43" s="12">
        <f t="shared" si="3"/>
        <v>184</v>
      </c>
      <c r="D43" s="12">
        <v>1</v>
      </c>
      <c r="G43" s="14" t="s">
        <v>204</v>
      </c>
      <c r="H43" s="12" t="s">
        <v>3017</v>
      </c>
      <c r="I43" s="12">
        <v>1111</v>
      </c>
      <c r="J43" s="12">
        <v>112111</v>
      </c>
      <c r="K43" s="12" t="s">
        <v>20</v>
      </c>
      <c r="L43" s="12">
        <v>1</v>
      </c>
      <c r="M43" s="17">
        <v>5000000</v>
      </c>
      <c r="N43" s="17">
        <f t="shared" si="1"/>
        <v>5000000</v>
      </c>
      <c r="O43" s="12" t="s">
        <v>21</v>
      </c>
      <c r="P43" s="12">
        <f t="shared" si="2"/>
        <v>31</v>
      </c>
    </row>
    <row r="44" spans="1:16" ht="15" customHeight="1" x14ac:dyDescent="0.2">
      <c r="A44" s="12" t="s">
        <v>2678</v>
      </c>
      <c r="B44" s="36" t="s">
        <v>414</v>
      </c>
      <c r="C44" s="12">
        <f t="shared" si="3"/>
        <v>185</v>
      </c>
      <c r="D44" s="12">
        <v>1</v>
      </c>
      <c r="G44" s="14" t="s">
        <v>204</v>
      </c>
      <c r="H44" s="12" t="s">
        <v>3017</v>
      </c>
      <c r="I44" s="12">
        <v>1111</v>
      </c>
      <c r="J44" s="12">
        <v>112111</v>
      </c>
      <c r="K44" s="12" t="s">
        <v>20</v>
      </c>
      <c r="L44" s="12">
        <v>1</v>
      </c>
      <c r="M44" s="17">
        <v>5000000</v>
      </c>
      <c r="N44" s="17">
        <f t="shared" si="1"/>
        <v>5000000</v>
      </c>
      <c r="O44" s="12" t="s">
        <v>21</v>
      </c>
      <c r="P44" s="12">
        <f t="shared" si="2"/>
        <v>32</v>
      </c>
    </row>
    <row r="45" spans="1:16" ht="15" customHeight="1" x14ac:dyDescent="0.2">
      <c r="A45" s="12" t="s">
        <v>2679</v>
      </c>
      <c r="B45" s="36" t="s">
        <v>448</v>
      </c>
      <c r="C45" s="12">
        <f t="shared" si="3"/>
        <v>186</v>
      </c>
      <c r="D45" s="12">
        <v>1</v>
      </c>
      <c r="G45" s="14" t="s">
        <v>3163</v>
      </c>
      <c r="H45" s="12" t="s">
        <v>2687</v>
      </c>
      <c r="I45" s="12">
        <v>112111</v>
      </c>
      <c r="J45" s="12">
        <v>5154</v>
      </c>
      <c r="K45" s="12" t="s">
        <v>20</v>
      </c>
      <c r="L45" s="12">
        <v>1</v>
      </c>
      <c r="M45" s="17">
        <v>888</v>
      </c>
      <c r="N45" s="17">
        <f t="shared" si="1"/>
        <v>888</v>
      </c>
      <c r="O45" s="12" t="s">
        <v>21</v>
      </c>
      <c r="P45" s="12">
        <f t="shared" si="2"/>
        <v>33</v>
      </c>
    </row>
    <row r="46" spans="1:16" ht="15" customHeight="1" x14ac:dyDescent="0.2">
      <c r="A46" s="12" t="s">
        <v>2678</v>
      </c>
      <c r="B46" s="36" t="s">
        <v>314</v>
      </c>
      <c r="C46" s="12">
        <f t="shared" si="3"/>
        <v>187</v>
      </c>
      <c r="D46" s="12">
        <v>1</v>
      </c>
      <c r="G46" s="32" t="s">
        <v>45</v>
      </c>
      <c r="H46" s="12" t="s">
        <v>4455</v>
      </c>
      <c r="I46" s="12">
        <v>6428</v>
      </c>
      <c r="J46" s="12">
        <v>112111</v>
      </c>
      <c r="K46" s="12" t="s">
        <v>20</v>
      </c>
      <c r="L46" s="12">
        <v>1</v>
      </c>
      <c r="M46" s="17">
        <v>49000</v>
      </c>
      <c r="N46" s="17">
        <f t="shared" si="1"/>
        <v>49000</v>
      </c>
      <c r="O46" s="12" t="s">
        <v>21</v>
      </c>
      <c r="P46" s="12">
        <f t="shared" si="2"/>
        <v>34</v>
      </c>
    </row>
    <row r="47" spans="1:16" ht="15" customHeight="1" x14ac:dyDescent="0.2">
      <c r="A47" s="12" t="s">
        <v>2679</v>
      </c>
      <c r="B47" s="36" t="s">
        <v>315</v>
      </c>
      <c r="C47" s="12">
        <f t="shared" si="3"/>
        <v>188</v>
      </c>
      <c r="D47" s="12">
        <v>1</v>
      </c>
      <c r="G47" s="14" t="s">
        <v>4443</v>
      </c>
      <c r="H47" s="12" t="s">
        <v>4450</v>
      </c>
      <c r="I47" s="12">
        <v>112111</v>
      </c>
      <c r="J47" s="12">
        <v>131</v>
      </c>
      <c r="K47" s="12" t="s">
        <v>20</v>
      </c>
      <c r="L47" s="12">
        <v>1</v>
      </c>
      <c r="M47" s="17">
        <v>10645161</v>
      </c>
      <c r="N47" s="17">
        <f t="shared" si="1"/>
        <v>10645161</v>
      </c>
      <c r="O47" s="12" t="s">
        <v>21</v>
      </c>
      <c r="P47" s="12">
        <f t="shared" si="2"/>
        <v>35</v>
      </c>
    </row>
    <row r="48" spans="1:16" ht="15" customHeight="1" x14ac:dyDescent="0.2">
      <c r="A48" s="12" t="s">
        <v>2678</v>
      </c>
      <c r="B48" s="36" t="s">
        <v>600</v>
      </c>
      <c r="C48" s="12">
        <f t="shared" si="3"/>
        <v>189</v>
      </c>
      <c r="D48" s="12">
        <v>1</v>
      </c>
      <c r="G48" s="14" t="s">
        <v>204</v>
      </c>
      <c r="H48" s="12" t="s">
        <v>3017</v>
      </c>
      <c r="I48" s="12">
        <v>1111</v>
      </c>
      <c r="J48" s="12">
        <v>112111</v>
      </c>
      <c r="K48" s="12" t="s">
        <v>20</v>
      </c>
      <c r="L48" s="12">
        <v>1</v>
      </c>
      <c r="M48" s="17">
        <v>15000000</v>
      </c>
      <c r="N48" s="17">
        <f t="shared" si="1"/>
        <v>15000000</v>
      </c>
      <c r="O48" s="12" t="s">
        <v>21</v>
      </c>
      <c r="P48" s="12">
        <f t="shared" si="2"/>
        <v>36</v>
      </c>
    </row>
    <row r="49" spans="1:16" ht="15" customHeight="1" x14ac:dyDescent="0.2">
      <c r="A49" s="12" t="s">
        <v>2679</v>
      </c>
      <c r="B49" s="36" t="s">
        <v>416</v>
      </c>
      <c r="C49" s="12">
        <f t="shared" si="3"/>
        <v>190</v>
      </c>
      <c r="D49" s="12">
        <v>1</v>
      </c>
      <c r="G49" s="14" t="s">
        <v>204</v>
      </c>
      <c r="H49" s="12" t="s">
        <v>4456</v>
      </c>
      <c r="I49" s="12">
        <v>112111</v>
      </c>
      <c r="J49" s="12">
        <v>1111</v>
      </c>
      <c r="K49" s="12" t="s">
        <v>20</v>
      </c>
      <c r="L49" s="12">
        <v>1</v>
      </c>
      <c r="M49" s="17">
        <v>8000000</v>
      </c>
      <c r="N49" s="17">
        <f t="shared" si="1"/>
        <v>8000000</v>
      </c>
      <c r="O49" s="12" t="s">
        <v>21</v>
      </c>
      <c r="P49" s="12">
        <f t="shared" si="2"/>
        <v>37</v>
      </c>
    </row>
    <row r="50" spans="1:16" ht="15" customHeight="1" x14ac:dyDescent="0.2">
      <c r="A50" s="12" t="s">
        <v>2678</v>
      </c>
      <c r="B50" s="36" t="s">
        <v>451</v>
      </c>
      <c r="C50" s="12">
        <f t="shared" ref="C50:C78" si="7">C49+D50</f>
        <v>191</v>
      </c>
      <c r="D50" s="12">
        <v>1</v>
      </c>
      <c r="G50" s="14" t="s">
        <v>204</v>
      </c>
      <c r="H50" s="12" t="s">
        <v>3017</v>
      </c>
      <c r="I50" s="12">
        <v>1111</v>
      </c>
      <c r="J50" s="12">
        <v>112111</v>
      </c>
      <c r="K50" s="12" t="s">
        <v>20</v>
      </c>
      <c r="L50" s="12">
        <v>1</v>
      </c>
      <c r="M50" s="17">
        <v>10000000</v>
      </c>
      <c r="N50" s="17">
        <f t="shared" si="1"/>
        <v>10000000</v>
      </c>
      <c r="O50" s="12" t="s">
        <v>21</v>
      </c>
      <c r="P50" s="12">
        <f t="shared" si="2"/>
        <v>38</v>
      </c>
    </row>
    <row r="51" spans="1:16" ht="15" customHeight="1" x14ac:dyDescent="0.2">
      <c r="A51" s="12" t="s">
        <v>2679</v>
      </c>
      <c r="B51" s="36" t="s">
        <v>601</v>
      </c>
      <c r="C51" s="12">
        <f t="shared" si="7"/>
        <v>192</v>
      </c>
      <c r="D51" s="12">
        <v>1</v>
      </c>
      <c r="G51" s="14" t="s">
        <v>279</v>
      </c>
      <c r="H51" s="12" t="s">
        <v>4451</v>
      </c>
      <c r="I51" s="12">
        <v>112111</v>
      </c>
      <c r="J51" s="12">
        <v>131</v>
      </c>
      <c r="K51" s="12" t="s">
        <v>20</v>
      </c>
      <c r="L51" s="12">
        <v>1</v>
      </c>
      <c r="M51" s="17">
        <v>82677419</v>
      </c>
      <c r="N51" s="17">
        <f t="shared" si="1"/>
        <v>82677419</v>
      </c>
      <c r="O51" s="12" t="s">
        <v>21</v>
      </c>
      <c r="P51" s="12">
        <f t="shared" si="2"/>
        <v>39</v>
      </c>
    </row>
    <row r="52" spans="1:16" ht="15" customHeight="1" x14ac:dyDescent="0.2">
      <c r="A52" s="12" t="s">
        <v>2678</v>
      </c>
      <c r="B52" s="36" t="s">
        <v>319</v>
      </c>
      <c r="C52" s="12">
        <f t="shared" si="7"/>
        <v>193</v>
      </c>
      <c r="D52" s="12">
        <v>1</v>
      </c>
      <c r="G52" s="14" t="s">
        <v>204</v>
      </c>
      <c r="H52" s="12" t="s">
        <v>3017</v>
      </c>
      <c r="I52" s="12">
        <v>1111</v>
      </c>
      <c r="J52" s="12">
        <v>112111</v>
      </c>
      <c r="K52" s="12" t="s">
        <v>20</v>
      </c>
      <c r="L52" s="12">
        <v>1</v>
      </c>
      <c r="M52" s="17">
        <v>20000000</v>
      </c>
      <c r="N52" s="17">
        <f t="shared" si="1"/>
        <v>20000000</v>
      </c>
      <c r="O52" s="12" t="s">
        <v>21</v>
      </c>
      <c r="P52" s="12">
        <f t="shared" si="2"/>
        <v>40</v>
      </c>
    </row>
    <row r="53" spans="1:16" ht="15" customHeight="1" x14ac:dyDescent="0.2">
      <c r="A53" s="12" t="s">
        <v>2678</v>
      </c>
      <c r="B53" s="36" t="s">
        <v>319</v>
      </c>
      <c r="C53" s="12">
        <f t="shared" si="7"/>
        <v>194</v>
      </c>
      <c r="D53" s="12">
        <v>1</v>
      </c>
      <c r="G53" s="14" t="s">
        <v>2717</v>
      </c>
      <c r="H53" s="12" t="s">
        <v>4452</v>
      </c>
      <c r="I53" s="12">
        <v>333821</v>
      </c>
      <c r="J53" s="12">
        <v>112111</v>
      </c>
      <c r="K53" s="12" t="s">
        <v>20</v>
      </c>
      <c r="L53" s="12">
        <v>1</v>
      </c>
      <c r="M53" s="17">
        <v>15394147</v>
      </c>
      <c r="N53" s="17">
        <f t="shared" si="1"/>
        <v>15394147</v>
      </c>
      <c r="O53" s="12" t="s">
        <v>21</v>
      </c>
      <c r="P53" s="12">
        <f t="shared" si="2"/>
        <v>41</v>
      </c>
    </row>
    <row r="54" spans="1:16" ht="15" customHeight="1" x14ac:dyDescent="0.2">
      <c r="A54" s="12" t="s">
        <v>2678</v>
      </c>
      <c r="B54" s="36" t="s">
        <v>522</v>
      </c>
      <c r="C54" s="12">
        <f t="shared" si="7"/>
        <v>195</v>
      </c>
      <c r="D54" s="12">
        <v>1</v>
      </c>
      <c r="G54" s="14" t="s">
        <v>204</v>
      </c>
      <c r="H54" s="12" t="s">
        <v>3017</v>
      </c>
      <c r="I54" s="12">
        <v>1111</v>
      </c>
      <c r="J54" s="12">
        <v>112111</v>
      </c>
      <c r="K54" s="12" t="s">
        <v>20</v>
      </c>
      <c r="L54" s="12">
        <v>1</v>
      </c>
      <c r="M54" s="17">
        <v>5000000</v>
      </c>
      <c r="N54" s="17">
        <f t="shared" si="1"/>
        <v>5000000</v>
      </c>
      <c r="O54" s="12" t="s">
        <v>21</v>
      </c>
      <c r="P54" s="12">
        <f t="shared" si="2"/>
        <v>42</v>
      </c>
    </row>
    <row r="55" spans="1:16" ht="15" customHeight="1" x14ac:dyDescent="0.2">
      <c r="A55" s="12" t="s">
        <v>2678</v>
      </c>
      <c r="B55" s="36" t="s">
        <v>452</v>
      </c>
      <c r="C55" s="12">
        <f t="shared" si="7"/>
        <v>196</v>
      </c>
      <c r="D55" s="12">
        <v>1</v>
      </c>
      <c r="G55" s="32" t="s">
        <v>45</v>
      </c>
      <c r="H55" s="12" t="s">
        <v>4455</v>
      </c>
      <c r="I55" s="12">
        <v>6428</v>
      </c>
      <c r="J55" s="12">
        <v>112111</v>
      </c>
      <c r="K55" s="12" t="s">
        <v>20</v>
      </c>
      <c r="L55" s="12">
        <v>1</v>
      </c>
      <c r="M55" s="17">
        <v>79000</v>
      </c>
      <c r="N55" s="17">
        <f t="shared" si="1"/>
        <v>79000</v>
      </c>
      <c r="O55" s="12" t="s">
        <v>21</v>
      </c>
      <c r="P55" s="12">
        <f t="shared" si="2"/>
        <v>43</v>
      </c>
    </row>
    <row r="56" spans="1:16" ht="15" customHeight="1" x14ac:dyDescent="0.2">
      <c r="A56" s="12" t="s">
        <v>2678</v>
      </c>
      <c r="B56" s="36" t="s">
        <v>588</v>
      </c>
      <c r="C56" s="12">
        <f t="shared" si="7"/>
        <v>197</v>
      </c>
      <c r="D56" s="12">
        <v>1</v>
      </c>
      <c r="G56" s="14" t="s">
        <v>204</v>
      </c>
      <c r="H56" s="12" t="s">
        <v>3017</v>
      </c>
      <c r="I56" s="12">
        <v>1111</v>
      </c>
      <c r="J56" s="12">
        <v>112111</v>
      </c>
      <c r="K56" s="12" t="s">
        <v>20</v>
      </c>
      <c r="L56" s="12">
        <v>1</v>
      </c>
      <c r="M56" s="17">
        <v>5000000</v>
      </c>
      <c r="N56" s="17">
        <f t="shared" si="1"/>
        <v>5000000</v>
      </c>
      <c r="O56" s="12" t="s">
        <v>21</v>
      </c>
      <c r="P56" s="12">
        <f t="shared" si="2"/>
        <v>44</v>
      </c>
    </row>
    <row r="57" spans="1:16" ht="15" customHeight="1" x14ac:dyDescent="0.2">
      <c r="A57" s="12" t="s">
        <v>2679</v>
      </c>
      <c r="B57" s="36" t="s">
        <v>588</v>
      </c>
      <c r="C57" s="12">
        <f t="shared" si="7"/>
        <v>198</v>
      </c>
      <c r="D57" s="12">
        <v>1</v>
      </c>
      <c r="G57" s="14" t="s">
        <v>3163</v>
      </c>
      <c r="H57" s="12" t="s">
        <v>2687</v>
      </c>
      <c r="I57" s="12">
        <v>112111</v>
      </c>
      <c r="J57" s="12">
        <v>5154</v>
      </c>
      <c r="K57" s="12" t="s">
        <v>20</v>
      </c>
      <c r="L57" s="12">
        <v>1</v>
      </c>
      <c r="M57" s="17">
        <v>1535</v>
      </c>
      <c r="N57" s="17">
        <f t="shared" si="1"/>
        <v>1535</v>
      </c>
      <c r="O57" s="12" t="s">
        <v>21</v>
      </c>
      <c r="P57" s="12">
        <f t="shared" si="2"/>
        <v>45</v>
      </c>
    </row>
    <row r="58" spans="1:16" ht="15" customHeight="1" x14ac:dyDescent="0.2">
      <c r="A58" s="12" t="s">
        <v>2678</v>
      </c>
      <c r="B58" s="36" t="s">
        <v>2044</v>
      </c>
      <c r="C58" s="12">
        <f t="shared" si="7"/>
        <v>199</v>
      </c>
      <c r="D58" s="12">
        <v>1</v>
      </c>
      <c r="G58" s="14" t="s">
        <v>204</v>
      </c>
      <c r="H58" s="12" t="s">
        <v>3017</v>
      </c>
      <c r="I58" s="12">
        <v>1111</v>
      </c>
      <c r="J58" s="12">
        <v>112111</v>
      </c>
      <c r="K58" s="12" t="s">
        <v>20</v>
      </c>
      <c r="L58" s="12">
        <v>1</v>
      </c>
      <c r="M58" s="17">
        <v>20000000</v>
      </c>
      <c r="N58" s="17">
        <f t="shared" si="1"/>
        <v>20000000</v>
      </c>
      <c r="O58" s="12" t="s">
        <v>21</v>
      </c>
      <c r="P58" s="12">
        <f t="shared" si="2"/>
        <v>46</v>
      </c>
    </row>
    <row r="59" spans="1:16" ht="15" customHeight="1" x14ac:dyDescent="0.2">
      <c r="A59" s="12" t="s">
        <v>2679</v>
      </c>
      <c r="B59" s="36" t="s">
        <v>456</v>
      </c>
      <c r="C59" s="12">
        <f t="shared" si="7"/>
        <v>200</v>
      </c>
      <c r="D59" s="12">
        <v>1</v>
      </c>
      <c r="G59" s="14" t="s">
        <v>279</v>
      </c>
      <c r="H59" s="12" t="s">
        <v>4453</v>
      </c>
      <c r="I59" s="12">
        <v>112111</v>
      </c>
      <c r="J59" s="12">
        <v>131</v>
      </c>
      <c r="K59" s="12" t="s">
        <v>20</v>
      </c>
      <c r="L59" s="12">
        <v>1</v>
      </c>
      <c r="M59" s="17">
        <v>66000000</v>
      </c>
      <c r="N59" s="17">
        <f t="shared" si="1"/>
        <v>66000000</v>
      </c>
      <c r="O59" s="12" t="s">
        <v>21</v>
      </c>
      <c r="P59" s="12">
        <f t="shared" si="2"/>
        <v>47</v>
      </c>
    </row>
    <row r="60" spans="1:16" ht="15" customHeight="1" x14ac:dyDescent="0.2">
      <c r="A60" s="12" t="s">
        <v>2678</v>
      </c>
      <c r="B60" s="36" t="s">
        <v>589</v>
      </c>
      <c r="C60" s="12">
        <f t="shared" si="7"/>
        <v>201</v>
      </c>
      <c r="D60" s="12">
        <v>1</v>
      </c>
      <c r="G60" s="14" t="s">
        <v>204</v>
      </c>
      <c r="H60" s="12" t="s">
        <v>3017</v>
      </c>
      <c r="I60" s="12">
        <v>1111</v>
      </c>
      <c r="J60" s="12">
        <v>112111</v>
      </c>
      <c r="K60" s="12" t="s">
        <v>20</v>
      </c>
      <c r="L60" s="12">
        <v>1</v>
      </c>
      <c r="M60" s="17">
        <v>30000000</v>
      </c>
      <c r="N60" s="17">
        <f t="shared" si="1"/>
        <v>30000000</v>
      </c>
      <c r="O60" s="12" t="s">
        <v>21</v>
      </c>
      <c r="P60" s="12">
        <f t="shared" si="2"/>
        <v>48</v>
      </c>
    </row>
    <row r="61" spans="1:16" ht="15" customHeight="1" x14ac:dyDescent="0.2">
      <c r="A61" s="12" t="s">
        <v>2678</v>
      </c>
      <c r="B61" s="36" t="s">
        <v>589</v>
      </c>
      <c r="C61" s="12">
        <f t="shared" si="7"/>
        <v>202</v>
      </c>
      <c r="D61" s="12">
        <v>1</v>
      </c>
      <c r="G61" s="14" t="s">
        <v>204</v>
      </c>
      <c r="H61" s="12" t="s">
        <v>3017</v>
      </c>
      <c r="I61" s="12">
        <v>1111</v>
      </c>
      <c r="J61" s="12">
        <v>112111</v>
      </c>
      <c r="K61" s="12" t="s">
        <v>20</v>
      </c>
      <c r="L61" s="12">
        <v>1</v>
      </c>
      <c r="M61" s="17">
        <v>5000000</v>
      </c>
      <c r="N61" s="17">
        <f t="shared" si="1"/>
        <v>5000000</v>
      </c>
      <c r="O61" s="12" t="s">
        <v>21</v>
      </c>
      <c r="P61" s="12">
        <f t="shared" si="2"/>
        <v>49</v>
      </c>
    </row>
    <row r="62" spans="1:16" ht="15" customHeight="1" x14ac:dyDescent="0.2">
      <c r="A62" s="12" t="s">
        <v>2679</v>
      </c>
      <c r="B62" s="36" t="s">
        <v>589</v>
      </c>
      <c r="C62" s="12">
        <f t="shared" si="7"/>
        <v>203</v>
      </c>
      <c r="D62" s="12">
        <v>1</v>
      </c>
      <c r="G62" s="14" t="s">
        <v>280</v>
      </c>
      <c r="H62" s="12" t="s">
        <v>4454</v>
      </c>
      <c r="I62" s="12">
        <v>112111</v>
      </c>
      <c r="J62" s="12">
        <v>131</v>
      </c>
      <c r="K62" s="12" t="s">
        <v>20</v>
      </c>
      <c r="L62" s="12">
        <v>1</v>
      </c>
      <c r="M62" s="17">
        <v>8516129</v>
      </c>
      <c r="N62" s="17">
        <f t="shared" si="1"/>
        <v>8516129</v>
      </c>
      <c r="O62" s="12" t="s">
        <v>21</v>
      </c>
      <c r="P62" s="12">
        <f t="shared" si="2"/>
        <v>50</v>
      </c>
    </row>
    <row r="63" spans="1:16" ht="15" customHeight="1" x14ac:dyDescent="0.2">
      <c r="A63" s="12" t="s">
        <v>2678</v>
      </c>
      <c r="B63" s="36" t="s">
        <v>380</v>
      </c>
      <c r="C63" s="12">
        <f t="shared" si="7"/>
        <v>204</v>
      </c>
      <c r="D63" s="12">
        <v>1</v>
      </c>
      <c r="G63" s="32" t="s">
        <v>45</v>
      </c>
      <c r="H63" s="12" t="s">
        <v>4455</v>
      </c>
      <c r="I63" s="12">
        <v>6428</v>
      </c>
      <c r="J63" s="12">
        <v>112111</v>
      </c>
      <c r="K63" s="12" t="s">
        <v>20</v>
      </c>
      <c r="L63" s="12">
        <v>1</v>
      </c>
      <c r="M63" s="17">
        <v>460000</v>
      </c>
      <c r="N63" s="17">
        <f t="shared" si="1"/>
        <v>460000</v>
      </c>
      <c r="O63" s="12" t="s">
        <v>21</v>
      </c>
      <c r="P63" s="12">
        <f t="shared" si="2"/>
        <v>51</v>
      </c>
    </row>
    <row r="64" spans="1:16" ht="15" customHeight="1" x14ac:dyDescent="0.2">
      <c r="A64" s="12" t="s">
        <v>2678</v>
      </c>
      <c r="B64" s="36" t="s">
        <v>383</v>
      </c>
      <c r="C64" s="12">
        <f t="shared" si="7"/>
        <v>205</v>
      </c>
      <c r="D64" s="12">
        <v>1</v>
      </c>
      <c r="G64" s="32" t="s">
        <v>45</v>
      </c>
      <c r="H64" s="12" t="s">
        <v>4455</v>
      </c>
      <c r="I64" s="12">
        <v>6428</v>
      </c>
      <c r="J64" s="12">
        <v>112111</v>
      </c>
      <c r="K64" s="12" t="s">
        <v>20</v>
      </c>
      <c r="L64" s="12">
        <v>1</v>
      </c>
      <c r="M64" s="17">
        <v>148000</v>
      </c>
      <c r="N64" s="17">
        <f t="shared" si="1"/>
        <v>148000</v>
      </c>
      <c r="O64" s="12" t="s">
        <v>21</v>
      </c>
      <c r="P64" s="12">
        <f t="shared" si="2"/>
        <v>52</v>
      </c>
    </row>
    <row r="65" spans="1:16" ht="15" customHeight="1" x14ac:dyDescent="0.2">
      <c r="A65" s="12" t="s">
        <v>2678</v>
      </c>
      <c r="B65" s="36" t="s">
        <v>604</v>
      </c>
      <c r="C65" s="12">
        <f t="shared" si="7"/>
        <v>206</v>
      </c>
      <c r="D65" s="12">
        <v>1</v>
      </c>
      <c r="G65" s="32" t="s">
        <v>45</v>
      </c>
      <c r="H65" s="12" t="s">
        <v>4455</v>
      </c>
      <c r="I65" s="12">
        <v>6428</v>
      </c>
      <c r="J65" s="12">
        <v>112111</v>
      </c>
      <c r="K65" s="12" t="s">
        <v>20</v>
      </c>
      <c r="L65" s="12">
        <v>1</v>
      </c>
      <c r="M65" s="17">
        <v>302000</v>
      </c>
      <c r="N65" s="17">
        <f t="shared" si="1"/>
        <v>302000</v>
      </c>
      <c r="O65" s="12" t="s">
        <v>21</v>
      </c>
      <c r="P65" s="12">
        <f t="shared" si="2"/>
        <v>53</v>
      </c>
    </row>
    <row r="66" spans="1:16" ht="15" customHeight="1" x14ac:dyDescent="0.2">
      <c r="A66" s="12" t="s">
        <v>2679</v>
      </c>
      <c r="B66" s="36" t="s">
        <v>1930</v>
      </c>
      <c r="C66" s="12">
        <f t="shared" si="7"/>
        <v>207</v>
      </c>
      <c r="D66" s="12">
        <v>1</v>
      </c>
      <c r="G66" s="14" t="s">
        <v>3163</v>
      </c>
      <c r="H66" s="12" t="s">
        <v>2687</v>
      </c>
      <c r="I66" s="12">
        <v>112111</v>
      </c>
      <c r="J66" s="12">
        <v>5154</v>
      </c>
      <c r="K66" s="12" t="s">
        <v>20</v>
      </c>
      <c r="L66" s="12">
        <v>1</v>
      </c>
      <c r="M66" s="17">
        <v>2441</v>
      </c>
      <c r="N66" s="17">
        <f t="shared" si="1"/>
        <v>2441</v>
      </c>
      <c r="O66" s="12" t="s">
        <v>21</v>
      </c>
      <c r="P66" s="12">
        <f t="shared" si="2"/>
        <v>54</v>
      </c>
    </row>
    <row r="67" spans="1:16" ht="15" customHeight="1" x14ac:dyDescent="0.2">
      <c r="A67" s="12" t="s">
        <v>2719</v>
      </c>
      <c r="B67" s="36" t="s">
        <v>413</v>
      </c>
      <c r="C67" s="12">
        <f t="shared" si="7"/>
        <v>208</v>
      </c>
      <c r="D67" s="12">
        <v>1</v>
      </c>
      <c r="G67" s="14" t="s">
        <v>37</v>
      </c>
      <c r="H67" s="12" t="s">
        <v>4457</v>
      </c>
      <c r="I67" s="12">
        <v>331</v>
      </c>
      <c r="J67" s="12">
        <v>1111</v>
      </c>
      <c r="K67" s="12" t="s">
        <v>20</v>
      </c>
      <c r="L67" s="12">
        <v>1</v>
      </c>
      <c r="M67" s="17">
        <v>2700000</v>
      </c>
      <c r="N67" s="17">
        <f t="shared" ref="N67:N78" si="8">L67*M67</f>
        <v>2700000</v>
      </c>
      <c r="O67" s="12" t="s">
        <v>21</v>
      </c>
      <c r="P67" s="12">
        <f t="shared" si="2"/>
        <v>55</v>
      </c>
    </row>
    <row r="68" spans="1:16" ht="15" customHeight="1" x14ac:dyDescent="0.2">
      <c r="A68" s="12" t="s">
        <v>2719</v>
      </c>
      <c r="B68" s="36" t="s">
        <v>652</v>
      </c>
      <c r="C68" s="12">
        <f t="shared" si="7"/>
        <v>209</v>
      </c>
      <c r="D68" s="12">
        <v>1</v>
      </c>
      <c r="G68" s="14" t="s">
        <v>703</v>
      </c>
      <c r="H68" s="12" t="s">
        <v>4458</v>
      </c>
      <c r="I68" s="12">
        <v>331</v>
      </c>
      <c r="J68" s="12">
        <v>1111</v>
      </c>
      <c r="K68" s="12" t="s">
        <v>20</v>
      </c>
      <c r="L68" s="12">
        <v>1</v>
      </c>
      <c r="M68" s="17">
        <v>820800</v>
      </c>
      <c r="N68" s="17">
        <f t="shared" si="8"/>
        <v>820800</v>
      </c>
      <c r="O68" s="12" t="s">
        <v>21</v>
      </c>
      <c r="P68" s="12">
        <f t="shared" si="2"/>
        <v>56</v>
      </c>
    </row>
    <row r="69" spans="1:16" ht="15" customHeight="1" x14ac:dyDescent="0.2">
      <c r="A69" s="12" t="s">
        <v>2719</v>
      </c>
      <c r="B69" s="36" t="s">
        <v>378</v>
      </c>
      <c r="C69" s="12">
        <f t="shared" si="7"/>
        <v>210</v>
      </c>
      <c r="D69" s="12">
        <v>1</v>
      </c>
      <c r="G69" s="14" t="s">
        <v>704</v>
      </c>
      <c r="H69" s="12" t="s">
        <v>4459</v>
      </c>
      <c r="I69" s="12">
        <v>331</v>
      </c>
      <c r="J69" s="12">
        <v>1111</v>
      </c>
      <c r="K69" s="12" t="s">
        <v>20</v>
      </c>
      <c r="L69" s="12">
        <v>1</v>
      </c>
      <c r="M69" s="17">
        <v>1304640</v>
      </c>
      <c r="N69" s="17">
        <f t="shared" si="8"/>
        <v>1304640</v>
      </c>
      <c r="O69" s="12" t="s">
        <v>21</v>
      </c>
      <c r="P69" s="12">
        <f t="shared" si="2"/>
        <v>57</v>
      </c>
    </row>
    <row r="70" spans="1:16" ht="15" customHeight="1" x14ac:dyDescent="0.2">
      <c r="A70" s="12" t="s">
        <v>2719</v>
      </c>
      <c r="B70" s="36" t="s">
        <v>318</v>
      </c>
      <c r="C70" s="12">
        <f t="shared" si="7"/>
        <v>211</v>
      </c>
      <c r="D70" s="12">
        <v>1</v>
      </c>
      <c r="G70" s="14" t="s">
        <v>44</v>
      </c>
      <c r="H70" s="12" t="s">
        <v>4460</v>
      </c>
      <c r="I70" s="12">
        <v>331</v>
      </c>
      <c r="J70" s="12">
        <v>1111</v>
      </c>
      <c r="K70" s="12" t="s">
        <v>20</v>
      </c>
      <c r="L70" s="12">
        <v>1</v>
      </c>
      <c r="M70" s="17">
        <v>2013000</v>
      </c>
      <c r="N70" s="17">
        <f t="shared" si="8"/>
        <v>2013000</v>
      </c>
      <c r="O70" s="12" t="s">
        <v>21</v>
      </c>
      <c r="P70" s="12">
        <f t="shared" ref="P70:P78" si="9">P69+D70</f>
        <v>58</v>
      </c>
    </row>
    <row r="71" spans="1:16" ht="15" customHeight="1" x14ac:dyDescent="0.2">
      <c r="A71" s="12" t="s">
        <v>2719</v>
      </c>
      <c r="B71" s="36" t="s">
        <v>522</v>
      </c>
      <c r="C71" s="12">
        <f t="shared" si="7"/>
        <v>212</v>
      </c>
      <c r="D71" s="12">
        <v>1</v>
      </c>
      <c r="G71" s="14" t="s">
        <v>37</v>
      </c>
      <c r="H71" s="12" t="s">
        <v>4461</v>
      </c>
      <c r="I71" s="12">
        <v>331</v>
      </c>
      <c r="J71" s="12">
        <v>1111</v>
      </c>
      <c r="K71" s="12" t="s">
        <v>20</v>
      </c>
      <c r="L71" s="12">
        <v>1</v>
      </c>
      <c r="M71" s="17">
        <v>5400000</v>
      </c>
      <c r="N71" s="17">
        <f t="shared" si="8"/>
        <v>5400000</v>
      </c>
      <c r="O71" s="12" t="s">
        <v>21</v>
      </c>
      <c r="P71" s="12">
        <f t="shared" si="9"/>
        <v>59</v>
      </c>
    </row>
    <row r="72" spans="1:16" ht="15" customHeight="1" x14ac:dyDescent="0.2">
      <c r="A72" s="12" t="s">
        <v>2719</v>
      </c>
      <c r="B72" s="36" t="s">
        <v>588</v>
      </c>
      <c r="C72" s="12">
        <f t="shared" si="7"/>
        <v>213</v>
      </c>
      <c r="D72" s="12">
        <v>1</v>
      </c>
      <c r="G72" s="14" t="s">
        <v>705</v>
      </c>
      <c r="H72" s="12" t="s">
        <v>4462</v>
      </c>
      <c r="I72" s="12">
        <v>331</v>
      </c>
      <c r="J72" s="12">
        <v>1111</v>
      </c>
      <c r="K72" s="12" t="s">
        <v>20</v>
      </c>
      <c r="L72" s="12">
        <v>1</v>
      </c>
      <c r="M72" s="17">
        <v>1349400</v>
      </c>
      <c r="N72" s="17">
        <f t="shared" si="8"/>
        <v>1349400</v>
      </c>
      <c r="O72" s="12" t="s">
        <v>21</v>
      </c>
      <c r="P72" s="12">
        <f t="shared" si="9"/>
        <v>60</v>
      </c>
    </row>
    <row r="73" spans="1:16" ht="15" customHeight="1" x14ac:dyDescent="0.2">
      <c r="A73" s="12" t="s">
        <v>2719</v>
      </c>
      <c r="B73" s="36" t="s">
        <v>588</v>
      </c>
      <c r="C73" s="12">
        <f t="shared" si="7"/>
        <v>214</v>
      </c>
      <c r="D73" s="12">
        <v>1</v>
      </c>
      <c r="G73" s="14" t="s">
        <v>705</v>
      </c>
      <c r="H73" s="12" t="s">
        <v>4463</v>
      </c>
      <c r="I73" s="12">
        <v>331</v>
      </c>
      <c r="J73" s="12">
        <v>1111</v>
      </c>
      <c r="K73" s="12" t="s">
        <v>20</v>
      </c>
      <c r="L73" s="12">
        <v>1</v>
      </c>
      <c r="M73" s="17">
        <v>37171</v>
      </c>
      <c r="N73" s="17">
        <f t="shared" si="8"/>
        <v>37171</v>
      </c>
      <c r="O73" s="12" t="s">
        <v>21</v>
      </c>
      <c r="P73" s="12">
        <f t="shared" si="9"/>
        <v>61</v>
      </c>
    </row>
    <row r="74" spans="1:16" ht="15" customHeight="1" x14ac:dyDescent="0.2">
      <c r="A74" s="12" t="s">
        <v>2719</v>
      </c>
      <c r="B74" s="36" t="s">
        <v>524</v>
      </c>
      <c r="C74" s="12">
        <f t="shared" si="7"/>
        <v>215</v>
      </c>
      <c r="D74" s="12">
        <v>1</v>
      </c>
      <c r="G74" s="14" t="s">
        <v>64</v>
      </c>
      <c r="H74" s="12" t="s">
        <v>4464</v>
      </c>
      <c r="I74" s="12">
        <v>331</v>
      </c>
      <c r="J74" s="12">
        <v>1111</v>
      </c>
      <c r="K74" s="12" t="s">
        <v>20</v>
      </c>
      <c r="L74" s="12">
        <v>1</v>
      </c>
      <c r="M74" s="17">
        <v>99000</v>
      </c>
      <c r="N74" s="17">
        <f t="shared" si="8"/>
        <v>99000</v>
      </c>
      <c r="O74" s="12" t="s">
        <v>21</v>
      </c>
      <c r="P74" s="12">
        <f t="shared" si="9"/>
        <v>62</v>
      </c>
    </row>
    <row r="75" spans="1:16" ht="15" customHeight="1" x14ac:dyDescent="0.2">
      <c r="A75" s="12" t="s">
        <v>2719</v>
      </c>
      <c r="B75" s="36" t="s">
        <v>589</v>
      </c>
      <c r="C75" s="12">
        <f t="shared" si="7"/>
        <v>216</v>
      </c>
      <c r="D75" s="12">
        <v>1</v>
      </c>
      <c r="G75" s="14" t="s">
        <v>37</v>
      </c>
      <c r="H75" s="12" t="s">
        <v>4465</v>
      </c>
      <c r="I75" s="12">
        <v>331</v>
      </c>
      <c r="J75" s="12">
        <v>1111</v>
      </c>
      <c r="K75" s="12" t="s">
        <v>20</v>
      </c>
      <c r="L75" s="12">
        <v>1</v>
      </c>
      <c r="M75" s="17">
        <v>2700000</v>
      </c>
      <c r="N75" s="17">
        <f t="shared" si="8"/>
        <v>2700000</v>
      </c>
      <c r="O75" s="12" t="s">
        <v>21</v>
      </c>
      <c r="P75" s="12">
        <f t="shared" si="9"/>
        <v>63</v>
      </c>
    </row>
    <row r="76" spans="1:16" ht="15" customHeight="1" x14ac:dyDescent="0.2">
      <c r="A76" s="12" t="s">
        <v>2719</v>
      </c>
      <c r="B76" s="36">
        <v>45961</v>
      </c>
      <c r="C76" s="12">
        <f t="shared" si="7"/>
        <v>217</v>
      </c>
      <c r="D76" s="12">
        <v>1</v>
      </c>
      <c r="G76" s="14" t="s">
        <v>93</v>
      </c>
      <c r="H76" s="12" t="s">
        <v>2684</v>
      </c>
      <c r="I76" s="12">
        <v>3383</v>
      </c>
      <c r="J76" s="12">
        <v>1111</v>
      </c>
      <c r="K76" s="12" t="s">
        <v>20</v>
      </c>
      <c r="L76" s="12">
        <v>1</v>
      </c>
      <c r="M76" s="17">
        <v>690300</v>
      </c>
      <c r="N76" s="17">
        <f t="shared" si="8"/>
        <v>690300</v>
      </c>
      <c r="O76" s="12" t="s">
        <v>21</v>
      </c>
      <c r="P76" s="12">
        <f t="shared" si="9"/>
        <v>64</v>
      </c>
    </row>
    <row r="77" spans="1:16" ht="15" customHeight="1" x14ac:dyDescent="0.2">
      <c r="A77" s="12" t="s">
        <v>2719</v>
      </c>
      <c r="B77" s="36">
        <v>45991</v>
      </c>
      <c r="C77" s="12">
        <f t="shared" si="7"/>
        <v>218</v>
      </c>
      <c r="D77" s="12">
        <v>1</v>
      </c>
      <c r="G77" s="14" t="s">
        <v>93</v>
      </c>
      <c r="H77" s="12" t="s">
        <v>2685</v>
      </c>
      <c r="I77" s="12">
        <v>3383</v>
      </c>
      <c r="J77" s="12">
        <v>1111</v>
      </c>
      <c r="K77" s="12" t="s">
        <v>20</v>
      </c>
      <c r="L77" s="12">
        <v>1</v>
      </c>
      <c r="M77" s="17">
        <v>690300</v>
      </c>
      <c r="N77" s="17">
        <f t="shared" si="8"/>
        <v>690300</v>
      </c>
      <c r="O77" s="12" t="s">
        <v>21</v>
      </c>
      <c r="P77" s="12">
        <f t="shared" si="9"/>
        <v>65</v>
      </c>
    </row>
    <row r="78" spans="1:16" ht="15" customHeight="1" x14ac:dyDescent="0.2">
      <c r="A78" s="12" t="s">
        <v>2719</v>
      </c>
      <c r="B78" s="36">
        <v>46022</v>
      </c>
      <c r="C78" s="12">
        <f t="shared" si="7"/>
        <v>219</v>
      </c>
      <c r="D78" s="12">
        <v>1</v>
      </c>
      <c r="G78" s="14" t="s">
        <v>93</v>
      </c>
      <c r="H78" s="12" t="s">
        <v>3036</v>
      </c>
      <c r="I78" s="12">
        <v>3383</v>
      </c>
      <c r="J78" s="12">
        <v>1111</v>
      </c>
      <c r="K78" s="12" t="s">
        <v>20</v>
      </c>
      <c r="L78" s="12">
        <v>1</v>
      </c>
      <c r="M78" s="17">
        <v>690300</v>
      </c>
      <c r="N78" s="17">
        <f t="shared" si="8"/>
        <v>690300</v>
      </c>
      <c r="O78" s="12" t="s">
        <v>21</v>
      </c>
      <c r="P78" s="12">
        <f t="shared" si="9"/>
        <v>66</v>
      </c>
    </row>
    <row r="79" spans="1:16" ht="15" customHeight="1" x14ac:dyDescent="0.2">
      <c r="A79" s="12" t="s">
        <v>2719</v>
      </c>
      <c r="B79" s="36">
        <v>45900</v>
      </c>
      <c r="C79" s="12">
        <f t="shared" ref="C79:C80" si="10">C78+D79</f>
        <v>220</v>
      </c>
      <c r="D79" s="12">
        <v>1</v>
      </c>
      <c r="G79" s="14" t="s">
        <v>93</v>
      </c>
      <c r="H79" s="12" t="s">
        <v>3564</v>
      </c>
      <c r="I79" s="12">
        <v>3383</v>
      </c>
      <c r="J79" s="12">
        <v>1111</v>
      </c>
      <c r="K79" s="12" t="s">
        <v>20</v>
      </c>
      <c r="L79" s="12">
        <v>1</v>
      </c>
      <c r="M79" s="17">
        <v>690300</v>
      </c>
      <c r="N79" s="17">
        <f t="shared" ref="N79:N80" si="11">L79*M79</f>
        <v>690300</v>
      </c>
      <c r="O79" s="12" t="s">
        <v>21</v>
      </c>
      <c r="P79" s="12">
        <f t="shared" ref="P79:P80" si="12">P78+D79</f>
        <v>67</v>
      </c>
    </row>
    <row r="80" spans="1:16" ht="15" customHeight="1" x14ac:dyDescent="0.2">
      <c r="A80" s="12" t="s">
        <v>2719</v>
      </c>
      <c r="B80" s="36">
        <v>45930</v>
      </c>
      <c r="C80" s="12">
        <f t="shared" si="10"/>
        <v>221</v>
      </c>
      <c r="D80" s="12">
        <v>1</v>
      </c>
      <c r="G80" s="14" t="s">
        <v>93</v>
      </c>
      <c r="H80" s="12" t="s">
        <v>3164</v>
      </c>
      <c r="I80" s="12">
        <v>3383</v>
      </c>
      <c r="J80" s="12">
        <v>1111</v>
      </c>
      <c r="K80" s="12" t="s">
        <v>20</v>
      </c>
      <c r="L80" s="12">
        <v>1</v>
      </c>
      <c r="M80" s="17">
        <v>690300</v>
      </c>
      <c r="N80" s="17">
        <f t="shared" si="11"/>
        <v>690300</v>
      </c>
      <c r="O80" s="12" t="s">
        <v>21</v>
      </c>
      <c r="P80" s="12">
        <f t="shared" si="12"/>
        <v>68</v>
      </c>
    </row>
  </sheetData>
  <autoFilter ref="A3:P80" xr:uid="{00000000-0009-0000-0000-000008000000}">
    <sortState xmlns:xlrd2="http://schemas.microsoft.com/office/spreadsheetml/2017/richdata2" ref="A4:P33">
      <sortCondition ref="P3:P33"/>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800-000000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X211"/>
  <sheetViews>
    <sheetView topLeftCell="A166" workbookViewId="0">
      <selection activeCell="P1" sqref="P1"/>
    </sheetView>
  </sheetViews>
  <sheetFormatPr defaultRowHeight="15" customHeight="1" x14ac:dyDescent="0.25"/>
  <cols>
    <col min="1" max="1" width="8.7109375" style="111" customWidth="1"/>
    <col min="2" max="2" width="10.7109375" style="121" customWidth="1"/>
    <col min="3" max="3" width="10.7109375" style="111" customWidth="1"/>
    <col min="4" max="4" width="9.140625" style="111"/>
    <col min="5" max="5" width="10.5703125" style="116" bestFit="1" customWidth="1"/>
    <col min="6" max="6" width="10.7109375" style="111" customWidth="1"/>
    <col min="7" max="7" width="14.7109375" style="116" bestFit="1" customWidth="1"/>
    <col min="8" max="8" width="33.28515625" style="111" customWidth="1"/>
    <col min="9" max="10" width="7.7109375" style="111" customWidth="1"/>
    <col min="11" max="11" width="10.85546875" style="111" bestFit="1" customWidth="1"/>
    <col min="12" max="12" width="6.85546875" style="111" bestFit="1" customWidth="1"/>
    <col min="13" max="13" width="11.5703125" style="117" bestFit="1" customWidth="1"/>
    <col min="14" max="14" width="12.140625" style="117" bestFit="1" customWidth="1"/>
    <col min="15" max="15" width="5.85546875" style="111" bestFit="1" customWidth="1"/>
    <col min="16" max="17" width="9.140625" style="111"/>
    <col min="18" max="18" width="9.85546875" style="111" bestFit="1" customWidth="1"/>
    <col min="19" max="20" width="9.140625" style="111"/>
    <col min="21" max="21" width="17.28515625" style="111" bestFit="1" customWidth="1"/>
    <col min="22" max="22" width="62.42578125" style="111" bestFit="1" customWidth="1"/>
    <col min="23" max="23" width="13.42578125" style="111" bestFit="1" customWidth="1"/>
    <col min="24" max="16384" width="9.140625" style="111"/>
  </cols>
  <sheetData>
    <row r="1" spans="1:18" ht="15" customHeight="1" thickBot="1" x14ac:dyDescent="0.25">
      <c r="A1" s="174" t="s">
        <v>0</v>
      </c>
      <c r="B1" s="174" t="s">
        <v>1</v>
      </c>
      <c r="C1" s="174" t="s">
        <v>2</v>
      </c>
      <c r="D1" s="176" t="s">
        <v>3</v>
      </c>
      <c r="E1" s="172" t="s">
        <v>4</v>
      </c>
      <c r="F1" s="176" t="s">
        <v>760</v>
      </c>
      <c r="G1" s="181" t="s">
        <v>6</v>
      </c>
      <c r="H1" s="221" t="s">
        <v>7</v>
      </c>
      <c r="I1" s="185" t="s">
        <v>8</v>
      </c>
      <c r="J1" s="186"/>
      <c r="K1" s="174" t="s">
        <v>9</v>
      </c>
      <c r="L1" s="174" t="s">
        <v>10</v>
      </c>
      <c r="M1" s="179" t="s">
        <v>11</v>
      </c>
      <c r="N1" s="179" t="s">
        <v>12</v>
      </c>
      <c r="O1" s="110"/>
      <c r="P1" s="152" t="s">
        <v>3991</v>
      </c>
    </row>
    <row r="2" spans="1:18" ht="15" customHeight="1" thickBot="1" x14ac:dyDescent="0.3">
      <c r="A2" s="175"/>
      <c r="B2" s="175"/>
      <c r="C2" s="175"/>
      <c r="D2" s="177"/>
      <c r="E2" s="178"/>
      <c r="F2" s="223"/>
      <c r="G2" s="182"/>
      <c r="H2" s="222"/>
      <c r="I2" s="112" t="s">
        <v>13</v>
      </c>
      <c r="J2" s="113" t="s">
        <v>14</v>
      </c>
      <c r="K2" s="175"/>
      <c r="L2" s="175"/>
      <c r="M2" s="180"/>
      <c r="N2" s="180"/>
      <c r="O2" s="114"/>
    </row>
    <row r="3" spans="1:18" ht="15" customHeight="1" x14ac:dyDescent="0.25">
      <c r="A3" s="4"/>
      <c r="B3" s="5"/>
      <c r="C3" s="4">
        <v>129</v>
      </c>
      <c r="D3" s="6"/>
      <c r="E3" s="6"/>
      <c r="F3" s="6"/>
      <c r="G3" s="4" t="s">
        <v>15</v>
      </c>
      <c r="H3" s="7"/>
      <c r="I3" s="115"/>
      <c r="J3" s="115"/>
      <c r="K3" s="9"/>
      <c r="L3" s="10"/>
      <c r="M3" s="16"/>
      <c r="N3" s="16"/>
      <c r="O3" s="111" t="s">
        <v>16</v>
      </c>
      <c r="P3" s="111" t="s">
        <v>17</v>
      </c>
    </row>
    <row r="4" spans="1:18" ht="15" customHeight="1" x14ac:dyDescent="0.25">
      <c r="A4" s="111" t="s">
        <v>18</v>
      </c>
      <c r="B4" s="120" t="s">
        <v>308</v>
      </c>
      <c r="C4" s="116">
        <f t="shared" ref="C4:C67" si="0">C3+D4</f>
        <v>130</v>
      </c>
      <c r="D4" s="111">
        <v>1</v>
      </c>
      <c r="F4" s="117"/>
      <c r="G4" s="116" t="s">
        <v>714</v>
      </c>
      <c r="H4" s="111" t="s">
        <v>716</v>
      </c>
      <c r="I4" s="111">
        <v>131</v>
      </c>
      <c r="J4" s="111">
        <v>5113</v>
      </c>
      <c r="K4" s="111" t="s">
        <v>20</v>
      </c>
      <c r="L4" s="111">
        <v>1</v>
      </c>
      <c r="M4" s="117">
        <v>21505377</v>
      </c>
      <c r="N4" s="117">
        <f t="shared" ref="N4:N35" si="1">M4*L4</f>
        <v>21505377</v>
      </c>
      <c r="O4" s="111" t="s">
        <v>21</v>
      </c>
      <c r="P4" s="111">
        <v>1</v>
      </c>
    </row>
    <row r="5" spans="1:18" ht="15" customHeight="1" x14ac:dyDescent="0.25">
      <c r="A5" s="111" t="s">
        <v>18</v>
      </c>
      <c r="B5" s="120" t="s">
        <v>308</v>
      </c>
      <c r="C5" s="116">
        <f t="shared" si="0"/>
        <v>130</v>
      </c>
      <c r="D5" s="111">
        <v>0</v>
      </c>
      <c r="G5" s="116" t="s">
        <v>714</v>
      </c>
      <c r="H5" s="111" t="s">
        <v>738</v>
      </c>
      <c r="I5" s="111">
        <v>333821</v>
      </c>
      <c r="J5" s="111">
        <v>131</v>
      </c>
      <c r="K5" s="111" t="s">
        <v>20</v>
      </c>
      <c r="L5" s="111">
        <v>1</v>
      </c>
      <c r="M5" s="117">
        <v>215054</v>
      </c>
      <c r="N5" s="117">
        <f t="shared" si="1"/>
        <v>215054</v>
      </c>
      <c r="O5" s="111" t="s">
        <v>21</v>
      </c>
      <c r="P5" s="111">
        <f>P4+D5</f>
        <v>1</v>
      </c>
    </row>
    <row r="6" spans="1:18" ht="15" customHeight="1" x14ac:dyDescent="0.25">
      <c r="A6" s="111" t="s">
        <v>18</v>
      </c>
      <c r="B6" s="120" t="s">
        <v>308</v>
      </c>
      <c r="C6" s="116">
        <f t="shared" si="0"/>
        <v>131</v>
      </c>
      <c r="D6" s="111">
        <v>1</v>
      </c>
      <c r="F6" s="117"/>
      <c r="G6" s="116" t="s">
        <v>113</v>
      </c>
      <c r="H6" s="111" t="s">
        <v>717</v>
      </c>
      <c r="I6" s="111">
        <v>131</v>
      </c>
      <c r="J6" s="111">
        <v>5113</v>
      </c>
      <c r="K6" s="111" t="s">
        <v>20</v>
      </c>
      <c r="L6" s="111">
        <v>1</v>
      </c>
      <c r="M6" s="117">
        <v>16129032</v>
      </c>
      <c r="N6" s="117">
        <f t="shared" si="1"/>
        <v>16129032</v>
      </c>
      <c r="O6" s="111" t="s">
        <v>21</v>
      </c>
      <c r="P6" s="111">
        <f t="shared" ref="P6:P69" si="2">P5+D6</f>
        <v>2</v>
      </c>
    </row>
    <row r="7" spans="1:18" ht="15" customHeight="1" x14ac:dyDescent="0.25">
      <c r="A7" s="111" t="s">
        <v>18</v>
      </c>
      <c r="B7" s="120" t="s">
        <v>308</v>
      </c>
      <c r="C7" s="116">
        <f t="shared" si="0"/>
        <v>131</v>
      </c>
      <c r="D7" s="111">
        <v>0</v>
      </c>
      <c r="G7" s="116" t="s">
        <v>113</v>
      </c>
      <c r="H7" s="111" t="s">
        <v>739</v>
      </c>
      <c r="I7" s="111">
        <v>333821</v>
      </c>
      <c r="J7" s="111">
        <v>131</v>
      </c>
      <c r="K7" s="111" t="s">
        <v>20</v>
      </c>
      <c r="L7" s="111">
        <v>1</v>
      </c>
      <c r="M7" s="117">
        <v>161290</v>
      </c>
      <c r="N7" s="117">
        <f t="shared" si="1"/>
        <v>161290</v>
      </c>
      <c r="O7" s="111" t="s">
        <v>21</v>
      </c>
      <c r="P7" s="111">
        <f t="shared" si="2"/>
        <v>2</v>
      </c>
    </row>
    <row r="8" spans="1:18" ht="15" customHeight="1" x14ac:dyDescent="0.25">
      <c r="A8" s="111" t="s">
        <v>18</v>
      </c>
      <c r="B8" s="120" t="s">
        <v>309</v>
      </c>
      <c r="C8" s="116">
        <f t="shared" si="0"/>
        <v>132</v>
      </c>
      <c r="D8" s="111">
        <v>1</v>
      </c>
      <c r="F8" s="117"/>
      <c r="G8" s="116" t="s">
        <v>68</v>
      </c>
      <c r="H8" s="111" t="s">
        <v>718</v>
      </c>
      <c r="I8" s="111">
        <v>131</v>
      </c>
      <c r="J8" s="111">
        <v>5113</v>
      </c>
      <c r="K8" s="111" t="s">
        <v>20</v>
      </c>
      <c r="L8" s="111">
        <v>1</v>
      </c>
      <c r="M8" s="117">
        <v>19354838</v>
      </c>
      <c r="N8" s="117">
        <f t="shared" si="1"/>
        <v>19354838</v>
      </c>
      <c r="O8" s="111" t="s">
        <v>21</v>
      </c>
      <c r="P8" s="111">
        <f t="shared" si="2"/>
        <v>3</v>
      </c>
      <c r="R8" s="117"/>
    </row>
    <row r="9" spans="1:18" ht="15" customHeight="1" x14ac:dyDescent="0.25">
      <c r="A9" s="111" t="s">
        <v>18</v>
      </c>
      <c r="B9" s="120" t="s">
        <v>309</v>
      </c>
      <c r="C9" s="116">
        <f t="shared" si="0"/>
        <v>132</v>
      </c>
      <c r="D9" s="111">
        <v>0</v>
      </c>
      <c r="G9" s="116" t="s">
        <v>68</v>
      </c>
      <c r="H9" s="111" t="s">
        <v>740</v>
      </c>
      <c r="I9" s="111">
        <v>333821</v>
      </c>
      <c r="J9" s="111">
        <v>131</v>
      </c>
      <c r="K9" s="111" t="s">
        <v>20</v>
      </c>
      <c r="L9" s="111">
        <v>1</v>
      </c>
      <c r="M9" s="119">
        <v>193548</v>
      </c>
      <c r="N9" s="117">
        <f t="shared" si="1"/>
        <v>193548</v>
      </c>
      <c r="O9" s="111" t="s">
        <v>21</v>
      </c>
      <c r="P9" s="111">
        <f t="shared" si="2"/>
        <v>3</v>
      </c>
    </row>
    <row r="10" spans="1:18" ht="15" customHeight="1" x14ac:dyDescent="0.25">
      <c r="A10" s="111" t="s">
        <v>18</v>
      </c>
      <c r="B10" s="120" t="s">
        <v>443</v>
      </c>
      <c r="C10" s="116">
        <f t="shared" si="0"/>
        <v>133</v>
      </c>
      <c r="D10" s="111">
        <v>1</v>
      </c>
      <c r="F10" s="117"/>
      <c r="G10" s="116" t="s">
        <v>29</v>
      </c>
      <c r="H10" s="111" t="s">
        <v>719</v>
      </c>
      <c r="I10" s="111">
        <v>131</v>
      </c>
      <c r="J10" s="111">
        <v>5113</v>
      </c>
      <c r="K10" s="111" t="s">
        <v>20</v>
      </c>
      <c r="L10" s="111">
        <v>1</v>
      </c>
      <c r="M10" s="117">
        <v>11827957</v>
      </c>
      <c r="N10" s="117">
        <f t="shared" si="1"/>
        <v>11827957</v>
      </c>
      <c r="O10" s="111" t="s">
        <v>21</v>
      </c>
      <c r="P10" s="111">
        <f t="shared" si="2"/>
        <v>4</v>
      </c>
    </row>
    <row r="11" spans="1:18" ht="15" customHeight="1" x14ac:dyDescent="0.25">
      <c r="A11" s="111" t="s">
        <v>18</v>
      </c>
      <c r="B11" s="120" t="s">
        <v>443</v>
      </c>
      <c r="C11" s="116">
        <f t="shared" si="0"/>
        <v>133</v>
      </c>
      <c r="D11" s="111">
        <v>0</v>
      </c>
      <c r="G11" s="116" t="s">
        <v>29</v>
      </c>
      <c r="H11" s="111" t="s">
        <v>741</v>
      </c>
      <c r="I11" s="111">
        <v>333821</v>
      </c>
      <c r="J11" s="111">
        <v>131</v>
      </c>
      <c r="K11" s="111" t="s">
        <v>20</v>
      </c>
      <c r="L11" s="111">
        <v>1</v>
      </c>
      <c r="M11" s="117">
        <v>118280</v>
      </c>
      <c r="N11" s="117">
        <f t="shared" si="1"/>
        <v>118280</v>
      </c>
      <c r="O11" s="111" t="s">
        <v>21</v>
      </c>
      <c r="P11" s="111">
        <f t="shared" si="2"/>
        <v>4</v>
      </c>
    </row>
    <row r="12" spans="1:18" ht="15" customHeight="1" x14ac:dyDescent="0.25">
      <c r="A12" s="111" t="s">
        <v>18</v>
      </c>
      <c r="B12" s="120" t="s">
        <v>290</v>
      </c>
      <c r="C12" s="116">
        <f t="shared" si="0"/>
        <v>134</v>
      </c>
      <c r="D12" s="111">
        <v>1</v>
      </c>
      <c r="F12" s="117"/>
      <c r="G12" s="116" t="s">
        <v>55</v>
      </c>
      <c r="H12" s="111" t="s">
        <v>720</v>
      </c>
      <c r="I12" s="111">
        <v>131</v>
      </c>
      <c r="J12" s="111">
        <v>5113</v>
      </c>
      <c r="K12" s="111" t="s">
        <v>20</v>
      </c>
      <c r="L12" s="111">
        <v>1</v>
      </c>
      <c r="M12" s="117">
        <v>16129031</v>
      </c>
      <c r="N12" s="117">
        <f t="shared" si="1"/>
        <v>16129031</v>
      </c>
      <c r="O12" s="111" t="s">
        <v>21</v>
      </c>
      <c r="P12" s="111">
        <f t="shared" si="2"/>
        <v>5</v>
      </c>
    </row>
    <row r="13" spans="1:18" ht="15" customHeight="1" x14ac:dyDescent="0.25">
      <c r="A13" s="111" t="s">
        <v>18</v>
      </c>
      <c r="B13" s="120" t="s">
        <v>290</v>
      </c>
      <c r="C13" s="116">
        <f t="shared" si="0"/>
        <v>134</v>
      </c>
      <c r="D13" s="111">
        <v>0</v>
      </c>
      <c r="G13" s="116" t="s">
        <v>55</v>
      </c>
      <c r="H13" s="111" t="s">
        <v>742</v>
      </c>
      <c r="I13" s="111">
        <v>333821</v>
      </c>
      <c r="J13" s="111">
        <v>131</v>
      </c>
      <c r="K13" s="111" t="s">
        <v>20</v>
      </c>
      <c r="L13" s="111">
        <v>1</v>
      </c>
      <c r="M13" s="117">
        <v>161290</v>
      </c>
      <c r="N13" s="117">
        <f t="shared" si="1"/>
        <v>161290</v>
      </c>
      <c r="O13" s="111" t="s">
        <v>21</v>
      </c>
      <c r="P13" s="111">
        <f t="shared" si="2"/>
        <v>5</v>
      </c>
    </row>
    <row r="14" spans="1:18" ht="15" customHeight="1" x14ac:dyDescent="0.25">
      <c r="A14" s="111" t="s">
        <v>18</v>
      </c>
      <c r="B14" s="120" t="s">
        <v>413</v>
      </c>
      <c r="C14" s="116">
        <f t="shared" si="0"/>
        <v>135</v>
      </c>
      <c r="D14" s="111">
        <v>1</v>
      </c>
      <c r="F14" s="117"/>
      <c r="G14" s="116" t="s">
        <v>79</v>
      </c>
      <c r="H14" s="111" t="s">
        <v>721</v>
      </c>
      <c r="I14" s="111">
        <v>131</v>
      </c>
      <c r="J14" s="111">
        <v>5113</v>
      </c>
      <c r="K14" s="111" t="s">
        <v>20</v>
      </c>
      <c r="L14" s="111">
        <v>1</v>
      </c>
      <c r="M14" s="117">
        <v>9671180</v>
      </c>
      <c r="N14" s="118">
        <f t="shared" si="1"/>
        <v>9671180</v>
      </c>
      <c r="O14" s="111" t="s">
        <v>21</v>
      </c>
      <c r="P14" s="111">
        <f t="shared" si="2"/>
        <v>6</v>
      </c>
    </row>
    <row r="15" spans="1:18" ht="15" customHeight="1" x14ac:dyDescent="0.25">
      <c r="A15" s="111" t="s">
        <v>18</v>
      </c>
      <c r="B15" s="120" t="s">
        <v>413</v>
      </c>
      <c r="C15" s="116">
        <f t="shared" si="0"/>
        <v>135</v>
      </c>
      <c r="D15" s="111">
        <v>0</v>
      </c>
      <c r="G15" s="116" t="s">
        <v>79</v>
      </c>
      <c r="H15" s="111" t="s">
        <v>743</v>
      </c>
      <c r="I15" s="111">
        <v>333821</v>
      </c>
      <c r="J15" s="111">
        <v>131</v>
      </c>
      <c r="K15" s="111" t="s">
        <v>20</v>
      </c>
      <c r="L15" s="111">
        <v>1</v>
      </c>
      <c r="M15" s="117">
        <v>96712</v>
      </c>
      <c r="N15" s="117">
        <f t="shared" si="1"/>
        <v>96712</v>
      </c>
      <c r="O15" s="111" t="s">
        <v>21</v>
      </c>
      <c r="P15" s="111">
        <f t="shared" si="2"/>
        <v>6</v>
      </c>
    </row>
    <row r="16" spans="1:18" ht="15" customHeight="1" x14ac:dyDescent="0.25">
      <c r="A16" s="111" t="s">
        <v>18</v>
      </c>
      <c r="B16" s="120" t="s">
        <v>468</v>
      </c>
      <c r="C16" s="116">
        <f t="shared" si="0"/>
        <v>136</v>
      </c>
      <c r="D16" s="111">
        <v>1</v>
      </c>
      <c r="F16" s="117"/>
      <c r="G16" s="116" t="s">
        <v>66</v>
      </c>
      <c r="H16" s="111" t="s">
        <v>722</v>
      </c>
      <c r="I16" s="111">
        <v>131</v>
      </c>
      <c r="J16" s="111">
        <v>5113</v>
      </c>
      <c r="K16" s="111" t="s">
        <v>20</v>
      </c>
      <c r="L16" s="111">
        <v>1</v>
      </c>
      <c r="M16" s="117">
        <v>16129032</v>
      </c>
      <c r="N16" s="117">
        <f t="shared" si="1"/>
        <v>16129032</v>
      </c>
      <c r="O16" s="111" t="s">
        <v>21</v>
      </c>
      <c r="P16" s="111">
        <f t="shared" si="2"/>
        <v>7</v>
      </c>
    </row>
    <row r="17" spans="1:16" ht="15" customHeight="1" x14ac:dyDescent="0.25">
      <c r="A17" s="111" t="s">
        <v>18</v>
      </c>
      <c r="B17" s="120" t="s">
        <v>468</v>
      </c>
      <c r="C17" s="116">
        <f t="shared" si="0"/>
        <v>136</v>
      </c>
      <c r="D17" s="111">
        <v>0</v>
      </c>
      <c r="G17" s="116" t="s">
        <v>66</v>
      </c>
      <c r="H17" s="111" t="s">
        <v>744</v>
      </c>
      <c r="I17" s="111">
        <v>333821</v>
      </c>
      <c r="J17" s="111">
        <v>131</v>
      </c>
      <c r="K17" s="111" t="s">
        <v>20</v>
      </c>
      <c r="L17" s="111">
        <v>1</v>
      </c>
      <c r="M17" s="117">
        <v>161290</v>
      </c>
      <c r="N17" s="117">
        <f t="shared" si="1"/>
        <v>161290</v>
      </c>
      <c r="O17" s="111" t="s">
        <v>21</v>
      </c>
      <c r="P17" s="111">
        <f t="shared" si="2"/>
        <v>7</v>
      </c>
    </row>
    <row r="18" spans="1:16" ht="15" customHeight="1" x14ac:dyDescent="0.25">
      <c r="A18" s="111" t="s">
        <v>18</v>
      </c>
      <c r="B18" s="120" t="s">
        <v>468</v>
      </c>
      <c r="C18" s="116">
        <f t="shared" si="0"/>
        <v>137</v>
      </c>
      <c r="D18" s="111">
        <v>1</v>
      </c>
      <c r="F18" s="117"/>
      <c r="G18" s="116" t="s">
        <v>55</v>
      </c>
      <c r="H18" s="111" t="s">
        <v>723</v>
      </c>
      <c r="I18" s="111">
        <v>131</v>
      </c>
      <c r="J18" s="111">
        <v>5113</v>
      </c>
      <c r="K18" s="111" t="s">
        <v>20</v>
      </c>
      <c r="L18" s="111">
        <v>1</v>
      </c>
      <c r="M18" s="117">
        <v>21505376</v>
      </c>
      <c r="N18" s="117">
        <f t="shared" si="1"/>
        <v>21505376</v>
      </c>
      <c r="O18" s="111" t="s">
        <v>21</v>
      </c>
      <c r="P18" s="111">
        <f t="shared" si="2"/>
        <v>8</v>
      </c>
    </row>
    <row r="19" spans="1:16" ht="15" customHeight="1" x14ac:dyDescent="0.25">
      <c r="A19" s="111" t="s">
        <v>18</v>
      </c>
      <c r="B19" s="120" t="s">
        <v>468</v>
      </c>
      <c r="C19" s="116">
        <f t="shared" si="0"/>
        <v>137</v>
      </c>
      <c r="D19" s="111">
        <v>0</v>
      </c>
      <c r="G19" s="116" t="s">
        <v>55</v>
      </c>
      <c r="H19" s="111" t="s">
        <v>745</v>
      </c>
      <c r="I19" s="111">
        <v>333821</v>
      </c>
      <c r="J19" s="111">
        <v>131</v>
      </c>
      <c r="K19" s="111" t="s">
        <v>20</v>
      </c>
      <c r="L19" s="111">
        <v>1</v>
      </c>
      <c r="M19" s="117">
        <v>215054</v>
      </c>
      <c r="N19" s="117">
        <f t="shared" si="1"/>
        <v>215054</v>
      </c>
      <c r="O19" s="111" t="s">
        <v>21</v>
      </c>
      <c r="P19" s="111">
        <f t="shared" si="2"/>
        <v>8</v>
      </c>
    </row>
    <row r="20" spans="1:16" ht="15" customHeight="1" x14ac:dyDescent="0.25">
      <c r="A20" s="111" t="s">
        <v>18</v>
      </c>
      <c r="B20" s="120" t="s">
        <v>415</v>
      </c>
      <c r="C20" s="116">
        <f t="shared" si="0"/>
        <v>138</v>
      </c>
      <c r="D20" s="111">
        <v>1</v>
      </c>
      <c r="F20" s="117"/>
      <c r="G20" s="116" t="s">
        <v>29</v>
      </c>
      <c r="H20" s="111" t="s">
        <v>724</v>
      </c>
      <c r="I20" s="111">
        <v>131</v>
      </c>
      <c r="J20" s="111">
        <v>5113</v>
      </c>
      <c r="K20" s="111" t="s">
        <v>20</v>
      </c>
      <c r="L20" s="111">
        <v>1</v>
      </c>
      <c r="M20" s="117">
        <v>23655914</v>
      </c>
      <c r="N20" s="118">
        <f t="shared" si="1"/>
        <v>23655914</v>
      </c>
      <c r="O20" s="111" t="s">
        <v>21</v>
      </c>
      <c r="P20" s="111">
        <f t="shared" si="2"/>
        <v>9</v>
      </c>
    </row>
    <row r="21" spans="1:16" ht="15" customHeight="1" x14ac:dyDescent="0.25">
      <c r="A21" s="111" t="s">
        <v>18</v>
      </c>
      <c r="B21" s="120" t="s">
        <v>415</v>
      </c>
      <c r="C21" s="116">
        <f t="shared" si="0"/>
        <v>138</v>
      </c>
      <c r="D21" s="111">
        <v>0</v>
      </c>
      <c r="G21" s="116" t="s">
        <v>29</v>
      </c>
      <c r="H21" s="111" t="s">
        <v>746</v>
      </c>
      <c r="I21" s="111">
        <v>333821</v>
      </c>
      <c r="J21" s="111">
        <v>131</v>
      </c>
      <c r="K21" s="111" t="s">
        <v>20</v>
      </c>
      <c r="L21" s="111">
        <v>1</v>
      </c>
      <c r="M21" s="117">
        <v>236559</v>
      </c>
      <c r="N21" s="117">
        <f t="shared" si="1"/>
        <v>236559</v>
      </c>
      <c r="O21" s="111" t="s">
        <v>21</v>
      </c>
      <c r="P21" s="111">
        <f t="shared" si="2"/>
        <v>9</v>
      </c>
    </row>
    <row r="22" spans="1:16" ht="15" customHeight="1" x14ac:dyDescent="0.25">
      <c r="A22" s="111" t="s">
        <v>18</v>
      </c>
      <c r="B22" s="120" t="s">
        <v>377</v>
      </c>
      <c r="C22" s="116">
        <f t="shared" si="0"/>
        <v>139</v>
      </c>
      <c r="D22" s="111">
        <v>1</v>
      </c>
      <c r="F22" s="117"/>
      <c r="G22" s="116" t="s">
        <v>110</v>
      </c>
      <c r="H22" s="111" t="s">
        <v>725</v>
      </c>
      <c r="I22" s="111">
        <v>131</v>
      </c>
      <c r="J22" s="111">
        <v>5113</v>
      </c>
      <c r="K22" s="111" t="s">
        <v>20</v>
      </c>
      <c r="L22" s="111">
        <v>1</v>
      </c>
      <c r="M22" s="117">
        <v>16129032</v>
      </c>
      <c r="N22" s="118">
        <f t="shared" si="1"/>
        <v>16129032</v>
      </c>
      <c r="O22" s="111" t="s">
        <v>21</v>
      </c>
      <c r="P22" s="111">
        <f t="shared" si="2"/>
        <v>10</v>
      </c>
    </row>
    <row r="23" spans="1:16" ht="15" customHeight="1" x14ac:dyDescent="0.25">
      <c r="A23" s="111" t="s">
        <v>18</v>
      </c>
      <c r="B23" s="120" t="s">
        <v>377</v>
      </c>
      <c r="C23" s="116">
        <f t="shared" si="0"/>
        <v>139</v>
      </c>
      <c r="D23" s="111">
        <v>0</v>
      </c>
      <c r="G23" s="116" t="s">
        <v>110</v>
      </c>
      <c r="H23" s="111" t="s">
        <v>747</v>
      </c>
      <c r="I23" s="111">
        <v>333821</v>
      </c>
      <c r="J23" s="111">
        <v>131</v>
      </c>
      <c r="K23" s="111" t="s">
        <v>20</v>
      </c>
      <c r="L23" s="111">
        <v>1</v>
      </c>
      <c r="M23" s="117">
        <v>161290</v>
      </c>
      <c r="N23" s="117">
        <f t="shared" si="1"/>
        <v>161290</v>
      </c>
      <c r="O23" s="111" t="s">
        <v>21</v>
      </c>
      <c r="P23" s="111">
        <f t="shared" si="2"/>
        <v>10</v>
      </c>
    </row>
    <row r="24" spans="1:16" ht="15" customHeight="1" x14ac:dyDescent="0.25">
      <c r="A24" s="111" t="s">
        <v>18</v>
      </c>
      <c r="B24" s="120" t="s">
        <v>291</v>
      </c>
      <c r="C24" s="116">
        <f t="shared" si="0"/>
        <v>140</v>
      </c>
      <c r="D24" s="111">
        <v>1</v>
      </c>
      <c r="F24" s="117"/>
      <c r="G24" s="116" t="s">
        <v>58</v>
      </c>
      <c r="H24" s="111" t="s">
        <v>726</v>
      </c>
      <c r="I24" s="111">
        <v>131</v>
      </c>
      <c r="J24" s="111">
        <v>5113</v>
      </c>
      <c r="K24" s="111" t="s">
        <v>20</v>
      </c>
      <c r="L24" s="111">
        <v>1</v>
      </c>
      <c r="M24" s="117">
        <v>24731183</v>
      </c>
      <c r="N24" s="118">
        <f t="shared" si="1"/>
        <v>24731183</v>
      </c>
      <c r="O24" s="111" t="s">
        <v>21</v>
      </c>
      <c r="P24" s="111">
        <f t="shared" si="2"/>
        <v>11</v>
      </c>
    </row>
    <row r="25" spans="1:16" ht="15" customHeight="1" x14ac:dyDescent="0.25">
      <c r="A25" s="111" t="s">
        <v>18</v>
      </c>
      <c r="B25" s="120" t="s">
        <v>291</v>
      </c>
      <c r="C25" s="116">
        <f t="shared" si="0"/>
        <v>140</v>
      </c>
      <c r="D25" s="111">
        <v>0</v>
      </c>
      <c r="G25" s="116" t="s">
        <v>58</v>
      </c>
      <c r="H25" s="111" t="s">
        <v>748</v>
      </c>
      <c r="I25" s="111">
        <v>333821</v>
      </c>
      <c r="J25" s="111">
        <v>131</v>
      </c>
      <c r="K25" s="111" t="s">
        <v>20</v>
      </c>
      <c r="L25" s="111">
        <v>1</v>
      </c>
      <c r="M25" s="119">
        <v>247312</v>
      </c>
      <c r="N25" s="118">
        <f t="shared" si="1"/>
        <v>247312</v>
      </c>
      <c r="O25" s="111" t="s">
        <v>21</v>
      </c>
      <c r="P25" s="111">
        <f t="shared" si="2"/>
        <v>11</v>
      </c>
    </row>
    <row r="26" spans="1:16" ht="15" customHeight="1" x14ac:dyDescent="0.25">
      <c r="A26" s="111" t="s">
        <v>18</v>
      </c>
      <c r="B26" s="120" t="s">
        <v>314</v>
      </c>
      <c r="C26" s="116">
        <f t="shared" si="0"/>
        <v>141</v>
      </c>
      <c r="D26" s="111">
        <v>1</v>
      </c>
      <c r="F26" s="117"/>
      <c r="G26" s="116" t="s">
        <v>29</v>
      </c>
      <c r="H26" s="111" t="s">
        <v>727</v>
      </c>
      <c r="I26" s="111">
        <v>131</v>
      </c>
      <c r="J26" s="111">
        <v>5113</v>
      </c>
      <c r="K26" s="111" t="s">
        <v>20</v>
      </c>
      <c r="L26" s="111">
        <v>1</v>
      </c>
      <c r="M26" s="117">
        <v>12903226</v>
      </c>
      <c r="N26" s="118">
        <f t="shared" si="1"/>
        <v>12903226</v>
      </c>
      <c r="O26" s="111" t="s">
        <v>21</v>
      </c>
      <c r="P26" s="111">
        <f t="shared" si="2"/>
        <v>12</v>
      </c>
    </row>
    <row r="27" spans="1:16" ht="15" customHeight="1" x14ac:dyDescent="0.25">
      <c r="A27" s="111" t="s">
        <v>18</v>
      </c>
      <c r="B27" s="120" t="s">
        <v>314</v>
      </c>
      <c r="C27" s="116">
        <f t="shared" si="0"/>
        <v>141</v>
      </c>
      <c r="D27" s="111">
        <v>0</v>
      </c>
      <c r="G27" s="116" t="s">
        <v>29</v>
      </c>
      <c r="H27" s="111" t="s">
        <v>749</v>
      </c>
      <c r="I27" s="111">
        <v>333821</v>
      </c>
      <c r="J27" s="111">
        <v>131</v>
      </c>
      <c r="K27" s="111" t="s">
        <v>20</v>
      </c>
      <c r="L27" s="111">
        <v>1</v>
      </c>
      <c r="M27" s="117">
        <v>0</v>
      </c>
      <c r="N27" s="117">
        <f t="shared" si="1"/>
        <v>0</v>
      </c>
      <c r="O27" s="111" t="s">
        <v>21</v>
      </c>
      <c r="P27" s="111">
        <f t="shared" si="2"/>
        <v>12</v>
      </c>
    </row>
    <row r="28" spans="1:16" ht="15" customHeight="1" x14ac:dyDescent="0.25">
      <c r="A28" s="111" t="s">
        <v>18</v>
      </c>
      <c r="B28" s="120" t="s">
        <v>314</v>
      </c>
      <c r="C28" s="116">
        <f t="shared" si="0"/>
        <v>142</v>
      </c>
      <c r="D28" s="111">
        <v>1</v>
      </c>
      <c r="F28" s="117"/>
      <c r="G28" s="116" t="s">
        <v>29</v>
      </c>
      <c r="H28" s="111" t="s">
        <v>728</v>
      </c>
      <c r="I28" s="111">
        <v>131</v>
      </c>
      <c r="J28" s="111">
        <v>5113</v>
      </c>
      <c r="K28" s="111" t="s">
        <v>20</v>
      </c>
      <c r="L28" s="111">
        <v>1</v>
      </c>
      <c r="M28" s="117">
        <v>16129032</v>
      </c>
      <c r="N28" s="118">
        <f t="shared" si="1"/>
        <v>16129032</v>
      </c>
      <c r="O28" s="111" t="s">
        <v>21</v>
      </c>
      <c r="P28" s="111">
        <f t="shared" si="2"/>
        <v>13</v>
      </c>
    </row>
    <row r="29" spans="1:16" ht="15" customHeight="1" x14ac:dyDescent="0.25">
      <c r="A29" s="111" t="s">
        <v>18</v>
      </c>
      <c r="B29" s="120" t="s">
        <v>314</v>
      </c>
      <c r="C29" s="116">
        <f t="shared" si="0"/>
        <v>142</v>
      </c>
      <c r="D29" s="111">
        <v>0</v>
      </c>
      <c r="G29" s="116" t="s">
        <v>29</v>
      </c>
      <c r="H29" s="111" t="s">
        <v>750</v>
      </c>
      <c r="I29" s="111">
        <v>333821</v>
      </c>
      <c r="J29" s="111">
        <v>131</v>
      </c>
      <c r="K29" s="111" t="s">
        <v>20</v>
      </c>
      <c r="L29" s="111">
        <v>1</v>
      </c>
      <c r="M29" s="117">
        <v>0</v>
      </c>
      <c r="N29" s="117">
        <f t="shared" si="1"/>
        <v>0</v>
      </c>
      <c r="O29" s="111" t="s">
        <v>21</v>
      </c>
      <c r="P29" s="111">
        <f t="shared" si="2"/>
        <v>13</v>
      </c>
    </row>
    <row r="30" spans="1:16" ht="15" customHeight="1" x14ac:dyDescent="0.25">
      <c r="A30" s="111" t="s">
        <v>18</v>
      </c>
      <c r="B30" s="120" t="s">
        <v>316</v>
      </c>
      <c r="C30" s="116">
        <f t="shared" si="0"/>
        <v>143</v>
      </c>
      <c r="D30" s="111">
        <v>1</v>
      </c>
      <c r="F30" s="117"/>
      <c r="G30" s="116" t="s">
        <v>29</v>
      </c>
      <c r="H30" s="111" t="s">
        <v>729</v>
      </c>
      <c r="I30" s="111">
        <v>131</v>
      </c>
      <c r="J30" s="111">
        <v>5113</v>
      </c>
      <c r="K30" s="111" t="s">
        <v>20</v>
      </c>
      <c r="L30" s="111">
        <v>1</v>
      </c>
      <c r="M30" s="117">
        <v>13978495</v>
      </c>
      <c r="N30" s="118">
        <f t="shared" si="1"/>
        <v>13978495</v>
      </c>
      <c r="O30" s="111" t="s">
        <v>21</v>
      </c>
      <c r="P30" s="111">
        <f t="shared" si="2"/>
        <v>14</v>
      </c>
    </row>
    <row r="31" spans="1:16" ht="15" customHeight="1" x14ac:dyDescent="0.25">
      <c r="A31" s="111" t="s">
        <v>18</v>
      </c>
      <c r="B31" s="120" t="s">
        <v>316</v>
      </c>
      <c r="C31" s="116">
        <f t="shared" si="0"/>
        <v>143</v>
      </c>
      <c r="D31" s="111">
        <v>0</v>
      </c>
      <c r="G31" s="116" t="s">
        <v>29</v>
      </c>
      <c r="H31" s="111" t="s">
        <v>751</v>
      </c>
      <c r="I31" s="111">
        <v>333821</v>
      </c>
      <c r="J31" s="111">
        <v>131</v>
      </c>
      <c r="K31" s="111" t="s">
        <v>20</v>
      </c>
      <c r="L31" s="111">
        <v>1</v>
      </c>
      <c r="M31" s="117">
        <v>0</v>
      </c>
      <c r="N31" s="117">
        <f t="shared" si="1"/>
        <v>0</v>
      </c>
      <c r="O31" s="111" t="s">
        <v>21</v>
      </c>
      <c r="P31" s="111">
        <f t="shared" si="2"/>
        <v>14</v>
      </c>
    </row>
    <row r="32" spans="1:16" ht="15" customHeight="1" x14ac:dyDescent="0.25">
      <c r="A32" s="111" t="s">
        <v>18</v>
      </c>
      <c r="B32" s="120" t="s">
        <v>418</v>
      </c>
      <c r="C32" s="116">
        <f t="shared" si="0"/>
        <v>144</v>
      </c>
      <c r="D32" s="111">
        <v>1</v>
      </c>
      <c r="F32" s="117"/>
      <c r="G32" s="116" t="s">
        <v>29</v>
      </c>
      <c r="H32" s="111" t="s">
        <v>730</v>
      </c>
      <c r="I32" s="111">
        <v>131</v>
      </c>
      <c r="J32" s="111">
        <v>5113</v>
      </c>
      <c r="K32" s="111" t="s">
        <v>20</v>
      </c>
      <c r="L32" s="111">
        <v>1</v>
      </c>
      <c r="M32" s="117">
        <v>25806452</v>
      </c>
      <c r="N32" s="117">
        <f t="shared" si="1"/>
        <v>25806452</v>
      </c>
      <c r="O32" s="111" t="s">
        <v>21</v>
      </c>
      <c r="P32" s="111">
        <f t="shared" si="2"/>
        <v>15</v>
      </c>
    </row>
    <row r="33" spans="1:16" ht="15" customHeight="1" x14ac:dyDescent="0.25">
      <c r="A33" s="111" t="s">
        <v>18</v>
      </c>
      <c r="B33" s="120" t="s">
        <v>418</v>
      </c>
      <c r="C33" s="116">
        <f t="shared" si="0"/>
        <v>144</v>
      </c>
      <c r="D33" s="111">
        <v>0</v>
      </c>
      <c r="G33" s="116" t="s">
        <v>29</v>
      </c>
      <c r="H33" s="111" t="s">
        <v>752</v>
      </c>
      <c r="I33" s="111">
        <v>333821</v>
      </c>
      <c r="J33" s="111">
        <v>131</v>
      </c>
      <c r="K33" s="111" t="s">
        <v>20</v>
      </c>
      <c r="L33" s="111">
        <v>1</v>
      </c>
      <c r="M33" s="117">
        <v>0</v>
      </c>
      <c r="N33" s="117">
        <f t="shared" si="1"/>
        <v>0</v>
      </c>
      <c r="O33" s="111" t="s">
        <v>21</v>
      </c>
      <c r="P33" s="111">
        <f t="shared" si="2"/>
        <v>15</v>
      </c>
    </row>
    <row r="34" spans="1:16" ht="15" customHeight="1" x14ac:dyDescent="0.25">
      <c r="A34" s="111" t="s">
        <v>18</v>
      </c>
      <c r="B34" s="120" t="s">
        <v>418</v>
      </c>
      <c r="C34" s="116">
        <f t="shared" si="0"/>
        <v>145</v>
      </c>
      <c r="D34" s="111">
        <v>1</v>
      </c>
      <c r="F34" s="117"/>
      <c r="G34" s="116" t="s">
        <v>29</v>
      </c>
      <c r="H34" s="111" t="s">
        <v>731</v>
      </c>
      <c r="I34" s="111">
        <v>131</v>
      </c>
      <c r="J34" s="111">
        <v>5113</v>
      </c>
      <c r="K34" s="111" t="s">
        <v>20</v>
      </c>
      <c r="L34" s="111">
        <v>1</v>
      </c>
      <c r="M34" s="117">
        <v>25806452</v>
      </c>
      <c r="N34" s="118">
        <f t="shared" si="1"/>
        <v>25806452</v>
      </c>
      <c r="O34" s="111" t="s">
        <v>21</v>
      </c>
      <c r="P34" s="111">
        <f t="shared" si="2"/>
        <v>16</v>
      </c>
    </row>
    <row r="35" spans="1:16" ht="15" customHeight="1" x14ac:dyDescent="0.25">
      <c r="A35" s="111" t="s">
        <v>18</v>
      </c>
      <c r="B35" s="120" t="s">
        <v>418</v>
      </c>
      <c r="C35" s="116">
        <f t="shared" si="0"/>
        <v>145</v>
      </c>
      <c r="D35" s="111">
        <v>0</v>
      </c>
      <c r="G35" s="116" t="s">
        <v>29</v>
      </c>
      <c r="H35" s="111" t="s">
        <v>753</v>
      </c>
      <c r="I35" s="111">
        <v>333821</v>
      </c>
      <c r="J35" s="111">
        <v>131</v>
      </c>
      <c r="K35" s="111" t="s">
        <v>20</v>
      </c>
      <c r="L35" s="111">
        <v>1</v>
      </c>
      <c r="M35" s="117">
        <v>0</v>
      </c>
      <c r="N35" s="117">
        <f t="shared" si="1"/>
        <v>0</v>
      </c>
      <c r="O35" s="111" t="s">
        <v>21</v>
      </c>
      <c r="P35" s="111">
        <f t="shared" si="2"/>
        <v>16</v>
      </c>
    </row>
    <row r="36" spans="1:16" ht="15" customHeight="1" x14ac:dyDescent="0.25">
      <c r="A36" s="111" t="s">
        <v>18</v>
      </c>
      <c r="B36" s="120" t="s">
        <v>713</v>
      </c>
      <c r="C36" s="116">
        <f t="shared" si="0"/>
        <v>146</v>
      </c>
      <c r="D36" s="111">
        <v>1</v>
      </c>
      <c r="F36" s="117"/>
      <c r="G36" s="116" t="s">
        <v>60</v>
      </c>
      <c r="H36" s="111" t="s">
        <v>732</v>
      </c>
      <c r="I36" s="111">
        <v>131</v>
      </c>
      <c r="J36" s="111">
        <v>5113</v>
      </c>
      <c r="K36" s="111" t="s">
        <v>20</v>
      </c>
      <c r="L36" s="111">
        <v>1</v>
      </c>
      <c r="M36" s="117">
        <v>16129032</v>
      </c>
      <c r="N36" s="117">
        <f t="shared" ref="N36:N67" si="3">M36*L36</f>
        <v>16129032</v>
      </c>
      <c r="O36" s="111" t="s">
        <v>21</v>
      </c>
      <c r="P36" s="111">
        <f t="shared" si="2"/>
        <v>17</v>
      </c>
    </row>
    <row r="37" spans="1:16" ht="15" customHeight="1" x14ac:dyDescent="0.25">
      <c r="A37" s="111" t="s">
        <v>18</v>
      </c>
      <c r="B37" s="120" t="s">
        <v>713</v>
      </c>
      <c r="C37" s="116">
        <f t="shared" si="0"/>
        <v>146</v>
      </c>
      <c r="D37" s="111">
        <v>0</v>
      </c>
      <c r="G37" s="116" t="s">
        <v>60</v>
      </c>
      <c r="H37" s="111" t="s">
        <v>754</v>
      </c>
      <c r="I37" s="111">
        <v>333821</v>
      </c>
      <c r="J37" s="111">
        <v>131</v>
      </c>
      <c r="K37" s="111" t="s">
        <v>20</v>
      </c>
      <c r="L37" s="111">
        <v>1</v>
      </c>
      <c r="M37" s="117">
        <v>161290</v>
      </c>
      <c r="N37" s="117">
        <f t="shared" si="3"/>
        <v>161290</v>
      </c>
      <c r="O37" s="111" t="s">
        <v>21</v>
      </c>
      <c r="P37" s="111">
        <f t="shared" si="2"/>
        <v>17</v>
      </c>
    </row>
    <row r="38" spans="1:16" ht="15" customHeight="1" x14ac:dyDescent="0.25">
      <c r="A38" s="111" t="s">
        <v>18</v>
      </c>
      <c r="B38" s="120" t="s">
        <v>713</v>
      </c>
      <c r="C38" s="116">
        <f t="shared" si="0"/>
        <v>147</v>
      </c>
      <c r="D38" s="111">
        <v>1</v>
      </c>
      <c r="F38" s="117"/>
      <c r="G38" s="116" t="s">
        <v>715</v>
      </c>
      <c r="H38" s="111" t="s">
        <v>733</v>
      </c>
      <c r="I38" s="111">
        <v>131</v>
      </c>
      <c r="J38" s="111">
        <v>5113</v>
      </c>
      <c r="K38" s="111" t="s">
        <v>20</v>
      </c>
      <c r="L38" s="111">
        <v>1</v>
      </c>
      <c r="M38" s="117">
        <v>26881720</v>
      </c>
      <c r="N38" s="117">
        <f t="shared" si="3"/>
        <v>26881720</v>
      </c>
      <c r="O38" s="111" t="s">
        <v>21</v>
      </c>
      <c r="P38" s="111">
        <f t="shared" si="2"/>
        <v>18</v>
      </c>
    </row>
    <row r="39" spans="1:16" ht="15" customHeight="1" x14ac:dyDescent="0.25">
      <c r="A39" s="111" t="s">
        <v>18</v>
      </c>
      <c r="B39" s="120" t="s">
        <v>713</v>
      </c>
      <c r="C39" s="116">
        <f t="shared" si="0"/>
        <v>147</v>
      </c>
      <c r="D39" s="111">
        <v>0</v>
      </c>
      <c r="G39" s="116" t="s">
        <v>715</v>
      </c>
      <c r="H39" s="111" t="s">
        <v>755</v>
      </c>
      <c r="I39" s="111">
        <v>333821</v>
      </c>
      <c r="J39" s="111">
        <v>131</v>
      </c>
      <c r="K39" s="111" t="s">
        <v>20</v>
      </c>
      <c r="L39" s="111">
        <v>1</v>
      </c>
      <c r="M39" s="117">
        <v>268817</v>
      </c>
      <c r="N39" s="117">
        <f t="shared" si="3"/>
        <v>268817</v>
      </c>
      <c r="O39" s="111" t="s">
        <v>21</v>
      </c>
      <c r="P39" s="111">
        <f t="shared" si="2"/>
        <v>18</v>
      </c>
    </row>
    <row r="40" spans="1:16" ht="15" customHeight="1" x14ac:dyDescent="0.25">
      <c r="A40" s="111" t="s">
        <v>18</v>
      </c>
      <c r="B40" s="120" t="s">
        <v>454</v>
      </c>
      <c r="C40" s="116">
        <f t="shared" si="0"/>
        <v>148</v>
      </c>
      <c r="D40" s="111">
        <v>1</v>
      </c>
      <c r="F40" s="117"/>
      <c r="G40" s="116" t="s">
        <v>110</v>
      </c>
      <c r="H40" s="111" t="s">
        <v>734</v>
      </c>
      <c r="I40" s="111">
        <v>131</v>
      </c>
      <c r="J40" s="111">
        <v>5113</v>
      </c>
      <c r="K40" s="111" t="s">
        <v>20</v>
      </c>
      <c r="L40" s="111">
        <v>1</v>
      </c>
      <c r="M40" s="117">
        <v>5376344</v>
      </c>
      <c r="N40" s="117">
        <f t="shared" si="3"/>
        <v>5376344</v>
      </c>
      <c r="O40" s="111" t="s">
        <v>21</v>
      </c>
      <c r="P40" s="111">
        <f t="shared" si="2"/>
        <v>19</v>
      </c>
    </row>
    <row r="41" spans="1:16" ht="15" customHeight="1" x14ac:dyDescent="0.25">
      <c r="A41" s="111" t="s">
        <v>18</v>
      </c>
      <c r="B41" s="120" t="s">
        <v>454</v>
      </c>
      <c r="C41" s="116">
        <f t="shared" si="0"/>
        <v>148</v>
      </c>
      <c r="D41" s="111">
        <v>0</v>
      </c>
      <c r="G41" s="116" t="s">
        <v>110</v>
      </c>
      <c r="H41" s="111" t="s">
        <v>756</v>
      </c>
      <c r="I41" s="111">
        <v>333821</v>
      </c>
      <c r="J41" s="111">
        <v>131</v>
      </c>
      <c r="K41" s="111" t="s">
        <v>20</v>
      </c>
      <c r="L41" s="111">
        <v>1</v>
      </c>
      <c r="M41" s="117">
        <v>53763</v>
      </c>
      <c r="N41" s="117">
        <f t="shared" si="3"/>
        <v>53763</v>
      </c>
      <c r="O41" s="111" t="s">
        <v>21</v>
      </c>
      <c r="P41" s="111">
        <f t="shared" si="2"/>
        <v>19</v>
      </c>
    </row>
    <row r="42" spans="1:16" ht="15" customHeight="1" x14ac:dyDescent="0.25">
      <c r="A42" s="111" t="s">
        <v>18</v>
      </c>
      <c r="B42" s="120" t="s">
        <v>515</v>
      </c>
      <c r="C42" s="116">
        <f t="shared" si="0"/>
        <v>149</v>
      </c>
      <c r="D42" s="111">
        <v>1</v>
      </c>
      <c r="F42" s="117"/>
      <c r="G42" s="116" t="s">
        <v>58</v>
      </c>
      <c r="H42" s="111" t="s">
        <v>735</v>
      </c>
      <c r="I42" s="111">
        <v>131</v>
      </c>
      <c r="J42" s="111">
        <v>5113</v>
      </c>
      <c r="K42" s="111" t="s">
        <v>20</v>
      </c>
      <c r="L42" s="111">
        <v>1</v>
      </c>
      <c r="M42" s="117">
        <v>24731183</v>
      </c>
      <c r="N42" s="117">
        <f t="shared" si="3"/>
        <v>24731183</v>
      </c>
      <c r="O42" s="111" t="s">
        <v>21</v>
      </c>
      <c r="P42" s="111">
        <f t="shared" si="2"/>
        <v>20</v>
      </c>
    </row>
    <row r="43" spans="1:16" ht="15" customHeight="1" x14ac:dyDescent="0.25">
      <c r="A43" s="111" t="s">
        <v>18</v>
      </c>
      <c r="B43" s="120" t="s">
        <v>515</v>
      </c>
      <c r="C43" s="116">
        <f t="shared" si="0"/>
        <v>149</v>
      </c>
      <c r="D43" s="111">
        <v>0</v>
      </c>
      <c r="G43" s="116" t="s">
        <v>58</v>
      </c>
      <c r="H43" s="111" t="s">
        <v>757</v>
      </c>
      <c r="I43" s="111">
        <v>333821</v>
      </c>
      <c r="J43" s="111">
        <v>131</v>
      </c>
      <c r="K43" s="111" t="s">
        <v>20</v>
      </c>
      <c r="L43" s="111">
        <v>1</v>
      </c>
      <c r="M43" s="117">
        <v>247312</v>
      </c>
      <c r="N43" s="117">
        <f t="shared" si="3"/>
        <v>247312</v>
      </c>
      <c r="O43" s="111" t="s">
        <v>21</v>
      </c>
      <c r="P43" s="111">
        <f t="shared" si="2"/>
        <v>20</v>
      </c>
    </row>
    <row r="44" spans="1:16" ht="15" customHeight="1" x14ac:dyDescent="0.25">
      <c r="A44" s="111" t="s">
        <v>18</v>
      </c>
      <c r="B44" s="120" t="s">
        <v>589</v>
      </c>
      <c r="C44" s="116">
        <f t="shared" si="0"/>
        <v>150</v>
      </c>
      <c r="D44" s="111">
        <v>1</v>
      </c>
      <c r="F44" s="117"/>
      <c r="G44" s="116" t="s">
        <v>59</v>
      </c>
      <c r="H44" s="111" t="s">
        <v>736</v>
      </c>
      <c r="I44" s="111">
        <v>131</v>
      </c>
      <c r="J44" s="111">
        <v>5113</v>
      </c>
      <c r="K44" s="111" t="s">
        <v>20</v>
      </c>
      <c r="L44" s="111">
        <v>1</v>
      </c>
      <c r="M44" s="117">
        <v>48387097</v>
      </c>
      <c r="N44" s="117">
        <f t="shared" si="3"/>
        <v>48387097</v>
      </c>
      <c r="O44" s="111" t="s">
        <v>21</v>
      </c>
      <c r="P44" s="111">
        <f t="shared" si="2"/>
        <v>21</v>
      </c>
    </row>
    <row r="45" spans="1:16" ht="15" customHeight="1" x14ac:dyDescent="0.25">
      <c r="A45" s="111" t="s">
        <v>18</v>
      </c>
      <c r="B45" s="120" t="s">
        <v>589</v>
      </c>
      <c r="C45" s="116">
        <f t="shared" si="0"/>
        <v>150</v>
      </c>
      <c r="D45" s="111">
        <v>0</v>
      </c>
      <c r="G45" s="116" t="s">
        <v>59</v>
      </c>
      <c r="H45" s="111" t="s">
        <v>758</v>
      </c>
      <c r="I45" s="111">
        <v>333821</v>
      </c>
      <c r="J45" s="111">
        <v>131</v>
      </c>
      <c r="K45" s="111" t="s">
        <v>20</v>
      </c>
      <c r="L45" s="111">
        <v>1</v>
      </c>
      <c r="M45" s="117">
        <v>483871</v>
      </c>
      <c r="N45" s="117">
        <f t="shared" si="3"/>
        <v>483871</v>
      </c>
      <c r="O45" s="111" t="s">
        <v>21</v>
      </c>
      <c r="P45" s="111">
        <f t="shared" si="2"/>
        <v>21</v>
      </c>
    </row>
    <row r="46" spans="1:16" ht="15" customHeight="1" x14ac:dyDescent="0.25">
      <c r="A46" s="111" t="s">
        <v>18</v>
      </c>
      <c r="B46" s="120" t="s">
        <v>382</v>
      </c>
      <c r="C46" s="116">
        <f t="shared" si="0"/>
        <v>151</v>
      </c>
      <c r="D46" s="111">
        <v>1</v>
      </c>
      <c r="F46" s="117"/>
      <c r="G46" s="116" t="s">
        <v>113</v>
      </c>
      <c r="H46" s="111" t="s">
        <v>737</v>
      </c>
      <c r="I46" s="111">
        <v>131</v>
      </c>
      <c r="J46" s="111">
        <v>5113</v>
      </c>
      <c r="K46" s="111" t="s">
        <v>20</v>
      </c>
      <c r="L46" s="111">
        <v>1</v>
      </c>
      <c r="M46" s="117">
        <v>16129032</v>
      </c>
      <c r="N46" s="117">
        <f t="shared" si="3"/>
        <v>16129032</v>
      </c>
      <c r="O46" s="111" t="s">
        <v>21</v>
      </c>
      <c r="P46" s="111">
        <f t="shared" si="2"/>
        <v>22</v>
      </c>
    </row>
    <row r="47" spans="1:16" ht="15" customHeight="1" x14ac:dyDescent="0.25">
      <c r="A47" s="111" t="s">
        <v>18</v>
      </c>
      <c r="B47" s="120" t="s">
        <v>382</v>
      </c>
      <c r="C47" s="116">
        <f t="shared" si="0"/>
        <v>151</v>
      </c>
      <c r="D47" s="111">
        <v>0</v>
      </c>
      <c r="G47" s="116" t="s">
        <v>113</v>
      </c>
      <c r="H47" s="111" t="s">
        <v>759</v>
      </c>
      <c r="I47" s="111">
        <v>333821</v>
      </c>
      <c r="J47" s="111">
        <v>131</v>
      </c>
      <c r="K47" s="111" t="s">
        <v>20</v>
      </c>
      <c r="L47" s="111">
        <v>1</v>
      </c>
      <c r="M47" s="117">
        <v>161290</v>
      </c>
      <c r="N47" s="117">
        <f t="shared" si="3"/>
        <v>161290</v>
      </c>
      <c r="O47" s="111" t="s">
        <v>21</v>
      </c>
      <c r="P47" s="111">
        <f t="shared" si="2"/>
        <v>22</v>
      </c>
    </row>
    <row r="48" spans="1:16" ht="15" customHeight="1" x14ac:dyDescent="0.25">
      <c r="A48" s="111" t="s">
        <v>18</v>
      </c>
      <c r="B48" s="120" t="s">
        <v>2045</v>
      </c>
      <c r="C48" s="116">
        <f t="shared" si="0"/>
        <v>152</v>
      </c>
      <c r="D48" s="111">
        <v>1</v>
      </c>
      <c r="F48" s="117"/>
      <c r="G48" s="116" t="s">
        <v>58</v>
      </c>
      <c r="H48" s="111" t="s">
        <v>2584</v>
      </c>
      <c r="I48" s="111">
        <v>131</v>
      </c>
      <c r="J48" s="111">
        <v>5113</v>
      </c>
      <c r="K48" s="111" t="s">
        <v>20</v>
      </c>
      <c r="L48" s="111">
        <v>1</v>
      </c>
      <c r="M48" s="117">
        <v>24731183</v>
      </c>
      <c r="N48" s="117">
        <f t="shared" si="3"/>
        <v>24731183</v>
      </c>
      <c r="O48" s="111" t="s">
        <v>21</v>
      </c>
      <c r="P48" s="111">
        <f t="shared" si="2"/>
        <v>23</v>
      </c>
    </row>
    <row r="49" spans="1:16" ht="15" customHeight="1" x14ac:dyDescent="0.25">
      <c r="A49" s="111" t="s">
        <v>18</v>
      </c>
      <c r="B49" s="120" t="s">
        <v>2045</v>
      </c>
      <c r="C49" s="116">
        <f t="shared" si="0"/>
        <v>152</v>
      </c>
      <c r="D49" s="111">
        <v>0</v>
      </c>
      <c r="G49" s="116" t="s">
        <v>58</v>
      </c>
      <c r="H49" s="111" t="s">
        <v>2587</v>
      </c>
      <c r="I49" s="111">
        <v>333821</v>
      </c>
      <c r="J49" s="111">
        <v>131</v>
      </c>
      <c r="K49" s="111" t="s">
        <v>20</v>
      </c>
      <c r="L49" s="111">
        <v>1</v>
      </c>
      <c r="M49" s="117">
        <v>247312</v>
      </c>
      <c r="N49" s="117">
        <f t="shared" si="3"/>
        <v>247312</v>
      </c>
      <c r="O49" s="111" t="s">
        <v>21</v>
      </c>
      <c r="P49" s="111">
        <f t="shared" si="2"/>
        <v>23</v>
      </c>
    </row>
    <row r="50" spans="1:16" ht="15" customHeight="1" x14ac:dyDescent="0.25">
      <c r="A50" s="111" t="s">
        <v>18</v>
      </c>
      <c r="B50" s="120" t="s">
        <v>2382</v>
      </c>
      <c r="C50" s="116">
        <f t="shared" si="0"/>
        <v>153</v>
      </c>
      <c r="D50" s="111">
        <v>1</v>
      </c>
      <c r="F50" s="117"/>
      <c r="G50" s="116" t="s">
        <v>29</v>
      </c>
      <c r="H50" s="111" t="s">
        <v>2585</v>
      </c>
      <c r="I50" s="111">
        <v>131</v>
      </c>
      <c r="J50" s="111">
        <v>5113</v>
      </c>
      <c r="K50" s="111" t="s">
        <v>20</v>
      </c>
      <c r="L50" s="111">
        <v>1</v>
      </c>
      <c r="M50" s="117">
        <v>27956989</v>
      </c>
      <c r="N50" s="117">
        <f t="shared" si="3"/>
        <v>27956989</v>
      </c>
      <c r="O50" s="111" t="s">
        <v>21</v>
      </c>
      <c r="P50" s="111">
        <f t="shared" si="2"/>
        <v>24</v>
      </c>
    </row>
    <row r="51" spans="1:16" ht="15" customHeight="1" x14ac:dyDescent="0.25">
      <c r="A51" s="111" t="s">
        <v>18</v>
      </c>
      <c r="B51" s="120" t="s">
        <v>2382</v>
      </c>
      <c r="C51" s="116">
        <f t="shared" si="0"/>
        <v>153</v>
      </c>
      <c r="D51" s="111">
        <v>0</v>
      </c>
      <c r="G51" s="116" t="s">
        <v>29</v>
      </c>
      <c r="H51" s="111" t="s">
        <v>2588</v>
      </c>
      <c r="I51" s="111">
        <v>333821</v>
      </c>
      <c r="J51" s="111">
        <v>131</v>
      </c>
      <c r="K51" s="111" t="s">
        <v>20</v>
      </c>
      <c r="L51" s="111">
        <v>1</v>
      </c>
      <c r="M51" s="117">
        <v>0</v>
      </c>
      <c r="N51" s="117">
        <f t="shared" si="3"/>
        <v>0</v>
      </c>
      <c r="O51" s="111" t="s">
        <v>21</v>
      </c>
      <c r="P51" s="111">
        <f t="shared" si="2"/>
        <v>24</v>
      </c>
    </row>
    <row r="52" spans="1:16" ht="15" customHeight="1" x14ac:dyDescent="0.25">
      <c r="A52" s="111" t="s">
        <v>18</v>
      </c>
      <c r="B52" s="120" t="s">
        <v>2513</v>
      </c>
      <c r="C52" s="116">
        <f t="shared" si="0"/>
        <v>154</v>
      </c>
      <c r="D52" s="111">
        <v>1</v>
      </c>
      <c r="F52" s="117"/>
      <c r="G52" s="116" t="s">
        <v>29</v>
      </c>
      <c r="H52" s="111" t="s">
        <v>2586</v>
      </c>
      <c r="I52" s="111">
        <v>131</v>
      </c>
      <c r="J52" s="111">
        <v>5113</v>
      </c>
      <c r="K52" s="111" t="s">
        <v>20</v>
      </c>
      <c r="L52" s="111">
        <v>1</v>
      </c>
      <c r="M52" s="117">
        <v>24731183</v>
      </c>
      <c r="N52" s="117">
        <f t="shared" si="3"/>
        <v>24731183</v>
      </c>
      <c r="O52" s="111" t="s">
        <v>21</v>
      </c>
      <c r="P52" s="111">
        <f t="shared" si="2"/>
        <v>25</v>
      </c>
    </row>
    <row r="53" spans="1:16" ht="15" customHeight="1" x14ac:dyDescent="0.25">
      <c r="A53" s="111" t="s">
        <v>18</v>
      </c>
      <c r="B53" s="120" t="s">
        <v>2513</v>
      </c>
      <c r="C53" s="116">
        <f t="shared" si="0"/>
        <v>154</v>
      </c>
      <c r="D53" s="111">
        <v>0</v>
      </c>
      <c r="G53" s="116" t="s">
        <v>29</v>
      </c>
      <c r="H53" s="111" t="s">
        <v>2589</v>
      </c>
      <c r="I53" s="111">
        <v>333821</v>
      </c>
      <c r="J53" s="111">
        <v>131</v>
      </c>
      <c r="K53" s="111" t="s">
        <v>20</v>
      </c>
      <c r="L53" s="111">
        <v>1</v>
      </c>
      <c r="M53" s="117">
        <v>0</v>
      </c>
      <c r="N53" s="117">
        <f t="shared" si="3"/>
        <v>0</v>
      </c>
      <c r="O53" s="111" t="s">
        <v>21</v>
      </c>
      <c r="P53" s="111">
        <f t="shared" si="2"/>
        <v>25</v>
      </c>
    </row>
    <row r="54" spans="1:16" ht="15" customHeight="1" x14ac:dyDescent="0.25">
      <c r="A54" s="111" t="s">
        <v>18</v>
      </c>
      <c r="B54" s="120" t="s">
        <v>443</v>
      </c>
      <c r="C54" s="116">
        <f t="shared" si="0"/>
        <v>155</v>
      </c>
      <c r="D54" s="111">
        <v>1</v>
      </c>
      <c r="G54" s="116" t="s">
        <v>37</v>
      </c>
      <c r="H54" s="111" t="s">
        <v>878</v>
      </c>
      <c r="I54" s="111">
        <v>64277</v>
      </c>
      <c r="J54" s="111">
        <v>331</v>
      </c>
      <c r="K54" s="111" t="s">
        <v>20</v>
      </c>
      <c r="L54" s="111">
        <v>1</v>
      </c>
      <c r="M54" s="117">
        <v>3240000</v>
      </c>
      <c r="N54" s="117">
        <f t="shared" si="3"/>
        <v>3240000</v>
      </c>
      <c r="O54" s="111" t="s">
        <v>21</v>
      </c>
      <c r="P54" s="111">
        <f t="shared" si="2"/>
        <v>26</v>
      </c>
    </row>
    <row r="55" spans="1:16" ht="15" customHeight="1" x14ac:dyDescent="0.25">
      <c r="A55" s="111" t="s">
        <v>18</v>
      </c>
      <c r="B55" s="120" t="s">
        <v>310</v>
      </c>
      <c r="C55" s="116">
        <f t="shared" si="0"/>
        <v>156</v>
      </c>
      <c r="D55" s="111">
        <v>1</v>
      </c>
      <c r="G55" s="116" t="s">
        <v>52</v>
      </c>
      <c r="H55" s="111" t="s">
        <v>952</v>
      </c>
      <c r="I55" s="111">
        <v>64277</v>
      </c>
      <c r="J55" s="111">
        <v>331</v>
      </c>
      <c r="K55" s="111" t="s">
        <v>20</v>
      </c>
      <c r="L55" s="111">
        <v>1</v>
      </c>
      <c r="M55" s="117">
        <v>989280</v>
      </c>
      <c r="N55" s="117">
        <f t="shared" si="3"/>
        <v>989280</v>
      </c>
      <c r="O55" s="111" t="s">
        <v>21</v>
      </c>
      <c r="P55" s="111">
        <f t="shared" si="2"/>
        <v>27</v>
      </c>
    </row>
    <row r="56" spans="1:16" ht="15" customHeight="1" x14ac:dyDescent="0.25">
      <c r="A56" s="111" t="s">
        <v>18</v>
      </c>
      <c r="B56" s="120" t="s">
        <v>375</v>
      </c>
      <c r="C56" s="116">
        <f t="shared" si="0"/>
        <v>157</v>
      </c>
      <c r="D56" s="111">
        <v>1</v>
      </c>
      <c r="G56" s="116" t="s">
        <v>281</v>
      </c>
      <c r="H56" s="111" t="s">
        <v>908</v>
      </c>
      <c r="I56" s="111">
        <v>64276</v>
      </c>
      <c r="J56" s="111">
        <v>331</v>
      </c>
      <c r="K56" s="111" t="s">
        <v>20</v>
      </c>
      <c r="L56" s="111">
        <v>1</v>
      </c>
      <c r="M56" s="117">
        <v>1670000</v>
      </c>
      <c r="N56" s="117">
        <f t="shared" si="3"/>
        <v>1670000</v>
      </c>
      <c r="O56" s="111" t="s">
        <v>21</v>
      </c>
      <c r="P56" s="111">
        <f t="shared" si="2"/>
        <v>28</v>
      </c>
    </row>
    <row r="57" spans="1:16" ht="15" customHeight="1" x14ac:dyDescent="0.25">
      <c r="A57" s="111" t="s">
        <v>18</v>
      </c>
      <c r="B57" s="120" t="s">
        <v>866</v>
      </c>
      <c r="C57" s="116">
        <f t="shared" si="0"/>
        <v>158</v>
      </c>
      <c r="D57" s="111">
        <v>1</v>
      </c>
      <c r="G57" s="116" t="s">
        <v>871</v>
      </c>
      <c r="H57" s="111" t="s">
        <v>953</v>
      </c>
      <c r="I57" s="111">
        <v>64277</v>
      </c>
      <c r="J57" s="111">
        <v>331</v>
      </c>
      <c r="K57" s="111" t="s">
        <v>20</v>
      </c>
      <c r="L57" s="111">
        <v>1</v>
      </c>
      <c r="M57" s="117">
        <v>1761480</v>
      </c>
      <c r="N57" s="117">
        <f t="shared" si="3"/>
        <v>1761480</v>
      </c>
      <c r="O57" s="111" t="s">
        <v>21</v>
      </c>
      <c r="P57" s="111">
        <f t="shared" si="2"/>
        <v>29</v>
      </c>
    </row>
    <row r="58" spans="1:16" ht="15" customHeight="1" x14ac:dyDescent="0.25">
      <c r="A58" s="111" t="s">
        <v>18</v>
      </c>
      <c r="B58" s="120" t="s">
        <v>867</v>
      </c>
      <c r="C58" s="116">
        <f t="shared" si="0"/>
        <v>159</v>
      </c>
      <c r="D58" s="111">
        <v>1</v>
      </c>
      <c r="G58" s="116" t="s">
        <v>872</v>
      </c>
      <c r="H58" s="111" t="s">
        <v>954</v>
      </c>
      <c r="I58" s="111">
        <v>64277</v>
      </c>
      <c r="J58" s="111">
        <v>331</v>
      </c>
      <c r="K58" s="111" t="s">
        <v>20</v>
      </c>
      <c r="L58" s="111">
        <v>1</v>
      </c>
      <c r="M58" s="117">
        <v>853200</v>
      </c>
      <c r="N58" s="117">
        <f t="shared" si="3"/>
        <v>853200</v>
      </c>
      <c r="O58" s="111" t="s">
        <v>21</v>
      </c>
      <c r="P58" s="111">
        <f t="shared" si="2"/>
        <v>30</v>
      </c>
    </row>
    <row r="59" spans="1:16" ht="15" customHeight="1" x14ac:dyDescent="0.25">
      <c r="A59" s="111" t="s">
        <v>18</v>
      </c>
      <c r="B59" s="120" t="s">
        <v>867</v>
      </c>
      <c r="C59" s="116">
        <f t="shared" si="0"/>
        <v>160</v>
      </c>
      <c r="D59" s="111">
        <v>1</v>
      </c>
      <c r="G59" s="116" t="s">
        <v>39</v>
      </c>
      <c r="H59" s="111" t="s">
        <v>955</v>
      </c>
      <c r="I59" s="111">
        <v>64277</v>
      </c>
      <c r="J59" s="111">
        <v>331</v>
      </c>
      <c r="K59" s="111" t="s">
        <v>20</v>
      </c>
      <c r="L59" s="111">
        <v>1</v>
      </c>
      <c r="M59" s="117">
        <v>480600</v>
      </c>
      <c r="N59" s="117">
        <f t="shared" si="3"/>
        <v>480600</v>
      </c>
      <c r="O59" s="111" t="s">
        <v>21</v>
      </c>
      <c r="P59" s="111">
        <f t="shared" si="2"/>
        <v>31</v>
      </c>
    </row>
    <row r="60" spans="1:16" ht="15" customHeight="1" x14ac:dyDescent="0.25">
      <c r="A60" s="111" t="s">
        <v>18</v>
      </c>
      <c r="B60" s="120" t="s">
        <v>868</v>
      </c>
      <c r="C60" s="116">
        <f t="shared" si="0"/>
        <v>161</v>
      </c>
      <c r="D60" s="111">
        <v>1</v>
      </c>
      <c r="G60" s="116" t="s">
        <v>19</v>
      </c>
      <c r="H60" s="111" t="s">
        <v>881</v>
      </c>
      <c r="I60" s="111">
        <v>64277</v>
      </c>
      <c r="J60" s="111">
        <v>331</v>
      </c>
      <c r="K60" s="111" t="s">
        <v>20</v>
      </c>
      <c r="L60" s="111">
        <v>1</v>
      </c>
      <c r="M60" s="117">
        <v>216000</v>
      </c>
      <c r="N60" s="117">
        <f t="shared" si="3"/>
        <v>216000</v>
      </c>
      <c r="O60" s="111" t="s">
        <v>21</v>
      </c>
      <c r="P60" s="111">
        <f t="shared" si="2"/>
        <v>32</v>
      </c>
    </row>
    <row r="61" spans="1:16" ht="15" customHeight="1" x14ac:dyDescent="0.25">
      <c r="A61" s="111" t="s">
        <v>18</v>
      </c>
      <c r="B61" s="120" t="s">
        <v>868</v>
      </c>
      <c r="C61" s="116">
        <f t="shared" si="0"/>
        <v>162</v>
      </c>
      <c r="D61" s="111">
        <v>1</v>
      </c>
      <c r="G61" s="116" t="s">
        <v>19</v>
      </c>
      <c r="H61" s="111" t="s">
        <v>882</v>
      </c>
      <c r="I61" s="111">
        <v>64277</v>
      </c>
      <c r="J61" s="111">
        <v>331</v>
      </c>
      <c r="K61" s="111" t="s">
        <v>20</v>
      </c>
      <c r="L61" s="111">
        <v>1</v>
      </c>
      <c r="M61" s="117">
        <v>147000</v>
      </c>
      <c r="N61" s="117">
        <f t="shared" si="3"/>
        <v>147000</v>
      </c>
      <c r="O61" s="111" t="s">
        <v>21</v>
      </c>
      <c r="P61" s="111">
        <f t="shared" si="2"/>
        <v>33</v>
      </c>
    </row>
    <row r="62" spans="1:16" ht="15" customHeight="1" x14ac:dyDescent="0.25">
      <c r="A62" s="111" t="s">
        <v>18</v>
      </c>
      <c r="B62" s="120" t="s">
        <v>511</v>
      </c>
      <c r="C62" s="116">
        <f t="shared" si="0"/>
        <v>163</v>
      </c>
      <c r="D62" s="111">
        <v>1</v>
      </c>
      <c r="G62" s="116" t="s">
        <v>19</v>
      </c>
      <c r="H62" s="111" t="s">
        <v>883</v>
      </c>
      <c r="I62" s="111">
        <v>64277</v>
      </c>
      <c r="J62" s="111">
        <v>331</v>
      </c>
      <c r="K62" s="111" t="s">
        <v>20</v>
      </c>
      <c r="L62" s="111">
        <v>1</v>
      </c>
      <c r="M62" s="117">
        <v>76000</v>
      </c>
      <c r="N62" s="117">
        <f t="shared" si="3"/>
        <v>76000</v>
      </c>
      <c r="O62" s="111" t="s">
        <v>21</v>
      </c>
      <c r="P62" s="111">
        <f t="shared" si="2"/>
        <v>34</v>
      </c>
    </row>
    <row r="63" spans="1:16" ht="15" customHeight="1" x14ac:dyDescent="0.25">
      <c r="A63" s="111" t="s">
        <v>18</v>
      </c>
      <c r="B63" s="120" t="s">
        <v>511</v>
      </c>
      <c r="C63" s="116">
        <f t="shared" si="0"/>
        <v>164</v>
      </c>
      <c r="D63" s="111">
        <v>1</v>
      </c>
      <c r="G63" s="116" t="s">
        <v>19</v>
      </c>
      <c r="H63" s="111" t="s">
        <v>884</v>
      </c>
      <c r="I63" s="111">
        <v>64277</v>
      </c>
      <c r="J63" s="111">
        <v>331</v>
      </c>
      <c r="K63" s="111" t="s">
        <v>20</v>
      </c>
      <c r="L63" s="111">
        <v>1</v>
      </c>
      <c r="M63" s="117">
        <v>74000</v>
      </c>
      <c r="N63" s="117">
        <f t="shared" si="3"/>
        <v>74000</v>
      </c>
      <c r="O63" s="111" t="s">
        <v>21</v>
      </c>
      <c r="P63" s="111">
        <f t="shared" si="2"/>
        <v>35</v>
      </c>
    </row>
    <row r="64" spans="1:16" ht="15" customHeight="1" x14ac:dyDescent="0.25">
      <c r="A64" s="111" t="s">
        <v>18</v>
      </c>
      <c r="B64" s="120" t="s">
        <v>447</v>
      </c>
      <c r="C64" s="116">
        <f t="shared" si="0"/>
        <v>165</v>
      </c>
      <c r="D64" s="111">
        <v>1</v>
      </c>
      <c r="G64" s="116" t="s">
        <v>19</v>
      </c>
      <c r="H64" s="111" t="s">
        <v>885</v>
      </c>
      <c r="I64" s="111">
        <v>64277</v>
      </c>
      <c r="J64" s="111">
        <v>331</v>
      </c>
      <c r="K64" s="111" t="s">
        <v>20</v>
      </c>
      <c r="L64" s="111">
        <v>1</v>
      </c>
      <c r="M64" s="117">
        <v>66000</v>
      </c>
      <c r="N64" s="117">
        <f t="shared" si="3"/>
        <v>66000</v>
      </c>
      <c r="O64" s="111" t="s">
        <v>21</v>
      </c>
      <c r="P64" s="111">
        <f t="shared" si="2"/>
        <v>36</v>
      </c>
    </row>
    <row r="65" spans="1:16" ht="15" customHeight="1" x14ac:dyDescent="0.25">
      <c r="A65" s="111" t="s">
        <v>18</v>
      </c>
      <c r="B65" s="120" t="s">
        <v>468</v>
      </c>
      <c r="C65" s="116">
        <f t="shared" si="0"/>
        <v>166</v>
      </c>
      <c r="D65" s="111">
        <v>1</v>
      </c>
      <c r="G65" s="116" t="s">
        <v>873</v>
      </c>
      <c r="H65" s="111" t="s">
        <v>956</v>
      </c>
      <c r="I65" s="111">
        <v>64277</v>
      </c>
      <c r="J65" s="111">
        <v>331</v>
      </c>
      <c r="K65" s="111" t="s">
        <v>20</v>
      </c>
      <c r="L65" s="111">
        <v>1</v>
      </c>
      <c r="M65" s="117">
        <v>1600000</v>
      </c>
      <c r="N65" s="117">
        <f t="shared" si="3"/>
        <v>1600000</v>
      </c>
      <c r="O65" s="111" t="s">
        <v>21</v>
      </c>
      <c r="P65" s="111">
        <f t="shared" si="2"/>
        <v>37</v>
      </c>
    </row>
    <row r="66" spans="1:16" ht="15" customHeight="1" x14ac:dyDescent="0.25">
      <c r="A66" s="111" t="s">
        <v>18</v>
      </c>
      <c r="B66" s="120" t="s">
        <v>599</v>
      </c>
      <c r="C66" s="116">
        <f t="shared" si="0"/>
        <v>167</v>
      </c>
      <c r="D66" s="111">
        <v>1</v>
      </c>
      <c r="G66" s="116" t="s">
        <v>25</v>
      </c>
      <c r="H66" s="111" t="s">
        <v>957</v>
      </c>
      <c r="I66" s="111">
        <v>64277</v>
      </c>
      <c r="J66" s="111">
        <v>331</v>
      </c>
      <c r="K66" s="111" t="s">
        <v>20</v>
      </c>
      <c r="L66" s="111">
        <v>1</v>
      </c>
      <c r="M66" s="117">
        <v>1129680</v>
      </c>
      <c r="N66" s="117">
        <f t="shared" si="3"/>
        <v>1129680</v>
      </c>
      <c r="O66" s="111" t="s">
        <v>21</v>
      </c>
      <c r="P66" s="111">
        <f t="shared" si="2"/>
        <v>38</v>
      </c>
    </row>
    <row r="67" spans="1:16" ht="15" customHeight="1" x14ac:dyDescent="0.25">
      <c r="A67" s="111" t="s">
        <v>18</v>
      </c>
      <c r="B67" s="120" t="s">
        <v>469</v>
      </c>
      <c r="C67" s="116">
        <f t="shared" si="0"/>
        <v>168</v>
      </c>
      <c r="D67" s="111">
        <v>1</v>
      </c>
      <c r="G67" s="116" t="s">
        <v>19</v>
      </c>
      <c r="H67" s="111" t="s">
        <v>886</v>
      </c>
      <c r="I67" s="111">
        <v>64277</v>
      </c>
      <c r="J67" s="111">
        <v>331</v>
      </c>
      <c r="K67" s="111" t="s">
        <v>20</v>
      </c>
      <c r="L67" s="111">
        <v>1</v>
      </c>
      <c r="M67" s="117">
        <v>155000</v>
      </c>
      <c r="N67" s="117">
        <f t="shared" si="3"/>
        <v>155000</v>
      </c>
      <c r="O67" s="111" t="s">
        <v>21</v>
      </c>
      <c r="P67" s="111">
        <f t="shared" si="2"/>
        <v>39</v>
      </c>
    </row>
    <row r="68" spans="1:16" ht="15" customHeight="1" x14ac:dyDescent="0.25">
      <c r="A68" s="111" t="s">
        <v>18</v>
      </c>
      <c r="B68" s="120" t="s">
        <v>469</v>
      </c>
      <c r="C68" s="116">
        <f t="shared" ref="C68:C131" si="4">C67+D68</f>
        <v>169</v>
      </c>
      <c r="D68" s="111">
        <v>1</v>
      </c>
      <c r="G68" s="116" t="s">
        <v>19</v>
      </c>
      <c r="H68" s="111" t="s">
        <v>887</v>
      </c>
      <c r="I68" s="111">
        <v>64277</v>
      </c>
      <c r="J68" s="111">
        <v>331</v>
      </c>
      <c r="K68" s="111" t="s">
        <v>20</v>
      </c>
      <c r="L68" s="111">
        <v>1</v>
      </c>
      <c r="M68" s="117">
        <v>113000</v>
      </c>
      <c r="N68" s="117">
        <f t="shared" ref="N68:N99" si="5">M68*L68</f>
        <v>113000</v>
      </c>
      <c r="O68" s="111" t="s">
        <v>21</v>
      </c>
      <c r="P68" s="111">
        <f t="shared" si="2"/>
        <v>40</v>
      </c>
    </row>
    <row r="69" spans="1:16" ht="15" customHeight="1" x14ac:dyDescent="0.25">
      <c r="A69" s="111" t="s">
        <v>18</v>
      </c>
      <c r="B69" s="120" t="s">
        <v>415</v>
      </c>
      <c r="C69" s="116">
        <f t="shared" si="4"/>
        <v>170</v>
      </c>
      <c r="D69" s="111">
        <v>1</v>
      </c>
      <c r="G69" s="116" t="s">
        <v>25</v>
      </c>
      <c r="H69" s="111" t="s">
        <v>958</v>
      </c>
      <c r="I69" s="111">
        <v>64277</v>
      </c>
      <c r="J69" s="111">
        <v>331</v>
      </c>
      <c r="K69" s="111" t="s">
        <v>20</v>
      </c>
      <c r="L69" s="111">
        <v>1</v>
      </c>
      <c r="M69" s="117">
        <v>1100521</v>
      </c>
      <c r="N69" s="117">
        <f t="shared" si="5"/>
        <v>1100521</v>
      </c>
      <c r="O69" s="111" t="s">
        <v>21</v>
      </c>
      <c r="P69" s="111">
        <f t="shared" si="2"/>
        <v>41</v>
      </c>
    </row>
    <row r="70" spans="1:16" ht="15" customHeight="1" x14ac:dyDescent="0.25">
      <c r="A70" s="111" t="s">
        <v>18</v>
      </c>
      <c r="B70" s="120" t="s">
        <v>415</v>
      </c>
      <c r="C70" s="116">
        <f t="shared" si="4"/>
        <v>171</v>
      </c>
      <c r="D70" s="111">
        <v>1</v>
      </c>
      <c r="G70" s="116" t="s">
        <v>19</v>
      </c>
      <c r="H70" s="111" t="s">
        <v>888</v>
      </c>
      <c r="I70" s="111">
        <v>64277</v>
      </c>
      <c r="J70" s="111">
        <v>331</v>
      </c>
      <c r="K70" s="111" t="s">
        <v>20</v>
      </c>
      <c r="L70" s="111">
        <v>1</v>
      </c>
      <c r="M70" s="117">
        <v>74000</v>
      </c>
      <c r="N70" s="117">
        <f t="shared" si="5"/>
        <v>74000</v>
      </c>
      <c r="O70" s="111" t="s">
        <v>21</v>
      </c>
      <c r="P70" s="111">
        <f t="shared" ref="P70:P133" si="6">P69+D70</f>
        <v>42</v>
      </c>
    </row>
    <row r="71" spans="1:16" ht="15" customHeight="1" x14ac:dyDescent="0.25">
      <c r="A71" s="111" t="s">
        <v>18</v>
      </c>
      <c r="B71" s="120" t="s">
        <v>512</v>
      </c>
      <c r="C71" s="116">
        <f t="shared" si="4"/>
        <v>172</v>
      </c>
      <c r="D71" s="111">
        <v>1</v>
      </c>
      <c r="G71" s="116" t="s">
        <v>19</v>
      </c>
      <c r="H71" s="111" t="s">
        <v>889</v>
      </c>
      <c r="I71" s="111">
        <v>64277</v>
      </c>
      <c r="J71" s="111">
        <v>331</v>
      </c>
      <c r="K71" s="111" t="s">
        <v>20</v>
      </c>
      <c r="L71" s="111">
        <v>1</v>
      </c>
      <c r="M71" s="117">
        <v>36000</v>
      </c>
      <c r="N71" s="117">
        <f t="shared" si="5"/>
        <v>36000</v>
      </c>
      <c r="O71" s="111" t="s">
        <v>21</v>
      </c>
      <c r="P71" s="111">
        <f t="shared" si="6"/>
        <v>43</v>
      </c>
    </row>
    <row r="72" spans="1:16" ht="15" customHeight="1" x14ac:dyDescent="0.25">
      <c r="A72" s="111" t="s">
        <v>18</v>
      </c>
      <c r="B72" s="120" t="s">
        <v>652</v>
      </c>
      <c r="C72" s="116">
        <f t="shared" si="4"/>
        <v>173</v>
      </c>
      <c r="D72" s="111">
        <v>1</v>
      </c>
      <c r="G72" s="116" t="s">
        <v>19</v>
      </c>
      <c r="H72" s="111" t="s">
        <v>890</v>
      </c>
      <c r="I72" s="111">
        <v>64277</v>
      </c>
      <c r="J72" s="111">
        <v>331</v>
      </c>
      <c r="K72" s="111" t="s">
        <v>20</v>
      </c>
      <c r="L72" s="111">
        <v>1</v>
      </c>
      <c r="M72" s="117">
        <v>89000</v>
      </c>
      <c r="N72" s="117">
        <f t="shared" si="5"/>
        <v>89000</v>
      </c>
      <c r="O72" s="111" t="s">
        <v>21</v>
      </c>
      <c r="P72" s="111">
        <f t="shared" si="6"/>
        <v>44</v>
      </c>
    </row>
    <row r="73" spans="1:16" ht="15" customHeight="1" x14ac:dyDescent="0.25">
      <c r="A73" s="111" t="s">
        <v>18</v>
      </c>
      <c r="B73" s="120" t="s">
        <v>869</v>
      </c>
      <c r="C73" s="116">
        <f t="shared" si="4"/>
        <v>174</v>
      </c>
      <c r="D73" s="111">
        <v>1</v>
      </c>
      <c r="G73" s="116" t="s">
        <v>19</v>
      </c>
      <c r="H73" s="111" t="s">
        <v>891</v>
      </c>
      <c r="I73" s="111">
        <v>64277</v>
      </c>
      <c r="J73" s="111">
        <v>331</v>
      </c>
      <c r="K73" s="111" t="s">
        <v>20</v>
      </c>
      <c r="L73" s="111">
        <v>1</v>
      </c>
      <c r="M73" s="117">
        <v>81000</v>
      </c>
      <c r="N73" s="117">
        <f t="shared" si="5"/>
        <v>81000</v>
      </c>
      <c r="O73" s="111" t="s">
        <v>21</v>
      </c>
      <c r="P73" s="111">
        <f t="shared" si="6"/>
        <v>45</v>
      </c>
    </row>
    <row r="74" spans="1:16" ht="15" customHeight="1" x14ac:dyDescent="0.25">
      <c r="A74" s="111" t="s">
        <v>18</v>
      </c>
      <c r="B74" s="120" t="s">
        <v>377</v>
      </c>
      <c r="C74" s="116">
        <f t="shared" si="4"/>
        <v>175</v>
      </c>
      <c r="D74" s="111">
        <v>1</v>
      </c>
      <c r="G74" s="116" t="s">
        <v>37</v>
      </c>
      <c r="H74" s="111" t="s">
        <v>879</v>
      </c>
      <c r="I74" s="111">
        <v>64277</v>
      </c>
      <c r="J74" s="111">
        <v>331</v>
      </c>
      <c r="K74" s="111" t="s">
        <v>20</v>
      </c>
      <c r="L74" s="111">
        <v>1</v>
      </c>
      <c r="M74" s="117">
        <v>3240000</v>
      </c>
      <c r="N74" s="117">
        <f t="shared" si="5"/>
        <v>3240000</v>
      </c>
      <c r="O74" s="111" t="s">
        <v>21</v>
      </c>
      <c r="P74" s="111">
        <f t="shared" si="6"/>
        <v>46</v>
      </c>
    </row>
    <row r="75" spans="1:16" ht="15" customHeight="1" x14ac:dyDescent="0.25">
      <c r="A75" s="111" t="s">
        <v>18</v>
      </c>
      <c r="B75" s="120" t="s">
        <v>377</v>
      </c>
      <c r="C75" s="116">
        <f t="shared" si="4"/>
        <v>176</v>
      </c>
      <c r="D75" s="111">
        <v>1</v>
      </c>
      <c r="G75" s="116" t="s">
        <v>24</v>
      </c>
      <c r="H75" s="111" t="s">
        <v>903</v>
      </c>
      <c r="I75" s="111">
        <v>64277</v>
      </c>
      <c r="J75" s="111">
        <v>331</v>
      </c>
      <c r="K75" s="111" t="s">
        <v>20</v>
      </c>
      <c r="L75" s="111">
        <v>1</v>
      </c>
      <c r="M75" s="117">
        <v>34000</v>
      </c>
      <c r="N75" s="117">
        <f t="shared" si="5"/>
        <v>34000</v>
      </c>
      <c r="O75" s="111" t="s">
        <v>21</v>
      </c>
      <c r="P75" s="111">
        <f t="shared" si="6"/>
        <v>47</v>
      </c>
    </row>
    <row r="76" spans="1:16" ht="15" customHeight="1" x14ac:dyDescent="0.25">
      <c r="A76" s="111" t="s">
        <v>18</v>
      </c>
      <c r="B76" s="120" t="s">
        <v>470</v>
      </c>
      <c r="C76" s="116">
        <f t="shared" si="4"/>
        <v>177</v>
      </c>
      <c r="D76" s="111">
        <v>1</v>
      </c>
      <c r="G76" s="116" t="s">
        <v>24</v>
      </c>
      <c r="H76" s="111" t="s">
        <v>904</v>
      </c>
      <c r="I76" s="111">
        <v>64277</v>
      </c>
      <c r="J76" s="111">
        <v>331</v>
      </c>
      <c r="K76" s="111" t="s">
        <v>20</v>
      </c>
      <c r="L76" s="111">
        <v>1</v>
      </c>
      <c r="M76" s="117">
        <v>52000</v>
      </c>
      <c r="N76" s="117">
        <f t="shared" si="5"/>
        <v>52000</v>
      </c>
      <c r="O76" s="111" t="s">
        <v>21</v>
      </c>
      <c r="P76" s="111">
        <f t="shared" si="6"/>
        <v>48</v>
      </c>
    </row>
    <row r="77" spans="1:16" ht="15" customHeight="1" x14ac:dyDescent="0.25">
      <c r="A77" s="111" t="s">
        <v>18</v>
      </c>
      <c r="B77" s="120" t="s">
        <v>470</v>
      </c>
      <c r="C77" s="116">
        <f t="shared" si="4"/>
        <v>178</v>
      </c>
      <c r="D77" s="111">
        <v>1</v>
      </c>
      <c r="G77" s="116" t="s">
        <v>19</v>
      </c>
      <c r="H77" s="111" t="s">
        <v>892</v>
      </c>
      <c r="I77" s="111">
        <v>64277</v>
      </c>
      <c r="J77" s="111">
        <v>331</v>
      </c>
      <c r="K77" s="111" t="s">
        <v>20</v>
      </c>
      <c r="L77" s="111">
        <v>1</v>
      </c>
      <c r="M77" s="117">
        <v>57000</v>
      </c>
      <c r="N77" s="117">
        <f t="shared" si="5"/>
        <v>57000</v>
      </c>
      <c r="O77" s="111" t="s">
        <v>21</v>
      </c>
      <c r="P77" s="111">
        <f t="shared" si="6"/>
        <v>49</v>
      </c>
    </row>
    <row r="78" spans="1:16" ht="15" customHeight="1" x14ac:dyDescent="0.25">
      <c r="A78" s="111" t="s">
        <v>18</v>
      </c>
      <c r="B78" s="120" t="s">
        <v>317</v>
      </c>
      <c r="C78" s="116">
        <f t="shared" si="4"/>
        <v>179</v>
      </c>
      <c r="D78" s="111">
        <v>1</v>
      </c>
      <c r="G78" s="116" t="s">
        <v>19</v>
      </c>
      <c r="H78" s="111" t="s">
        <v>893</v>
      </c>
      <c r="I78" s="111">
        <v>64277</v>
      </c>
      <c r="J78" s="111">
        <v>331</v>
      </c>
      <c r="K78" s="111" t="s">
        <v>20</v>
      </c>
      <c r="L78" s="111">
        <v>1</v>
      </c>
      <c r="M78" s="117">
        <v>55000</v>
      </c>
      <c r="N78" s="117">
        <f t="shared" si="5"/>
        <v>55000</v>
      </c>
      <c r="O78" s="111" t="s">
        <v>21</v>
      </c>
      <c r="P78" s="111">
        <f t="shared" si="6"/>
        <v>50</v>
      </c>
    </row>
    <row r="79" spans="1:16" ht="15" customHeight="1" x14ac:dyDescent="0.25">
      <c r="A79" s="111" t="s">
        <v>18</v>
      </c>
      <c r="B79" s="120" t="s">
        <v>317</v>
      </c>
      <c r="C79" s="116">
        <f t="shared" si="4"/>
        <v>180</v>
      </c>
      <c r="D79" s="111">
        <v>1</v>
      </c>
      <c r="G79" s="116" t="s">
        <v>19</v>
      </c>
      <c r="H79" s="111" t="s">
        <v>894</v>
      </c>
      <c r="I79" s="111">
        <v>64277</v>
      </c>
      <c r="J79" s="111">
        <v>331</v>
      </c>
      <c r="K79" s="111" t="s">
        <v>20</v>
      </c>
      <c r="L79" s="111">
        <v>1</v>
      </c>
      <c r="M79" s="117">
        <v>117000</v>
      </c>
      <c r="N79" s="117">
        <f t="shared" si="5"/>
        <v>117000</v>
      </c>
      <c r="O79" s="111" t="s">
        <v>21</v>
      </c>
      <c r="P79" s="111">
        <f t="shared" si="6"/>
        <v>51</v>
      </c>
    </row>
    <row r="80" spans="1:16" ht="15" customHeight="1" x14ac:dyDescent="0.25">
      <c r="A80" s="111" t="s">
        <v>18</v>
      </c>
      <c r="B80" s="120" t="s">
        <v>471</v>
      </c>
      <c r="C80" s="116">
        <f t="shared" si="4"/>
        <v>181</v>
      </c>
      <c r="D80" s="111">
        <v>1</v>
      </c>
      <c r="G80" s="116" t="s">
        <v>874</v>
      </c>
      <c r="H80" s="111" t="s">
        <v>959</v>
      </c>
      <c r="I80" s="111">
        <v>64277</v>
      </c>
      <c r="J80" s="111">
        <v>331</v>
      </c>
      <c r="K80" s="111" t="s">
        <v>20</v>
      </c>
      <c r="L80" s="111">
        <v>1</v>
      </c>
      <c r="M80" s="117">
        <v>754110</v>
      </c>
      <c r="N80" s="117">
        <f t="shared" si="5"/>
        <v>754110</v>
      </c>
      <c r="O80" s="111" t="s">
        <v>21</v>
      </c>
      <c r="P80" s="111">
        <f t="shared" si="6"/>
        <v>52</v>
      </c>
    </row>
    <row r="81" spans="1:16" ht="15" customHeight="1" x14ac:dyDescent="0.25">
      <c r="A81" s="111" t="s">
        <v>18</v>
      </c>
      <c r="B81" s="120" t="s">
        <v>601</v>
      </c>
      <c r="C81" s="116">
        <f t="shared" si="4"/>
        <v>182</v>
      </c>
      <c r="D81" s="111">
        <v>1</v>
      </c>
      <c r="G81" s="116" t="s">
        <v>19</v>
      </c>
      <c r="H81" s="111" t="s">
        <v>895</v>
      </c>
      <c r="I81" s="111">
        <v>64277</v>
      </c>
      <c r="J81" s="111">
        <v>331</v>
      </c>
      <c r="K81" s="111" t="s">
        <v>20</v>
      </c>
      <c r="L81" s="111">
        <v>1</v>
      </c>
      <c r="M81" s="117">
        <v>159000</v>
      </c>
      <c r="N81" s="117">
        <f t="shared" si="5"/>
        <v>159000</v>
      </c>
      <c r="O81" s="111" t="s">
        <v>21</v>
      </c>
      <c r="P81" s="111">
        <f t="shared" si="6"/>
        <v>53</v>
      </c>
    </row>
    <row r="82" spans="1:16" ht="15" customHeight="1" x14ac:dyDescent="0.25">
      <c r="A82" s="111" t="s">
        <v>18</v>
      </c>
      <c r="B82" s="120" t="s">
        <v>601</v>
      </c>
      <c r="C82" s="116">
        <f t="shared" si="4"/>
        <v>183</v>
      </c>
      <c r="D82" s="111">
        <v>1</v>
      </c>
      <c r="G82" s="116" t="s">
        <v>19</v>
      </c>
      <c r="H82" s="111" t="s">
        <v>896</v>
      </c>
      <c r="I82" s="111">
        <v>64277</v>
      </c>
      <c r="J82" s="111">
        <v>331</v>
      </c>
      <c r="K82" s="111" t="s">
        <v>20</v>
      </c>
      <c r="L82" s="111">
        <v>1</v>
      </c>
      <c r="M82" s="117">
        <v>99000</v>
      </c>
      <c r="N82" s="117">
        <f t="shared" si="5"/>
        <v>99000</v>
      </c>
      <c r="O82" s="111" t="s">
        <v>21</v>
      </c>
      <c r="P82" s="111">
        <f t="shared" si="6"/>
        <v>54</v>
      </c>
    </row>
    <row r="83" spans="1:16" ht="15" customHeight="1" x14ac:dyDescent="0.25">
      <c r="A83" s="111" t="s">
        <v>18</v>
      </c>
      <c r="B83" s="120" t="s">
        <v>513</v>
      </c>
      <c r="C83" s="116">
        <f t="shared" si="4"/>
        <v>184</v>
      </c>
      <c r="D83" s="111">
        <v>1</v>
      </c>
      <c r="G83" s="116" t="s">
        <v>875</v>
      </c>
      <c r="H83" s="111" t="s">
        <v>960</v>
      </c>
      <c r="I83" s="111">
        <v>64277</v>
      </c>
      <c r="J83" s="111">
        <v>331</v>
      </c>
      <c r="K83" s="111" t="s">
        <v>20</v>
      </c>
      <c r="L83" s="111">
        <v>1</v>
      </c>
      <c r="M83" s="117">
        <v>632880</v>
      </c>
      <c r="N83" s="117">
        <f t="shared" si="5"/>
        <v>632880</v>
      </c>
      <c r="O83" s="111" t="s">
        <v>21</v>
      </c>
      <c r="P83" s="111">
        <f t="shared" si="6"/>
        <v>55</v>
      </c>
    </row>
    <row r="84" spans="1:16" ht="15" customHeight="1" x14ac:dyDescent="0.25">
      <c r="A84" s="111" t="s">
        <v>18</v>
      </c>
      <c r="B84" s="120" t="s">
        <v>513</v>
      </c>
      <c r="C84" s="116">
        <f t="shared" si="4"/>
        <v>185</v>
      </c>
      <c r="D84" s="111">
        <v>1</v>
      </c>
      <c r="G84" s="116" t="s">
        <v>19</v>
      </c>
      <c r="H84" s="111" t="s">
        <v>897</v>
      </c>
      <c r="I84" s="111">
        <v>64277</v>
      </c>
      <c r="J84" s="111">
        <v>331</v>
      </c>
      <c r="K84" s="111" t="s">
        <v>20</v>
      </c>
      <c r="L84" s="111">
        <v>1</v>
      </c>
      <c r="M84" s="117">
        <v>95000</v>
      </c>
      <c r="N84" s="117">
        <f t="shared" si="5"/>
        <v>95000</v>
      </c>
      <c r="O84" s="111" t="s">
        <v>21</v>
      </c>
      <c r="P84" s="111">
        <f t="shared" si="6"/>
        <v>56</v>
      </c>
    </row>
    <row r="85" spans="1:16" ht="15" customHeight="1" x14ac:dyDescent="0.25">
      <c r="A85" s="111" t="s">
        <v>18</v>
      </c>
      <c r="B85" s="120" t="s">
        <v>513</v>
      </c>
      <c r="C85" s="116">
        <f t="shared" si="4"/>
        <v>186</v>
      </c>
      <c r="D85" s="111">
        <v>1</v>
      </c>
      <c r="G85" s="116" t="s">
        <v>19</v>
      </c>
      <c r="H85" s="111" t="s">
        <v>898</v>
      </c>
      <c r="I85" s="111">
        <v>64277</v>
      </c>
      <c r="J85" s="111">
        <v>331</v>
      </c>
      <c r="K85" s="111" t="s">
        <v>20</v>
      </c>
      <c r="L85" s="111">
        <v>1</v>
      </c>
      <c r="M85" s="117">
        <v>80000</v>
      </c>
      <c r="N85" s="117">
        <f t="shared" si="5"/>
        <v>80000</v>
      </c>
      <c r="O85" s="111" t="s">
        <v>21</v>
      </c>
      <c r="P85" s="111">
        <f t="shared" si="6"/>
        <v>57</v>
      </c>
    </row>
    <row r="86" spans="1:16" ht="15" customHeight="1" x14ac:dyDescent="0.25">
      <c r="A86" s="111" t="s">
        <v>18</v>
      </c>
      <c r="B86" s="120" t="s">
        <v>713</v>
      </c>
      <c r="C86" s="116">
        <f t="shared" si="4"/>
        <v>187</v>
      </c>
      <c r="D86" s="111">
        <v>1</v>
      </c>
      <c r="G86" s="116" t="s">
        <v>24</v>
      </c>
      <c r="H86" s="111" t="s">
        <v>905</v>
      </c>
      <c r="I86" s="111">
        <v>64277</v>
      </c>
      <c r="J86" s="111">
        <v>331</v>
      </c>
      <c r="K86" s="111" t="s">
        <v>20</v>
      </c>
      <c r="L86" s="111">
        <v>1</v>
      </c>
      <c r="M86" s="117">
        <v>107000</v>
      </c>
      <c r="N86" s="117">
        <f t="shared" si="5"/>
        <v>107000</v>
      </c>
      <c r="O86" s="111" t="s">
        <v>21</v>
      </c>
      <c r="P86" s="111">
        <f t="shared" si="6"/>
        <v>58</v>
      </c>
    </row>
    <row r="87" spans="1:16" ht="15" customHeight="1" x14ac:dyDescent="0.25">
      <c r="A87" s="111" t="s">
        <v>18</v>
      </c>
      <c r="B87" s="120" t="s">
        <v>514</v>
      </c>
      <c r="C87" s="116">
        <f t="shared" si="4"/>
        <v>188</v>
      </c>
      <c r="D87" s="111">
        <v>1</v>
      </c>
      <c r="G87" s="116" t="s">
        <v>61</v>
      </c>
      <c r="H87" s="111" t="s">
        <v>961</v>
      </c>
      <c r="I87" s="111">
        <v>64277</v>
      </c>
      <c r="J87" s="111">
        <v>331</v>
      </c>
      <c r="K87" s="111" t="s">
        <v>20</v>
      </c>
      <c r="L87" s="111">
        <v>1</v>
      </c>
      <c r="M87" s="117">
        <v>709560</v>
      </c>
      <c r="N87" s="117">
        <f t="shared" si="5"/>
        <v>709560</v>
      </c>
      <c r="O87" s="111" t="s">
        <v>21</v>
      </c>
      <c r="P87" s="111">
        <f t="shared" si="6"/>
        <v>59</v>
      </c>
    </row>
    <row r="88" spans="1:16" ht="15" customHeight="1" x14ac:dyDescent="0.25">
      <c r="A88" s="111" t="s">
        <v>18</v>
      </c>
      <c r="B88" s="120" t="s">
        <v>602</v>
      </c>
      <c r="C88" s="116">
        <f t="shared" si="4"/>
        <v>189</v>
      </c>
      <c r="D88" s="111">
        <v>1</v>
      </c>
      <c r="G88" s="116" t="s">
        <v>141</v>
      </c>
      <c r="H88" s="111" t="s">
        <v>962</v>
      </c>
      <c r="I88" s="111">
        <v>64277</v>
      </c>
      <c r="J88" s="111">
        <v>331</v>
      </c>
      <c r="K88" s="111" t="s">
        <v>20</v>
      </c>
      <c r="L88" s="111">
        <v>1</v>
      </c>
      <c r="M88" s="117">
        <v>490000</v>
      </c>
      <c r="N88" s="117">
        <f t="shared" si="5"/>
        <v>490000</v>
      </c>
      <c r="O88" s="111" t="s">
        <v>21</v>
      </c>
      <c r="P88" s="111">
        <f t="shared" si="6"/>
        <v>60</v>
      </c>
    </row>
    <row r="89" spans="1:16" ht="15" customHeight="1" x14ac:dyDescent="0.25">
      <c r="A89" s="111" t="s">
        <v>18</v>
      </c>
      <c r="B89" s="120" t="s">
        <v>602</v>
      </c>
      <c r="C89" s="116">
        <f t="shared" si="4"/>
        <v>190</v>
      </c>
      <c r="D89" s="111">
        <v>1</v>
      </c>
      <c r="G89" s="116" t="s">
        <v>19</v>
      </c>
      <c r="H89" s="111" t="s">
        <v>899</v>
      </c>
      <c r="I89" s="111">
        <v>64277</v>
      </c>
      <c r="J89" s="111">
        <v>331</v>
      </c>
      <c r="K89" s="111" t="s">
        <v>20</v>
      </c>
      <c r="L89" s="111">
        <v>1</v>
      </c>
      <c r="M89" s="117">
        <v>41000</v>
      </c>
      <c r="N89" s="117">
        <f t="shared" si="5"/>
        <v>41000</v>
      </c>
      <c r="O89" s="111" t="s">
        <v>21</v>
      </c>
      <c r="P89" s="111">
        <f t="shared" si="6"/>
        <v>61</v>
      </c>
    </row>
    <row r="90" spans="1:16" ht="15" customHeight="1" x14ac:dyDescent="0.25">
      <c r="A90" s="111" t="s">
        <v>18</v>
      </c>
      <c r="B90" s="120" t="s">
        <v>588</v>
      </c>
      <c r="C90" s="116">
        <f t="shared" si="4"/>
        <v>191</v>
      </c>
      <c r="D90" s="111">
        <v>1</v>
      </c>
      <c r="G90" s="116" t="s">
        <v>876</v>
      </c>
      <c r="H90" s="111" t="s">
        <v>963</v>
      </c>
      <c r="I90" s="111">
        <v>64277</v>
      </c>
      <c r="J90" s="111">
        <v>331</v>
      </c>
      <c r="K90" s="111" t="s">
        <v>20</v>
      </c>
      <c r="L90" s="111">
        <v>1</v>
      </c>
      <c r="M90" s="117">
        <v>1339200</v>
      </c>
      <c r="N90" s="117">
        <f t="shared" si="5"/>
        <v>1339200</v>
      </c>
      <c r="O90" s="111" t="s">
        <v>21</v>
      </c>
      <c r="P90" s="111">
        <f t="shared" si="6"/>
        <v>62</v>
      </c>
    </row>
    <row r="91" spans="1:16" ht="15" customHeight="1" x14ac:dyDescent="0.25">
      <c r="A91" s="111" t="s">
        <v>18</v>
      </c>
      <c r="B91" s="120" t="s">
        <v>523</v>
      </c>
      <c r="C91" s="116">
        <f t="shared" si="4"/>
        <v>192</v>
      </c>
      <c r="D91" s="111">
        <v>1</v>
      </c>
      <c r="G91" s="116" t="s">
        <v>37</v>
      </c>
      <c r="H91" s="111" t="s">
        <v>880</v>
      </c>
      <c r="I91" s="111">
        <v>64277</v>
      </c>
      <c r="J91" s="111">
        <v>331</v>
      </c>
      <c r="K91" s="111" t="s">
        <v>20</v>
      </c>
      <c r="L91" s="111">
        <v>1</v>
      </c>
      <c r="M91" s="117">
        <v>2916000</v>
      </c>
      <c r="N91" s="117">
        <f t="shared" si="5"/>
        <v>2916000</v>
      </c>
      <c r="O91" s="111" t="s">
        <v>21</v>
      </c>
      <c r="P91" s="111">
        <f t="shared" si="6"/>
        <v>63</v>
      </c>
    </row>
    <row r="92" spans="1:16" ht="15" customHeight="1" x14ac:dyDescent="0.25">
      <c r="A92" s="111" t="s">
        <v>18</v>
      </c>
      <c r="B92" s="120" t="s">
        <v>524</v>
      </c>
      <c r="C92" s="116">
        <f t="shared" si="4"/>
        <v>193</v>
      </c>
      <c r="D92" s="111">
        <v>1</v>
      </c>
      <c r="G92" s="116" t="s">
        <v>19</v>
      </c>
      <c r="H92" s="111" t="s">
        <v>900</v>
      </c>
      <c r="I92" s="111">
        <v>64277</v>
      </c>
      <c r="J92" s="111">
        <v>331</v>
      </c>
      <c r="K92" s="111" t="s">
        <v>20</v>
      </c>
      <c r="L92" s="111">
        <v>1</v>
      </c>
      <c r="M92" s="117">
        <v>53000</v>
      </c>
      <c r="N92" s="117">
        <f t="shared" si="5"/>
        <v>53000</v>
      </c>
      <c r="O92" s="111" t="s">
        <v>21</v>
      </c>
      <c r="P92" s="111">
        <f t="shared" si="6"/>
        <v>64</v>
      </c>
    </row>
    <row r="93" spans="1:16" ht="15" customHeight="1" x14ac:dyDescent="0.25">
      <c r="A93" s="111" t="s">
        <v>18</v>
      </c>
      <c r="B93" s="120" t="s">
        <v>456</v>
      </c>
      <c r="C93" s="116">
        <f t="shared" si="4"/>
        <v>194</v>
      </c>
      <c r="D93" s="111">
        <v>1</v>
      </c>
      <c r="G93" s="116" t="s">
        <v>877</v>
      </c>
      <c r="H93" s="111" t="s">
        <v>964</v>
      </c>
      <c r="I93" s="111">
        <v>64277</v>
      </c>
      <c r="J93" s="111">
        <v>331</v>
      </c>
      <c r="K93" s="111" t="s">
        <v>20</v>
      </c>
      <c r="L93" s="111">
        <v>1</v>
      </c>
      <c r="M93" s="117">
        <v>935258</v>
      </c>
      <c r="N93" s="117">
        <f t="shared" si="5"/>
        <v>935258</v>
      </c>
      <c r="O93" s="111" t="s">
        <v>21</v>
      </c>
      <c r="P93" s="111">
        <f t="shared" si="6"/>
        <v>65</v>
      </c>
    </row>
    <row r="94" spans="1:16" ht="15" customHeight="1" x14ac:dyDescent="0.25">
      <c r="A94" s="111" t="s">
        <v>18</v>
      </c>
      <c r="B94" s="120" t="s">
        <v>525</v>
      </c>
      <c r="C94" s="116">
        <f t="shared" si="4"/>
        <v>195</v>
      </c>
      <c r="D94" s="111">
        <v>1</v>
      </c>
      <c r="G94" s="116" t="s">
        <v>19</v>
      </c>
      <c r="H94" s="111" t="s">
        <v>901</v>
      </c>
      <c r="I94" s="111">
        <v>64277</v>
      </c>
      <c r="J94" s="111">
        <v>331</v>
      </c>
      <c r="K94" s="111" t="s">
        <v>20</v>
      </c>
      <c r="L94" s="111">
        <v>1</v>
      </c>
      <c r="M94" s="117">
        <v>32000</v>
      </c>
      <c r="N94" s="117">
        <f t="shared" si="5"/>
        <v>32000</v>
      </c>
      <c r="O94" s="111" t="s">
        <v>21</v>
      </c>
      <c r="P94" s="111">
        <f t="shared" si="6"/>
        <v>66</v>
      </c>
    </row>
    <row r="95" spans="1:16" ht="15" customHeight="1" x14ac:dyDescent="0.25">
      <c r="A95" s="111" t="s">
        <v>18</v>
      </c>
      <c r="B95" s="120" t="s">
        <v>870</v>
      </c>
      <c r="C95" s="116">
        <f t="shared" si="4"/>
        <v>196</v>
      </c>
      <c r="D95" s="111">
        <v>1</v>
      </c>
      <c r="G95" s="116" t="s">
        <v>19</v>
      </c>
      <c r="H95" s="111" t="s">
        <v>902</v>
      </c>
      <c r="I95" s="111">
        <v>64277</v>
      </c>
      <c r="J95" s="111">
        <v>331</v>
      </c>
      <c r="K95" s="111" t="s">
        <v>20</v>
      </c>
      <c r="L95" s="111">
        <v>1</v>
      </c>
      <c r="M95" s="117">
        <v>112000</v>
      </c>
      <c r="N95" s="117">
        <f t="shared" si="5"/>
        <v>112000</v>
      </c>
      <c r="O95" s="111" t="s">
        <v>21</v>
      </c>
      <c r="P95" s="111">
        <f t="shared" si="6"/>
        <v>67</v>
      </c>
    </row>
    <row r="96" spans="1:16" ht="15" customHeight="1" x14ac:dyDescent="0.25">
      <c r="A96" s="111" t="s">
        <v>18</v>
      </c>
      <c r="B96" s="120" t="s">
        <v>381</v>
      </c>
      <c r="C96" s="116">
        <f t="shared" si="4"/>
        <v>197</v>
      </c>
      <c r="D96" s="111">
        <v>1</v>
      </c>
      <c r="G96" s="116" t="s">
        <v>24</v>
      </c>
      <c r="H96" s="111" t="s">
        <v>906</v>
      </c>
      <c r="I96" s="111">
        <v>64277</v>
      </c>
      <c r="J96" s="111">
        <v>331</v>
      </c>
      <c r="K96" s="111" t="s">
        <v>20</v>
      </c>
      <c r="L96" s="111">
        <v>1</v>
      </c>
      <c r="M96" s="117">
        <v>83000</v>
      </c>
      <c r="N96" s="117">
        <f t="shared" si="5"/>
        <v>83000</v>
      </c>
      <c r="O96" s="111" t="s">
        <v>21</v>
      </c>
      <c r="P96" s="111">
        <f t="shared" si="6"/>
        <v>68</v>
      </c>
    </row>
    <row r="97" spans="1:24" ht="15" customHeight="1" x14ac:dyDescent="0.25">
      <c r="A97" s="111" t="s">
        <v>18</v>
      </c>
      <c r="B97" s="120" t="s">
        <v>381</v>
      </c>
      <c r="C97" s="116">
        <f t="shared" si="4"/>
        <v>198</v>
      </c>
      <c r="D97" s="111">
        <v>1</v>
      </c>
      <c r="G97" s="116" t="s">
        <v>24</v>
      </c>
      <c r="H97" s="111" t="s">
        <v>907</v>
      </c>
      <c r="I97" s="111">
        <v>64277</v>
      </c>
      <c r="J97" s="111">
        <v>331</v>
      </c>
      <c r="K97" s="111" t="s">
        <v>20</v>
      </c>
      <c r="L97" s="111">
        <v>1</v>
      </c>
      <c r="M97" s="117">
        <v>138000</v>
      </c>
      <c r="N97" s="117">
        <f t="shared" si="5"/>
        <v>138000</v>
      </c>
      <c r="O97" s="111" t="s">
        <v>21</v>
      </c>
      <c r="P97" s="111">
        <f t="shared" si="6"/>
        <v>69</v>
      </c>
    </row>
    <row r="98" spans="1:24" ht="15" customHeight="1" x14ac:dyDescent="0.25">
      <c r="A98" s="111" t="s">
        <v>18</v>
      </c>
      <c r="B98" s="121" t="s">
        <v>2045</v>
      </c>
      <c r="C98" s="116">
        <f t="shared" si="4"/>
        <v>199</v>
      </c>
      <c r="D98" s="111">
        <v>1</v>
      </c>
      <c r="G98" s="116" t="s">
        <v>874</v>
      </c>
      <c r="H98" s="111" t="s">
        <v>2591</v>
      </c>
      <c r="I98" s="111">
        <v>64277</v>
      </c>
      <c r="J98" s="111">
        <v>331</v>
      </c>
      <c r="K98" s="111" t="s">
        <v>20</v>
      </c>
      <c r="L98" s="111">
        <v>1</v>
      </c>
      <c r="M98" s="117">
        <v>1178226</v>
      </c>
      <c r="N98" s="117">
        <f t="shared" si="5"/>
        <v>1178226</v>
      </c>
      <c r="O98" s="111" t="s">
        <v>21</v>
      </c>
      <c r="P98" s="111">
        <f t="shared" si="6"/>
        <v>70</v>
      </c>
    </row>
    <row r="99" spans="1:24" ht="15" customHeight="1" x14ac:dyDescent="0.25">
      <c r="A99" s="111" t="s">
        <v>18</v>
      </c>
      <c r="B99" s="121" t="s">
        <v>2513</v>
      </c>
      <c r="C99" s="116">
        <f t="shared" si="4"/>
        <v>200</v>
      </c>
      <c r="D99" s="111">
        <v>1</v>
      </c>
      <c r="G99" s="116" t="s">
        <v>2590</v>
      </c>
      <c r="H99" s="111" t="s">
        <v>2592</v>
      </c>
      <c r="I99" s="111">
        <v>64277</v>
      </c>
      <c r="J99" s="111">
        <v>331</v>
      </c>
      <c r="K99" s="111" t="s">
        <v>20</v>
      </c>
      <c r="L99" s="111">
        <v>1</v>
      </c>
      <c r="M99" s="117">
        <v>1522400</v>
      </c>
      <c r="N99" s="117">
        <f t="shared" si="5"/>
        <v>1522400</v>
      </c>
      <c r="O99" s="111" t="s">
        <v>21</v>
      </c>
      <c r="P99" s="111">
        <f t="shared" si="6"/>
        <v>71</v>
      </c>
    </row>
    <row r="100" spans="1:24" ht="15" customHeight="1" x14ac:dyDescent="0.25">
      <c r="A100" s="111" t="s">
        <v>18</v>
      </c>
      <c r="B100" s="120">
        <v>45961</v>
      </c>
      <c r="C100" s="116">
        <f t="shared" si="4"/>
        <v>201</v>
      </c>
      <c r="D100" s="111">
        <v>1</v>
      </c>
      <c r="G100" s="116" t="s">
        <v>43</v>
      </c>
      <c r="H100" s="111" t="s">
        <v>371</v>
      </c>
      <c r="I100" s="111">
        <v>64271</v>
      </c>
      <c r="J100" s="111">
        <v>3383</v>
      </c>
      <c r="K100" s="111" t="s">
        <v>20</v>
      </c>
      <c r="L100" s="111">
        <v>1</v>
      </c>
      <c r="M100" s="117">
        <v>690300</v>
      </c>
      <c r="N100" s="117">
        <f t="shared" ref="N100:N131" si="7">M100*L100</f>
        <v>690300</v>
      </c>
      <c r="O100" s="111" t="s">
        <v>21</v>
      </c>
      <c r="P100" s="111">
        <f t="shared" si="6"/>
        <v>72</v>
      </c>
    </row>
    <row r="101" spans="1:24" ht="15" customHeight="1" x14ac:dyDescent="0.25">
      <c r="A101" s="111" t="s">
        <v>18</v>
      </c>
      <c r="B101" s="120">
        <v>45991</v>
      </c>
      <c r="C101" s="116">
        <f t="shared" si="4"/>
        <v>202</v>
      </c>
      <c r="D101" s="111">
        <v>1</v>
      </c>
      <c r="G101" s="116" t="s">
        <v>43</v>
      </c>
      <c r="H101" s="111" t="s">
        <v>372</v>
      </c>
      <c r="I101" s="111">
        <v>64271</v>
      </c>
      <c r="J101" s="111">
        <v>3383</v>
      </c>
      <c r="K101" s="111" t="s">
        <v>20</v>
      </c>
      <c r="L101" s="111">
        <v>1</v>
      </c>
      <c r="M101" s="117">
        <v>690300</v>
      </c>
      <c r="N101" s="117">
        <f t="shared" si="7"/>
        <v>690300</v>
      </c>
      <c r="O101" s="111" t="s">
        <v>21</v>
      </c>
      <c r="P101" s="111">
        <f t="shared" si="6"/>
        <v>73</v>
      </c>
    </row>
    <row r="102" spans="1:24" ht="15" customHeight="1" x14ac:dyDescent="0.25">
      <c r="A102" s="111" t="s">
        <v>18</v>
      </c>
      <c r="B102" s="120">
        <v>46022</v>
      </c>
      <c r="C102" s="116">
        <f t="shared" si="4"/>
        <v>203</v>
      </c>
      <c r="D102" s="111">
        <v>1</v>
      </c>
      <c r="G102" s="116" t="s">
        <v>43</v>
      </c>
      <c r="H102" s="111" t="s">
        <v>373</v>
      </c>
      <c r="I102" s="111">
        <v>64271</v>
      </c>
      <c r="J102" s="111">
        <v>3383</v>
      </c>
      <c r="K102" s="111" t="s">
        <v>20</v>
      </c>
      <c r="L102" s="111">
        <v>1</v>
      </c>
      <c r="M102" s="117">
        <v>690300</v>
      </c>
      <c r="N102" s="117">
        <f t="shared" si="7"/>
        <v>690300</v>
      </c>
      <c r="O102" s="111" t="s">
        <v>21</v>
      </c>
      <c r="P102" s="111">
        <f t="shared" si="6"/>
        <v>74</v>
      </c>
    </row>
    <row r="103" spans="1:24" ht="15" customHeight="1" x14ac:dyDescent="0.25">
      <c r="A103" s="111" t="s">
        <v>2678</v>
      </c>
      <c r="B103" s="120">
        <v>45931</v>
      </c>
      <c r="C103" s="116">
        <f t="shared" si="4"/>
        <v>204</v>
      </c>
      <c r="D103" s="111">
        <v>1</v>
      </c>
      <c r="G103" s="116" t="s">
        <v>56</v>
      </c>
      <c r="H103" s="111" t="s">
        <v>3017</v>
      </c>
      <c r="I103" s="111">
        <v>1111</v>
      </c>
      <c r="J103" s="111">
        <v>112111</v>
      </c>
      <c r="K103" s="111" t="s">
        <v>20</v>
      </c>
      <c r="L103" s="111">
        <v>1</v>
      </c>
      <c r="M103" s="117">
        <v>15000000</v>
      </c>
      <c r="N103" s="117">
        <f t="shared" si="7"/>
        <v>15000000</v>
      </c>
      <c r="O103" s="111" t="s">
        <v>21</v>
      </c>
      <c r="P103" s="111">
        <f t="shared" si="6"/>
        <v>75</v>
      </c>
    </row>
    <row r="104" spans="1:24" ht="15" customHeight="1" x14ac:dyDescent="0.25">
      <c r="A104" s="111" t="s">
        <v>2679</v>
      </c>
      <c r="B104" s="120">
        <v>45932</v>
      </c>
      <c r="C104" s="116">
        <f t="shared" si="4"/>
        <v>205</v>
      </c>
      <c r="D104" s="111">
        <v>1</v>
      </c>
      <c r="G104" s="116" t="s">
        <v>29</v>
      </c>
      <c r="H104" s="111" t="s">
        <v>3024</v>
      </c>
      <c r="I104" s="111">
        <v>112111</v>
      </c>
      <c r="J104" s="111">
        <v>131</v>
      </c>
      <c r="K104" s="111" t="s">
        <v>20</v>
      </c>
      <c r="L104" s="111">
        <v>1</v>
      </c>
      <c r="M104" s="117">
        <v>11827957</v>
      </c>
      <c r="N104" s="117">
        <f t="shared" si="7"/>
        <v>11827957</v>
      </c>
      <c r="O104" s="111" t="s">
        <v>21</v>
      </c>
      <c r="P104" s="111">
        <f t="shared" si="6"/>
        <v>76</v>
      </c>
      <c r="U104"/>
      <c r="V104"/>
      <c r="W104"/>
    </row>
    <row r="105" spans="1:24" ht="15" customHeight="1" x14ac:dyDescent="0.25">
      <c r="A105" s="111" t="s">
        <v>2679</v>
      </c>
      <c r="B105" s="120">
        <v>45932</v>
      </c>
      <c r="C105" s="116">
        <f t="shared" si="4"/>
        <v>206</v>
      </c>
      <c r="D105" s="111">
        <v>1</v>
      </c>
      <c r="G105" s="116" t="s">
        <v>29</v>
      </c>
      <c r="H105" s="111" t="s">
        <v>3023</v>
      </c>
      <c r="I105" s="111">
        <v>112111</v>
      </c>
      <c r="J105" s="111">
        <v>131</v>
      </c>
      <c r="K105" s="111" t="s">
        <v>20</v>
      </c>
      <c r="L105" s="111">
        <v>1</v>
      </c>
      <c r="M105" s="117">
        <v>12903226</v>
      </c>
      <c r="N105" s="117">
        <f t="shared" si="7"/>
        <v>12903226</v>
      </c>
      <c r="O105" s="111" t="s">
        <v>21</v>
      </c>
      <c r="P105" s="111">
        <f t="shared" si="6"/>
        <v>77</v>
      </c>
      <c r="U105"/>
      <c r="V105"/>
      <c r="W105"/>
      <c r="X105" s="111" t="s">
        <v>2678</v>
      </c>
    </row>
    <row r="106" spans="1:24" ht="15" customHeight="1" x14ac:dyDescent="0.25">
      <c r="A106" s="111" t="s">
        <v>2679</v>
      </c>
      <c r="B106" s="120">
        <v>45932</v>
      </c>
      <c r="C106" s="116">
        <f t="shared" si="4"/>
        <v>207</v>
      </c>
      <c r="D106" s="111">
        <v>1</v>
      </c>
      <c r="G106" s="116" t="s">
        <v>29</v>
      </c>
      <c r="H106" s="111" t="s">
        <v>3022</v>
      </c>
      <c r="I106" s="111">
        <v>112111</v>
      </c>
      <c r="J106" s="111">
        <v>131</v>
      </c>
      <c r="K106" s="111" t="s">
        <v>20</v>
      </c>
      <c r="L106" s="111">
        <v>1</v>
      </c>
      <c r="M106" s="117">
        <v>322581</v>
      </c>
      <c r="N106" s="117">
        <f t="shared" si="7"/>
        <v>322581</v>
      </c>
      <c r="O106" s="111" t="s">
        <v>21</v>
      </c>
      <c r="P106" s="111">
        <f t="shared" si="6"/>
        <v>78</v>
      </c>
      <c r="U106"/>
      <c r="V106"/>
      <c r="W106"/>
      <c r="X106" s="111" t="s">
        <v>2679</v>
      </c>
    </row>
    <row r="107" spans="1:24" ht="15" customHeight="1" x14ac:dyDescent="0.25">
      <c r="A107" s="111" t="s">
        <v>2679</v>
      </c>
      <c r="B107" s="120">
        <v>45933</v>
      </c>
      <c r="C107" s="116">
        <f t="shared" si="4"/>
        <v>208</v>
      </c>
      <c r="D107" s="111">
        <v>1</v>
      </c>
      <c r="G107" s="116" t="s">
        <v>29</v>
      </c>
      <c r="H107" s="111" t="s">
        <v>3025</v>
      </c>
      <c r="I107" s="111">
        <v>112111</v>
      </c>
      <c r="J107" s="111">
        <v>131</v>
      </c>
      <c r="K107" s="111" t="s">
        <v>20</v>
      </c>
      <c r="L107" s="111">
        <v>1</v>
      </c>
      <c r="M107" s="117">
        <v>10645161</v>
      </c>
      <c r="N107" s="117">
        <f t="shared" si="7"/>
        <v>10645161</v>
      </c>
      <c r="O107" s="111" t="s">
        <v>21</v>
      </c>
      <c r="P107" s="111">
        <f t="shared" si="6"/>
        <v>79</v>
      </c>
      <c r="U107"/>
      <c r="V107"/>
      <c r="W107"/>
      <c r="X107" s="111" t="s">
        <v>2679</v>
      </c>
    </row>
    <row r="108" spans="1:24" ht="15" customHeight="1" x14ac:dyDescent="0.25">
      <c r="A108" s="111" t="s">
        <v>2679</v>
      </c>
      <c r="B108" s="120">
        <v>45936</v>
      </c>
      <c r="C108" s="116">
        <f t="shared" si="4"/>
        <v>209</v>
      </c>
      <c r="D108" s="111">
        <v>1</v>
      </c>
      <c r="G108" s="116" t="s">
        <v>29</v>
      </c>
      <c r="H108" s="111" t="s">
        <v>3026</v>
      </c>
      <c r="I108" s="111">
        <v>112111</v>
      </c>
      <c r="J108" s="111">
        <v>131</v>
      </c>
      <c r="K108" s="111" t="s">
        <v>20</v>
      </c>
      <c r="L108" s="111">
        <v>1</v>
      </c>
      <c r="M108" s="117">
        <v>5376344</v>
      </c>
      <c r="N108" s="117">
        <f t="shared" si="7"/>
        <v>5376344</v>
      </c>
      <c r="O108" s="111" t="s">
        <v>21</v>
      </c>
      <c r="P108" s="111">
        <f t="shared" si="6"/>
        <v>80</v>
      </c>
      <c r="U108"/>
      <c r="V108"/>
      <c r="W108"/>
      <c r="X108" s="111" t="s">
        <v>2679</v>
      </c>
    </row>
    <row r="109" spans="1:24" ht="15" customHeight="1" x14ac:dyDescent="0.25">
      <c r="A109" s="111" t="s">
        <v>2679</v>
      </c>
      <c r="B109" s="120">
        <v>45939</v>
      </c>
      <c r="C109" s="116">
        <f t="shared" si="4"/>
        <v>210</v>
      </c>
      <c r="D109" s="111">
        <v>1</v>
      </c>
      <c r="G109" s="116" t="s">
        <v>57</v>
      </c>
      <c r="H109" s="111" t="s">
        <v>3021</v>
      </c>
      <c r="I109" s="111">
        <v>112111</v>
      </c>
      <c r="J109" s="111">
        <v>131</v>
      </c>
      <c r="K109" s="111" t="s">
        <v>20</v>
      </c>
      <c r="L109" s="111">
        <v>1</v>
      </c>
      <c r="M109" s="117">
        <v>18096774</v>
      </c>
      <c r="N109" s="117">
        <f t="shared" si="7"/>
        <v>18096774</v>
      </c>
      <c r="O109" s="111" t="s">
        <v>21</v>
      </c>
      <c r="P109" s="111">
        <f t="shared" si="6"/>
        <v>81</v>
      </c>
      <c r="U109"/>
      <c r="V109"/>
      <c r="W109"/>
      <c r="X109" s="111" t="s">
        <v>2679</v>
      </c>
    </row>
    <row r="110" spans="1:24" ht="15" customHeight="1" x14ac:dyDescent="0.25">
      <c r="A110" s="111" t="s">
        <v>2678</v>
      </c>
      <c r="B110" s="120">
        <v>45939</v>
      </c>
      <c r="C110" s="116">
        <f t="shared" si="4"/>
        <v>211</v>
      </c>
      <c r="D110" s="111">
        <v>1</v>
      </c>
      <c r="G110" s="116" t="s">
        <v>56</v>
      </c>
      <c r="H110" s="111" t="s">
        <v>3017</v>
      </c>
      <c r="I110" s="111">
        <v>1111</v>
      </c>
      <c r="J110" s="111">
        <v>112111</v>
      </c>
      <c r="K110" s="111" t="s">
        <v>20</v>
      </c>
      <c r="L110" s="111">
        <v>1</v>
      </c>
      <c r="M110" s="117">
        <v>50000000</v>
      </c>
      <c r="N110" s="117">
        <f t="shared" si="7"/>
        <v>50000000</v>
      </c>
      <c r="O110" s="111" t="s">
        <v>21</v>
      </c>
      <c r="P110" s="111">
        <f t="shared" si="6"/>
        <v>82</v>
      </c>
      <c r="U110"/>
      <c r="V110"/>
      <c r="W110"/>
      <c r="X110" s="111" t="s">
        <v>2679</v>
      </c>
    </row>
    <row r="111" spans="1:24" ht="15" customHeight="1" x14ac:dyDescent="0.25">
      <c r="A111" s="111" t="s">
        <v>2679</v>
      </c>
      <c r="B111" s="120">
        <v>45940</v>
      </c>
      <c r="C111" s="116">
        <f t="shared" si="4"/>
        <v>212</v>
      </c>
      <c r="D111" s="111">
        <v>1</v>
      </c>
      <c r="G111" s="116" t="s">
        <v>79</v>
      </c>
      <c r="H111" s="111" t="s">
        <v>3028</v>
      </c>
      <c r="I111" s="111">
        <v>112111</v>
      </c>
      <c r="J111" s="111">
        <v>131</v>
      </c>
      <c r="K111" s="111" t="s">
        <v>20</v>
      </c>
      <c r="L111" s="111">
        <v>1</v>
      </c>
      <c r="M111" s="117">
        <v>9574468</v>
      </c>
      <c r="N111" s="117">
        <f t="shared" si="7"/>
        <v>9574468</v>
      </c>
      <c r="O111" s="111" t="s">
        <v>21</v>
      </c>
      <c r="P111" s="111">
        <f t="shared" si="6"/>
        <v>83</v>
      </c>
      <c r="U111"/>
      <c r="V111"/>
      <c r="W111"/>
      <c r="X111" s="111" t="s">
        <v>2679</v>
      </c>
    </row>
    <row r="112" spans="1:24" ht="15" customHeight="1" x14ac:dyDescent="0.25">
      <c r="A112" s="111" t="s">
        <v>2679</v>
      </c>
      <c r="B112" s="120">
        <v>45940</v>
      </c>
      <c r="C112" s="116">
        <f t="shared" si="4"/>
        <v>213</v>
      </c>
      <c r="D112" s="111">
        <v>1</v>
      </c>
      <c r="G112" s="116" t="s">
        <v>29</v>
      </c>
      <c r="H112" s="111" t="s">
        <v>3027</v>
      </c>
      <c r="I112" s="111">
        <v>112111</v>
      </c>
      <c r="J112" s="111">
        <v>131</v>
      </c>
      <c r="K112" s="111" t="s">
        <v>20</v>
      </c>
      <c r="L112" s="111">
        <v>1</v>
      </c>
      <c r="M112" s="117">
        <v>11709677</v>
      </c>
      <c r="N112" s="117">
        <f t="shared" si="7"/>
        <v>11709677</v>
      </c>
      <c r="O112" s="111" t="s">
        <v>21</v>
      </c>
      <c r="P112" s="111">
        <f t="shared" si="6"/>
        <v>84</v>
      </c>
      <c r="U112"/>
      <c r="V112"/>
      <c r="W112"/>
      <c r="X112" s="111" t="s">
        <v>2678</v>
      </c>
    </row>
    <row r="113" spans="1:24" ht="15" customHeight="1" x14ac:dyDescent="0.25">
      <c r="A113" s="111" t="s">
        <v>2679</v>
      </c>
      <c r="B113" s="120">
        <v>45941</v>
      </c>
      <c r="C113" s="116">
        <f t="shared" si="4"/>
        <v>214</v>
      </c>
      <c r="D113" s="111">
        <v>1</v>
      </c>
      <c r="G113" s="116" t="s">
        <v>45</v>
      </c>
      <c r="H113" s="111" t="s">
        <v>3019</v>
      </c>
      <c r="I113" s="111">
        <v>112111</v>
      </c>
      <c r="J113" s="111">
        <v>3388</v>
      </c>
      <c r="K113" s="111" t="s">
        <v>20</v>
      </c>
      <c r="L113" s="111">
        <v>1</v>
      </c>
      <c r="M113" s="117">
        <v>277000</v>
      </c>
      <c r="N113" s="117">
        <f t="shared" si="7"/>
        <v>277000</v>
      </c>
      <c r="O113" s="111" t="s">
        <v>21</v>
      </c>
      <c r="P113" s="111">
        <f t="shared" si="6"/>
        <v>85</v>
      </c>
      <c r="U113"/>
      <c r="V113"/>
      <c r="W113"/>
      <c r="X113" s="111" t="s">
        <v>2679</v>
      </c>
    </row>
    <row r="114" spans="1:24" ht="15" customHeight="1" x14ac:dyDescent="0.25">
      <c r="A114" s="111" t="s">
        <v>2679</v>
      </c>
      <c r="B114" s="120">
        <v>45941</v>
      </c>
      <c r="C114" s="116">
        <f t="shared" si="4"/>
        <v>215</v>
      </c>
      <c r="D114" s="111">
        <v>1</v>
      </c>
      <c r="G114" s="116" t="s">
        <v>45</v>
      </c>
      <c r="H114" s="111" t="s">
        <v>3019</v>
      </c>
      <c r="I114" s="111">
        <v>112111</v>
      </c>
      <c r="J114" s="111">
        <v>3388</v>
      </c>
      <c r="K114" s="111" t="s">
        <v>20</v>
      </c>
      <c r="L114" s="111">
        <v>1</v>
      </c>
      <c r="M114" s="117">
        <v>277000</v>
      </c>
      <c r="N114" s="117">
        <f t="shared" si="7"/>
        <v>277000</v>
      </c>
      <c r="O114" s="111" t="s">
        <v>21</v>
      </c>
      <c r="P114" s="111">
        <f t="shared" si="6"/>
        <v>86</v>
      </c>
      <c r="U114"/>
      <c r="V114"/>
      <c r="W114"/>
      <c r="X114" s="111" t="s">
        <v>2679</v>
      </c>
    </row>
    <row r="115" spans="1:24" ht="15" customHeight="1" x14ac:dyDescent="0.25">
      <c r="A115" s="111" t="s">
        <v>2679</v>
      </c>
      <c r="B115" s="120">
        <v>45941</v>
      </c>
      <c r="C115" s="116">
        <f t="shared" si="4"/>
        <v>216</v>
      </c>
      <c r="D115" s="111">
        <v>1</v>
      </c>
      <c r="G115" s="116" t="s">
        <v>45</v>
      </c>
      <c r="H115" s="111" t="s">
        <v>3019</v>
      </c>
      <c r="I115" s="111">
        <v>112111</v>
      </c>
      <c r="J115" s="111">
        <v>3388</v>
      </c>
      <c r="K115" s="111" t="s">
        <v>20</v>
      </c>
      <c r="L115" s="111">
        <v>1</v>
      </c>
      <c r="M115" s="117">
        <v>554000</v>
      </c>
      <c r="N115" s="117">
        <f t="shared" si="7"/>
        <v>554000</v>
      </c>
      <c r="O115" s="111" t="s">
        <v>21</v>
      </c>
      <c r="P115" s="111">
        <f t="shared" si="6"/>
        <v>87</v>
      </c>
      <c r="U115"/>
      <c r="V115"/>
      <c r="W115"/>
      <c r="X115" s="111" t="s">
        <v>2679</v>
      </c>
    </row>
    <row r="116" spans="1:24" ht="15" customHeight="1" x14ac:dyDescent="0.25">
      <c r="A116" s="111" t="s">
        <v>2678</v>
      </c>
      <c r="B116" s="120">
        <v>45944</v>
      </c>
      <c r="C116" s="116">
        <f t="shared" si="4"/>
        <v>217</v>
      </c>
      <c r="D116" s="111">
        <v>1</v>
      </c>
      <c r="G116" s="116" t="s">
        <v>45</v>
      </c>
      <c r="H116" s="111" t="s">
        <v>3018</v>
      </c>
      <c r="I116" s="111">
        <v>3388</v>
      </c>
      <c r="J116" s="111">
        <v>112111</v>
      </c>
      <c r="K116" s="111" t="s">
        <v>20</v>
      </c>
      <c r="L116" s="111">
        <v>1</v>
      </c>
      <c r="M116" s="117">
        <v>277000</v>
      </c>
      <c r="N116" s="117">
        <f t="shared" si="7"/>
        <v>277000</v>
      </c>
      <c r="O116" s="111" t="s">
        <v>21</v>
      </c>
      <c r="P116" s="111">
        <f t="shared" si="6"/>
        <v>88</v>
      </c>
      <c r="U116"/>
      <c r="V116"/>
      <c r="W116"/>
      <c r="X116" s="111" t="s">
        <v>2679</v>
      </c>
    </row>
    <row r="117" spans="1:24" ht="15" customHeight="1" x14ac:dyDescent="0.25">
      <c r="A117" s="111" t="s">
        <v>2678</v>
      </c>
      <c r="B117" s="120">
        <v>45944</v>
      </c>
      <c r="C117" s="116">
        <f t="shared" si="4"/>
        <v>218</v>
      </c>
      <c r="D117" s="111">
        <v>1</v>
      </c>
      <c r="G117" s="116" t="s">
        <v>45</v>
      </c>
      <c r="H117" s="111" t="s">
        <v>3018</v>
      </c>
      <c r="I117" s="111">
        <v>3388</v>
      </c>
      <c r="J117" s="111">
        <v>112111</v>
      </c>
      <c r="K117" s="111" t="s">
        <v>20</v>
      </c>
      <c r="L117" s="111">
        <v>1</v>
      </c>
      <c r="M117" s="117">
        <v>277000</v>
      </c>
      <c r="N117" s="117">
        <f t="shared" si="7"/>
        <v>277000</v>
      </c>
      <c r="O117" s="111" t="s">
        <v>21</v>
      </c>
      <c r="P117" s="111">
        <f t="shared" si="6"/>
        <v>89</v>
      </c>
      <c r="U117"/>
      <c r="V117"/>
      <c r="W117"/>
      <c r="X117" s="111" t="s">
        <v>2679</v>
      </c>
    </row>
    <row r="118" spans="1:24" ht="15" customHeight="1" x14ac:dyDescent="0.25">
      <c r="A118" s="111" t="s">
        <v>2678</v>
      </c>
      <c r="B118" s="120">
        <v>45944</v>
      </c>
      <c r="C118" s="116">
        <f t="shared" si="4"/>
        <v>219</v>
      </c>
      <c r="D118" s="111">
        <v>1</v>
      </c>
      <c r="G118" s="116" t="s">
        <v>45</v>
      </c>
      <c r="H118" s="111" t="s">
        <v>3018</v>
      </c>
      <c r="I118" s="111">
        <v>3388</v>
      </c>
      <c r="J118" s="111">
        <v>112111</v>
      </c>
      <c r="K118" s="111" t="s">
        <v>20</v>
      </c>
      <c r="L118" s="111">
        <v>1</v>
      </c>
      <c r="M118" s="117">
        <v>554000</v>
      </c>
      <c r="N118" s="117">
        <f t="shared" si="7"/>
        <v>554000</v>
      </c>
      <c r="O118" s="111" t="s">
        <v>21</v>
      </c>
      <c r="P118" s="111">
        <f t="shared" si="6"/>
        <v>90</v>
      </c>
      <c r="U118"/>
      <c r="V118"/>
      <c r="W118"/>
      <c r="X118" s="111" t="s">
        <v>2678</v>
      </c>
    </row>
    <row r="119" spans="1:24" ht="15" customHeight="1" x14ac:dyDescent="0.25">
      <c r="A119" s="111" t="s">
        <v>2679</v>
      </c>
      <c r="B119" s="120">
        <v>45946</v>
      </c>
      <c r="C119" s="116">
        <f t="shared" si="4"/>
        <v>220</v>
      </c>
      <c r="D119" s="111">
        <v>1</v>
      </c>
      <c r="G119" s="116" t="s">
        <v>714</v>
      </c>
      <c r="H119" s="111" t="s">
        <v>3020</v>
      </c>
      <c r="I119" s="111">
        <v>112111</v>
      </c>
      <c r="J119" s="111">
        <v>131</v>
      </c>
      <c r="K119" s="111" t="s">
        <v>20</v>
      </c>
      <c r="L119" s="111">
        <v>1</v>
      </c>
      <c r="M119" s="117">
        <v>21290323</v>
      </c>
      <c r="N119" s="117">
        <f t="shared" si="7"/>
        <v>21290323</v>
      </c>
      <c r="O119" s="111" t="s">
        <v>21</v>
      </c>
      <c r="P119" s="111">
        <f t="shared" si="6"/>
        <v>91</v>
      </c>
      <c r="U119"/>
      <c r="V119"/>
      <c r="W119"/>
      <c r="X119" s="111" t="s">
        <v>2678</v>
      </c>
    </row>
    <row r="120" spans="1:24" ht="15" customHeight="1" x14ac:dyDescent="0.25">
      <c r="A120" s="111" t="s">
        <v>2679</v>
      </c>
      <c r="B120" s="120">
        <v>45951</v>
      </c>
      <c r="C120" s="116">
        <f t="shared" si="4"/>
        <v>221</v>
      </c>
      <c r="D120" s="111">
        <v>1</v>
      </c>
      <c r="G120" s="116" t="s">
        <v>55</v>
      </c>
      <c r="H120" s="111" t="s">
        <v>3029</v>
      </c>
      <c r="I120" s="111">
        <v>112111</v>
      </c>
      <c r="J120" s="111">
        <v>131</v>
      </c>
      <c r="K120" s="111" t="s">
        <v>20</v>
      </c>
      <c r="L120" s="111">
        <v>1</v>
      </c>
      <c r="M120" s="117">
        <v>31935484</v>
      </c>
      <c r="N120" s="117">
        <f t="shared" si="7"/>
        <v>31935484</v>
      </c>
      <c r="O120" s="111" t="s">
        <v>21</v>
      </c>
      <c r="P120" s="111">
        <f t="shared" si="6"/>
        <v>92</v>
      </c>
      <c r="U120"/>
      <c r="V120"/>
      <c r="W120"/>
      <c r="X120" s="111" t="s">
        <v>2678</v>
      </c>
    </row>
    <row r="121" spans="1:24" ht="15" customHeight="1" x14ac:dyDescent="0.25">
      <c r="A121" s="111" t="s">
        <v>2678</v>
      </c>
      <c r="B121" s="120">
        <v>45955</v>
      </c>
      <c r="C121" s="116">
        <f t="shared" si="4"/>
        <v>222</v>
      </c>
      <c r="D121" s="111">
        <v>1</v>
      </c>
      <c r="G121" s="116" t="s">
        <v>56</v>
      </c>
      <c r="H121" s="111" t="s">
        <v>3017</v>
      </c>
      <c r="I121" s="111">
        <v>1111</v>
      </c>
      <c r="J121" s="111">
        <v>112111</v>
      </c>
      <c r="K121" s="111" t="s">
        <v>20</v>
      </c>
      <c r="L121" s="111">
        <v>1</v>
      </c>
      <c r="M121" s="117">
        <v>80000000</v>
      </c>
      <c r="N121" s="117">
        <f t="shared" si="7"/>
        <v>80000000</v>
      </c>
      <c r="O121" s="111" t="s">
        <v>21</v>
      </c>
      <c r="P121" s="111">
        <f t="shared" si="6"/>
        <v>93</v>
      </c>
      <c r="U121"/>
      <c r="V121"/>
      <c r="W121"/>
      <c r="X121" s="111" t="s">
        <v>2679</v>
      </c>
    </row>
    <row r="122" spans="1:24" ht="15" customHeight="1" x14ac:dyDescent="0.25">
      <c r="A122" s="111" t="s">
        <v>2679</v>
      </c>
      <c r="B122" s="120">
        <v>45955</v>
      </c>
      <c r="C122" s="116">
        <f t="shared" si="4"/>
        <v>223</v>
      </c>
      <c r="D122" s="111">
        <v>1</v>
      </c>
      <c r="G122" s="116" t="s">
        <v>2680</v>
      </c>
      <c r="H122" s="111" t="s">
        <v>2687</v>
      </c>
      <c r="I122" s="111">
        <v>112111</v>
      </c>
      <c r="J122" s="111">
        <v>5154</v>
      </c>
      <c r="K122" s="111" t="s">
        <v>20</v>
      </c>
      <c r="L122" s="111">
        <v>1</v>
      </c>
      <c r="M122" s="117">
        <v>1697</v>
      </c>
      <c r="N122" s="117">
        <f t="shared" si="7"/>
        <v>1697</v>
      </c>
      <c r="O122" s="111" t="s">
        <v>21</v>
      </c>
      <c r="P122" s="111">
        <f t="shared" si="6"/>
        <v>94</v>
      </c>
    </row>
    <row r="123" spans="1:24" ht="15" customHeight="1" x14ac:dyDescent="0.25">
      <c r="A123" s="111" t="s">
        <v>2679</v>
      </c>
      <c r="B123" s="120">
        <v>45957</v>
      </c>
      <c r="C123" s="116">
        <f t="shared" si="4"/>
        <v>224</v>
      </c>
      <c r="D123" s="111">
        <v>1</v>
      </c>
      <c r="G123" s="116" t="s">
        <v>715</v>
      </c>
      <c r="H123" s="111" t="s">
        <v>3047</v>
      </c>
      <c r="I123" s="111">
        <v>112111</v>
      </c>
      <c r="J123" s="111">
        <v>131</v>
      </c>
      <c r="K123" s="111" t="s">
        <v>20</v>
      </c>
      <c r="L123" s="111">
        <v>1</v>
      </c>
      <c r="M123" s="117">
        <v>13306452</v>
      </c>
      <c r="N123" s="117">
        <f t="shared" si="7"/>
        <v>13306452</v>
      </c>
      <c r="O123" s="111" t="s">
        <v>21</v>
      </c>
      <c r="P123" s="111">
        <f t="shared" si="6"/>
        <v>95</v>
      </c>
    </row>
    <row r="124" spans="1:24" ht="15" customHeight="1" x14ac:dyDescent="0.25">
      <c r="A124" s="111" t="s">
        <v>2679</v>
      </c>
      <c r="B124" s="120">
        <v>45961</v>
      </c>
      <c r="C124" s="116">
        <f t="shared" si="4"/>
        <v>225</v>
      </c>
      <c r="D124" s="111">
        <v>1</v>
      </c>
      <c r="G124" s="116" t="s">
        <v>29</v>
      </c>
      <c r="H124" s="111" t="s">
        <v>3030</v>
      </c>
      <c r="I124" s="111">
        <v>112111</v>
      </c>
      <c r="J124" s="111">
        <v>131</v>
      </c>
      <c r="K124" s="111" t="s">
        <v>20</v>
      </c>
      <c r="L124" s="111">
        <v>1</v>
      </c>
      <c r="M124" s="117">
        <v>23419355</v>
      </c>
      <c r="N124" s="117">
        <f t="shared" si="7"/>
        <v>23419355</v>
      </c>
      <c r="O124" s="111" t="s">
        <v>21</v>
      </c>
      <c r="P124" s="111">
        <f t="shared" si="6"/>
        <v>96</v>
      </c>
    </row>
    <row r="125" spans="1:24" ht="15" customHeight="1" x14ac:dyDescent="0.25">
      <c r="A125" s="111" t="s">
        <v>2678</v>
      </c>
      <c r="B125" s="120">
        <v>45964</v>
      </c>
      <c r="C125" s="116">
        <f t="shared" si="4"/>
        <v>226</v>
      </c>
      <c r="D125" s="111">
        <v>1</v>
      </c>
      <c r="G125" s="116" t="s">
        <v>56</v>
      </c>
      <c r="H125" s="111" t="s">
        <v>3017</v>
      </c>
      <c r="I125" s="111">
        <v>1111</v>
      </c>
      <c r="J125" s="111">
        <v>112111</v>
      </c>
      <c r="K125" s="111" t="s">
        <v>20</v>
      </c>
      <c r="L125" s="111">
        <v>1</v>
      </c>
      <c r="M125" s="117">
        <v>40000000</v>
      </c>
      <c r="N125" s="117">
        <f t="shared" si="7"/>
        <v>40000000</v>
      </c>
      <c r="O125" s="111" t="s">
        <v>21</v>
      </c>
      <c r="P125" s="111">
        <f t="shared" si="6"/>
        <v>97</v>
      </c>
    </row>
    <row r="126" spans="1:24" ht="15" customHeight="1" x14ac:dyDescent="0.2">
      <c r="A126" s="111" t="s">
        <v>18</v>
      </c>
      <c r="B126" s="120">
        <v>45964</v>
      </c>
      <c r="C126" s="116">
        <f t="shared" si="4"/>
        <v>227</v>
      </c>
      <c r="D126" s="111">
        <v>1</v>
      </c>
      <c r="G126" s="14" t="s">
        <v>3003</v>
      </c>
      <c r="H126" s="12" t="s">
        <v>3004</v>
      </c>
      <c r="I126" s="12">
        <v>131</v>
      </c>
      <c r="J126" s="12">
        <v>5118</v>
      </c>
      <c r="K126" s="111" t="s">
        <v>20</v>
      </c>
      <c r="L126" s="111">
        <v>1</v>
      </c>
      <c r="M126" s="117">
        <v>11131365</v>
      </c>
      <c r="N126" s="117">
        <f t="shared" si="7"/>
        <v>11131365</v>
      </c>
      <c r="O126" s="111" t="s">
        <v>21</v>
      </c>
      <c r="P126" s="111">
        <f t="shared" si="6"/>
        <v>98</v>
      </c>
    </row>
    <row r="127" spans="1:24" ht="15" customHeight="1" x14ac:dyDescent="0.2">
      <c r="A127" s="111" t="s">
        <v>2679</v>
      </c>
      <c r="B127" s="120">
        <v>45964</v>
      </c>
      <c r="C127" s="116">
        <f t="shared" si="4"/>
        <v>228</v>
      </c>
      <c r="D127" s="111">
        <v>1</v>
      </c>
      <c r="G127" s="14" t="s">
        <v>3003</v>
      </c>
      <c r="H127" s="12" t="s">
        <v>3005</v>
      </c>
      <c r="I127" s="12">
        <v>112111</v>
      </c>
      <c r="J127" s="12">
        <v>131</v>
      </c>
      <c r="K127" s="111" t="s">
        <v>20</v>
      </c>
      <c r="L127" s="111">
        <v>1</v>
      </c>
      <c r="M127" s="117">
        <v>11131365</v>
      </c>
      <c r="N127" s="117">
        <f t="shared" si="7"/>
        <v>11131365</v>
      </c>
      <c r="O127" s="111" t="s">
        <v>21</v>
      </c>
      <c r="P127" s="111">
        <f t="shared" si="6"/>
        <v>99</v>
      </c>
    </row>
    <row r="128" spans="1:24" ht="15" customHeight="1" x14ac:dyDescent="0.25">
      <c r="A128" s="111" t="s">
        <v>2679</v>
      </c>
      <c r="B128" s="120">
        <v>45964</v>
      </c>
      <c r="C128" s="116">
        <f t="shared" si="4"/>
        <v>229</v>
      </c>
      <c r="D128" s="111">
        <v>1</v>
      </c>
      <c r="G128" s="116" t="s">
        <v>66</v>
      </c>
      <c r="H128" s="111" t="s">
        <v>3032</v>
      </c>
      <c r="I128" s="111">
        <v>112111</v>
      </c>
      <c r="J128" s="111">
        <v>131</v>
      </c>
      <c r="K128" s="111" t="s">
        <v>20</v>
      </c>
      <c r="L128" s="111">
        <v>1</v>
      </c>
      <c r="M128" s="117">
        <v>15967742</v>
      </c>
      <c r="N128" s="117">
        <f t="shared" si="7"/>
        <v>15967742</v>
      </c>
      <c r="O128" s="111" t="s">
        <v>21</v>
      </c>
      <c r="P128" s="111">
        <f t="shared" si="6"/>
        <v>100</v>
      </c>
    </row>
    <row r="129" spans="1:16" ht="15" customHeight="1" x14ac:dyDescent="0.25">
      <c r="A129" s="111" t="s">
        <v>2679</v>
      </c>
      <c r="B129" s="120">
        <v>45966</v>
      </c>
      <c r="C129" s="116">
        <f t="shared" si="4"/>
        <v>230</v>
      </c>
      <c r="D129" s="111">
        <v>1</v>
      </c>
      <c r="G129" s="116" t="s">
        <v>113</v>
      </c>
      <c r="H129" s="111" t="s">
        <v>3031</v>
      </c>
      <c r="I129" s="111">
        <v>112111</v>
      </c>
      <c r="J129" s="111">
        <v>131</v>
      </c>
      <c r="K129" s="111" t="s">
        <v>20</v>
      </c>
      <c r="L129" s="111">
        <v>1</v>
      </c>
      <c r="M129" s="117">
        <v>15967742</v>
      </c>
      <c r="N129" s="117">
        <f t="shared" si="7"/>
        <v>15967742</v>
      </c>
      <c r="O129" s="111" t="s">
        <v>21</v>
      </c>
      <c r="P129" s="111">
        <f t="shared" si="6"/>
        <v>101</v>
      </c>
    </row>
    <row r="130" spans="1:16" ht="15" customHeight="1" x14ac:dyDescent="0.25">
      <c r="A130" s="111" t="s">
        <v>2678</v>
      </c>
      <c r="B130" s="120">
        <v>45967</v>
      </c>
      <c r="C130" s="116">
        <f t="shared" si="4"/>
        <v>231</v>
      </c>
      <c r="D130" s="111">
        <v>1</v>
      </c>
      <c r="G130" s="116" t="s">
        <v>45</v>
      </c>
      <c r="H130" s="111" t="s">
        <v>3033</v>
      </c>
      <c r="I130" s="111">
        <v>1388</v>
      </c>
      <c r="J130" s="111">
        <v>112111</v>
      </c>
      <c r="K130" s="111" t="s">
        <v>20</v>
      </c>
      <c r="L130" s="111">
        <v>1</v>
      </c>
      <c r="M130" s="117">
        <v>20000000</v>
      </c>
      <c r="N130" s="117">
        <f t="shared" si="7"/>
        <v>20000000</v>
      </c>
      <c r="O130" s="111" t="s">
        <v>21</v>
      </c>
      <c r="P130" s="111">
        <f t="shared" si="6"/>
        <v>102</v>
      </c>
    </row>
    <row r="131" spans="1:16" ht="15" customHeight="1" x14ac:dyDescent="0.25">
      <c r="A131" s="111" t="s">
        <v>2679</v>
      </c>
      <c r="B131" s="120">
        <v>45967</v>
      </c>
      <c r="C131" s="116">
        <f t="shared" si="4"/>
        <v>232</v>
      </c>
      <c r="D131" s="111">
        <v>1</v>
      </c>
      <c r="G131" s="116" t="s">
        <v>45</v>
      </c>
      <c r="H131" s="111" t="s">
        <v>3034</v>
      </c>
      <c r="I131" s="111">
        <v>112111</v>
      </c>
      <c r="J131" s="111">
        <v>1388</v>
      </c>
      <c r="K131" s="111" t="s">
        <v>20</v>
      </c>
      <c r="L131" s="111">
        <v>1</v>
      </c>
      <c r="M131" s="117">
        <v>20000000</v>
      </c>
      <c r="N131" s="117">
        <f t="shared" si="7"/>
        <v>20000000</v>
      </c>
      <c r="O131" s="111" t="s">
        <v>21</v>
      </c>
      <c r="P131" s="111">
        <f t="shared" si="6"/>
        <v>103</v>
      </c>
    </row>
    <row r="132" spans="1:16" ht="15" customHeight="1" x14ac:dyDescent="0.25">
      <c r="A132" s="111" t="s">
        <v>2678</v>
      </c>
      <c r="B132" s="120">
        <v>45967</v>
      </c>
      <c r="C132" s="116">
        <f t="shared" ref="C132:C195" si="8">C131+D132</f>
        <v>233</v>
      </c>
      <c r="D132" s="111">
        <v>1</v>
      </c>
      <c r="G132" s="116" t="s">
        <v>56</v>
      </c>
      <c r="H132" s="111" t="s">
        <v>3017</v>
      </c>
      <c r="I132" s="111">
        <v>1111</v>
      </c>
      <c r="J132" s="111">
        <v>112111</v>
      </c>
      <c r="K132" s="111" t="s">
        <v>20</v>
      </c>
      <c r="L132" s="111">
        <v>1</v>
      </c>
      <c r="M132" s="117">
        <v>20000000</v>
      </c>
      <c r="N132" s="117">
        <f t="shared" ref="N132:N161" si="9">M132*L132</f>
        <v>20000000</v>
      </c>
      <c r="O132" s="111" t="s">
        <v>21</v>
      </c>
      <c r="P132" s="111">
        <f t="shared" si="6"/>
        <v>104</v>
      </c>
    </row>
    <row r="133" spans="1:16" ht="15" customHeight="1" x14ac:dyDescent="0.25">
      <c r="A133" s="111" t="s">
        <v>2679</v>
      </c>
      <c r="B133" s="120">
        <v>45969</v>
      </c>
      <c r="C133" s="116">
        <f t="shared" si="8"/>
        <v>234</v>
      </c>
      <c r="D133" s="111">
        <v>1</v>
      </c>
      <c r="G133" s="116" t="s">
        <v>45</v>
      </c>
      <c r="H133" s="111" t="s">
        <v>3019</v>
      </c>
      <c r="I133" s="111">
        <v>112111</v>
      </c>
      <c r="J133" s="111">
        <v>3388</v>
      </c>
      <c r="K133" s="111" t="s">
        <v>20</v>
      </c>
      <c r="L133" s="111">
        <v>1</v>
      </c>
      <c r="M133" s="117">
        <v>600000</v>
      </c>
      <c r="N133" s="117">
        <f t="shared" si="9"/>
        <v>600000</v>
      </c>
      <c r="O133" s="111" t="s">
        <v>21</v>
      </c>
      <c r="P133" s="111">
        <f t="shared" si="6"/>
        <v>105</v>
      </c>
    </row>
    <row r="134" spans="1:16" ht="15" customHeight="1" x14ac:dyDescent="0.25">
      <c r="A134" s="111" t="s">
        <v>2679</v>
      </c>
      <c r="B134" s="120">
        <v>45969</v>
      </c>
      <c r="C134" s="116">
        <f t="shared" si="8"/>
        <v>235</v>
      </c>
      <c r="D134" s="111">
        <v>1</v>
      </c>
      <c r="G134" s="116" t="s">
        <v>45</v>
      </c>
      <c r="H134" s="111" t="s">
        <v>3019</v>
      </c>
      <c r="I134" s="111">
        <v>112111</v>
      </c>
      <c r="J134" s="111">
        <v>3388</v>
      </c>
      <c r="K134" s="111" t="s">
        <v>20</v>
      </c>
      <c r="L134" s="111">
        <v>1</v>
      </c>
      <c r="M134" s="117">
        <v>1125000</v>
      </c>
      <c r="N134" s="117">
        <f t="shared" si="9"/>
        <v>1125000</v>
      </c>
      <c r="O134" s="111" t="s">
        <v>21</v>
      </c>
      <c r="P134" s="111">
        <f t="shared" ref="P134:P197" si="10">P133+D134</f>
        <v>106</v>
      </c>
    </row>
    <row r="135" spans="1:16" ht="15" customHeight="1" x14ac:dyDescent="0.25">
      <c r="A135" s="111" t="s">
        <v>2679</v>
      </c>
      <c r="B135" s="120">
        <v>45969</v>
      </c>
      <c r="C135" s="116">
        <f t="shared" si="8"/>
        <v>236</v>
      </c>
      <c r="D135" s="111">
        <v>1</v>
      </c>
      <c r="G135" s="116" t="s">
        <v>45</v>
      </c>
      <c r="H135" s="111" t="s">
        <v>3019</v>
      </c>
      <c r="I135" s="111">
        <v>112111</v>
      </c>
      <c r="J135" s="111">
        <v>3388</v>
      </c>
      <c r="K135" s="111" t="s">
        <v>20</v>
      </c>
      <c r="L135" s="111">
        <v>1</v>
      </c>
      <c r="M135" s="117">
        <v>599999</v>
      </c>
      <c r="N135" s="117">
        <f t="shared" si="9"/>
        <v>599999</v>
      </c>
      <c r="O135" s="111" t="s">
        <v>21</v>
      </c>
      <c r="P135" s="111">
        <f t="shared" si="10"/>
        <v>107</v>
      </c>
    </row>
    <row r="136" spans="1:16" ht="15" customHeight="1" x14ac:dyDescent="0.25">
      <c r="A136" s="111" t="s">
        <v>2678</v>
      </c>
      <c r="B136" s="120">
        <v>45974</v>
      </c>
      <c r="C136" s="116">
        <f t="shared" si="8"/>
        <v>237</v>
      </c>
      <c r="D136" s="111">
        <v>1</v>
      </c>
      <c r="G136" s="116" t="s">
        <v>45</v>
      </c>
      <c r="H136" s="111" t="s">
        <v>3018</v>
      </c>
      <c r="I136" s="111">
        <v>3388</v>
      </c>
      <c r="J136" s="111">
        <v>112111</v>
      </c>
      <c r="K136" s="111" t="s">
        <v>20</v>
      </c>
      <c r="L136" s="111">
        <v>1</v>
      </c>
      <c r="M136" s="117">
        <v>1125000</v>
      </c>
      <c r="N136" s="117">
        <f t="shared" si="9"/>
        <v>1125000</v>
      </c>
      <c r="O136" s="111" t="s">
        <v>21</v>
      </c>
      <c r="P136" s="111">
        <f t="shared" si="10"/>
        <v>108</v>
      </c>
    </row>
    <row r="137" spans="1:16" ht="15" customHeight="1" x14ac:dyDescent="0.25">
      <c r="A137" s="111" t="s">
        <v>2678</v>
      </c>
      <c r="B137" s="120">
        <v>45974</v>
      </c>
      <c r="C137" s="116">
        <f t="shared" si="8"/>
        <v>238</v>
      </c>
      <c r="D137" s="111">
        <v>1</v>
      </c>
      <c r="G137" s="116" t="s">
        <v>45</v>
      </c>
      <c r="H137" s="111" t="s">
        <v>3018</v>
      </c>
      <c r="I137" s="111">
        <v>3388</v>
      </c>
      <c r="J137" s="111">
        <v>112111</v>
      </c>
      <c r="K137" s="111" t="s">
        <v>20</v>
      </c>
      <c r="L137" s="111">
        <v>1</v>
      </c>
      <c r="M137" s="117">
        <v>599999</v>
      </c>
      <c r="N137" s="117">
        <f t="shared" si="9"/>
        <v>599999</v>
      </c>
      <c r="O137" s="111" t="s">
        <v>21</v>
      </c>
      <c r="P137" s="111">
        <f t="shared" si="10"/>
        <v>109</v>
      </c>
    </row>
    <row r="138" spans="1:16" ht="15" customHeight="1" x14ac:dyDescent="0.25">
      <c r="A138" s="111" t="s">
        <v>2679</v>
      </c>
      <c r="B138" s="120">
        <v>45974</v>
      </c>
      <c r="C138" s="116">
        <f t="shared" si="8"/>
        <v>239</v>
      </c>
      <c r="D138" s="111">
        <v>1</v>
      </c>
      <c r="G138" s="116" t="s">
        <v>110</v>
      </c>
      <c r="H138" s="111" t="s">
        <v>3043</v>
      </c>
      <c r="I138" s="111">
        <v>112111</v>
      </c>
      <c r="J138" s="111">
        <v>131</v>
      </c>
      <c r="K138" s="111" t="s">
        <v>20</v>
      </c>
      <c r="L138" s="111">
        <v>1</v>
      </c>
      <c r="M138" s="117">
        <v>15967742</v>
      </c>
      <c r="N138" s="117">
        <f t="shared" si="9"/>
        <v>15967742</v>
      </c>
      <c r="O138" s="111" t="s">
        <v>21</v>
      </c>
      <c r="P138" s="111">
        <f t="shared" si="10"/>
        <v>110</v>
      </c>
    </row>
    <row r="139" spans="1:16" ht="15" customHeight="1" x14ac:dyDescent="0.25">
      <c r="A139" s="111" t="s">
        <v>2679</v>
      </c>
      <c r="B139" s="120">
        <v>45974</v>
      </c>
      <c r="C139" s="116">
        <f t="shared" si="8"/>
        <v>240</v>
      </c>
      <c r="D139" s="111">
        <v>1</v>
      </c>
      <c r="G139" s="116" t="s">
        <v>68</v>
      </c>
      <c r="H139" s="111" t="s">
        <v>3035</v>
      </c>
      <c r="I139" s="111">
        <v>112111</v>
      </c>
      <c r="J139" s="111">
        <v>131</v>
      </c>
      <c r="K139" s="111" t="s">
        <v>20</v>
      </c>
      <c r="L139" s="111">
        <v>1</v>
      </c>
      <c r="M139" s="117">
        <v>19161290</v>
      </c>
      <c r="N139" s="117">
        <f t="shared" si="9"/>
        <v>19161290</v>
      </c>
      <c r="O139" s="111" t="s">
        <v>21</v>
      </c>
      <c r="P139" s="111">
        <f t="shared" si="10"/>
        <v>111</v>
      </c>
    </row>
    <row r="140" spans="1:16" ht="15" customHeight="1" x14ac:dyDescent="0.25">
      <c r="A140" s="111" t="s">
        <v>2678</v>
      </c>
      <c r="B140" s="120">
        <v>45974</v>
      </c>
      <c r="C140" s="116">
        <f t="shared" si="8"/>
        <v>241</v>
      </c>
      <c r="D140" s="111">
        <v>1</v>
      </c>
      <c r="G140" s="116" t="s">
        <v>45</v>
      </c>
      <c r="H140" s="111" t="s">
        <v>3018</v>
      </c>
      <c r="I140" s="111">
        <v>3388</v>
      </c>
      <c r="J140" s="111">
        <v>112111</v>
      </c>
      <c r="K140" s="111" t="s">
        <v>20</v>
      </c>
      <c r="L140" s="111">
        <v>1</v>
      </c>
      <c r="M140" s="117">
        <v>600000</v>
      </c>
      <c r="N140" s="117">
        <f t="shared" si="9"/>
        <v>600000</v>
      </c>
      <c r="O140" s="111" t="s">
        <v>21</v>
      </c>
      <c r="P140" s="111">
        <f t="shared" si="10"/>
        <v>112</v>
      </c>
    </row>
    <row r="141" spans="1:16" ht="15" customHeight="1" x14ac:dyDescent="0.25">
      <c r="A141" s="111" t="s">
        <v>2678</v>
      </c>
      <c r="B141" s="120">
        <v>45975</v>
      </c>
      <c r="C141" s="116">
        <f t="shared" si="8"/>
        <v>242</v>
      </c>
      <c r="D141" s="111">
        <v>1</v>
      </c>
      <c r="G141" s="116" t="s">
        <v>56</v>
      </c>
      <c r="H141" s="111" t="s">
        <v>3017</v>
      </c>
      <c r="I141" s="111">
        <v>1111</v>
      </c>
      <c r="J141" s="111">
        <v>112111</v>
      </c>
      <c r="K141" s="111" t="s">
        <v>20</v>
      </c>
      <c r="L141" s="111">
        <v>1</v>
      </c>
      <c r="M141" s="117">
        <v>50000000</v>
      </c>
      <c r="N141" s="117">
        <f t="shared" si="9"/>
        <v>50000000</v>
      </c>
      <c r="O141" s="111" t="s">
        <v>21</v>
      </c>
      <c r="P141" s="111">
        <f t="shared" si="10"/>
        <v>113</v>
      </c>
    </row>
    <row r="142" spans="1:16" ht="15" customHeight="1" x14ac:dyDescent="0.25">
      <c r="A142" s="111" t="s">
        <v>2678</v>
      </c>
      <c r="B142" s="120">
        <v>45989</v>
      </c>
      <c r="C142" s="116">
        <f t="shared" si="8"/>
        <v>243</v>
      </c>
      <c r="D142" s="111">
        <v>1</v>
      </c>
      <c r="G142" s="116" t="s">
        <v>56</v>
      </c>
      <c r="H142" s="111" t="s">
        <v>3017</v>
      </c>
      <c r="I142" s="111">
        <v>1111</v>
      </c>
      <c r="J142" s="111">
        <v>112111</v>
      </c>
      <c r="K142" s="111" t="s">
        <v>20</v>
      </c>
      <c r="L142" s="111">
        <v>1</v>
      </c>
      <c r="M142" s="117">
        <v>10000000</v>
      </c>
      <c r="N142" s="117">
        <f t="shared" si="9"/>
        <v>10000000</v>
      </c>
      <c r="O142" s="111" t="s">
        <v>21</v>
      </c>
      <c r="P142" s="111">
        <f t="shared" si="10"/>
        <v>114</v>
      </c>
    </row>
    <row r="143" spans="1:16" ht="15" customHeight="1" x14ac:dyDescent="0.25">
      <c r="A143" s="111" t="s">
        <v>2679</v>
      </c>
      <c r="B143" s="120">
        <v>45990</v>
      </c>
      <c r="C143" s="116">
        <f t="shared" si="8"/>
        <v>244</v>
      </c>
      <c r="D143" s="111">
        <v>1</v>
      </c>
      <c r="G143" s="116" t="s">
        <v>2680</v>
      </c>
      <c r="H143" s="111" t="s">
        <v>2687</v>
      </c>
      <c r="I143" s="111">
        <v>112111</v>
      </c>
      <c r="J143" s="111">
        <v>5154</v>
      </c>
      <c r="K143" s="111" t="s">
        <v>20</v>
      </c>
      <c r="L143" s="111">
        <v>1</v>
      </c>
      <c r="M143" s="117">
        <v>1148</v>
      </c>
      <c r="N143" s="117">
        <f t="shared" si="9"/>
        <v>1148</v>
      </c>
      <c r="O143" s="111" t="s">
        <v>21</v>
      </c>
      <c r="P143" s="111">
        <f t="shared" si="10"/>
        <v>115</v>
      </c>
    </row>
    <row r="144" spans="1:16" ht="15" customHeight="1" x14ac:dyDescent="0.25">
      <c r="A144" s="111" t="s">
        <v>2679</v>
      </c>
      <c r="B144" s="120">
        <v>45992</v>
      </c>
      <c r="C144" s="116">
        <f t="shared" si="8"/>
        <v>245</v>
      </c>
      <c r="D144" s="111">
        <v>1</v>
      </c>
      <c r="G144" s="116" t="s">
        <v>29</v>
      </c>
      <c r="H144" s="111" t="s">
        <v>3045</v>
      </c>
      <c r="I144" s="111">
        <v>112111</v>
      </c>
      <c r="J144" s="111">
        <v>131</v>
      </c>
      <c r="K144" s="111" t="s">
        <v>20</v>
      </c>
      <c r="L144" s="111">
        <v>1</v>
      </c>
      <c r="M144" s="117">
        <v>25806452</v>
      </c>
      <c r="N144" s="117">
        <f t="shared" si="9"/>
        <v>25806452</v>
      </c>
      <c r="O144" s="111" t="s">
        <v>21</v>
      </c>
      <c r="P144" s="111">
        <f t="shared" si="10"/>
        <v>116</v>
      </c>
    </row>
    <row r="145" spans="1:16" ht="15" customHeight="1" x14ac:dyDescent="0.25">
      <c r="A145" s="111" t="s">
        <v>2678</v>
      </c>
      <c r="B145" s="120">
        <v>45993</v>
      </c>
      <c r="C145" s="116">
        <f t="shared" si="8"/>
        <v>246</v>
      </c>
      <c r="D145" s="111">
        <v>1</v>
      </c>
      <c r="G145" s="116" t="s">
        <v>56</v>
      </c>
      <c r="H145" s="111" t="s">
        <v>3017</v>
      </c>
      <c r="I145" s="111">
        <v>1111</v>
      </c>
      <c r="J145" s="111">
        <v>112111</v>
      </c>
      <c r="K145" s="111" t="s">
        <v>20</v>
      </c>
      <c r="L145" s="111">
        <v>1</v>
      </c>
      <c r="M145" s="117">
        <v>20000000</v>
      </c>
      <c r="N145" s="117">
        <f t="shared" si="9"/>
        <v>20000000</v>
      </c>
      <c r="O145" s="111" t="s">
        <v>21</v>
      </c>
      <c r="P145" s="111">
        <f t="shared" si="10"/>
        <v>117</v>
      </c>
    </row>
    <row r="146" spans="1:16" ht="15" customHeight="1" x14ac:dyDescent="0.25">
      <c r="A146" s="111" t="s">
        <v>2679</v>
      </c>
      <c r="B146" s="120">
        <v>45993</v>
      </c>
      <c r="C146" s="116">
        <f t="shared" si="8"/>
        <v>247</v>
      </c>
      <c r="D146" s="111">
        <v>1</v>
      </c>
      <c r="G146" s="116" t="s">
        <v>29</v>
      </c>
      <c r="H146" s="111" t="s">
        <v>3046</v>
      </c>
      <c r="I146" s="111">
        <v>112111</v>
      </c>
      <c r="J146" s="111">
        <v>131</v>
      </c>
      <c r="K146" s="111" t="s">
        <v>20</v>
      </c>
      <c r="L146" s="111">
        <v>1</v>
      </c>
      <c r="M146" s="117">
        <v>13978495</v>
      </c>
      <c r="N146" s="117">
        <f t="shared" si="9"/>
        <v>13978495</v>
      </c>
      <c r="O146" s="111" t="s">
        <v>21</v>
      </c>
      <c r="P146" s="111">
        <f t="shared" si="10"/>
        <v>118</v>
      </c>
    </row>
    <row r="147" spans="1:16" ht="15" customHeight="1" x14ac:dyDescent="0.25">
      <c r="A147" s="111" t="s">
        <v>2679</v>
      </c>
      <c r="B147" s="120">
        <v>45993</v>
      </c>
      <c r="C147" s="116">
        <f t="shared" si="8"/>
        <v>248</v>
      </c>
      <c r="D147" s="111">
        <v>1</v>
      </c>
      <c r="G147" s="116" t="s">
        <v>29</v>
      </c>
      <c r="H147" s="111" t="s">
        <v>3041</v>
      </c>
      <c r="I147" s="111">
        <v>112111</v>
      </c>
      <c r="J147" s="111">
        <v>131</v>
      </c>
      <c r="K147" s="111" t="s">
        <v>20</v>
      </c>
      <c r="L147" s="111">
        <v>1</v>
      </c>
      <c r="M147" s="117">
        <v>16129032</v>
      </c>
      <c r="N147" s="117">
        <f t="shared" si="9"/>
        <v>16129032</v>
      </c>
      <c r="O147" s="111" t="s">
        <v>21</v>
      </c>
      <c r="P147" s="111">
        <f t="shared" si="10"/>
        <v>119</v>
      </c>
    </row>
    <row r="148" spans="1:16" ht="15" customHeight="1" x14ac:dyDescent="0.25">
      <c r="A148" s="111" t="s">
        <v>2679</v>
      </c>
      <c r="B148" s="120">
        <v>45993</v>
      </c>
      <c r="C148" s="116">
        <f t="shared" si="8"/>
        <v>249</v>
      </c>
      <c r="D148" s="111">
        <v>1</v>
      </c>
      <c r="G148" s="116" t="s">
        <v>29</v>
      </c>
      <c r="H148" s="111" t="s">
        <v>3042</v>
      </c>
      <c r="I148" s="111">
        <v>112111</v>
      </c>
      <c r="J148" s="111">
        <v>131</v>
      </c>
      <c r="K148" s="111" t="s">
        <v>20</v>
      </c>
      <c r="L148" s="111">
        <v>1</v>
      </c>
      <c r="M148" s="117">
        <v>25806452</v>
      </c>
      <c r="N148" s="117">
        <f t="shared" si="9"/>
        <v>25806452</v>
      </c>
      <c r="O148" s="111" t="s">
        <v>21</v>
      </c>
      <c r="P148" s="111">
        <f t="shared" si="10"/>
        <v>120</v>
      </c>
    </row>
    <row r="149" spans="1:16" ht="15" customHeight="1" x14ac:dyDescent="0.25">
      <c r="A149" s="111" t="s">
        <v>2679</v>
      </c>
      <c r="B149" s="120">
        <v>45993</v>
      </c>
      <c r="C149" s="116">
        <f t="shared" si="8"/>
        <v>250</v>
      </c>
      <c r="D149" s="111">
        <v>1</v>
      </c>
      <c r="G149" s="116" t="s">
        <v>29</v>
      </c>
      <c r="H149" s="111" t="s">
        <v>3040</v>
      </c>
      <c r="I149" s="111">
        <v>112111</v>
      </c>
      <c r="J149" s="111">
        <v>131</v>
      </c>
      <c r="K149" s="111" t="s">
        <v>20</v>
      </c>
      <c r="L149" s="111">
        <v>1</v>
      </c>
      <c r="M149" s="117">
        <v>12903226</v>
      </c>
      <c r="N149" s="117">
        <f t="shared" si="9"/>
        <v>12903226</v>
      </c>
      <c r="O149" s="111" t="s">
        <v>21</v>
      </c>
      <c r="P149" s="111">
        <f t="shared" si="10"/>
        <v>121</v>
      </c>
    </row>
    <row r="150" spans="1:16" ht="15" customHeight="1" x14ac:dyDescent="0.25">
      <c r="A150" s="111" t="s">
        <v>2679</v>
      </c>
      <c r="B150" s="120">
        <v>45995</v>
      </c>
      <c r="C150" s="116">
        <f t="shared" si="8"/>
        <v>251</v>
      </c>
      <c r="D150" s="111">
        <v>1</v>
      </c>
      <c r="G150" s="116" t="s">
        <v>110</v>
      </c>
      <c r="H150" s="111" t="s">
        <v>3044</v>
      </c>
      <c r="I150" s="111">
        <v>112111</v>
      </c>
      <c r="J150" s="111">
        <v>131</v>
      </c>
      <c r="K150" s="111" t="s">
        <v>20</v>
      </c>
      <c r="L150" s="111">
        <v>1</v>
      </c>
      <c r="M150" s="117">
        <v>5322581</v>
      </c>
      <c r="N150" s="117">
        <f t="shared" si="9"/>
        <v>5322581</v>
      </c>
      <c r="O150" s="111" t="s">
        <v>21</v>
      </c>
      <c r="P150" s="111">
        <f t="shared" si="10"/>
        <v>122</v>
      </c>
    </row>
    <row r="151" spans="1:16" ht="15" customHeight="1" x14ac:dyDescent="0.25">
      <c r="A151" s="111" t="s">
        <v>2678</v>
      </c>
      <c r="B151" s="120">
        <v>45997</v>
      </c>
      <c r="C151" s="116">
        <f t="shared" si="8"/>
        <v>252</v>
      </c>
      <c r="D151" s="111">
        <v>1</v>
      </c>
      <c r="G151" s="116" t="s">
        <v>56</v>
      </c>
      <c r="H151" s="111" t="s">
        <v>3017</v>
      </c>
      <c r="I151" s="111">
        <v>1111</v>
      </c>
      <c r="J151" s="111">
        <v>112111</v>
      </c>
      <c r="K151" s="111" t="s">
        <v>20</v>
      </c>
      <c r="L151" s="111">
        <v>1</v>
      </c>
      <c r="M151" s="117">
        <v>70000000</v>
      </c>
      <c r="N151" s="117">
        <f t="shared" si="9"/>
        <v>70000000</v>
      </c>
      <c r="O151" s="111" t="s">
        <v>21</v>
      </c>
      <c r="P151" s="111">
        <f t="shared" si="10"/>
        <v>123</v>
      </c>
    </row>
    <row r="152" spans="1:16" ht="15" customHeight="1" x14ac:dyDescent="0.25">
      <c r="A152" s="111" t="s">
        <v>2678</v>
      </c>
      <c r="B152" s="120">
        <v>46004</v>
      </c>
      <c r="C152" s="116">
        <f t="shared" si="8"/>
        <v>253</v>
      </c>
      <c r="D152" s="111">
        <v>1</v>
      </c>
      <c r="G152" s="116" t="s">
        <v>56</v>
      </c>
      <c r="H152" s="111" t="s">
        <v>3017</v>
      </c>
      <c r="I152" s="111">
        <v>1111</v>
      </c>
      <c r="J152" s="111">
        <v>112111</v>
      </c>
      <c r="K152" s="111" t="s">
        <v>20</v>
      </c>
      <c r="L152" s="111">
        <v>1</v>
      </c>
      <c r="M152" s="117">
        <v>10000000</v>
      </c>
      <c r="N152" s="117">
        <f t="shared" si="9"/>
        <v>10000000</v>
      </c>
      <c r="O152" s="111" t="s">
        <v>21</v>
      </c>
      <c r="P152" s="111">
        <f t="shared" si="10"/>
        <v>124</v>
      </c>
    </row>
    <row r="153" spans="1:16" ht="15" customHeight="1" x14ac:dyDescent="0.25">
      <c r="A153" s="111" t="s">
        <v>2679</v>
      </c>
      <c r="B153" s="120">
        <v>46006</v>
      </c>
      <c r="C153" s="116">
        <f t="shared" si="8"/>
        <v>254</v>
      </c>
      <c r="D153" s="111">
        <v>1</v>
      </c>
      <c r="G153" s="116" t="s">
        <v>715</v>
      </c>
      <c r="H153" s="111" t="s">
        <v>3047</v>
      </c>
      <c r="I153" s="111">
        <v>112111</v>
      </c>
      <c r="J153" s="111">
        <v>131</v>
      </c>
      <c r="K153" s="111" t="s">
        <v>20</v>
      </c>
      <c r="L153" s="111">
        <v>1</v>
      </c>
      <c r="M153" s="117">
        <v>13306451</v>
      </c>
      <c r="N153" s="117">
        <f t="shared" si="9"/>
        <v>13306451</v>
      </c>
      <c r="O153" s="111" t="s">
        <v>21</v>
      </c>
      <c r="P153" s="111">
        <f t="shared" si="10"/>
        <v>125</v>
      </c>
    </row>
    <row r="154" spans="1:16" ht="15" customHeight="1" x14ac:dyDescent="0.25">
      <c r="A154" s="111" t="s">
        <v>2678</v>
      </c>
      <c r="B154" s="120">
        <v>46008</v>
      </c>
      <c r="C154" s="116">
        <f t="shared" si="8"/>
        <v>255</v>
      </c>
      <c r="D154" s="111">
        <v>1</v>
      </c>
      <c r="G154" s="116" t="s">
        <v>45</v>
      </c>
      <c r="H154" s="111" t="s">
        <v>3039</v>
      </c>
      <c r="I154" s="111">
        <v>8118</v>
      </c>
      <c r="J154" s="111">
        <v>112111</v>
      </c>
      <c r="K154" s="111" t="s">
        <v>20</v>
      </c>
      <c r="L154" s="111">
        <v>1</v>
      </c>
      <c r="M154" s="117">
        <v>1677</v>
      </c>
      <c r="N154" s="117">
        <f t="shared" si="9"/>
        <v>1677</v>
      </c>
      <c r="O154" s="111" t="s">
        <v>21</v>
      </c>
      <c r="P154" s="111">
        <f t="shared" si="10"/>
        <v>126</v>
      </c>
    </row>
    <row r="155" spans="1:16" ht="15" customHeight="1" x14ac:dyDescent="0.25">
      <c r="A155" s="111" t="s">
        <v>2678</v>
      </c>
      <c r="B155" s="120">
        <v>46008</v>
      </c>
      <c r="C155" s="116">
        <f t="shared" si="8"/>
        <v>256</v>
      </c>
      <c r="D155" s="111">
        <v>1</v>
      </c>
      <c r="G155" s="116" t="s">
        <v>43</v>
      </c>
      <c r="H155" s="111" t="s">
        <v>3036</v>
      </c>
      <c r="I155" s="111">
        <v>3383</v>
      </c>
      <c r="J155" s="111">
        <v>112111</v>
      </c>
      <c r="K155" s="111" t="s">
        <v>20</v>
      </c>
      <c r="L155" s="111">
        <v>1</v>
      </c>
      <c r="M155" s="117">
        <v>690300</v>
      </c>
      <c r="N155" s="117">
        <f t="shared" si="9"/>
        <v>690300</v>
      </c>
      <c r="O155" s="111" t="s">
        <v>21</v>
      </c>
      <c r="P155" s="111">
        <f t="shared" si="10"/>
        <v>127</v>
      </c>
    </row>
    <row r="156" spans="1:16" ht="15" customHeight="1" x14ac:dyDescent="0.25">
      <c r="A156" s="111" t="s">
        <v>2678</v>
      </c>
      <c r="B156" s="120">
        <v>46010</v>
      </c>
      <c r="C156" s="116">
        <f t="shared" si="8"/>
        <v>257</v>
      </c>
      <c r="D156" s="111">
        <v>1</v>
      </c>
      <c r="G156" s="116" t="s">
        <v>56</v>
      </c>
      <c r="H156" s="111" t="s">
        <v>3017</v>
      </c>
      <c r="I156" s="111">
        <v>1111</v>
      </c>
      <c r="J156" s="111">
        <v>112111</v>
      </c>
      <c r="K156" s="111" t="s">
        <v>20</v>
      </c>
      <c r="L156" s="111">
        <v>1</v>
      </c>
      <c r="M156" s="117">
        <v>6000000</v>
      </c>
      <c r="N156" s="117">
        <f t="shared" si="9"/>
        <v>6000000</v>
      </c>
      <c r="O156" s="111" t="s">
        <v>21</v>
      </c>
      <c r="P156" s="111">
        <f t="shared" si="10"/>
        <v>128</v>
      </c>
    </row>
    <row r="157" spans="1:16" ht="15" customHeight="1" x14ac:dyDescent="0.25">
      <c r="A157" s="111" t="s">
        <v>2678</v>
      </c>
      <c r="B157" s="120">
        <v>46013</v>
      </c>
      <c r="C157" s="116">
        <f t="shared" si="8"/>
        <v>258</v>
      </c>
      <c r="D157" s="111">
        <v>1</v>
      </c>
      <c r="G157" s="116" t="s">
        <v>56</v>
      </c>
      <c r="H157" s="111" t="s">
        <v>3017</v>
      </c>
      <c r="I157" s="111">
        <v>1111</v>
      </c>
      <c r="J157" s="111">
        <v>112111</v>
      </c>
      <c r="K157" s="111" t="s">
        <v>20</v>
      </c>
      <c r="L157" s="111">
        <v>1</v>
      </c>
      <c r="M157" s="117">
        <v>5000000</v>
      </c>
      <c r="N157" s="117">
        <f t="shared" si="9"/>
        <v>5000000</v>
      </c>
      <c r="O157" s="111" t="s">
        <v>21</v>
      </c>
      <c r="P157" s="111">
        <f t="shared" si="10"/>
        <v>129</v>
      </c>
    </row>
    <row r="158" spans="1:16" ht="15" customHeight="1" x14ac:dyDescent="0.25">
      <c r="A158" s="111" t="s">
        <v>2679</v>
      </c>
      <c r="B158" s="120">
        <v>46017</v>
      </c>
      <c r="C158" s="116">
        <f t="shared" si="8"/>
        <v>259</v>
      </c>
      <c r="D158" s="111">
        <v>1</v>
      </c>
      <c r="G158" s="116" t="s">
        <v>55</v>
      </c>
      <c r="H158" s="111" t="s">
        <v>3037</v>
      </c>
      <c r="I158" s="111">
        <v>112111</v>
      </c>
      <c r="J158" s="111">
        <v>131</v>
      </c>
      <c r="K158" s="111" t="s">
        <v>20</v>
      </c>
      <c r="L158" s="111">
        <v>1</v>
      </c>
      <c r="M158" s="117">
        <v>15967741</v>
      </c>
      <c r="N158" s="117">
        <f t="shared" si="9"/>
        <v>15967741</v>
      </c>
      <c r="O158" s="111" t="s">
        <v>21</v>
      </c>
      <c r="P158" s="111">
        <f t="shared" si="10"/>
        <v>130</v>
      </c>
    </row>
    <row r="159" spans="1:16" ht="15" customHeight="1" x14ac:dyDescent="0.25">
      <c r="A159" s="111" t="s">
        <v>2679</v>
      </c>
      <c r="B159" s="120">
        <v>46017</v>
      </c>
      <c r="C159" s="116">
        <f t="shared" si="8"/>
        <v>260</v>
      </c>
      <c r="D159" s="111">
        <v>1</v>
      </c>
      <c r="G159" s="116" t="s">
        <v>55</v>
      </c>
      <c r="H159" s="111" t="s">
        <v>3038</v>
      </c>
      <c r="I159" s="111">
        <v>112111</v>
      </c>
      <c r="J159" s="111">
        <v>131</v>
      </c>
      <c r="K159" s="111" t="s">
        <v>20</v>
      </c>
      <c r="L159" s="111">
        <v>1</v>
      </c>
      <c r="M159" s="117">
        <v>21290322</v>
      </c>
      <c r="N159" s="117">
        <f t="shared" si="9"/>
        <v>21290322</v>
      </c>
      <c r="O159" s="111" t="s">
        <v>21</v>
      </c>
      <c r="P159" s="111">
        <f t="shared" si="10"/>
        <v>131</v>
      </c>
    </row>
    <row r="160" spans="1:16" ht="15" customHeight="1" x14ac:dyDescent="0.25">
      <c r="A160" s="111" t="s">
        <v>2679</v>
      </c>
      <c r="B160" s="120">
        <v>46018</v>
      </c>
      <c r="C160" s="116">
        <f t="shared" si="8"/>
        <v>261</v>
      </c>
      <c r="D160" s="111">
        <v>1</v>
      </c>
      <c r="G160" s="116" t="s">
        <v>2680</v>
      </c>
      <c r="H160" s="111" t="s">
        <v>2687</v>
      </c>
      <c r="I160" s="111">
        <v>112111</v>
      </c>
      <c r="J160" s="111">
        <v>5154</v>
      </c>
      <c r="K160" s="111" t="s">
        <v>20</v>
      </c>
      <c r="L160" s="111">
        <v>1</v>
      </c>
      <c r="M160" s="117">
        <v>926</v>
      </c>
      <c r="N160" s="117">
        <f t="shared" si="9"/>
        <v>926</v>
      </c>
      <c r="O160" s="111" t="s">
        <v>21</v>
      </c>
      <c r="P160" s="111">
        <f t="shared" si="10"/>
        <v>132</v>
      </c>
    </row>
    <row r="161" spans="1:16" ht="15" customHeight="1" x14ac:dyDescent="0.25">
      <c r="A161" s="111" t="s">
        <v>2678</v>
      </c>
      <c r="B161" s="120">
        <v>46020</v>
      </c>
      <c r="C161" s="116">
        <f t="shared" si="8"/>
        <v>262</v>
      </c>
      <c r="D161" s="111">
        <v>1</v>
      </c>
      <c r="G161" s="116" t="s">
        <v>56</v>
      </c>
      <c r="H161" s="111" t="s">
        <v>3017</v>
      </c>
      <c r="I161" s="111">
        <v>1111</v>
      </c>
      <c r="J161" s="111">
        <v>112111</v>
      </c>
      <c r="K161" s="111" t="s">
        <v>20</v>
      </c>
      <c r="L161" s="111">
        <v>1</v>
      </c>
      <c r="M161" s="117">
        <v>10000000</v>
      </c>
      <c r="N161" s="117">
        <f t="shared" si="9"/>
        <v>10000000</v>
      </c>
      <c r="O161" s="111" t="s">
        <v>21</v>
      </c>
      <c r="P161" s="111">
        <f t="shared" si="10"/>
        <v>133</v>
      </c>
    </row>
    <row r="162" spans="1:16" ht="15" customHeight="1" x14ac:dyDescent="0.25">
      <c r="A162" s="111" t="s">
        <v>2719</v>
      </c>
      <c r="B162" s="120" t="s">
        <v>443</v>
      </c>
      <c r="C162" s="116">
        <f t="shared" si="8"/>
        <v>263</v>
      </c>
      <c r="D162" s="111">
        <v>1</v>
      </c>
      <c r="G162" s="116" t="s">
        <v>37</v>
      </c>
      <c r="H162" s="111" t="s">
        <v>3048</v>
      </c>
      <c r="I162" s="111">
        <v>331</v>
      </c>
      <c r="J162" s="111">
        <v>1111</v>
      </c>
      <c r="K162" s="111" t="s">
        <v>20</v>
      </c>
      <c r="L162" s="111">
        <v>1</v>
      </c>
      <c r="M162" s="117">
        <v>3240000</v>
      </c>
      <c r="N162" s="117">
        <f t="shared" ref="N162:N210" si="11">M162*L162</f>
        <v>3240000</v>
      </c>
      <c r="O162" s="111" t="s">
        <v>21</v>
      </c>
      <c r="P162" s="111">
        <f t="shared" si="10"/>
        <v>134</v>
      </c>
    </row>
    <row r="163" spans="1:16" ht="15" customHeight="1" x14ac:dyDescent="0.25">
      <c r="A163" s="111" t="s">
        <v>2719</v>
      </c>
      <c r="B163" s="120" t="s">
        <v>310</v>
      </c>
      <c r="C163" s="116">
        <f t="shared" si="8"/>
        <v>264</v>
      </c>
      <c r="D163" s="111">
        <v>1</v>
      </c>
      <c r="G163" s="116" t="s">
        <v>52</v>
      </c>
      <c r="H163" s="111" t="s">
        <v>3049</v>
      </c>
      <c r="I163" s="111">
        <v>331</v>
      </c>
      <c r="J163" s="111">
        <v>1111</v>
      </c>
      <c r="K163" s="111" t="s">
        <v>20</v>
      </c>
      <c r="L163" s="111">
        <v>1</v>
      </c>
      <c r="M163" s="117">
        <v>989280</v>
      </c>
      <c r="N163" s="117">
        <f t="shared" si="11"/>
        <v>989280</v>
      </c>
      <c r="O163" s="111" t="s">
        <v>21</v>
      </c>
      <c r="P163" s="111">
        <f t="shared" si="10"/>
        <v>135</v>
      </c>
    </row>
    <row r="164" spans="1:16" ht="15" customHeight="1" x14ac:dyDescent="0.25">
      <c r="A164" s="111" t="s">
        <v>2719</v>
      </c>
      <c r="B164" s="120" t="s">
        <v>375</v>
      </c>
      <c r="C164" s="116">
        <f t="shared" si="8"/>
        <v>265</v>
      </c>
      <c r="D164" s="111">
        <v>1</v>
      </c>
      <c r="G164" s="116" t="s">
        <v>281</v>
      </c>
      <c r="H164" s="111" t="s">
        <v>3050</v>
      </c>
      <c r="I164" s="111">
        <v>331</v>
      </c>
      <c r="J164" s="111">
        <v>1111</v>
      </c>
      <c r="K164" s="111" t="s">
        <v>20</v>
      </c>
      <c r="L164" s="111">
        <v>1</v>
      </c>
      <c r="M164" s="117">
        <v>1670000</v>
      </c>
      <c r="N164" s="117">
        <f t="shared" si="11"/>
        <v>1670000</v>
      </c>
      <c r="O164" s="111" t="s">
        <v>21</v>
      </c>
      <c r="P164" s="111">
        <f t="shared" si="10"/>
        <v>136</v>
      </c>
    </row>
    <row r="165" spans="1:16" ht="15" customHeight="1" x14ac:dyDescent="0.25">
      <c r="A165" s="111" t="s">
        <v>2719</v>
      </c>
      <c r="B165" s="120" t="s">
        <v>866</v>
      </c>
      <c r="C165" s="116">
        <f t="shared" si="8"/>
        <v>266</v>
      </c>
      <c r="D165" s="111">
        <v>1</v>
      </c>
      <c r="G165" s="116" t="s">
        <v>871</v>
      </c>
      <c r="H165" s="111" t="s">
        <v>3051</v>
      </c>
      <c r="I165" s="111">
        <v>331</v>
      </c>
      <c r="J165" s="111">
        <v>1111</v>
      </c>
      <c r="K165" s="111" t="s">
        <v>20</v>
      </c>
      <c r="L165" s="111">
        <v>1</v>
      </c>
      <c r="M165" s="117">
        <v>1761480</v>
      </c>
      <c r="N165" s="117">
        <f t="shared" si="11"/>
        <v>1761480</v>
      </c>
      <c r="O165" s="111" t="s">
        <v>21</v>
      </c>
      <c r="P165" s="111">
        <f t="shared" si="10"/>
        <v>137</v>
      </c>
    </row>
    <row r="166" spans="1:16" ht="15" customHeight="1" x14ac:dyDescent="0.25">
      <c r="A166" s="111" t="s">
        <v>2719</v>
      </c>
      <c r="B166" s="120" t="s">
        <v>867</v>
      </c>
      <c r="C166" s="116">
        <f t="shared" si="8"/>
        <v>267</v>
      </c>
      <c r="D166" s="111">
        <v>1</v>
      </c>
      <c r="G166" s="116" t="s">
        <v>872</v>
      </c>
      <c r="H166" s="111" t="s">
        <v>3052</v>
      </c>
      <c r="I166" s="111">
        <v>331</v>
      </c>
      <c r="J166" s="111">
        <v>1111</v>
      </c>
      <c r="K166" s="111" t="s">
        <v>20</v>
      </c>
      <c r="L166" s="111">
        <v>1</v>
      </c>
      <c r="M166" s="117">
        <v>853200</v>
      </c>
      <c r="N166" s="117">
        <f t="shared" si="11"/>
        <v>853200</v>
      </c>
      <c r="O166" s="111" t="s">
        <v>21</v>
      </c>
      <c r="P166" s="111">
        <f t="shared" si="10"/>
        <v>138</v>
      </c>
    </row>
    <row r="167" spans="1:16" ht="15" customHeight="1" x14ac:dyDescent="0.25">
      <c r="A167" s="111" t="s">
        <v>2719</v>
      </c>
      <c r="B167" s="120" t="s">
        <v>867</v>
      </c>
      <c r="C167" s="116">
        <f t="shared" si="8"/>
        <v>268</v>
      </c>
      <c r="D167" s="111">
        <v>1</v>
      </c>
      <c r="G167" s="116" t="s">
        <v>39</v>
      </c>
      <c r="H167" s="111" t="s">
        <v>3053</v>
      </c>
      <c r="I167" s="111">
        <v>331</v>
      </c>
      <c r="J167" s="111">
        <v>1111</v>
      </c>
      <c r="K167" s="111" t="s">
        <v>20</v>
      </c>
      <c r="L167" s="111">
        <v>1</v>
      </c>
      <c r="M167" s="117">
        <v>480600</v>
      </c>
      <c r="N167" s="117">
        <f t="shared" si="11"/>
        <v>480600</v>
      </c>
      <c r="O167" s="111" t="s">
        <v>21</v>
      </c>
      <c r="P167" s="111">
        <f t="shared" si="10"/>
        <v>139</v>
      </c>
    </row>
    <row r="168" spans="1:16" ht="15" customHeight="1" x14ac:dyDescent="0.25">
      <c r="A168" s="111" t="s">
        <v>2719</v>
      </c>
      <c r="B168" s="120" t="s">
        <v>868</v>
      </c>
      <c r="C168" s="116">
        <f t="shared" si="8"/>
        <v>269</v>
      </c>
      <c r="D168" s="111">
        <v>1</v>
      </c>
      <c r="G168" s="116" t="s">
        <v>19</v>
      </c>
      <c r="H168" s="111" t="s">
        <v>3054</v>
      </c>
      <c r="I168" s="111">
        <v>331</v>
      </c>
      <c r="J168" s="111">
        <v>1111</v>
      </c>
      <c r="K168" s="111" t="s">
        <v>20</v>
      </c>
      <c r="L168" s="111">
        <v>1</v>
      </c>
      <c r="M168" s="117">
        <v>216000</v>
      </c>
      <c r="N168" s="117">
        <f t="shared" si="11"/>
        <v>216000</v>
      </c>
      <c r="O168" s="111" t="s">
        <v>21</v>
      </c>
      <c r="P168" s="111">
        <f t="shared" si="10"/>
        <v>140</v>
      </c>
    </row>
    <row r="169" spans="1:16" ht="15" customHeight="1" x14ac:dyDescent="0.25">
      <c r="A169" s="111" t="s">
        <v>2719</v>
      </c>
      <c r="B169" s="120" t="s">
        <v>868</v>
      </c>
      <c r="C169" s="116">
        <f t="shared" si="8"/>
        <v>270</v>
      </c>
      <c r="D169" s="111">
        <v>1</v>
      </c>
      <c r="G169" s="116" t="s">
        <v>19</v>
      </c>
      <c r="H169" s="111" t="s">
        <v>3055</v>
      </c>
      <c r="I169" s="111">
        <v>331</v>
      </c>
      <c r="J169" s="111">
        <v>1111</v>
      </c>
      <c r="K169" s="111" t="s">
        <v>20</v>
      </c>
      <c r="L169" s="111">
        <v>1</v>
      </c>
      <c r="M169" s="117">
        <v>147000</v>
      </c>
      <c r="N169" s="117">
        <f t="shared" si="11"/>
        <v>147000</v>
      </c>
      <c r="O169" s="111" t="s">
        <v>21</v>
      </c>
      <c r="P169" s="111">
        <f t="shared" si="10"/>
        <v>141</v>
      </c>
    </row>
    <row r="170" spans="1:16" ht="15" customHeight="1" x14ac:dyDescent="0.25">
      <c r="A170" s="111" t="s">
        <v>2719</v>
      </c>
      <c r="B170" s="120" t="s">
        <v>511</v>
      </c>
      <c r="C170" s="116">
        <f t="shared" si="8"/>
        <v>271</v>
      </c>
      <c r="D170" s="111">
        <v>1</v>
      </c>
      <c r="G170" s="116" t="s">
        <v>19</v>
      </c>
      <c r="H170" s="111" t="s">
        <v>3056</v>
      </c>
      <c r="I170" s="111">
        <v>331</v>
      </c>
      <c r="J170" s="111">
        <v>1111</v>
      </c>
      <c r="K170" s="111" t="s">
        <v>20</v>
      </c>
      <c r="L170" s="111">
        <v>1</v>
      </c>
      <c r="M170" s="117">
        <v>76000</v>
      </c>
      <c r="N170" s="117">
        <f t="shared" si="11"/>
        <v>76000</v>
      </c>
      <c r="O170" s="111" t="s">
        <v>21</v>
      </c>
      <c r="P170" s="111">
        <f t="shared" si="10"/>
        <v>142</v>
      </c>
    </row>
    <row r="171" spans="1:16" ht="15" customHeight="1" x14ac:dyDescent="0.25">
      <c r="A171" s="111" t="s">
        <v>2719</v>
      </c>
      <c r="B171" s="120" t="s">
        <v>511</v>
      </c>
      <c r="C171" s="116">
        <f t="shared" si="8"/>
        <v>272</v>
      </c>
      <c r="D171" s="111">
        <v>1</v>
      </c>
      <c r="G171" s="116" t="s">
        <v>19</v>
      </c>
      <c r="H171" s="111" t="s">
        <v>3057</v>
      </c>
      <c r="I171" s="111">
        <v>331</v>
      </c>
      <c r="J171" s="111">
        <v>1111</v>
      </c>
      <c r="K171" s="111" t="s">
        <v>20</v>
      </c>
      <c r="L171" s="111">
        <v>1</v>
      </c>
      <c r="M171" s="117">
        <v>74000</v>
      </c>
      <c r="N171" s="117">
        <f t="shared" si="11"/>
        <v>74000</v>
      </c>
      <c r="O171" s="111" t="s">
        <v>21</v>
      </c>
      <c r="P171" s="111">
        <f t="shared" si="10"/>
        <v>143</v>
      </c>
    </row>
    <row r="172" spans="1:16" ht="15" customHeight="1" x14ac:dyDescent="0.25">
      <c r="A172" s="111" t="s">
        <v>2719</v>
      </c>
      <c r="B172" s="120" t="s">
        <v>447</v>
      </c>
      <c r="C172" s="116">
        <f t="shared" si="8"/>
        <v>273</v>
      </c>
      <c r="D172" s="111">
        <v>1</v>
      </c>
      <c r="G172" s="116" t="s">
        <v>19</v>
      </c>
      <c r="H172" s="111" t="s">
        <v>3058</v>
      </c>
      <c r="I172" s="111">
        <v>331</v>
      </c>
      <c r="J172" s="111">
        <v>1111</v>
      </c>
      <c r="K172" s="111" t="s">
        <v>20</v>
      </c>
      <c r="L172" s="111">
        <v>1</v>
      </c>
      <c r="M172" s="117">
        <v>66000</v>
      </c>
      <c r="N172" s="117">
        <f t="shared" si="11"/>
        <v>66000</v>
      </c>
      <c r="O172" s="111" t="s">
        <v>21</v>
      </c>
      <c r="P172" s="111">
        <f t="shared" si="10"/>
        <v>144</v>
      </c>
    </row>
    <row r="173" spans="1:16" ht="15" customHeight="1" x14ac:dyDescent="0.25">
      <c r="A173" s="111" t="s">
        <v>2719</v>
      </c>
      <c r="B173" s="120" t="s">
        <v>468</v>
      </c>
      <c r="C173" s="116">
        <f t="shared" si="8"/>
        <v>274</v>
      </c>
      <c r="D173" s="111">
        <v>1</v>
      </c>
      <c r="G173" s="116" t="s">
        <v>873</v>
      </c>
      <c r="H173" s="111" t="s">
        <v>3059</v>
      </c>
      <c r="I173" s="111">
        <v>331</v>
      </c>
      <c r="J173" s="111">
        <v>1111</v>
      </c>
      <c r="K173" s="111" t="s">
        <v>20</v>
      </c>
      <c r="L173" s="111">
        <v>1</v>
      </c>
      <c r="M173" s="117">
        <v>1600000</v>
      </c>
      <c r="N173" s="117">
        <f t="shared" si="11"/>
        <v>1600000</v>
      </c>
      <c r="O173" s="111" t="s">
        <v>21</v>
      </c>
      <c r="P173" s="111">
        <f t="shared" si="10"/>
        <v>145</v>
      </c>
    </row>
    <row r="174" spans="1:16" ht="15" customHeight="1" x14ac:dyDescent="0.25">
      <c r="A174" s="111" t="s">
        <v>2719</v>
      </c>
      <c r="B174" s="120" t="s">
        <v>599</v>
      </c>
      <c r="C174" s="116">
        <f t="shared" si="8"/>
        <v>275</v>
      </c>
      <c r="D174" s="111">
        <v>1</v>
      </c>
      <c r="G174" s="116" t="s">
        <v>25</v>
      </c>
      <c r="H174" s="111" t="s">
        <v>3060</v>
      </c>
      <c r="I174" s="111">
        <v>331</v>
      </c>
      <c r="J174" s="111">
        <v>1111</v>
      </c>
      <c r="K174" s="111" t="s">
        <v>20</v>
      </c>
      <c r="L174" s="111">
        <v>1</v>
      </c>
      <c r="M174" s="117">
        <v>1129680</v>
      </c>
      <c r="N174" s="117">
        <f t="shared" si="11"/>
        <v>1129680</v>
      </c>
      <c r="O174" s="111" t="s">
        <v>21</v>
      </c>
      <c r="P174" s="111">
        <f t="shared" si="10"/>
        <v>146</v>
      </c>
    </row>
    <row r="175" spans="1:16" ht="15" customHeight="1" x14ac:dyDescent="0.25">
      <c r="A175" s="111" t="s">
        <v>2719</v>
      </c>
      <c r="B175" s="120" t="s">
        <v>469</v>
      </c>
      <c r="C175" s="116">
        <f t="shared" si="8"/>
        <v>276</v>
      </c>
      <c r="D175" s="111">
        <v>1</v>
      </c>
      <c r="G175" s="116" t="s">
        <v>19</v>
      </c>
      <c r="H175" s="111" t="s">
        <v>3061</v>
      </c>
      <c r="I175" s="111">
        <v>331</v>
      </c>
      <c r="J175" s="111">
        <v>1111</v>
      </c>
      <c r="K175" s="111" t="s">
        <v>20</v>
      </c>
      <c r="L175" s="111">
        <v>1</v>
      </c>
      <c r="M175" s="117">
        <v>155000</v>
      </c>
      <c r="N175" s="117">
        <f t="shared" si="11"/>
        <v>155000</v>
      </c>
      <c r="O175" s="111" t="s">
        <v>21</v>
      </c>
      <c r="P175" s="111">
        <f t="shared" si="10"/>
        <v>147</v>
      </c>
    </row>
    <row r="176" spans="1:16" ht="15" customHeight="1" x14ac:dyDescent="0.25">
      <c r="A176" s="111" t="s">
        <v>2719</v>
      </c>
      <c r="B176" s="120" t="s">
        <v>469</v>
      </c>
      <c r="C176" s="116">
        <f t="shared" si="8"/>
        <v>277</v>
      </c>
      <c r="D176" s="111">
        <v>1</v>
      </c>
      <c r="G176" s="116" t="s">
        <v>19</v>
      </c>
      <c r="H176" s="111" t="s">
        <v>3062</v>
      </c>
      <c r="I176" s="111">
        <v>331</v>
      </c>
      <c r="J176" s="111">
        <v>1111</v>
      </c>
      <c r="K176" s="111" t="s">
        <v>20</v>
      </c>
      <c r="L176" s="111">
        <v>1</v>
      </c>
      <c r="M176" s="117">
        <v>113000</v>
      </c>
      <c r="N176" s="117">
        <f t="shared" si="11"/>
        <v>113000</v>
      </c>
      <c r="O176" s="111" t="s">
        <v>21</v>
      </c>
      <c r="P176" s="111">
        <f t="shared" si="10"/>
        <v>148</v>
      </c>
    </row>
    <row r="177" spans="1:16" ht="15" customHeight="1" x14ac:dyDescent="0.25">
      <c r="A177" s="111" t="s">
        <v>2719</v>
      </c>
      <c r="B177" s="120" t="s">
        <v>415</v>
      </c>
      <c r="C177" s="116">
        <f t="shared" si="8"/>
        <v>278</v>
      </c>
      <c r="D177" s="111">
        <v>1</v>
      </c>
      <c r="G177" s="116" t="s">
        <v>25</v>
      </c>
      <c r="H177" s="111" t="s">
        <v>3063</v>
      </c>
      <c r="I177" s="111">
        <v>331</v>
      </c>
      <c r="J177" s="111">
        <v>1111</v>
      </c>
      <c r="K177" s="111" t="s">
        <v>20</v>
      </c>
      <c r="L177" s="111">
        <v>1</v>
      </c>
      <c r="M177" s="117">
        <v>1100521</v>
      </c>
      <c r="N177" s="117">
        <f t="shared" si="11"/>
        <v>1100521</v>
      </c>
      <c r="O177" s="111" t="s">
        <v>21</v>
      </c>
      <c r="P177" s="111">
        <f t="shared" si="10"/>
        <v>149</v>
      </c>
    </row>
    <row r="178" spans="1:16" ht="15" customHeight="1" x14ac:dyDescent="0.25">
      <c r="A178" s="111" t="s">
        <v>2719</v>
      </c>
      <c r="B178" s="120" t="s">
        <v>415</v>
      </c>
      <c r="C178" s="116">
        <f t="shared" si="8"/>
        <v>279</v>
      </c>
      <c r="D178" s="111">
        <v>1</v>
      </c>
      <c r="G178" s="116" t="s">
        <v>19</v>
      </c>
      <c r="H178" s="111" t="s">
        <v>3064</v>
      </c>
      <c r="I178" s="111">
        <v>331</v>
      </c>
      <c r="J178" s="111">
        <v>1111</v>
      </c>
      <c r="K178" s="111" t="s">
        <v>20</v>
      </c>
      <c r="L178" s="111">
        <v>1</v>
      </c>
      <c r="M178" s="117">
        <v>74000</v>
      </c>
      <c r="N178" s="117">
        <f t="shared" si="11"/>
        <v>74000</v>
      </c>
      <c r="O178" s="111" t="s">
        <v>21</v>
      </c>
      <c r="P178" s="111">
        <f t="shared" si="10"/>
        <v>150</v>
      </c>
    </row>
    <row r="179" spans="1:16" ht="15" customHeight="1" x14ac:dyDescent="0.25">
      <c r="A179" s="111" t="s">
        <v>2719</v>
      </c>
      <c r="B179" s="120" t="s">
        <v>512</v>
      </c>
      <c r="C179" s="116">
        <f t="shared" si="8"/>
        <v>280</v>
      </c>
      <c r="D179" s="111">
        <v>1</v>
      </c>
      <c r="G179" s="116" t="s">
        <v>19</v>
      </c>
      <c r="H179" s="111" t="s">
        <v>3065</v>
      </c>
      <c r="I179" s="111">
        <v>331</v>
      </c>
      <c r="J179" s="111">
        <v>1111</v>
      </c>
      <c r="K179" s="111" t="s">
        <v>20</v>
      </c>
      <c r="L179" s="111">
        <v>1</v>
      </c>
      <c r="M179" s="117">
        <v>36000</v>
      </c>
      <c r="N179" s="117">
        <f t="shared" si="11"/>
        <v>36000</v>
      </c>
      <c r="O179" s="111" t="s">
        <v>21</v>
      </c>
      <c r="P179" s="111">
        <f t="shared" si="10"/>
        <v>151</v>
      </c>
    </row>
    <row r="180" spans="1:16" ht="15" customHeight="1" x14ac:dyDescent="0.25">
      <c r="A180" s="111" t="s">
        <v>2719</v>
      </c>
      <c r="B180" s="120" t="s">
        <v>652</v>
      </c>
      <c r="C180" s="116">
        <f t="shared" si="8"/>
        <v>281</v>
      </c>
      <c r="D180" s="111">
        <v>1</v>
      </c>
      <c r="G180" s="116" t="s">
        <v>19</v>
      </c>
      <c r="H180" s="111" t="s">
        <v>3066</v>
      </c>
      <c r="I180" s="111">
        <v>331</v>
      </c>
      <c r="J180" s="111">
        <v>1111</v>
      </c>
      <c r="K180" s="111" t="s">
        <v>20</v>
      </c>
      <c r="L180" s="111">
        <v>1</v>
      </c>
      <c r="M180" s="117">
        <v>89000</v>
      </c>
      <c r="N180" s="117">
        <f t="shared" si="11"/>
        <v>89000</v>
      </c>
      <c r="O180" s="111" t="s">
        <v>21</v>
      </c>
      <c r="P180" s="111">
        <f t="shared" si="10"/>
        <v>152</v>
      </c>
    </row>
    <row r="181" spans="1:16" ht="15" customHeight="1" x14ac:dyDescent="0.25">
      <c r="A181" s="111" t="s">
        <v>2719</v>
      </c>
      <c r="B181" s="120" t="s">
        <v>869</v>
      </c>
      <c r="C181" s="116">
        <f t="shared" si="8"/>
        <v>282</v>
      </c>
      <c r="D181" s="111">
        <v>1</v>
      </c>
      <c r="G181" s="116" t="s">
        <v>19</v>
      </c>
      <c r="H181" s="111" t="s">
        <v>3067</v>
      </c>
      <c r="I181" s="111">
        <v>331</v>
      </c>
      <c r="J181" s="111">
        <v>1111</v>
      </c>
      <c r="K181" s="111" t="s">
        <v>20</v>
      </c>
      <c r="L181" s="111">
        <v>1</v>
      </c>
      <c r="M181" s="117">
        <v>81000</v>
      </c>
      <c r="N181" s="117">
        <f t="shared" si="11"/>
        <v>81000</v>
      </c>
      <c r="O181" s="111" t="s">
        <v>21</v>
      </c>
      <c r="P181" s="111">
        <f t="shared" si="10"/>
        <v>153</v>
      </c>
    </row>
    <row r="182" spans="1:16" ht="15" customHeight="1" x14ac:dyDescent="0.25">
      <c r="A182" s="111" t="s">
        <v>2719</v>
      </c>
      <c r="B182" s="120" t="s">
        <v>377</v>
      </c>
      <c r="C182" s="116">
        <f t="shared" si="8"/>
        <v>283</v>
      </c>
      <c r="D182" s="111">
        <v>1</v>
      </c>
      <c r="G182" s="116" t="s">
        <v>37</v>
      </c>
      <c r="H182" s="111" t="s">
        <v>3068</v>
      </c>
      <c r="I182" s="111">
        <v>331</v>
      </c>
      <c r="J182" s="111">
        <v>1111</v>
      </c>
      <c r="K182" s="111" t="s">
        <v>20</v>
      </c>
      <c r="L182" s="111">
        <v>1</v>
      </c>
      <c r="M182" s="117">
        <v>3240000</v>
      </c>
      <c r="N182" s="117">
        <f t="shared" si="11"/>
        <v>3240000</v>
      </c>
      <c r="O182" s="111" t="s">
        <v>21</v>
      </c>
      <c r="P182" s="111">
        <f t="shared" si="10"/>
        <v>154</v>
      </c>
    </row>
    <row r="183" spans="1:16" ht="15" customHeight="1" x14ac:dyDescent="0.25">
      <c r="A183" s="111" t="s">
        <v>2719</v>
      </c>
      <c r="B183" s="120" t="s">
        <v>377</v>
      </c>
      <c r="C183" s="116">
        <f t="shared" si="8"/>
        <v>284</v>
      </c>
      <c r="D183" s="111">
        <v>1</v>
      </c>
      <c r="G183" s="116" t="s">
        <v>24</v>
      </c>
      <c r="H183" s="111" t="s">
        <v>3069</v>
      </c>
      <c r="I183" s="111">
        <v>331</v>
      </c>
      <c r="J183" s="111">
        <v>1111</v>
      </c>
      <c r="K183" s="111" t="s">
        <v>20</v>
      </c>
      <c r="L183" s="111">
        <v>1</v>
      </c>
      <c r="M183" s="117">
        <v>34000</v>
      </c>
      <c r="N183" s="117">
        <f t="shared" si="11"/>
        <v>34000</v>
      </c>
      <c r="O183" s="111" t="s">
        <v>21</v>
      </c>
      <c r="P183" s="111">
        <f t="shared" si="10"/>
        <v>155</v>
      </c>
    </row>
    <row r="184" spans="1:16" ht="15" customHeight="1" x14ac:dyDescent="0.25">
      <c r="A184" s="111" t="s">
        <v>2719</v>
      </c>
      <c r="B184" s="120" t="s">
        <v>470</v>
      </c>
      <c r="C184" s="116">
        <f t="shared" si="8"/>
        <v>285</v>
      </c>
      <c r="D184" s="111">
        <v>1</v>
      </c>
      <c r="G184" s="116" t="s">
        <v>24</v>
      </c>
      <c r="H184" s="111" t="s">
        <v>3070</v>
      </c>
      <c r="I184" s="111">
        <v>331</v>
      </c>
      <c r="J184" s="111">
        <v>1111</v>
      </c>
      <c r="K184" s="111" t="s">
        <v>20</v>
      </c>
      <c r="L184" s="111">
        <v>1</v>
      </c>
      <c r="M184" s="117">
        <v>52000</v>
      </c>
      <c r="N184" s="117">
        <f t="shared" si="11"/>
        <v>52000</v>
      </c>
      <c r="O184" s="111" t="s">
        <v>21</v>
      </c>
      <c r="P184" s="111">
        <f t="shared" si="10"/>
        <v>156</v>
      </c>
    </row>
    <row r="185" spans="1:16" ht="15" customHeight="1" x14ac:dyDescent="0.25">
      <c r="A185" s="111" t="s">
        <v>2719</v>
      </c>
      <c r="B185" s="120" t="s">
        <v>470</v>
      </c>
      <c r="C185" s="116">
        <f t="shared" si="8"/>
        <v>286</v>
      </c>
      <c r="D185" s="111">
        <v>1</v>
      </c>
      <c r="G185" s="116" t="s">
        <v>19</v>
      </c>
      <c r="H185" s="111" t="s">
        <v>3071</v>
      </c>
      <c r="I185" s="111">
        <v>331</v>
      </c>
      <c r="J185" s="111">
        <v>1111</v>
      </c>
      <c r="K185" s="111" t="s">
        <v>20</v>
      </c>
      <c r="L185" s="111">
        <v>1</v>
      </c>
      <c r="M185" s="117">
        <v>57000</v>
      </c>
      <c r="N185" s="117">
        <f t="shared" si="11"/>
        <v>57000</v>
      </c>
      <c r="O185" s="111" t="s">
        <v>21</v>
      </c>
      <c r="P185" s="111">
        <f t="shared" si="10"/>
        <v>157</v>
      </c>
    </row>
    <row r="186" spans="1:16" ht="15" customHeight="1" x14ac:dyDescent="0.25">
      <c r="A186" s="111" t="s">
        <v>2719</v>
      </c>
      <c r="B186" s="120" t="s">
        <v>317</v>
      </c>
      <c r="C186" s="116">
        <f t="shared" si="8"/>
        <v>287</v>
      </c>
      <c r="D186" s="111">
        <v>1</v>
      </c>
      <c r="G186" s="116" t="s">
        <v>19</v>
      </c>
      <c r="H186" s="111" t="s">
        <v>3072</v>
      </c>
      <c r="I186" s="111">
        <v>331</v>
      </c>
      <c r="J186" s="111">
        <v>1111</v>
      </c>
      <c r="K186" s="111" t="s">
        <v>20</v>
      </c>
      <c r="L186" s="111">
        <v>1</v>
      </c>
      <c r="M186" s="117">
        <v>55000</v>
      </c>
      <c r="N186" s="117">
        <f t="shared" si="11"/>
        <v>55000</v>
      </c>
      <c r="O186" s="111" t="s">
        <v>21</v>
      </c>
      <c r="P186" s="111">
        <f t="shared" si="10"/>
        <v>158</v>
      </c>
    </row>
    <row r="187" spans="1:16" ht="15" customHeight="1" x14ac:dyDescent="0.25">
      <c r="A187" s="111" t="s">
        <v>2719</v>
      </c>
      <c r="B187" s="120" t="s">
        <v>317</v>
      </c>
      <c r="C187" s="116">
        <f t="shared" si="8"/>
        <v>288</v>
      </c>
      <c r="D187" s="111">
        <v>1</v>
      </c>
      <c r="G187" s="116" t="s">
        <v>19</v>
      </c>
      <c r="H187" s="111" t="s">
        <v>3073</v>
      </c>
      <c r="I187" s="111">
        <v>331</v>
      </c>
      <c r="J187" s="111">
        <v>1111</v>
      </c>
      <c r="K187" s="111" t="s">
        <v>20</v>
      </c>
      <c r="L187" s="111">
        <v>1</v>
      </c>
      <c r="M187" s="117">
        <v>117000</v>
      </c>
      <c r="N187" s="117">
        <f t="shared" si="11"/>
        <v>117000</v>
      </c>
      <c r="O187" s="111" t="s">
        <v>21</v>
      </c>
      <c r="P187" s="111">
        <f t="shared" si="10"/>
        <v>159</v>
      </c>
    </row>
    <row r="188" spans="1:16" ht="15" customHeight="1" x14ac:dyDescent="0.25">
      <c r="A188" s="111" t="s">
        <v>2719</v>
      </c>
      <c r="B188" s="120" t="s">
        <v>471</v>
      </c>
      <c r="C188" s="116">
        <f t="shared" si="8"/>
        <v>289</v>
      </c>
      <c r="D188" s="111">
        <v>1</v>
      </c>
      <c r="G188" s="116" t="s">
        <v>874</v>
      </c>
      <c r="H188" s="111" t="s">
        <v>3074</v>
      </c>
      <c r="I188" s="111">
        <v>331</v>
      </c>
      <c r="J188" s="111">
        <v>1111</v>
      </c>
      <c r="K188" s="111" t="s">
        <v>20</v>
      </c>
      <c r="L188" s="111">
        <v>1</v>
      </c>
      <c r="M188" s="117">
        <v>754110</v>
      </c>
      <c r="N188" s="117">
        <f t="shared" si="11"/>
        <v>754110</v>
      </c>
      <c r="O188" s="111" t="s">
        <v>21</v>
      </c>
      <c r="P188" s="111">
        <f t="shared" si="10"/>
        <v>160</v>
      </c>
    </row>
    <row r="189" spans="1:16" ht="15" customHeight="1" x14ac:dyDescent="0.25">
      <c r="A189" s="111" t="s">
        <v>2719</v>
      </c>
      <c r="B189" s="120" t="s">
        <v>601</v>
      </c>
      <c r="C189" s="116">
        <f t="shared" si="8"/>
        <v>290</v>
      </c>
      <c r="D189" s="111">
        <v>1</v>
      </c>
      <c r="G189" s="116" t="s">
        <v>19</v>
      </c>
      <c r="H189" s="111" t="s">
        <v>3075</v>
      </c>
      <c r="I189" s="111">
        <v>331</v>
      </c>
      <c r="J189" s="111">
        <v>1111</v>
      </c>
      <c r="K189" s="111" t="s">
        <v>20</v>
      </c>
      <c r="L189" s="111">
        <v>1</v>
      </c>
      <c r="M189" s="117">
        <v>159000</v>
      </c>
      <c r="N189" s="117">
        <f t="shared" si="11"/>
        <v>159000</v>
      </c>
      <c r="O189" s="111" t="s">
        <v>21</v>
      </c>
      <c r="P189" s="111">
        <f t="shared" si="10"/>
        <v>161</v>
      </c>
    </row>
    <row r="190" spans="1:16" ht="15" customHeight="1" x14ac:dyDescent="0.25">
      <c r="A190" s="111" t="s">
        <v>2719</v>
      </c>
      <c r="B190" s="120" t="s">
        <v>601</v>
      </c>
      <c r="C190" s="116">
        <f t="shared" si="8"/>
        <v>291</v>
      </c>
      <c r="D190" s="111">
        <v>1</v>
      </c>
      <c r="G190" s="116" t="s">
        <v>19</v>
      </c>
      <c r="H190" s="111" t="s">
        <v>3076</v>
      </c>
      <c r="I190" s="111">
        <v>331</v>
      </c>
      <c r="J190" s="111">
        <v>1111</v>
      </c>
      <c r="K190" s="111" t="s">
        <v>20</v>
      </c>
      <c r="L190" s="111">
        <v>1</v>
      </c>
      <c r="M190" s="117">
        <v>99000</v>
      </c>
      <c r="N190" s="117">
        <f t="shared" si="11"/>
        <v>99000</v>
      </c>
      <c r="O190" s="111" t="s">
        <v>21</v>
      </c>
      <c r="P190" s="111">
        <f t="shared" si="10"/>
        <v>162</v>
      </c>
    </row>
    <row r="191" spans="1:16" ht="15" customHeight="1" x14ac:dyDescent="0.25">
      <c r="A191" s="111" t="s">
        <v>2719</v>
      </c>
      <c r="B191" s="120" t="s">
        <v>513</v>
      </c>
      <c r="C191" s="116">
        <f t="shared" si="8"/>
        <v>292</v>
      </c>
      <c r="D191" s="111">
        <v>1</v>
      </c>
      <c r="G191" s="116" t="s">
        <v>875</v>
      </c>
      <c r="H191" s="111" t="s">
        <v>3077</v>
      </c>
      <c r="I191" s="111">
        <v>331</v>
      </c>
      <c r="J191" s="111">
        <v>1111</v>
      </c>
      <c r="K191" s="111" t="s">
        <v>20</v>
      </c>
      <c r="L191" s="111">
        <v>1</v>
      </c>
      <c r="M191" s="117">
        <v>632880</v>
      </c>
      <c r="N191" s="117">
        <f t="shared" si="11"/>
        <v>632880</v>
      </c>
      <c r="O191" s="111" t="s">
        <v>21</v>
      </c>
      <c r="P191" s="111">
        <f t="shared" si="10"/>
        <v>163</v>
      </c>
    </row>
    <row r="192" spans="1:16" ht="15" customHeight="1" x14ac:dyDescent="0.25">
      <c r="A192" s="111" t="s">
        <v>2719</v>
      </c>
      <c r="B192" s="120" t="s">
        <v>513</v>
      </c>
      <c r="C192" s="116">
        <f t="shared" si="8"/>
        <v>293</v>
      </c>
      <c r="D192" s="111">
        <v>1</v>
      </c>
      <c r="G192" s="116" t="s">
        <v>19</v>
      </c>
      <c r="H192" s="111" t="s">
        <v>3078</v>
      </c>
      <c r="I192" s="111">
        <v>331</v>
      </c>
      <c r="J192" s="111">
        <v>1111</v>
      </c>
      <c r="K192" s="111" t="s">
        <v>20</v>
      </c>
      <c r="L192" s="111">
        <v>1</v>
      </c>
      <c r="M192" s="117">
        <v>95000</v>
      </c>
      <c r="N192" s="117">
        <f t="shared" si="11"/>
        <v>95000</v>
      </c>
      <c r="O192" s="111" t="s">
        <v>21</v>
      </c>
      <c r="P192" s="111">
        <f t="shared" si="10"/>
        <v>164</v>
      </c>
    </row>
    <row r="193" spans="1:16" ht="15" customHeight="1" x14ac:dyDescent="0.25">
      <c r="A193" s="111" t="s">
        <v>2719</v>
      </c>
      <c r="B193" s="120" t="s">
        <v>513</v>
      </c>
      <c r="C193" s="116">
        <f t="shared" si="8"/>
        <v>294</v>
      </c>
      <c r="D193" s="111">
        <v>1</v>
      </c>
      <c r="G193" s="116" t="s">
        <v>19</v>
      </c>
      <c r="H193" s="111" t="s">
        <v>3079</v>
      </c>
      <c r="I193" s="111">
        <v>331</v>
      </c>
      <c r="J193" s="111">
        <v>1111</v>
      </c>
      <c r="K193" s="111" t="s">
        <v>20</v>
      </c>
      <c r="L193" s="111">
        <v>1</v>
      </c>
      <c r="M193" s="117">
        <v>80000</v>
      </c>
      <c r="N193" s="117">
        <f t="shared" si="11"/>
        <v>80000</v>
      </c>
      <c r="O193" s="111" t="s">
        <v>21</v>
      </c>
      <c r="P193" s="111">
        <f t="shared" si="10"/>
        <v>165</v>
      </c>
    </row>
    <row r="194" spans="1:16" ht="15" customHeight="1" x14ac:dyDescent="0.25">
      <c r="A194" s="111" t="s">
        <v>2719</v>
      </c>
      <c r="B194" s="120" t="s">
        <v>713</v>
      </c>
      <c r="C194" s="116">
        <f t="shared" si="8"/>
        <v>295</v>
      </c>
      <c r="D194" s="111">
        <v>1</v>
      </c>
      <c r="G194" s="116" t="s">
        <v>24</v>
      </c>
      <c r="H194" s="111" t="s">
        <v>3080</v>
      </c>
      <c r="I194" s="111">
        <v>331</v>
      </c>
      <c r="J194" s="111">
        <v>1111</v>
      </c>
      <c r="K194" s="111" t="s">
        <v>20</v>
      </c>
      <c r="L194" s="111">
        <v>1</v>
      </c>
      <c r="M194" s="117">
        <v>107000</v>
      </c>
      <c r="N194" s="117">
        <f t="shared" si="11"/>
        <v>107000</v>
      </c>
      <c r="O194" s="111" t="s">
        <v>21</v>
      </c>
      <c r="P194" s="111">
        <f t="shared" si="10"/>
        <v>166</v>
      </c>
    </row>
    <row r="195" spans="1:16" ht="15" customHeight="1" x14ac:dyDescent="0.25">
      <c r="A195" s="111" t="s">
        <v>2719</v>
      </c>
      <c r="B195" s="120" t="s">
        <v>514</v>
      </c>
      <c r="C195" s="116">
        <f t="shared" si="8"/>
        <v>296</v>
      </c>
      <c r="D195" s="111">
        <v>1</v>
      </c>
      <c r="G195" s="116" t="s">
        <v>61</v>
      </c>
      <c r="H195" s="111" t="s">
        <v>3081</v>
      </c>
      <c r="I195" s="111">
        <v>331</v>
      </c>
      <c r="J195" s="111">
        <v>1111</v>
      </c>
      <c r="K195" s="111" t="s">
        <v>20</v>
      </c>
      <c r="L195" s="111">
        <v>1</v>
      </c>
      <c r="M195" s="117">
        <v>709560</v>
      </c>
      <c r="N195" s="117">
        <f t="shared" si="11"/>
        <v>709560</v>
      </c>
      <c r="O195" s="111" t="s">
        <v>21</v>
      </c>
      <c r="P195" s="111">
        <f t="shared" si="10"/>
        <v>167</v>
      </c>
    </row>
    <row r="196" spans="1:16" ht="15" customHeight="1" x14ac:dyDescent="0.25">
      <c r="A196" s="111" t="s">
        <v>2719</v>
      </c>
      <c r="B196" s="120" t="s">
        <v>602</v>
      </c>
      <c r="C196" s="116">
        <f t="shared" ref="C196:C207" si="12">C195+D196</f>
        <v>297</v>
      </c>
      <c r="D196" s="111">
        <v>1</v>
      </c>
      <c r="G196" s="116" t="s">
        <v>141</v>
      </c>
      <c r="H196" s="111" t="s">
        <v>3082</v>
      </c>
      <c r="I196" s="111">
        <v>331</v>
      </c>
      <c r="J196" s="111">
        <v>1111</v>
      </c>
      <c r="K196" s="111" t="s">
        <v>20</v>
      </c>
      <c r="L196" s="111">
        <v>1</v>
      </c>
      <c r="M196" s="117">
        <v>490000</v>
      </c>
      <c r="N196" s="117">
        <f t="shared" si="11"/>
        <v>490000</v>
      </c>
      <c r="O196" s="111" t="s">
        <v>21</v>
      </c>
      <c r="P196" s="111">
        <f t="shared" si="10"/>
        <v>168</v>
      </c>
    </row>
    <row r="197" spans="1:16" ht="15" customHeight="1" x14ac:dyDescent="0.25">
      <c r="A197" s="111" t="s">
        <v>2719</v>
      </c>
      <c r="B197" s="120" t="s">
        <v>602</v>
      </c>
      <c r="C197" s="116">
        <f t="shared" si="12"/>
        <v>298</v>
      </c>
      <c r="D197" s="111">
        <v>1</v>
      </c>
      <c r="G197" s="116" t="s">
        <v>19</v>
      </c>
      <c r="H197" s="111" t="s">
        <v>3083</v>
      </c>
      <c r="I197" s="111">
        <v>331</v>
      </c>
      <c r="J197" s="111">
        <v>1111</v>
      </c>
      <c r="K197" s="111" t="s">
        <v>20</v>
      </c>
      <c r="L197" s="111">
        <v>1</v>
      </c>
      <c r="M197" s="117">
        <v>41000</v>
      </c>
      <c r="N197" s="117">
        <f t="shared" si="11"/>
        <v>41000</v>
      </c>
      <c r="O197" s="111" t="s">
        <v>21</v>
      </c>
      <c r="P197" s="111">
        <f t="shared" si="10"/>
        <v>169</v>
      </c>
    </row>
    <row r="198" spans="1:16" ht="15" customHeight="1" x14ac:dyDescent="0.25">
      <c r="A198" s="111" t="s">
        <v>2719</v>
      </c>
      <c r="B198" s="120" t="s">
        <v>588</v>
      </c>
      <c r="C198" s="116">
        <f t="shared" si="12"/>
        <v>299</v>
      </c>
      <c r="D198" s="111">
        <v>1</v>
      </c>
      <c r="G198" s="116" t="s">
        <v>876</v>
      </c>
      <c r="H198" s="111" t="s">
        <v>3084</v>
      </c>
      <c r="I198" s="111">
        <v>331</v>
      </c>
      <c r="J198" s="111">
        <v>1111</v>
      </c>
      <c r="K198" s="111" t="s">
        <v>20</v>
      </c>
      <c r="L198" s="111">
        <v>1</v>
      </c>
      <c r="M198" s="117">
        <v>1339200</v>
      </c>
      <c r="N198" s="117">
        <f t="shared" si="11"/>
        <v>1339200</v>
      </c>
      <c r="O198" s="111" t="s">
        <v>21</v>
      </c>
      <c r="P198" s="111">
        <f t="shared" ref="P198:P207" si="13">P197+D198</f>
        <v>170</v>
      </c>
    </row>
    <row r="199" spans="1:16" ht="15" customHeight="1" x14ac:dyDescent="0.25">
      <c r="A199" s="111" t="s">
        <v>2719</v>
      </c>
      <c r="B199" s="120" t="s">
        <v>523</v>
      </c>
      <c r="C199" s="116">
        <f t="shared" si="12"/>
        <v>300</v>
      </c>
      <c r="D199" s="111">
        <v>1</v>
      </c>
      <c r="G199" s="116" t="s">
        <v>37</v>
      </c>
      <c r="H199" s="111" t="s">
        <v>3085</v>
      </c>
      <c r="I199" s="111">
        <v>331</v>
      </c>
      <c r="J199" s="111">
        <v>1111</v>
      </c>
      <c r="K199" s="111" t="s">
        <v>20</v>
      </c>
      <c r="L199" s="111">
        <v>1</v>
      </c>
      <c r="M199" s="117">
        <v>2916000</v>
      </c>
      <c r="N199" s="117">
        <f t="shared" si="11"/>
        <v>2916000</v>
      </c>
      <c r="O199" s="111" t="s">
        <v>21</v>
      </c>
      <c r="P199" s="111">
        <f t="shared" si="13"/>
        <v>171</v>
      </c>
    </row>
    <row r="200" spans="1:16" ht="15" customHeight="1" x14ac:dyDescent="0.25">
      <c r="A200" s="111" t="s">
        <v>2719</v>
      </c>
      <c r="B200" s="120" t="s">
        <v>524</v>
      </c>
      <c r="C200" s="116">
        <f t="shared" si="12"/>
        <v>301</v>
      </c>
      <c r="D200" s="111">
        <v>1</v>
      </c>
      <c r="G200" s="116" t="s">
        <v>19</v>
      </c>
      <c r="H200" s="111" t="s">
        <v>3086</v>
      </c>
      <c r="I200" s="111">
        <v>331</v>
      </c>
      <c r="J200" s="111">
        <v>1111</v>
      </c>
      <c r="K200" s="111" t="s">
        <v>20</v>
      </c>
      <c r="L200" s="111">
        <v>1</v>
      </c>
      <c r="M200" s="117">
        <v>53000</v>
      </c>
      <c r="N200" s="117">
        <f t="shared" si="11"/>
        <v>53000</v>
      </c>
      <c r="O200" s="111" t="s">
        <v>21</v>
      </c>
      <c r="P200" s="111">
        <f t="shared" si="13"/>
        <v>172</v>
      </c>
    </row>
    <row r="201" spans="1:16" ht="15" customHeight="1" x14ac:dyDescent="0.25">
      <c r="A201" s="111" t="s">
        <v>2719</v>
      </c>
      <c r="B201" s="120" t="s">
        <v>456</v>
      </c>
      <c r="C201" s="116">
        <f t="shared" si="12"/>
        <v>302</v>
      </c>
      <c r="D201" s="111">
        <v>1</v>
      </c>
      <c r="G201" s="116" t="s">
        <v>877</v>
      </c>
      <c r="H201" s="111" t="s">
        <v>3087</v>
      </c>
      <c r="I201" s="111">
        <v>331</v>
      </c>
      <c r="J201" s="111">
        <v>1111</v>
      </c>
      <c r="K201" s="111" t="s">
        <v>20</v>
      </c>
      <c r="L201" s="111">
        <v>1</v>
      </c>
      <c r="M201" s="117">
        <v>935258</v>
      </c>
      <c r="N201" s="117">
        <f t="shared" si="11"/>
        <v>935258</v>
      </c>
      <c r="O201" s="111" t="s">
        <v>21</v>
      </c>
      <c r="P201" s="111">
        <f t="shared" si="13"/>
        <v>173</v>
      </c>
    </row>
    <row r="202" spans="1:16" ht="15" customHeight="1" x14ac:dyDescent="0.25">
      <c r="A202" s="111" t="s">
        <v>2719</v>
      </c>
      <c r="B202" s="120" t="s">
        <v>525</v>
      </c>
      <c r="C202" s="116">
        <f t="shared" si="12"/>
        <v>303</v>
      </c>
      <c r="D202" s="111">
        <v>1</v>
      </c>
      <c r="G202" s="116" t="s">
        <v>19</v>
      </c>
      <c r="H202" s="111" t="s">
        <v>3088</v>
      </c>
      <c r="I202" s="111">
        <v>331</v>
      </c>
      <c r="J202" s="111">
        <v>1111</v>
      </c>
      <c r="K202" s="111" t="s">
        <v>20</v>
      </c>
      <c r="L202" s="111">
        <v>1</v>
      </c>
      <c r="M202" s="117">
        <v>32000</v>
      </c>
      <c r="N202" s="117">
        <f t="shared" si="11"/>
        <v>32000</v>
      </c>
      <c r="O202" s="111" t="s">
        <v>21</v>
      </c>
      <c r="P202" s="111">
        <f t="shared" si="13"/>
        <v>174</v>
      </c>
    </row>
    <row r="203" spans="1:16" ht="15" customHeight="1" x14ac:dyDescent="0.25">
      <c r="A203" s="111" t="s">
        <v>2719</v>
      </c>
      <c r="B203" s="120" t="s">
        <v>870</v>
      </c>
      <c r="C203" s="116">
        <f t="shared" si="12"/>
        <v>304</v>
      </c>
      <c r="D203" s="111">
        <v>1</v>
      </c>
      <c r="G203" s="116" t="s">
        <v>19</v>
      </c>
      <c r="H203" s="111" t="s">
        <v>3089</v>
      </c>
      <c r="I203" s="111">
        <v>331</v>
      </c>
      <c r="J203" s="111">
        <v>1111</v>
      </c>
      <c r="K203" s="111" t="s">
        <v>20</v>
      </c>
      <c r="L203" s="111">
        <v>1</v>
      </c>
      <c r="M203" s="117">
        <v>112000</v>
      </c>
      <c r="N203" s="117">
        <f t="shared" si="11"/>
        <v>112000</v>
      </c>
      <c r="O203" s="111" t="s">
        <v>21</v>
      </c>
      <c r="P203" s="111">
        <f t="shared" si="13"/>
        <v>175</v>
      </c>
    </row>
    <row r="204" spans="1:16" ht="15" customHeight="1" x14ac:dyDescent="0.25">
      <c r="A204" s="111" t="s">
        <v>2719</v>
      </c>
      <c r="B204" s="120" t="s">
        <v>381</v>
      </c>
      <c r="C204" s="116">
        <f t="shared" si="12"/>
        <v>305</v>
      </c>
      <c r="D204" s="111">
        <v>1</v>
      </c>
      <c r="G204" s="116" t="s">
        <v>24</v>
      </c>
      <c r="H204" s="111" t="s">
        <v>3090</v>
      </c>
      <c r="I204" s="111">
        <v>331</v>
      </c>
      <c r="J204" s="111">
        <v>1111</v>
      </c>
      <c r="K204" s="111" t="s">
        <v>20</v>
      </c>
      <c r="L204" s="111">
        <v>1</v>
      </c>
      <c r="M204" s="117">
        <v>83000</v>
      </c>
      <c r="N204" s="117">
        <f t="shared" si="11"/>
        <v>83000</v>
      </c>
      <c r="O204" s="111" t="s">
        <v>21</v>
      </c>
      <c r="P204" s="111">
        <f t="shared" si="13"/>
        <v>176</v>
      </c>
    </row>
    <row r="205" spans="1:16" ht="15" customHeight="1" x14ac:dyDescent="0.25">
      <c r="A205" s="111" t="s">
        <v>2719</v>
      </c>
      <c r="B205" s="120" t="s">
        <v>381</v>
      </c>
      <c r="C205" s="116">
        <f t="shared" si="12"/>
        <v>306</v>
      </c>
      <c r="D205" s="111">
        <v>1</v>
      </c>
      <c r="G205" s="116" t="s">
        <v>24</v>
      </c>
      <c r="H205" s="111" t="s">
        <v>3091</v>
      </c>
      <c r="I205" s="111">
        <v>331</v>
      </c>
      <c r="J205" s="111">
        <v>1111</v>
      </c>
      <c r="K205" s="111" t="s">
        <v>20</v>
      </c>
      <c r="L205" s="111">
        <v>1</v>
      </c>
      <c r="M205" s="117">
        <v>138000</v>
      </c>
      <c r="N205" s="117">
        <f t="shared" si="11"/>
        <v>138000</v>
      </c>
      <c r="O205" s="111" t="s">
        <v>21</v>
      </c>
      <c r="P205" s="111">
        <f t="shared" si="13"/>
        <v>177</v>
      </c>
    </row>
    <row r="206" spans="1:16" ht="15" customHeight="1" x14ac:dyDescent="0.25">
      <c r="A206" s="111" t="s">
        <v>2719</v>
      </c>
      <c r="B206" s="121" t="s">
        <v>2045</v>
      </c>
      <c r="C206" s="116">
        <f t="shared" si="12"/>
        <v>307</v>
      </c>
      <c r="D206" s="111">
        <v>1</v>
      </c>
      <c r="G206" s="116" t="s">
        <v>874</v>
      </c>
      <c r="H206" s="111" t="s">
        <v>3092</v>
      </c>
      <c r="I206" s="111">
        <v>331</v>
      </c>
      <c r="J206" s="111">
        <v>1111</v>
      </c>
      <c r="K206" s="111" t="s">
        <v>20</v>
      </c>
      <c r="L206" s="111">
        <v>1</v>
      </c>
      <c r="M206" s="117">
        <v>1178226</v>
      </c>
      <c r="N206" s="117">
        <f t="shared" si="11"/>
        <v>1178226</v>
      </c>
      <c r="O206" s="111" t="s">
        <v>21</v>
      </c>
      <c r="P206" s="111">
        <f t="shared" si="13"/>
        <v>178</v>
      </c>
    </row>
    <row r="207" spans="1:16" ht="15" customHeight="1" x14ac:dyDescent="0.25">
      <c r="A207" s="111" t="s">
        <v>2719</v>
      </c>
      <c r="B207" s="121" t="s">
        <v>2513</v>
      </c>
      <c r="C207" s="116">
        <f t="shared" si="12"/>
        <v>308</v>
      </c>
      <c r="D207" s="111">
        <v>1</v>
      </c>
      <c r="G207" s="116" t="s">
        <v>2590</v>
      </c>
      <c r="H207" s="111" t="s">
        <v>3093</v>
      </c>
      <c r="I207" s="111">
        <v>331</v>
      </c>
      <c r="J207" s="111">
        <v>1111</v>
      </c>
      <c r="K207" s="111" t="s">
        <v>20</v>
      </c>
      <c r="L207" s="111">
        <v>1</v>
      </c>
      <c r="M207" s="117">
        <v>1522400</v>
      </c>
      <c r="N207" s="117">
        <f t="shared" si="11"/>
        <v>1522400</v>
      </c>
      <c r="O207" s="111" t="s">
        <v>21</v>
      </c>
      <c r="P207" s="111">
        <f t="shared" si="13"/>
        <v>179</v>
      </c>
    </row>
    <row r="208" spans="1:16" ht="15" customHeight="1" x14ac:dyDescent="0.25">
      <c r="A208" s="111" t="s">
        <v>2719</v>
      </c>
      <c r="B208" s="120">
        <v>45848</v>
      </c>
      <c r="C208" s="116">
        <f t="shared" ref="C208" si="14">C207+D208</f>
        <v>309</v>
      </c>
      <c r="D208" s="111">
        <v>1</v>
      </c>
      <c r="G208" s="116" t="s">
        <v>2717</v>
      </c>
      <c r="H208" s="111" t="s">
        <v>3137</v>
      </c>
      <c r="I208" s="111">
        <v>333822</v>
      </c>
      <c r="J208" s="111">
        <v>1111</v>
      </c>
      <c r="K208" s="111" t="s">
        <v>20</v>
      </c>
      <c r="L208" s="111">
        <v>1</v>
      </c>
      <c r="M208" s="117">
        <v>462000</v>
      </c>
      <c r="N208" s="117">
        <f t="shared" si="11"/>
        <v>462000</v>
      </c>
      <c r="O208" s="111" t="s">
        <v>21</v>
      </c>
      <c r="P208" s="111">
        <f t="shared" ref="P208" si="15">P207+D208</f>
        <v>180</v>
      </c>
    </row>
    <row r="209" spans="1:16" ht="15" customHeight="1" x14ac:dyDescent="0.25">
      <c r="A209" s="111" t="s">
        <v>2719</v>
      </c>
      <c r="B209" s="120">
        <v>45853</v>
      </c>
      <c r="C209" s="116">
        <f t="shared" ref="C209:C210" si="16">C208+D209</f>
        <v>310</v>
      </c>
      <c r="D209" s="111">
        <v>1</v>
      </c>
      <c r="G209" s="116" t="s">
        <v>2717</v>
      </c>
      <c r="H209" s="111" t="s">
        <v>3138</v>
      </c>
      <c r="I209" s="111">
        <v>333822</v>
      </c>
      <c r="J209" s="111">
        <v>1111</v>
      </c>
      <c r="K209" s="111" t="s">
        <v>20</v>
      </c>
      <c r="L209" s="111">
        <v>1</v>
      </c>
      <c r="M209" s="117">
        <v>91297</v>
      </c>
      <c r="N209" s="117">
        <f t="shared" si="11"/>
        <v>91297</v>
      </c>
      <c r="O209" s="111" t="s">
        <v>21</v>
      </c>
      <c r="P209" s="111">
        <f t="shared" ref="P209:P210" si="17">P208+D209</f>
        <v>181</v>
      </c>
    </row>
    <row r="210" spans="1:16" ht="15" customHeight="1" x14ac:dyDescent="0.25">
      <c r="A210" s="111" t="s">
        <v>2719</v>
      </c>
      <c r="B210" s="120">
        <v>45961</v>
      </c>
      <c r="C210" s="116">
        <f t="shared" si="16"/>
        <v>311</v>
      </c>
      <c r="D210" s="111">
        <v>1</v>
      </c>
      <c r="G210" s="116" t="s">
        <v>43</v>
      </c>
      <c r="H210" s="111" t="s">
        <v>2684</v>
      </c>
      <c r="I210" s="111">
        <v>3383</v>
      </c>
      <c r="J210" s="111">
        <v>1111</v>
      </c>
      <c r="K210" s="111" t="s">
        <v>20</v>
      </c>
      <c r="L210" s="111">
        <v>1</v>
      </c>
      <c r="M210" s="117">
        <v>690300</v>
      </c>
      <c r="N210" s="117">
        <f t="shared" si="11"/>
        <v>690300</v>
      </c>
      <c r="O210" s="111" t="s">
        <v>21</v>
      </c>
      <c r="P210" s="111">
        <f t="shared" si="17"/>
        <v>182</v>
      </c>
    </row>
    <row r="211" spans="1:16" ht="15" customHeight="1" x14ac:dyDescent="0.25">
      <c r="A211" s="111" t="s">
        <v>2719</v>
      </c>
      <c r="B211" s="120">
        <v>45991</v>
      </c>
      <c r="C211" s="116">
        <f t="shared" ref="C211" si="18">C210+D211</f>
        <v>312</v>
      </c>
      <c r="D211" s="111">
        <v>1</v>
      </c>
      <c r="G211" s="116" t="s">
        <v>43</v>
      </c>
      <c r="H211" s="111" t="s">
        <v>2685</v>
      </c>
      <c r="I211" s="111">
        <v>3383</v>
      </c>
      <c r="J211" s="111">
        <v>1111</v>
      </c>
      <c r="K211" s="111" t="s">
        <v>20</v>
      </c>
      <c r="L211" s="111">
        <v>1</v>
      </c>
      <c r="M211" s="117">
        <v>690300</v>
      </c>
      <c r="N211" s="117">
        <f t="shared" ref="N211" si="19">M211*L211</f>
        <v>690300</v>
      </c>
      <c r="O211" s="111" t="s">
        <v>21</v>
      </c>
      <c r="P211" s="111">
        <f t="shared" ref="P211" si="20">P210+D211</f>
        <v>183</v>
      </c>
    </row>
  </sheetData>
  <autoFilter ref="A3:P209" xr:uid="{00000000-0009-0000-0000-000009000000}">
    <sortState xmlns:xlrd2="http://schemas.microsoft.com/office/spreadsheetml/2017/richdata2" ref="A4:P161">
      <sortCondition ref="P3:P161"/>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9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Q154"/>
  <sheetViews>
    <sheetView workbookViewId="0">
      <selection activeCell="P1" sqref="P1"/>
    </sheetView>
  </sheetViews>
  <sheetFormatPr defaultRowHeight="15" customHeight="1" x14ac:dyDescent="0.2"/>
  <cols>
    <col min="1" max="1" width="9.140625" style="20"/>
    <col min="2" max="2" width="10.7109375" style="109" bestFit="1" customWidth="1"/>
    <col min="3" max="5" width="9.140625" style="20"/>
    <col min="6" max="6" width="11.28515625" style="20" bestFit="1" customWidth="1"/>
    <col min="7" max="7" width="12.7109375" style="32" bestFit="1" customWidth="1"/>
    <col min="8" max="8" width="37.42578125" style="20" customWidth="1"/>
    <col min="9" max="12" width="9.140625" style="20"/>
    <col min="13" max="14" width="13.28515625" style="33" bestFit="1" customWidth="1"/>
    <col min="15" max="15" width="10.42578125" style="20" bestFit="1" customWidth="1"/>
    <col min="16" max="16384" width="9.140625" style="20"/>
  </cols>
  <sheetData>
    <row r="1" spans="1:17" ht="15" customHeight="1" thickBot="1" x14ac:dyDescent="0.25">
      <c r="A1" s="165" t="s">
        <v>0</v>
      </c>
      <c r="B1" s="226" t="s">
        <v>1</v>
      </c>
      <c r="C1" s="165" t="s">
        <v>2</v>
      </c>
      <c r="D1" s="167" t="s">
        <v>3</v>
      </c>
      <c r="E1" s="167" t="s">
        <v>4</v>
      </c>
      <c r="F1" s="167" t="s">
        <v>760</v>
      </c>
      <c r="G1" s="159" t="s">
        <v>6</v>
      </c>
      <c r="H1" s="161" t="s">
        <v>7</v>
      </c>
      <c r="I1" s="163" t="s">
        <v>8</v>
      </c>
      <c r="J1" s="164"/>
      <c r="K1" s="165" t="s">
        <v>9</v>
      </c>
      <c r="L1" s="165" t="s">
        <v>10</v>
      </c>
      <c r="M1" s="224" t="s">
        <v>98</v>
      </c>
      <c r="N1" s="224" t="s">
        <v>99</v>
      </c>
      <c r="O1" s="39" t="s">
        <v>100</v>
      </c>
      <c r="P1" s="152" t="s">
        <v>3991</v>
      </c>
    </row>
    <row r="2" spans="1:17" ht="15" customHeight="1" thickBot="1" x14ac:dyDescent="0.25">
      <c r="A2" s="166"/>
      <c r="B2" s="227"/>
      <c r="C2" s="166"/>
      <c r="D2" s="171"/>
      <c r="E2" s="171"/>
      <c r="F2" s="168"/>
      <c r="G2" s="160"/>
      <c r="H2" s="162"/>
      <c r="I2" s="40" t="s">
        <v>13</v>
      </c>
      <c r="J2" s="41" t="s">
        <v>14</v>
      </c>
      <c r="K2" s="166"/>
      <c r="L2" s="166"/>
      <c r="M2" s="225"/>
      <c r="N2" s="225"/>
      <c r="O2" s="37" t="s">
        <v>100</v>
      </c>
      <c r="P2" s="37"/>
    </row>
    <row r="3" spans="1:17" ht="15" customHeight="1" x14ac:dyDescent="0.2">
      <c r="A3" s="42"/>
      <c r="B3" s="65"/>
      <c r="C3" s="42">
        <v>251</v>
      </c>
      <c r="D3" s="43"/>
      <c r="E3" s="43"/>
      <c r="F3" s="43"/>
      <c r="G3" s="58" t="s">
        <v>15</v>
      </c>
      <c r="H3" s="44"/>
      <c r="I3" s="44"/>
      <c r="J3" s="44"/>
      <c r="K3" s="42"/>
      <c r="L3" s="42"/>
      <c r="M3" s="61"/>
      <c r="N3" s="61"/>
      <c r="O3" s="37" t="s">
        <v>16</v>
      </c>
      <c r="P3" s="37" t="s">
        <v>17</v>
      </c>
      <c r="Q3" s="20" t="s">
        <v>4512</v>
      </c>
    </row>
    <row r="4" spans="1:17" ht="15" customHeight="1" x14ac:dyDescent="0.2">
      <c r="A4" s="20" t="s">
        <v>18</v>
      </c>
      <c r="B4" s="109" t="s">
        <v>309</v>
      </c>
      <c r="C4" s="20">
        <f t="shared" ref="C4:C35" si="0">C3+D4</f>
        <v>252</v>
      </c>
      <c r="D4" s="20">
        <v>1</v>
      </c>
      <c r="F4" s="33"/>
      <c r="G4" s="32" t="s">
        <v>144</v>
      </c>
      <c r="H4" s="20" t="s">
        <v>913</v>
      </c>
      <c r="I4" s="20">
        <v>131</v>
      </c>
      <c r="J4" s="20">
        <v>5113</v>
      </c>
      <c r="K4" s="20" t="s">
        <v>20</v>
      </c>
      <c r="L4" s="20">
        <v>1</v>
      </c>
      <c r="M4" s="33">
        <v>43010753</v>
      </c>
      <c r="N4" s="33">
        <f t="shared" ref="N4:N35" si="1">L4*M4</f>
        <v>43010753</v>
      </c>
      <c r="O4" s="20" t="s">
        <v>21</v>
      </c>
      <c r="P4" s="20">
        <v>1</v>
      </c>
      <c r="Q4" s="20">
        <f>LEN(H4)</f>
        <v>165</v>
      </c>
    </row>
    <row r="5" spans="1:17" ht="15" customHeight="1" x14ac:dyDescent="0.2">
      <c r="A5" s="20" t="s">
        <v>18</v>
      </c>
      <c r="B5" s="109" t="s">
        <v>309</v>
      </c>
      <c r="C5" s="20">
        <f t="shared" si="0"/>
        <v>252</v>
      </c>
      <c r="D5" s="20">
        <v>0</v>
      </c>
      <c r="G5" s="32" t="s">
        <v>144</v>
      </c>
      <c r="H5" s="20" t="s">
        <v>933</v>
      </c>
      <c r="I5" s="20">
        <v>333821</v>
      </c>
      <c r="J5" s="20">
        <v>131</v>
      </c>
      <c r="K5" s="20" t="s">
        <v>20</v>
      </c>
      <c r="L5" s="20">
        <v>1</v>
      </c>
      <c r="M5" s="33">
        <v>430108</v>
      </c>
      <c r="N5" s="33">
        <f t="shared" si="1"/>
        <v>430108</v>
      </c>
      <c r="O5" s="20" t="s">
        <v>21</v>
      </c>
      <c r="P5" s="20">
        <v>1</v>
      </c>
      <c r="Q5" s="20">
        <f t="shared" ref="Q5:Q67" si="2">LEN(H5)</f>
        <v>181</v>
      </c>
    </row>
    <row r="6" spans="1:17" ht="15" customHeight="1" x14ac:dyDescent="0.2">
      <c r="A6" s="20" t="s">
        <v>18</v>
      </c>
      <c r="B6" s="109" t="s">
        <v>445</v>
      </c>
      <c r="C6" s="20">
        <f t="shared" si="0"/>
        <v>253</v>
      </c>
      <c r="D6" s="20">
        <v>1</v>
      </c>
      <c r="F6" s="33"/>
      <c r="G6" s="32" t="s">
        <v>127</v>
      </c>
      <c r="H6" s="20" t="s">
        <v>914</v>
      </c>
      <c r="I6" s="20">
        <v>131</v>
      </c>
      <c r="J6" s="20">
        <v>5113</v>
      </c>
      <c r="K6" s="20" t="s">
        <v>20</v>
      </c>
      <c r="L6" s="20">
        <v>1</v>
      </c>
      <c r="M6" s="33">
        <v>18817204</v>
      </c>
      <c r="N6" s="33">
        <f t="shared" si="1"/>
        <v>18817204</v>
      </c>
      <c r="O6" s="20" t="s">
        <v>21</v>
      </c>
      <c r="P6" s="20">
        <v>2</v>
      </c>
      <c r="Q6" s="20">
        <f t="shared" si="2"/>
        <v>147</v>
      </c>
    </row>
    <row r="7" spans="1:17" ht="15" customHeight="1" x14ac:dyDescent="0.2">
      <c r="A7" s="20" t="s">
        <v>18</v>
      </c>
      <c r="B7" s="109" t="s">
        <v>445</v>
      </c>
      <c r="C7" s="20">
        <f t="shared" si="0"/>
        <v>253</v>
      </c>
      <c r="D7" s="20">
        <v>0</v>
      </c>
      <c r="G7" s="32" t="s">
        <v>127</v>
      </c>
      <c r="H7" s="20" t="s">
        <v>934</v>
      </c>
      <c r="I7" s="20">
        <v>333821</v>
      </c>
      <c r="J7" s="20">
        <v>131</v>
      </c>
      <c r="K7" s="20" t="s">
        <v>20</v>
      </c>
      <c r="L7" s="20">
        <v>1</v>
      </c>
      <c r="M7" s="33">
        <v>188172</v>
      </c>
      <c r="N7" s="33">
        <f t="shared" si="1"/>
        <v>188172</v>
      </c>
      <c r="O7" s="20" t="s">
        <v>21</v>
      </c>
      <c r="P7" s="20">
        <v>2</v>
      </c>
      <c r="Q7" s="20">
        <f t="shared" si="2"/>
        <v>163</v>
      </c>
    </row>
    <row r="8" spans="1:17" ht="15" customHeight="1" x14ac:dyDescent="0.2">
      <c r="A8" s="20" t="s">
        <v>18</v>
      </c>
      <c r="B8" s="109" t="s">
        <v>374</v>
      </c>
      <c r="C8" s="20">
        <f t="shared" si="0"/>
        <v>254</v>
      </c>
      <c r="D8" s="20">
        <v>1</v>
      </c>
      <c r="F8" s="33"/>
      <c r="G8" s="32" t="s">
        <v>909</v>
      </c>
      <c r="H8" s="20" t="s">
        <v>915</v>
      </c>
      <c r="I8" s="20">
        <v>131</v>
      </c>
      <c r="J8" s="20">
        <v>5113</v>
      </c>
      <c r="K8" s="20" t="s">
        <v>20</v>
      </c>
      <c r="L8" s="20">
        <v>1</v>
      </c>
      <c r="M8" s="33">
        <v>21505376</v>
      </c>
      <c r="N8" s="33">
        <f t="shared" si="1"/>
        <v>21505376</v>
      </c>
      <c r="O8" s="20" t="s">
        <v>21</v>
      </c>
      <c r="P8" s="20">
        <v>3</v>
      </c>
      <c r="Q8" s="20">
        <f t="shared" si="2"/>
        <v>105</v>
      </c>
    </row>
    <row r="9" spans="1:17" ht="15" customHeight="1" x14ac:dyDescent="0.2">
      <c r="A9" s="20" t="s">
        <v>18</v>
      </c>
      <c r="B9" s="109" t="s">
        <v>374</v>
      </c>
      <c r="C9" s="20">
        <f t="shared" si="0"/>
        <v>254</v>
      </c>
      <c r="D9" s="20">
        <v>0</v>
      </c>
      <c r="G9" s="32" t="s">
        <v>909</v>
      </c>
      <c r="H9" s="20" t="s">
        <v>935</v>
      </c>
      <c r="I9" s="20">
        <v>333821</v>
      </c>
      <c r="J9" s="20">
        <v>131</v>
      </c>
      <c r="K9" s="20" t="s">
        <v>20</v>
      </c>
      <c r="L9" s="20">
        <v>1</v>
      </c>
      <c r="M9" s="33">
        <v>215054</v>
      </c>
      <c r="N9" s="33">
        <f t="shared" si="1"/>
        <v>215054</v>
      </c>
      <c r="O9" s="20" t="s">
        <v>21</v>
      </c>
      <c r="P9" s="20">
        <v>3</v>
      </c>
      <c r="Q9" s="20">
        <f t="shared" si="2"/>
        <v>121</v>
      </c>
    </row>
    <row r="10" spans="1:17" ht="15" customHeight="1" x14ac:dyDescent="0.2">
      <c r="A10" s="20" t="s">
        <v>18</v>
      </c>
      <c r="B10" s="109" t="s">
        <v>866</v>
      </c>
      <c r="C10" s="20">
        <f t="shared" si="0"/>
        <v>255</v>
      </c>
      <c r="D10" s="20">
        <v>1</v>
      </c>
      <c r="F10" s="33"/>
      <c r="G10" s="32" t="s">
        <v>910</v>
      </c>
      <c r="H10" s="20" t="s">
        <v>916</v>
      </c>
      <c r="I10" s="20">
        <v>131</v>
      </c>
      <c r="J10" s="20">
        <v>5113</v>
      </c>
      <c r="K10" s="20" t="s">
        <v>20</v>
      </c>
      <c r="L10" s="20">
        <v>1</v>
      </c>
      <c r="M10" s="33">
        <v>12903226</v>
      </c>
      <c r="N10" s="33">
        <f t="shared" si="1"/>
        <v>12903226</v>
      </c>
      <c r="O10" s="20" t="s">
        <v>21</v>
      </c>
      <c r="P10" s="20">
        <v>4</v>
      </c>
      <c r="Q10" s="20">
        <f t="shared" si="2"/>
        <v>147</v>
      </c>
    </row>
    <row r="11" spans="1:17" ht="15" customHeight="1" x14ac:dyDescent="0.2">
      <c r="A11" s="20" t="s">
        <v>18</v>
      </c>
      <c r="B11" s="109" t="s">
        <v>866</v>
      </c>
      <c r="C11" s="20">
        <f t="shared" si="0"/>
        <v>255</v>
      </c>
      <c r="D11" s="20">
        <v>0</v>
      </c>
      <c r="G11" s="32" t="s">
        <v>910</v>
      </c>
      <c r="H11" s="20" t="s">
        <v>936</v>
      </c>
      <c r="I11" s="20">
        <v>333821</v>
      </c>
      <c r="J11" s="20">
        <v>131</v>
      </c>
      <c r="K11" s="20" t="s">
        <v>20</v>
      </c>
      <c r="L11" s="20">
        <v>1</v>
      </c>
      <c r="M11" s="33">
        <v>129032</v>
      </c>
      <c r="N11" s="33">
        <f t="shared" si="1"/>
        <v>129032</v>
      </c>
      <c r="O11" s="20" t="s">
        <v>21</v>
      </c>
      <c r="P11" s="20">
        <v>4</v>
      </c>
      <c r="Q11" s="20">
        <f t="shared" si="2"/>
        <v>163</v>
      </c>
    </row>
    <row r="12" spans="1:17" ht="15" customHeight="1" x14ac:dyDescent="0.2">
      <c r="A12" s="20" t="s">
        <v>18</v>
      </c>
      <c r="B12" s="109" t="s">
        <v>290</v>
      </c>
      <c r="C12" s="20">
        <f t="shared" si="0"/>
        <v>256</v>
      </c>
      <c r="D12" s="20">
        <v>1</v>
      </c>
      <c r="F12" s="33"/>
      <c r="G12" s="32" t="s">
        <v>68</v>
      </c>
      <c r="H12" s="20" t="s">
        <v>917</v>
      </c>
      <c r="I12" s="20">
        <v>131</v>
      </c>
      <c r="J12" s="20">
        <v>5113</v>
      </c>
      <c r="K12" s="20" t="s">
        <v>20</v>
      </c>
      <c r="L12" s="20">
        <v>1</v>
      </c>
      <c r="M12" s="33">
        <v>21505376</v>
      </c>
      <c r="N12" s="33">
        <f t="shared" si="1"/>
        <v>21505376</v>
      </c>
      <c r="O12" s="20" t="s">
        <v>21</v>
      </c>
      <c r="P12" s="20">
        <v>5</v>
      </c>
      <c r="Q12" s="20">
        <f t="shared" si="2"/>
        <v>157</v>
      </c>
    </row>
    <row r="13" spans="1:17" ht="15" customHeight="1" x14ac:dyDescent="0.2">
      <c r="A13" s="20" t="s">
        <v>18</v>
      </c>
      <c r="B13" s="109" t="s">
        <v>290</v>
      </c>
      <c r="C13" s="20">
        <f t="shared" si="0"/>
        <v>256</v>
      </c>
      <c r="D13" s="20">
        <v>0</v>
      </c>
      <c r="G13" s="32" t="s">
        <v>68</v>
      </c>
      <c r="H13" s="20" t="s">
        <v>937</v>
      </c>
      <c r="I13" s="20">
        <v>333821</v>
      </c>
      <c r="J13" s="20">
        <v>131</v>
      </c>
      <c r="K13" s="20" t="s">
        <v>20</v>
      </c>
      <c r="L13" s="20">
        <v>1</v>
      </c>
      <c r="M13" s="33">
        <v>215054</v>
      </c>
      <c r="N13" s="33">
        <f t="shared" si="1"/>
        <v>215054</v>
      </c>
      <c r="O13" s="20" t="s">
        <v>21</v>
      </c>
      <c r="P13" s="20">
        <v>5</v>
      </c>
      <c r="Q13" s="20">
        <f t="shared" si="2"/>
        <v>173</v>
      </c>
    </row>
    <row r="14" spans="1:17" ht="15" customHeight="1" x14ac:dyDescent="0.2">
      <c r="A14" s="20" t="s">
        <v>18</v>
      </c>
      <c r="B14" s="109" t="s">
        <v>413</v>
      </c>
      <c r="C14" s="20">
        <f t="shared" si="0"/>
        <v>257</v>
      </c>
      <c r="D14" s="20">
        <v>1</v>
      </c>
      <c r="F14" s="33"/>
      <c r="G14" s="32" t="s">
        <v>132</v>
      </c>
      <c r="H14" s="20" t="s">
        <v>918</v>
      </c>
      <c r="I14" s="20">
        <v>131</v>
      </c>
      <c r="J14" s="20">
        <v>5113</v>
      </c>
      <c r="K14" s="20" t="s">
        <v>20</v>
      </c>
      <c r="L14" s="20">
        <v>1</v>
      </c>
      <c r="M14" s="33">
        <v>12903226</v>
      </c>
      <c r="N14" s="33">
        <f t="shared" si="1"/>
        <v>12903226</v>
      </c>
      <c r="O14" s="20" t="s">
        <v>21</v>
      </c>
      <c r="P14" s="20">
        <v>6</v>
      </c>
      <c r="Q14" s="20">
        <f t="shared" si="2"/>
        <v>160</v>
      </c>
    </row>
    <row r="15" spans="1:17" ht="15" customHeight="1" x14ac:dyDescent="0.2">
      <c r="A15" s="20" t="s">
        <v>18</v>
      </c>
      <c r="B15" s="109" t="s">
        <v>413</v>
      </c>
      <c r="C15" s="20">
        <f t="shared" si="0"/>
        <v>257</v>
      </c>
      <c r="D15" s="20">
        <v>0</v>
      </c>
      <c r="G15" s="32" t="s">
        <v>132</v>
      </c>
      <c r="H15" s="20" t="s">
        <v>938</v>
      </c>
      <c r="I15" s="20">
        <v>333821</v>
      </c>
      <c r="J15" s="20">
        <v>131</v>
      </c>
      <c r="K15" s="20" t="s">
        <v>20</v>
      </c>
      <c r="L15" s="20">
        <v>1</v>
      </c>
      <c r="M15" s="33">
        <v>129032</v>
      </c>
      <c r="N15" s="33">
        <f t="shared" si="1"/>
        <v>129032</v>
      </c>
      <c r="O15" s="20" t="s">
        <v>21</v>
      </c>
      <c r="P15" s="20">
        <v>6</v>
      </c>
      <c r="Q15" s="20">
        <f t="shared" si="2"/>
        <v>176</v>
      </c>
    </row>
    <row r="16" spans="1:17" ht="15" customHeight="1" x14ac:dyDescent="0.2">
      <c r="A16" s="20" t="s">
        <v>18</v>
      </c>
      <c r="B16" s="109" t="s">
        <v>414</v>
      </c>
      <c r="C16" s="20">
        <f t="shared" si="0"/>
        <v>258</v>
      </c>
      <c r="D16" s="20">
        <v>1</v>
      </c>
      <c r="F16" s="33"/>
      <c r="G16" s="32" t="s">
        <v>911</v>
      </c>
      <c r="H16" s="20" t="s">
        <v>919</v>
      </c>
      <c r="I16" s="20">
        <v>131</v>
      </c>
      <c r="J16" s="20">
        <v>5113</v>
      </c>
      <c r="K16" s="20" t="s">
        <v>20</v>
      </c>
      <c r="L16" s="20">
        <v>1</v>
      </c>
      <c r="M16" s="33">
        <v>21505376</v>
      </c>
      <c r="N16" s="33">
        <f t="shared" si="1"/>
        <v>21505376</v>
      </c>
      <c r="O16" s="20" t="s">
        <v>21</v>
      </c>
      <c r="P16" s="20">
        <v>7</v>
      </c>
      <c r="Q16" s="20">
        <f t="shared" si="2"/>
        <v>159</v>
      </c>
    </row>
    <row r="17" spans="1:17" ht="15" customHeight="1" x14ac:dyDescent="0.2">
      <c r="A17" s="20" t="s">
        <v>18</v>
      </c>
      <c r="B17" s="109" t="s">
        <v>414</v>
      </c>
      <c r="C17" s="20">
        <f t="shared" si="0"/>
        <v>258</v>
      </c>
      <c r="D17" s="20">
        <v>0</v>
      </c>
      <c r="G17" s="32" t="s">
        <v>911</v>
      </c>
      <c r="H17" s="20" t="s">
        <v>939</v>
      </c>
      <c r="I17" s="20">
        <v>333821</v>
      </c>
      <c r="J17" s="20">
        <v>131</v>
      </c>
      <c r="K17" s="20" t="s">
        <v>20</v>
      </c>
      <c r="L17" s="20">
        <v>1</v>
      </c>
      <c r="M17" s="33">
        <v>215054</v>
      </c>
      <c r="N17" s="33">
        <f t="shared" si="1"/>
        <v>215054</v>
      </c>
      <c r="O17" s="20" t="s">
        <v>21</v>
      </c>
      <c r="P17" s="20">
        <v>7</v>
      </c>
      <c r="Q17" s="20">
        <f t="shared" si="2"/>
        <v>175</v>
      </c>
    </row>
    <row r="18" spans="1:17" ht="15" customHeight="1" x14ac:dyDescent="0.2">
      <c r="A18" s="20" t="s">
        <v>18</v>
      </c>
      <c r="B18" s="109" t="s">
        <v>652</v>
      </c>
      <c r="C18" s="20">
        <f t="shared" si="0"/>
        <v>259</v>
      </c>
      <c r="D18" s="20">
        <v>1</v>
      </c>
      <c r="F18" s="33"/>
      <c r="G18" s="32" t="s">
        <v>910</v>
      </c>
      <c r="H18" s="20" t="s">
        <v>920</v>
      </c>
      <c r="I18" s="20">
        <v>131</v>
      </c>
      <c r="J18" s="20">
        <v>5113</v>
      </c>
      <c r="K18" s="20" t="s">
        <v>20</v>
      </c>
      <c r="L18" s="20">
        <v>1</v>
      </c>
      <c r="M18" s="33">
        <v>21505376</v>
      </c>
      <c r="N18" s="33">
        <f t="shared" si="1"/>
        <v>21505376</v>
      </c>
      <c r="O18" s="20" t="s">
        <v>21</v>
      </c>
      <c r="P18" s="20">
        <v>8</v>
      </c>
      <c r="Q18" s="20">
        <f t="shared" si="2"/>
        <v>148</v>
      </c>
    </row>
    <row r="19" spans="1:17" ht="15" customHeight="1" x14ac:dyDescent="0.2">
      <c r="A19" s="20" t="s">
        <v>18</v>
      </c>
      <c r="B19" s="109" t="s">
        <v>652</v>
      </c>
      <c r="C19" s="20">
        <f t="shared" si="0"/>
        <v>259</v>
      </c>
      <c r="D19" s="20">
        <v>0</v>
      </c>
      <c r="G19" s="32" t="s">
        <v>910</v>
      </c>
      <c r="H19" s="20" t="s">
        <v>940</v>
      </c>
      <c r="I19" s="20">
        <v>333821</v>
      </c>
      <c r="J19" s="20">
        <v>131</v>
      </c>
      <c r="K19" s="20" t="s">
        <v>20</v>
      </c>
      <c r="L19" s="20">
        <v>1</v>
      </c>
      <c r="M19" s="33">
        <v>215054</v>
      </c>
      <c r="N19" s="33">
        <f t="shared" si="1"/>
        <v>215054</v>
      </c>
      <c r="O19" s="20" t="s">
        <v>21</v>
      </c>
      <c r="P19" s="20">
        <v>8</v>
      </c>
      <c r="Q19" s="20">
        <f t="shared" si="2"/>
        <v>164</v>
      </c>
    </row>
    <row r="20" spans="1:17" ht="15" customHeight="1" x14ac:dyDescent="0.2">
      <c r="A20" s="20" t="s">
        <v>18</v>
      </c>
      <c r="B20" s="109" t="s">
        <v>377</v>
      </c>
      <c r="C20" s="20">
        <f t="shared" si="0"/>
        <v>260</v>
      </c>
      <c r="D20" s="20">
        <v>1</v>
      </c>
      <c r="F20" s="33"/>
      <c r="G20" s="32" t="s">
        <v>66</v>
      </c>
      <c r="H20" s="20" t="s">
        <v>921</v>
      </c>
      <c r="I20" s="20">
        <v>131</v>
      </c>
      <c r="J20" s="20">
        <v>5113</v>
      </c>
      <c r="K20" s="20" t="s">
        <v>20</v>
      </c>
      <c r="L20" s="20">
        <v>1</v>
      </c>
      <c r="M20" s="33">
        <v>21505376</v>
      </c>
      <c r="N20" s="33">
        <f t="shared" si="1"/>
        <v>21505376</v>
      </c>
      <c r="O20" s="20" t="s">
        <v>21</v>
      </c>
      <c r="P20" s="20">
        <v>9</v>
      </c>
      <c r="Q20" s="20">
        <f t="shared" si="2"/>
        <v>169</v>
      </c>
    </row>
    <row r="21" spans="1:17" ht="15" customHeight="1" x14ac:dyDescent="0.2">
      <c r="A21" s="20" t="s">
        <v>18</v>
      </c>
      <c r="B21" s="109" t="s">
        <v>377</v>
      </c>
      <c r="C21" s="20">
        <f t="shared" si="0"/>
        <v>260</v>
      </c>
      <c r="D21" s="20">
        <v>0</v>
      </c>
      <c r="G21" s="32" t="s">
        <v>66</v>
      </c>
      <c r="H21" s="20" t="s">
        <v>941</v>
      </c>
      <c r="I21" s="20">
        <v>333821</v>
      </c>
      <c r="J21" s="20">
        <v>131</v>
      </c>
      <c r="K21" s="20" t="s">
        <v>20</v>
      </c>
      <c r="L21" s="20">
        <v>1</v>
      </c>
      <c r="M21" s="33">
        <v>215054</v>
      </c>
      <c r="N21" s="33">
        <f t="shared" si="1"/>
        <v>215054</v>
      </c>
      <c r="O21" s="20" t="s">
        <v>21</v>
      </c>
      <c r="P21" s="20">
        <v>9</v>
      </c>
      <c r="Q21" s="20">
        <f t="shared" si="2"/>
        <v>185</v>
      </c>
    </row>
    <row r="22" spans="1:17" ht="15" customHeight="1" x14ac:dyDescent="0.2">
      <c r="A22" s="20" t="s">
        <v>18</v>
      </c>
      <c r="B22" s="109" t="s">
        <v>470</v>
      </c>
      <c r="C22" s="20">
        <f t="shared" si="0"/>
        <v>261</v>
      </c>
      <c r="D22" s="20">
        <v>1</v>
      </c>
      <c r="F22" s="33"/>
      <c r="G22" s="32" t="s">
        <v>145</v>
      </c>
      <c r="H22" s="20" t="s">
        <v>922</v>
      </c>
      <c r="I22" s="20">
        <v>131</v>
      </c>
      <c r="J22" s="20">
        <v>5113</v>
      </c>
      <c r="K22" s="20" t="s">
        <v>20</v>
      </c>
      <c r="L22" s="20">
        <v>1</v>
      </c>
      <c r="M22" s="33">
        <v>32258065</v>
      </c>
      <c r="N22" s="33">
        <f t="shared" si="1"/>
        <v>32258065</v>
      </c>
      <c r="O22" s="20" t="s">
        <v>21</v>
      </c>
      <c r="P22" s="20">
        <v>10</v>
      </c>
      <c r="Q22" s="20">
        <f t="shared" si="2"/>
        <v>195</v>
      </c>
    </row>
    <row r="23" spans="1:17" ht="15" customHeight="1" x14ac:dyDescent="0.2">
      <c r="A23" s="20" t="s">
        <v>18</v>
      </c>
      <c r="B23" s="109" t="s">
        <v>470</v>
      </c>
      <c r="C23" s="20">
        <f t="shared" si="0"/>
        <v>261</v>
      </c>
      <c r="D23" s="20">
        <v>0</v>
      </c>
      <c r="G23" s="32" t="s">
        <v>145</v>
      </c>
      <c r="H23" s="20" t="s">
        <v>4878</v>
      </c>
      <c r="I23" s="20">
        <v>333821</v>
      </c>
      <c r="J23" s="20">
        <v>131</v>
      </c>
      <c r="K23" s="20" t="s">
        <v>20</v>
      </c>
      <c r="L23" s="20">
        <v>1</v>
      </c>
      <c r="M23" s="33">
        <v>322581</v>
      </c>
      <c r="N23" s="33">
        <f t="shared" si="1"/>
        <v>322581</v>
      </c>
      <c r="O23" s="20" t="s">
        <v>21</v>
      </c>
      <c r="P23" s="20">
        <v>10</v>
      </c>
      <c r="Q23" s="20">
        <f t="shared" si="2"/>
        <v>169</v>
      </c>
    </row>
    <row r="24" spans="1:17" ht="15" customHeight="1" x14ac:dyDescent="0.2">
      <c r="A24" s="20" t="s">
        <v>18</v>
      </c>
      <c r="B24" s="109" t="s">
        <v>470</v>
      </c>
      <c r="C24" s="20">
        <f t="shared" si="0"/>
        <v>262</v>
      </c>
      <c r="D24" s="20">
        <v>1</v>
      </c>
      <c r="F24" s="33"/>
      <c r="G24" s="32" t="s">
        <v>47</v>
      </c>
      <c r="H24" s="20" t="s">
        <v>4851</v>
      </c>
      <c r="I24" s="20">
        <v>131</v>
      </c>
      <c r="J24" s="20">
        <v>5113</v>
      </c>
      <c r="K24" s="20" t="s">
        <v>20</v>
      </c>
      <c r="L24" s="20">
        <v>1</v>
      </c>
      <c r="M24" s="33">
        <v>43010753</v>
      </c>
      <c r="N24" s="33">
        <f t="shared" si="1"/>
        <v>43010753</v>
      </c>
      <c r="O24" s="20" t="s">
        <v>21</v>
      </c>
      <c r="P24" s="20">
        <v>11</v>
      </c>
      <c r="Q24" s="20">
        <f t="shared" si="2"/>
        <v>191</v>
      </c>
    </row>
    <row r="25" spans="1:17" ht="15" customHeight="1" x14ac:dyDescent="0.2">
      <c r="A25" s="20" t="s">
        <v>18</v>
      </c>
      <c r="B25" s="109" t="s">
        <v>470</v>
      </c>
      <c r="C25" s="20">
        <f t="shared" si="0"/>
        <v>262</v>
      </c>
      <c r="D25" s="20">
        <v>0</v>
      </c>
      <c r="G25" s="32" t="s">
        <v>47</v>
      </c>
      <c r="H25" s="20" t="s">
        <v>4852</v>
      </c>
      <c r="I25" s="20">
        <v>333821</v>
      </c>
      <c r="J25" s="20">
        <v>131</v>
      </c>
      <c r="K25" s="20" t="s">
        <v>20</v>
      </c>
      <c r="L25" s="20">
        <v>1</v>
      </c>
      <c r="M25" s="33">
        <v>430108</v>
      </c>
      <c r="N25" s="33">
        <f t="shared" si="1"/>
        <v>430108</v>
      </c>
      <c r="O25" s="20" t="s">
        <v>21</v>
      </c>
      <c r="P25" s="20">
        <v>11</v>
      </c>
      <c r="Q25" s="20">
        <f t="shared" si="2"/>
        <v>207</v>
      </c>
    </row>
    <row r="26" spans="1:17" ht="15" customHeight="1" x14ac:dyDescent="0.2">
      <c r="A26" s="20" t="s">
        <v>18</v>
      </c>
      <c r="B26" s="109" t="s">
        <v>378</v>
      </c>
      <c r="C26" s="20">
        <f t="shared" si="0"/>
        <v>263</v>
      </c>
      <c r="D26" s="20">
        <v>1</v>
      </c>
      <c r="F26" s="33"/>
      <c r="G26" s="32" t="s">
        <v>126</v>
      </c>
      <c r="H26" s="20" t="s">
        <v>923</v>
      </c>
      <c r="I26" s="20">
        <v>131</v>
      </c>
      <c r="J26" s="20">
        <v>5113</v>
      </c>
      <c r="K26" s="20" t="s">
        <v>20</v>
      </c>
      <c r="L26" s="20">
        <v>1</v>
      </c>
      <c r="M26" s="33">
        <v>21505376</v>
      </c>
      <c r="N26" s="33">
        <f t="shared" si="1"/>
        <v>21505376</v>
      </c>
      <c r="O26" s="20" t="s">
        <v>21</v>
      </c>
      <c r="P26" s="20">
        <v>12</v>
      </c>
      <c r="Q26" s="20">
        <f t="shared" si="2"/>
        <v>159</v>
      </c>
    </row>
    <row r="27" spans="1:17" ht="15" customHeight="1" x14ac:dyDescent="0.2">
      <c r="A27" s="20" t="s">
        <v>18</v>
      </c>
      <c r="B27" s="109" t="s">
        <v>378</v>
      </c>
      <c r="C27" s="20">
        <f t="shared" si="0"/>
        <v>263</v>
      </c>
      <c r="D27" s="20">
        <v>0</v>
      </c>
      <c r="G27" s="32" t="s">
        <v>126</v>
      </c>
      <c r="H27" s="20" t="s">
        <v>942</v>
      </c>
      <c r="I27" s="20">
        <v>333821</v>
      </c>
      <c r="J27" s="20">
        <v>131</v>
      </c>
      <c r="K27" s="20" t="s">
        <v>20</v>
      </c>
      <c r="L27" s="20">
        <v>1</v>
      </c>
      <c r="M27" s="33">
        <v>215054</v>
      </c>
      <c r="N27" s="33">
        <f t="shared" si="1"/>
        <v>215054</v>
      </c>
      <c r="O27" s="20" t="s">
        <v>21</v>
      </c>
      <c r="P27" s="20">
        <v>12</v>
      </c>
      <c r="Q27" s="20">
        <f t="shared" si="2"/>
        <v>175</v>
      </c>
    </row>
    <row r="28" spans="1:17" ht="15" customHeight="1" x14ac:dyDescent="0.2">
      <c r="A28" s="20" t="s">
        <v>18</v>
      </c>
      <c r="B28" s="109" t="s">
        <v>378</v>
      </c>
      <c r="C28" s="20">
        <f t="shared" si="0"/>
        <v>264</v>
      </c>
      <c r="D28" s="20">
        <v>1</v>
      </c>
      <c r="F28" s="33"/>
      <c r="G28" s="32" t="s">
        <v>63</v>
      </c>
      <c r="H28" s="20" t="s">
        <v>924</v>
      </c>
      <c r="I28" s="20">
        <v>131</v>
      </c>
      <c r="J28" s="20">
        <v>5113</v>
      </c>
      <c r="K28" s="20" t="s">
        <v>20</v>
      </c>
      <c r="L28" s="20">
        <v>1</v>
      </c>
      <c r="M28" s="33">
        <v>21505376</v>
      </c>
      <c r="N28" s="33">
        <f t="shared" si="1"/>
        <v>21505376</v>
      </c>
      <c r="O28" s="20" t="s">
        <v>21</v>
      </c>
      <c r="P28" s="20">
        <v>13</v>
      </c>
      <c r="Q28" s="20">
        <f t="shared" si="2"/>
        <v>152</v>
      </c>
    </row>
    <row r="29" spans="1:17" ht="15" customHeight="1" x14ac:dyDescent="0.2">
      <c r="A29" s="20" t="s">
        <v>18</v>
      </c>
      <c r="B29" s="109" t="s">
        <v>378</v>
      </c>
      <c r="C29" s="20">
        <f t="shared" si="0"/>
        <v>264</v>
      </c>
      <c r="D29" s="20">
        <v>0</v>
      </c>
      <c r="G29" s="32" t="s">
        <v>63</v>
      </c>
      <c r="H29" s="20" t="s">
        <v>943</v>
      </c>
      <c r="I29" s="20">
        <v>333821</v>
      </c>
      <c r="J29" s="20">
        <v>131</v>
      </c>
      <c r="K29" s="20" t="s">
        <v>20</v>
      </c>
      <c r="L29" s="20">
        <v>1</v>
      </c>
      <c r="M29" s="33">
        <v>215054</v>
      </c>
      <c r="N29" s="33">
        <f t="shared" si="1"/>
        <v>215054</v>
      </c>
      <c r="O29" s="20" t="s">
        <v>21</v>
      </c>
      <c r="P29" s="20">
        <v>13</v>
      </c>
      <c r="Q29" s="20">
        <f t="shared" si="2"/>
        <v>168</v>
      </c>
    </row>
    <row r="30" spans="1:17" ht="15" customHeight="1" x14ac:dyDescent="0.2">
      <c r="A30" s="20" t="s">
        <v>18</v>
      </c>
      <c r="B30" s="109" t="s">
        <v>416</v>
      </c>
      <c r="C30" s="20">
        <f t="shared" si="0"/>
        <v>265</v>
      </c>
      <c r="D30" s="20">
        <v>1</v>
      </c>
      <c r="F30" s="33"/>
      <c r="G30" s="32" t="s">
        <v>68</v>
      </c>
      <c r="H30" s="20" t="s">
        <v>925</v>
      </c>
      <c r="I30" s="20">
        <v>131</v>
      </c>
      <c r="J30" s="20">
        <v>5113</v>
      </c>
      <c r="K30" s="20" t="s">
        <v>20</v>
      </c>
      <c r="L30" s="20">
        <v>1</v>
      </c>
      <c r="M30" s="33">
        <v>21505376</v>
      </c>
      <c r="N30" s="33">
        <f t="shared" si="1"/>
        <v>21505376</v>
      </c>
      <c r="O30" s="20" t="s">
        <v>21</v>
      </c>
      <c r="P30" s="20">
        <v>14</v>
      </c>
      <c r="Q30" s="20">
        <f t="shared" si="2"/>
        <v>158</v>
      </c>
    </row>
    <row r="31" spans="1:17" ht="15" customHeight="1" x14ac:dyDescent="0.2">
      <c r="A31" s="20" t="s">
        <v>18</v>
      </c>
      <c r="B31" s="109" t="s">
        <v>416</v>
      </c>
      <c r="C31" s="20">
        <f t="shared" si="0"/>
        <v>265</v>
      </c>
      <c r="D31" s="20">
        <v>0</v>
      </c>
      <c r="G31" s="32" t="s">
        <v>68</v>
      </c>
      <c r="H31" s="20" t="s">
        <v>944</v>
      </c>
      <c r="I31" s="20">
        <v>333821</v>
      </c>
      <c r="J31" s="20">
        <v>131</v>
      </c>
      <c r="K31" s="20" t="s">
        <v>20</v>
      </c>
      <c r="L31" s="20">
        <v>1</v>
      </c>
      <c r="M31" s="33">
        <v>215054</v>
      </c>
      <c r="N31" s="33">
        <f t="shared" si="1"/>
        <v>215054</v>
      </c>
      <c r="O31" s="20" t="s">
        <v>21</v>
      </c>
      <c r="P31" s="20">
        <v>14</v>
      </c>
      <c r="Q31" s="20">
        <f t="shared" si="2"/>
        <v>174</v>
      </c>
    </row>
    <row r="32" spans="1:17" ht="15" customHeight="1" x14ac:dyDescent="0.2">
      <c r="A32" s="20" t="s">
        <v>18</v>
      </c>
      <c r="B32" s="109" t="s">
        <v>318</v>
      </c>
      <c r="C32" s="20">
        <f t="shared" si="0"/>
        <v>266</v>
      </c>
      <c r="D32" s="20">
        <v>1</v>
      </c>
      <c r="F32" s="33"/>
      <c r="G32" s="32" t="s">
        <v>144</v>
      </c>
      <c r="H32" s="20" t="s">
        <v>926</v>
      </c>
      <c r="I32" s="20">
        <v>131</v>
      </c>
      <c r="J32" s="20">
        <v>5113</v>
      </c>
      <c r="K32" s="20" t="s">
        <v>20</v>
      </c>
      <c r="L32" s="20">
        <v>1</v>
      </c>
      <c r="M32" s="33">
        <v>21505376</v>
      </c>
      <c r="N32" s="33">
        <f t="shared" si="1"/>
        <v>21505376</v>
      </c>
      <c r="O32" s="20" t="s">
        <v>21</v>
      </c>
      <c r="P32" s="20">
        <v>15</v>
      </c>
      <c r="Q32" s="20">
        <f t="shared" si="2"/>
        <v>166</v>
      </c>
    </row>
    <row r="33" spans="1:17" ht="15" customHeight="1" x14ac:dyDescent="0.2">
      <c r="A33" s="20" t="s">
        <v>18</v>
      </c>
      <c r="B33" s="109" t="s">
        <v>318</v>
      </c>
      <c r="C33" s="20">
        <f t="shared" si="0"/>
        <v>266</v>
      </c>
      <c r="D33" s="20">
        <v>0</v>
      </c>
      <c r="G33" s="32" t="s">
        <v>144</v>
      </c>
      <c r="H33" s="20" t="s">
        <v>945</v>
      </c>
      <c r="I33" s="20">
        <v>333821</v>
      </c>
      <c r="J33" s="20">
        <v>131</v>
      </c>
      <c r="K33" s="20" t="s">
        <v>20</v>
      </c>
      <c r="L33" s="20">
        <v>1</v>
      </c>
      <c r="M33" s="33">
        <v>215054</v>
      </c>
      <c r="N33" s="33">
        <f t="shared" si="1"/>
        <v>215054</v>
      </c>
      <c r="O33" s="20" t="s">
        <v>21</v>
      </c>
      <c r="P33" s="20">
        <v>15</v>
      </c>
      <c r="Q33" s="20">
        <f t="shared" si="2"/>
        <v>182</v>
      </c>
    </row>
    <row r="34" spans="1:17" ht="15" customHeight="1" x14ac:dyDescent="0.2">
      <c r="A34" s="20" t="s">
        <v>18</v>
      </c>
      <c r="B34" s="109" t="s">
        <v>319</v>
      </c>
      <c r="C34" s="20">
        <f t="shared" si="0"/>
        <v>267</v>
      </c>
      <c r="D34" s="20">
        <v>1</v>
      </c>
      <c r="F34" s="33"/>
      <c r="G34" s="32" t="s">
        <v>108</v>
      </c>
      <c r="H34" s="20" t="s">
        <v>927</v>
      </c>
      <c r="I34" s="20">
        <v>131</v>
      </c>
      <c r="J34" s="20">
        <v>5113</v>
      </c>
      <c r="K34" s="20" t="s">
        <v>20</v>
      </c>
      <c r="L34" s="20">
        <v>1</v>
      </c>
      <c r="M34" s="33">
        <v>21505376</v>
      </c>
      <c r="N34" s="33">
        <f t="shared" si="1"/>
        <v>21505376</v>
      </c>
      <c r="O34" s="20" t="s">
        <v>21</v>
      </c>
      <c r="P34" s="20">
        <v>16</v>
      </c>
      <c r="Q34" s="20">
        <f t="shared" si="2"/>
        <v>145</v>
      </c>
    </row>
    <row r="35" spans="1:17" ht="15" customHeight="1" x14ac:dyDescent="0.2">
      <c r="A35" s="20" t="s">
        <v>18</v>
      </c>
      <c r="B35" s="109" t="s">
        <v>319</v>
      </c>
      <c r="C35" s="20">
        <f t="shared" si="0"/>
        <v>267</v>
      </c>
      <c r="D35" s="20">
        <v>0</v>
      </c>
      <c r="G35" s="32" t="s">
        <v>108</v>
      </c>
      <c r="H35" s="20" t="s">
        <v>946</v>
      </c>
      <c r="I35" s="20">
        <v>333821</v>
      </c>
      <c r="J35" s="20">
        <v>131</v>
      </c>
      <c r="K35" s="20" t="s">
        <v>20</v>
      </c>
      <c r="L35" s="20">
        <v>1</v>
      </c>
      <c r="M35" s="33">
        <v>215054</v>
      </c>
      <c r="N35" s="33">
        <f t="shared" si="1"/>
        <v>215054</v>
      </c>
      <c r="O35" s="20" t="s">
        <v>21</v>
      </c>
      <c r="P35" s="20">
        <v>16</v>
      </c>
      <c r="Q35" s="20">
        <f t="shared" si="2"/>
        <v>161</v>
      </c>
    </row>
    <row r="36" spans="1:17" ht="15" customHeight="1" x14ac:dyDescent="0.2">
      <c r="A36" s="20" t="s">
        <v>18</v>
      </c>
      <c r="B36" s="109" t="s">
        <v>319</v>
      </c>
      <c r="C36" s="20">
        <f t="shared" ref="C36:C55" si="3">C35+D36</f>
        <v>268</v>
      </c>
      <c r="D36" s="20">
        <v>1</v>
      </c>
      <c r="F36" s="33"/>
      <c r="G36" s="32" t="s">
        <v>910</v>
      </c>
      <c r="H36" s="20" t="s">
        <v>928</v>
      </c>
      <c r="I36" s="20">
        <v>131</v>
      </c>
      <c r="J36" s="20">
        <v>5113</v>
      </c>
      <c r="K36" s="20" t="s">
        <v>20</v>
      </c>
      <c r="L36" s="20">
        <v>1</v>
      </c>
      <c r="M36" s="33">
        <v>21505376</v>
      </c>
      <c r="N36" s="33">
        <f t="shared" ref="N36:N55" si="4">L36*M36</f>
        <v>21505376</v>
      </c>
      <c r="O36" s="20" t="s">
        <v>21</v>
      </c>
      <c r="P36" s="20">
        <v>17</v>
      </c>
      <c r="Q36" s="20">
        <f t="shared" si="2"/>
        <v>148</v>
      </c>
    </row>
    <row r="37" spans="1:17" ht="15" customHeight="1" x14ac:dyDescent="0.2">
      <c r="A37" s="20" t="s">
        <v>18</v>
      </c>
      <c r="B37" s="109" t="s">
        <v>319</v>
      </c>
      <c r="C37" s="20">
        <f t="shared" si="3"/>
        <v>268</v>
      </c>
      <c r="D37" s="20">
        <v>0</v>
      </c>
      <c r="G37" s="32" t="s">
        <v>910</v>
      </c>
      <c r="H37" s="20" t="s">
        <v>947</v>
      </c>
      <c r="I37" s="20">
        <v>333821</v>
      </c>
      <c r="J37" s="20">
        <v>131</v>
      </c>
      <c r="K37" s="20" t="s">
        <v>20</v>
      </c>
      <c r="L37" s="20">
        <v>1</v>
      </c>
      <c r="M37" s="33">
        <v>215054</v>
      </c>
      <c r="N37" s="33">
        <f t="shared" si="4"/>
        <v>215054</v>
      </c>
      <c r="O37" s="20" t="s">
        <v>21</v>
      </c>
      <c r="P37" s="20">
        <v>17</v>
      </c>
      <c r="Q37" s="20">
        <f t="shared" si="2"/>
        <v>164</v>
      </c>
    </row>
    <row r="38" spans="1:17" ht="15" customHeight="1" x14ac:dyDescent="0.2">
      <c r="A38" s="20" t="s">
        <v>18</v>
      </c>
      <c r="B38" s="109" t="s">
        <v>514</v>
      </c>
      <c r="C38" s="20">
        <f t="shared" si="3"/>
        <v>269</v>
      </c>
      <c r="D38" s="20">
        <v>1</v>
      </c>
      <c r="F38" s="33"/>
      <c r="G38" s="32" t="s">
        <v>66</v>
      </c>
      <c r="H38" s="20" t="s">
        <v>929</v>
      </c>
      <c r="I38" s="20">
        <v>131</v>
      </c>
      <c r="J38" s="20">
        <v>5113</v>
      </c>
      <c r="K38" s="20" t="s">
        <v>20</v>
      </c>
      <c r="L38" s="20">
        <v>1</v>
      </c>
      <c r="M38" s="33">
        <v>21505376</v>
      </c>
      <c r="N38" s="33">
        <f t="shared" si="4"/>
        <v>21505376</v>
      </c>
      <c r="O38" s="20" t="s">
        <v>21</v>
      </c>
      <c r="P38" s="20">
        <v>18</v>
      </c>
      <c r="Q38" s="20">
        <f t="shared" si="2"/>
        <v>171</v>
      </c>
    </row>
    <row r="39" spans="1:17" ht="15" customHeight="1" x14ac:dyDescent="0.2">
      <c r="A39" s="20" t="s">
        <v>18</v>
      </c>
      <c r="B39" s="109" t="s">
        <v>514</v>
      </c>
      <c r="C39" s="20">
        <f t="shared" si="3"/>
        <v>269</v>
      </c>
      <c r="D39" s="20">
        <v>0</v>
      </c>
      <c r="G39" s="32" t="s">
        <v>66</v>
      </c>
      <c r="H39" s="20" t="s">
        <v>948</v>
      </c>
      <c r="I39" s="20">
        <v>333821</v>
      </c>
      <c r="J39" s="20">
        <v>131</v>
      </c>
      <c r="K39" s="20" t="s">
        <v>20</v>
      </c>
      <c r="L39" s="20">
        <v>1</v>
      </c>
      <c r="M39" s="33">
        <v>215054</v>
      </c>
      <c r="N39" s="33">
        <f t="shared" si="4"/>
        <v>215054</v>
      </c>
      <c r="O39" s="20" t="s">
        <v>21</v>
      </c>
      <c r="P39" s="20">
        <v>18</v>
      </c>
      <c r="Q39" s="20">
        <f t="shared" si="2"/>
        <v>187</v>
      </c>
    </row>
    <row r="40" spans="1:17" ht="15" customHeight="1" x14ac:dyDescent="0.2">
      <c r="A40" s="20" t="s">
        <v>18</v>
      </c>
      <c r="B40" s="109" t="s">
        <v>454</v>
      </c>
      <c r="C40" s="20">
        <f t="shared" si="3"/>
        <v>270</v>
      </c>
      <c r="D40" s="20">
        <v>1</v>
      </c>
      <c r="F40" s="33"/>
      <c r="G40" s="32" t="s">
        <v>114</v>
      </c>
      <c r="H40" s="20" t="s">
        <v>930</v>
      </c>
      <c r="I40" s="20">
        <v>131</v>
      </c>
      <c r="J40" s="20">
        <v>5113</v>
      </c>
      <c r="K40" s="20" t="s">
        <v>20</v>
      </c>
      <c r="L40" s="20">
        <v>1</v>
      </c>
      <c r="M40" s="33">
        <v>21505376</v>
      </c>
      <c r="N40" s="33">
        <f t="shared" si="4"/>
        <v>21505376</v>
      </c>
      <c r="O40" s="20" t="s">
        <v>21</v>
      </c>
      <c r="P40" s="20">
        <v>19</v>
      </c>
      <c r="Q40" s="20">
        <f t="shared" si="2"/>
        <v>141</v>
      </c>
    </row>
    <row r="41" spans="1:17" ht="15" customHeight="1" x14ac:dyDescent="0.2">
      <c r="A41" s="20" t="s">
        <v>18</v>
      </c>
      <c r="B41" s="109" t="s">
        <v>454</v>
      </c>
      <c r="C41" s="20">
        <f t="shared" si="3"/>
        <v>270</v>
      </c>
      <c r="D41" s="20">
        <v>0</v>
      </c>
      <c r="G41" s="32" t="s">
        <v>114</v>
      </c>
      <c r="H41" s="20" t="s">
        <v>949</v>
      </c>
      <c r="I41" s="20">
        <v>333821</v>
      </c>
      <c r="J41" s="20">
        <v>131</v>
      </c>
      <c r="K41" s="20" t="s">
        <v>20</v>
      </c>
      <c r="L41" s="20">
        <v>1</v>
      </c>
      <c r="M41" s="33">
        <v>215054</v>
      </c>
      <c r="N41" s="33">
        <f t="shared" si="4"/>
        <v>215054</v>
      </c>
      <c r="O41" s="20" t="s">
        <v>21</v>
      </c>
      <c r="P41" s="20">
        <v>19</v>
      </c>
      <c r="Q41" s="20">
        <f t="shared" si="2"/>
        <v>157</v>
      </c>
    </row>
    <row r="42" spans="1:17" ht="15" customHeight="1" x14ac:dyDescent="0.2">
      <c r="A42" s="20" t="s">
        <v>18</v>
      </c>
      <c r="B42" s="109" t="s">
        <v>454</v>
      </c>
      <c r="C42" s="20">
        <f t="shared" si="3"/>
        <v>271</v>
      </c>
      <c r="D42" s="20">
        <v>1</v>
      </c>
      <c r="F42" s="33"/>
      <c r="G42" s="32" t="s">
        <v>912</v>
      </c>
      <c r="H42" s="20" t="s">
        <v>931</v>
      </c>
      <c r="I42" s="20">
        <v>131</v>
      </c>
      <c r="J42" s="20">
        <v>5113</v>
      </c>
      <c r="K42" s="20" t="s">
        <v>20</v>
      </c>
      <c r="L42" s="20">
        <v>1</v>
      </c>
      <c r="M42" s="33">
        <v>12903226</v>
      </c>
      <c r="N42" s="33">
        <f t="shared" si="4"/>
        <v>12903226</v>
      </c>
      <c r="O42" s="20" t="s">
        <v>21</v>
      </c>
      <c r="P42" s="20">
        <v>20</v>
      </c>
      <c r="Q42" s="20">
        <f t="shared" si="2"/>
        <v>165</v>
      </c>
    </row>
    <row r="43" spans="1:17" ht="15" customHeight="1" x14ac:dyDescent="0.2">
      <c r="A43" s="20" t="s">
        <v>18</v>
      </c>
      <c r="B43" s="109" t="s">
        <v>454</v>
      </c>
      <c r="C43" s="20">
        <f t="shared" si="3"/>
        <v>271</v>
      </c>
      <c r="D43" s="20">
        <v>0</v>
      </c>
      <c r="G43" s="32" t="s">
        <v>912</v>
      </c>
      <c r="H43" s="20" t="s">
        <v>950</v>
      </c>
      <c r="I43" s="20">
        <v>333821</v>
      </c>
      <c r="J43" s="20">
        <v>131</v>
      </c>
      <c r="K43" s="20" t="s">
        <v>20</v>
      </c>
      <c r="L43" s="20">
        <v>1</v>
      </c>
      <c r="M43" s="33">
        <v>129032</v>
      </c>
      <c r="N43" s="33">
        <f t="shared" si="4"/>
        <v>129032</v>
      </c>
      <c r="O43" s="20" t="s">
        <v>21</v>
      </c>
      <c r="P43" s="20">
        <v>20</v>
      </c>
      <c r="Q43" s="20">
        <f t="shared" si="2"/>
        <v>181</v>
      </c>
    </row>
    <row r="44" spans="1:17" ht="15" customHeight="1" x14ac:dyDescent="0.2">
      <c r="A44" s="20" t="s">
        <v>18</v>
      </c>
      <c r="B44" s="109" t="s">
        <v>589</v>
      </c>
      <c r="C44" s="20">
        <f t="shared" si="3"/>
        <v>272</v>
      </c>
      <c r="D44" s="20">
        <v>1</v>
      </c>
      <c r="F44" s="33"/>
      <c r="G44" s="32" t="s">
        <v>66</v>
      </c>
      <c r="H44" s="20" t="s">
        <v>932</v>
      </c>
      <c r="I44" s="20">
        <v>131</v>
      </c>
      <c r="J44" s="20">
        <v>5113</v>
      </c>
      <c r="K44" s="20" t="s">
        <v>20</v>
      </c>
      <c r="L44" s="20">
        <v>1</v>
      </c>
      <c r="M44" s="33">
        <v>21505376</v>
      </c>
      <c r="N44" s="33">
        <f t="shared" si="4"/>
        <v>21505376</v>
      </c>
      <c r="O44" s="20" t="s">
        <v>21</v>
      </c>
      <c r="P44" s="20">
        <v>21</v>
      </c>
      <c r="Q44" s="20">
        <f t="shared" si="2"/>
        <v>169</v>
      </c>
    </row>
    <row r="45" spans="1:17" ht="15" customHeight="1" x14ac:dyDescent="0.2">
      <c r="A45" s="20" t="s">
        <v>18</v>
      </c>
      <c r="B45" s="109" t="s">
        <v>589</v>
      </c>
      <c r="C45" s="20">
        <f t="shared" si="3"/>
        <v>272</v>
      </c>
      <c r="D45" s="20">
        <v>0</v>
      </c>
      <c r="G45" s="32" t="s">
        <v>66</v>
      </c>
      <c r="H45" s="20" t="s">
        <v>951</v>
      </c>
      <c r="I45" s="20">
        <v>333821</v>
      </c>
      <c r="J45" s="20">
        <v>131</v>
      </c>
      <c r="K45" s="20" t="s">
        <v>20</v>
      </c>
      <c r="L45" s="20">
        <v>1</v>
      </c>
      <c r="M45" s="33">
        <v>215054</v>
      </c>
      <c r="N45" s="33">
        <f t="shared" si="4"/>
        <v>215054</v>
      </c>
      <c r="O45" s="20" t="s">
        <v>21</v>
      </c>
      <c r="P45" s="20">
        <v>21</v>
      </c>
      <c r="Q45" s="20">
        <f t="shared" si="2"/>
        <v>185</v>
      </c>
    </row>
    <row r="46" spans="1:17" ht="15" customHeight="1" x14ac:dyDescent="0.2">
      <c r="A46" s="20" t="s">
        <v>18</v>
      </c>
      <c r="B46" s="109" t="s">
        <v>309</v>
      </c>
      <c r="C46" s="20">
        <f t="shared" si="3"/>
        <v>273</v>
      </c>
      <c r="D46" s="20">
        <v>1</v>
      </c>
      <c r="G46" s="32" t="s">
        <v>37</v>
      </c>
      <c r="H46" s="20" t="s">
        <v>965</v>
      </c>
      <c r="I46" s="20">
        <v>64277</v>
      </c>
      <c r="J46" s="20">
        <v>331</v>
      </c>
      <c r="K46" s="20" t="s">
        <v>20</v>
      </c>
      <c r="L46" s="20">
        <v>1</v>
      </c>
      <c r="M46" s="33">
        <v>3240000</v>
      </c>
      <c r="N46" s="33">
        <f t="shared" si="4"/>
        <v>3240000</v>
      </c>
      <c r="O46" s="20" t="s">
        <v>21</v>
      </c>
      <c r="P46" s="20">
        <f>P45+1</f>
        <v>22</v>
      </c>
      <c r="Q46" s="20">
        <f t="shared" si="2"/>
        <v>42</v>
      </c>
    </row>
    <row r="47" spans="1:17" ht="15" customHeight="1" x14ac:dyDescent="0.2">
      <c r="A47" s="20" t="s">
        <v>18</v>
      </c>
      <c r="B47" s="109" t="s">
        <v>309</v>
      </c>
      <c r="C47" s="20">
        <f t="shared" si="3"/>
        <v>274</v>
      </c>
      <c r="D47" s="20">
        <v>1</v>
      </c>
      <c r="G47" s="32" t="s">
        <v>277</v>
      </c>
      <c r="H47" s="20" t="s">
        <v>968</v>
      </c>
      <c r="I47" s="20">
        <v>6425</v>
      </c>
      <c r="J47" s="20">
        <v>331</v>
      </c>
      <c r="K47" s="20" t="s">
        <v>20</v>
      </c>
      <c r="L47" s="20">
        <v>1</v>
      </c>
      <c r="M47" s="33">
        <v>11000</v>
      </c>
      <c r="N47" s="33">
        <f t="shared" si="4"/>
        <v>11000</v>
      </c>
      <c r="O47" s="20" t="s">
        <v>21</v>
      </c>
      <c r="P47" s="20">
        <f t="shared" ref="P47:P111" si="5">P46+1</f>
        <v>23</v>
      </c>
      <c r="Q47" s="20">
        <f t="shared" si="2"/>
        <v>27</v>
      </c>
    </row>
    <row r="48" spans="1:17" ht="15" customHeight="1" x14ac:dyDescent="0.2">
      <c r="A48" s="20" t="s">
        <v>18</v>
      </c>
      <c r="B48" s="109" t="s">
        <v>312</v>
      </c>
      <c r="C48" s="20">
        <f t="shared" si="3"/>
        <v>275</v>
      </c>
      <c r="D48" s="20">
        <v>1</v>
      </c>
      <c r="G48" s="32" t="s">
        <v>277</v>
      </c>
      <c r="H48" s="20" t="s">
        <v>969</v>
      </c>
      <c r="I48" s="20">
        <v>6425</v>
      </c>
      <c r="J48" s="20">
        <v>331</v>
      </c>
      <c r="K48" s="20" t="s">
        <v>20</v>
      </c>
      <c r="L48" s="20">
        <v>1</v>
      </c>
      <c r="M48" s="33">
        <v>1081370</v>
      </c>
      <c r="N48" s="33">
        <f t="shared" si="4"/>
        <v>1081370</v>
      </c>
      <c r="O48" s="20" t="s">
        <v>21</v>
      </c>
      <c r="P48" s="20">
        <f t="shared" si="5"/>
        <v>24</v>
      </c>
      <c r="Q48" s="20">
        <f t="shared" si="2"/>
        <v>27</v>
      </c>
    </row>
    <row r="49" spans="1:17" ht="15" customHeight="1" x14ac:dyDescent="0.2">
      <c r="A49" s="20" t="s">
        <v>18</v>
      </c>
      <c r="B49" s="109" t="s">
        <v>312</v>
      </c>
      <c r="C49" s="20">
        <f t="shared" si="3"/>
        <v>276</v>
      </c>
      <c r="D49" s="20">
        <v>1</v>
      </c>
      <c r="G49" s="32" t="s">
        <v>277</v>
      </c>
      <c r="H49" s="20" t="s">
        <v>970</v>
      </c>
      <c r="I49" s="20">
        <v>6425</v>
      </c>
      <c r="J49" s="20">
        <v>331</v>
      </c>
      <c r="K49" s="20" t="s">
        <v>20</v>
      </c>
      <c r="L49" s="20">
        <v>1</v>
      </c>
      <c r="M49" s="33">
        <v>28697</v>
      </c>
      <c r="N49" s="33">
        <f t="shared" si="4"/>
        <v>28697</v>
      </c>
      <c r="O49" s="20" t="s">
        <v>21</v>
      </c>
      <c r="P49" s="20">
        <f t="shared" si="5"/>
        <v>25</v>
      </c>
      <c r="Q49" s="20">
        <f t="shared" si="2"/>
        <v>27</v>
      </c>
    </row>
    <row r="50" spans="1:17" ht="15" customHeight="1" x14ac:dyDescent="0.2">
      <c r="A50" s="20" t="s">
        <v>18</v>
      </c>
      <c r="B50" s="109" t="s">
        <v>316</v>
      </c>
      <c r="C50" s="20">
        <f t="shared" si="3"/>
        <v>277</v>
      </c>
      <c r="D50" s="20">
        <v>1</v>
      </c>
      <c r="G50" s="32" t="s">
        <v>37</v>
      </c>
      <c r="H50" s="20" t="s">
        <v>966</v>
      </c>
      <c r="I50" s="20">
        <v>64277</v>
      </c>
      <c r="J50" s="20">
        <v>331</v>
      </c>
      <c r="K50" s="20" t="s">
        <v>20</v>
      </c>
      <c r="L50" s="20">
        <v>1</v>
      </c>
      <c r="M50" s="33">
        <v>3240000</v>
      </c>
      <c r="N50" s="33">
        <f t="shared" si="4"/>
        <v>3240000</v>
      </c>
      <c r="O50" s="20" t="s">
        <v>21</v>
      </c>
      <c r="P50" s="20">
        <f t="shared" si="5"/>
        <v>26</v>
      </c>
      <c r="Q50" s="20">
        <f t="shared" si="2"/>
        <v>42</v>
      </c>
    </row>
    <row r="51" spans="1:17" ht="15" customHeight="1" x14ac:dyDescent="0.2">
      <c r="A51" s="20" t="s">
        <v>18</v>
      </c>
      <c r="B51" s="109" t="s">
        <v>602</v>
      </c>
      <c r="C51" s="20">
        <f t="shared" si="3"/>
        <v>278</v>
      </c>
      <c r="D51" s="20">
        <v>1</v>
      </c>
      <c r="G51" s="32" t="s">
        <v>277</v>
      </c>
      <c r="H51" s="20" t="s">
        <v>971</v>
      </c>
      <c r="I51" s="20">
        <v>6425</v>
      </c>
      <c r="J51" s="20">
        <v>331</v>
      </c>
      <c r="K51" s="20" t="s">
        <v>20</v>
      </c>
      <c r="L51" s="20">
        <v>1</v>
      </c>
      <c r="M51" s="33">
        <v>7150</v>
      </c>
      <c r="N51" s="33">
        <f t="shared" si="4"/>
        <v>7150</v>
      </c>
      <c r="O51" s="20" t="s">
        <v>21</v>
      </c>
      <c r="P51" s="20">
        <f t="shared" si="5"/>
        <v>27</v>
      </c>
      <c r="Q51" s="20">
        <f t="shared" si="2"/>
        <v>27</v>
      </c>
    </row>
    <row r="52" spans="1:17" ht="15" customHeight="1" x14ac:dyDescent="0.2">
      <c r="A52" s="20" t="s">
        <v>18</v>
      </c>
      <c r="B52" s="109" t="s">
        <v>523</v>
      </c>
      <c r="C52" s="20">
        <f t="shared" si="3"/>
        <v>279</v>
      </c>
      <c r="D52" s="20">
        <v>1</v>
      </c>
      <c r="G52" s="32" t="s">
        <v>41</v>
      </c>
      <c r="H52" s="20" t="s">
        <v>972</v>
      </c>
      <c r="I52" s="20">
        <v>64277</v>
      </c>
      <c r="J52" s="20">
        <v>331</v>
      </c>
      <c r="K52" s="20" t="s">
        <v>20</v>
      </c>
      <c r="L52" s="20">
        <v>1</v>
      </c>
      <c r="M52" s="33">
        <v>2235600</v>
      </c>
      <c r="N52" s="33">
        <f t="shared" si="4"/>
        <v>2235600</v>
      </c>
      <c r="O52" s="20" t="s">
        <v>21</v>
      </c>
      <c r="P52" s="20">
        <f t="shared" si="5"/>
        <v>28</v>
      </c>
      <c r="Q52" s="20">
        <f t="shared" si="2"/>
        <v>44</v>
      </c>
    </row>
    <row r="53" spans="1:17" ht="15" customHeight="1" x14ac:dyDescent="0.2">
      <c r="A53" s="20" t="s">
        <v>18</v>
      </c>
      <c r="B53" s="109" t="s">
        <v>456</v>
      </c>
      <c r="C53" s="20">
        <f t="shared" si="3"/>
        <v>280</v>
      </c>
      <c r="D53" s="20">
        <v>1</v>
      </c>
      <c r="G53" s="32" t="s">
        <v>37</v>
      </c>
      <c r="H53" s="20" t="s">
        <v>967</v>
      </c>
      <c r="I53" s="20">
        <v>64277</v>
      </c>
      <c r="J53" s="20">
        <v>331</v>
      </c>
      <c r="K53" s="20" t="s">
        <v>20</v>
      </c>
      <c r="L53" s="20">
        <v>1</v>
      </c>
      <c r="M53" s="33">
        <v>3240000</v>
      </c>
      <c r="N53" s="33">
        <f t="shared" si="4"/>
        <v>3240000</v>
      </c>
      <c r="O53" s="20" t="s">
        <v>21</v>
      </c>
      <c r="P53" s="20">
        <f t="shared" si="5"/>
        <v>29</v>
      </c>
      <c r="Q53" s="20">
        <f t="shared" si="2"/>
        <v>42</v>
      </c>
    </row>
    <row r="54" spans="1:17" ht="15" customHeight="1" x14ac:dyDescent="0.2">
      <c r="A54" s="20" t="s">
        <v>18</v>
      </c>
      <c r="B54" s="109" t="s">
        <v>380</v>
      </c>
      <c r="C54" s="20">
        <f t="shared" si="3"/>
        <v>281</v>
      </c>
      <c r="D54" s="20">
        <v>1</v>
      </c>
      <c r="G54" s="32" t="s">
        <v>120</v>
      </c>
      <c r="H54" s="20" t="s">
        <v>974</v>
      </c>
      <c r="I54" s="20">
        <v>64277</v>
      </c>
      <c r="J54" s="20">
        <v>331</v>
      </c>
      <c r="K54" s="20" t="s">
        <v>20</v>
      </c>
      <c r="L54" s="20">
        <v>1</v>
      </c>
      <c r="M54" s="33">
        <v>12710425</v>
      </c>
      <c r="N54" s="33">
        <f t="shared" si="4"/>
        <v>12710425</v>
      </c>
      <c r="O54" s="20" t="s">
        <v>21</v>
      </c>
      <c r="P54" s="20">
        <f t="shared" si="5"/>
        <v>30</v>
      </c>
      <c r="Q54" s="20">
        <f t="shared" si="2"/>
        <v>39</v>
      </c>
    </row>
    <row r="55" spans="1:17" ht="15" customHeight="1" x14ac:dyDescent="0.2">
      <c r="A55" s="20" t="s">
        <v>18</v>
      </c>
      <c r="B55" s="109" t="s">
        <v>381</v>
      </c>
      <c r="C55" s="20">
        <f t="shared" si="3"/>
        <v>282</v>
      </c>
      <c r="D55" s="20">
        <v>1</v>
      </c>
      <c r="G55" s="32" t="s">
        <v>41</v>
      </c>
      <c r="H55" s="20" t="s">
        <v>973</v>
      </c>
      <c r="I55" s="20">
        <v>64277</v>
      </c>
      <c r="J55" s="20">
        <v>331</v>
      </c>
      <c r="K55" s="20" t="s">
        <v>20</v>
      </c>
      <c r="L55" s="20">
        <v>1</v>
      </c>
      <c r="M55" s="33">
        <v>4199040</v>
      </c>
      <c r="N55" s="33">
        <f t="shared" si="4"/>
        <v>4199040</v>
      </c>
      <c r="O55" s="20" t="s">
        <v>21</v>
      </c>
      <c r="P55" s="20">
        <f t="shared" si="5"/>
        <v>31</v>
      </c>
      <c r="Q55" s="20">
        <f t="shared" si="2"/>
        <v>44</v>
      </c>
    </row>
    <row r="56" spans="1:17" ht="15" customHeight="1" x14ac:dyDescent="0.2">
      <c r="A56" s="20" t="s">
        <v>18</v>
      </c>
      <c r="B56" s="63">
        <v>46018</v>
      </c>
      <c r="C56" s="20">
        <f t="shared" ref="C56:C57" si="6">C55+D56</f>
        <v>283</v>
      </c>
      <c r="D56" s="20">
        <v>1</v>
      </c>
      <c r="G56" s="32" t="s">
        <v>277</v>
      </c>
      <c r="H56" s="20" t="s">
        <v>4837</v>
      </c>
      <c r="I56" s="20">
        <v>6425</v>
      </c>
      <c r="J56" s="20">
        <v>331</v>
      </c>
      <c r="K56" s="20" t="s">
        <v>20</v>
      </c>
      <c r="L56" s="20">
        <v>1</v>
      </c>
      <c r="M56" s="33">
        <v>28732</v>
      </c>
      <c r="N56" s="33">
        <f t="shared" ref="N56:N122" si="7">L56*M56</f>
        <v>28732</v>
      </c>
      <c r="O56" s="20" t="s">
        <v>21</v>
      </c>
      <c r="P56" s="20">
        <f t="shared" si="5"/>
        <v>32</v>
      </c>
      <c r="Q56" s="20">
        <f t="shared" si="2"/>
        <v>27</v>
      </c>
    </row>
    <row r="57" spans="1:17" ht="15" customHeight="1" x14ac:dyDescent="0.2">
      <c r="A57" s="20" t="s">
        <v>2678</v>
      </c>
      <c r="B57" s="63">
        <v>45936</v>
      </c>
      <c r="C57" s="20">
        <f t="shared" si="6"/>
        <v>284</v>
      </c>
      <c r="D57" s="20">
        <v>1</v>
      </c>
      <c r="G57" s="32" t="s">
        <v>2717</v>
      </c>
      <c r="H57" s="20" t="s">
        <v>4879</v>
      </c>
      <c r="I57" s="20">
        <v>333822</v>
      </c>
      <c r="J57" s="20">
        <v>112111</v>
      </c>
      <c r="K57" s="20" t="s">
        <v>20</v>
      </c>
      <c r="L57" s="20">
        <v>1</v>
      </c>
      <c r="M57" s="33">
        <v>1860000</v>
      </c>
      <c r="N57" s="33">
        <f t="shared" ref="N57" si="8">L57*M57</f>
        <v>1860000</v>
      </c>
      <c r="O57" s="20" t="s">
        <v>21</v>
      </c>
      <c r="P57" s="20">
        <f t="shared" si="5"/>
        <v>33</v>
      </c>
      <c r="Q57" s="20">
        <f t="shared" si="2"/>
        <v>39</v>
      </c>
    </row>
    <row r="58" spans="1:17" ht="15" customHeight="1" x14ac:dyDescent="0.2">
      <c r="A58" s="20" t="s">
        <v>2678</v>
      </c>
      <c r="B58" s="63">
        <v>45936</v>
      </c>
      <c r="C58" s="20">
        <f t="shared" ref="C58:C93" si="9">C57+D58</f>
        <v>285</v>
      </c>
      <c r="D58" s="20">
        <v>1</v>
      </c>
      <c r="G58" s="32" t="s">
        <v>134</v>
      </c>
      <c r="H58" s="20" t="s">
        <v>3017</v>
      </c>
      <c r="I58" s="20">
        <v>1111</v>
      </c>
      <c r="J58" s="20">
        <v>112111</v>
      </c>
      <c r="K58" s="20" t="s">
        <v>20</v>
      </c>
      <c r="L58" s="20">
        <v>1</v>
      </c>
      <c r="M58" s="33">
        <v>30000000</v>
      </c>
      <c r="N58" s="33">
        <f t="shared" si="7"/>
        <v>30000000</v>
      </c>
      <c r="O58" s="20" t="s">
        <v>21</v>
      </c>
      <c r="P58" s="20">
        <f t="shared" si="5"/>
        <v>34</v>
      </c>
      <c r="Q58" s="20">
        <f t="shared" si="2"/>
        <v>40</v>
      </c>
    </row>
    <row r="59" spans="1:17" ht="15" customHeight="1" x14ac:dyDescent="0.2">
      <c r="A59" s="20" t="s">
        <v>2679</v>
      </c>
      <c r="B59" s="63">
        <v>45937</v>
      </c>
      <c r="C59" s="20">
        <f t="shared" si="9"/>
        <v>286</v>
      </c>
      <c r="D59" s="20">
        <v>1</v>
      </c>
      <c r="G59" s="32" t="s">
        <v>85</v>
      </c>
      <c r="H59" s="20" t="s">
        <v>4839</v>
      </c>
      <c r="I59" s="20">
        <v>112111</v>
      </c>
      <c r="J59" s="20">
        <v>131</v>
      </c>
      <c r="K59" s="20" t="s">
        <v>20</v>
      </c>
      <c r="L59" s="20">
        <v>1</v>
      </c>
      <c r="M59" s="33">
        <v>21290322</v>
      </c>
      <c r="N59" s="33">
        <f t="shared" si="7"/>
        <v>21290322</v>
      </c>
      <c r="O59" s="20" t="s">
        <v>21</v>
      </c>
      <c r="P59" s="20">
        <f t="shared" si="5"/>
        <v>35</v>
      </c>
      <c r="Q59" s="20">
        <f t="shared" si="2"/>
        <v>128</v>
      </c>
    </row>
    <row r="60" spans="1:17" ht="15" customHeight="1" x14ac:dyDescent="0.2">
      <c r="A60" s="20" t="s">
        <v>2678</v>
      </c>
      <c r="B60" s="63">
        <v>45940</v>
      </c>
      <c r="C60" s="20">
        <f t="shared" si="9"/>
        <v>287</v>
      </c>
      <c r="D60" s="20">
        <v>1</v>
      </c>
      <c r="G60" s="32" t="s">
        <v>134</v>
      </c>
      <c r="H60" s="20" t="s">
        <v>3017</v>
      </c>
      <c r="I60" s="20">
        <v>1111</v>
      </c>
      <c r="J60" s="20">
        <v>112111</v>
      </c>
      <c r="K60" s="20" t="s">
        <v>20</v>
      </c>
      <c r="L60" s="20">
        <v>1</v>
      </c>
      <c r="M60" s="33">
        <v>100000000</v>
      </c>
      <c r="N60" s="33">
        <f t="shared" si="7"/>
        <v>100000000</v>
      </c>
      <c r="O60" s="20" t="s">
        <v>21</v>
      </c>
      <c r="P60" s="20">
        <f t="shared" si="5"/>
        <v>36</v>
      </c>
      <c r="Q60" s="20">
        <f t="shared" si="2"/>
        <v>40</v>
      </c>
    </row>
    <row r="61" spans="1:17" ht="15" customHeight="1" x14ac:dyDescent="0.2">
      <c r="A61" s="20" t="s">
        <v>2679</v>
      </c>
      <c r="B61" s="63">
        <v>45940</v>
      </c>
      <c r="C61" s="20">
        <f t="shared" si="9"/>
        <v>288</v>
      </c>
      <c r="D61" s="20">
        <v>1</v>
      </c>
      <c r="G61" s="32" t="s">
        <v>90</v>
      </c>
      <c r="H61" s="20" t="s">
        <v>4838</v>
      </c>
      <c r="I61" s="20">
        <v>112111</v>
      </c>
      <c r="J61" s="20">
        <v>131</v>
      </c>
      <c r="K61" s="20" t="s">
        <v>20</v>
      </c>
      <c r="L61" s="20">
        <v>1</v>
      </c>
      <c r="M61" s="33">
        <v>21290322</v>
      </c>
      <c r="N61" s="33">
        <f t="shared" si="7"/>
        <v>21290322</v>
      </c>
      <c r="O61" s="20" t="s">
        <v>21</v>
      </c>
      <c r="P61" s="20">
        <f t="shared" si="5"/>
        <v>37</v>
      </c>
      <c r="Q61" s="20">
        <f t="shared" si="2"/>
        <v>163</v>
      </c>
    </row>
    <row r="62" spans="1:17" ht="15" customHeight="1" x14ac:dyDescent="0.2">
      <c r="A62" s="20" t="s">
        <v>2678</v>
      </c>
      <c r="B62" s="63">
        <v>45943</v>
      </c>
      <c r="C62" s="20">
        <f t="shared" si="9"/>
        <v>289</v>
      </c>
      <c r="D62" s="20">
        <v>1</v>
      </c>
      <c r="G62" s="32" t="s">
        <v>134</v>
      </c>
      <c r="H62" s="20" t="s">
        <v>3017</v>
      </c>
      <c r="I62" s="20">
        <v>1111</v>
      </c>
      <c r="J62" s="20">
        <v>112111</v>
      </c>
      <c r="K62" s="20" t="s">
        <v>20</v>
      </c>
      <c r="L62" s="20">
        <v>1</v>
      </c>
      <c r="M62" s="33">
        <v>20000000</v>
      </c>
      <c r="N62" s="33">
        <f t="shared" si="7"/>
        <v>20000000</v>
      </c>
      <c r="O62" s="20" t="s">
        <v>21</v>
      </c>
      <c r="P62" s="20">
        <f t="shared" si="5"/>
        <v>38</v>
      </c>
      <c r="Q62" s="20">
        <f t="shared" si="2"/>
        <v>40</v>
      </c>
    </row>
    <row r="63" spans="1:17" ht="15" customHeight="1" x14ac:dyDescent="0.2">
      <c r="A63" s="20" t="s">
        <v>2679</v>
      </c>
      <c r="B63" s="63">
        <v>45943</v>
      </c>
      <c r="C63" s="20">
        <f t="shared" si="9"/>
        <v>290</v>
      </c>
      <c r="D63" s="20">
        <v>1</v>
      </c>
      <c r="G63" s="32" t="s">
        <v>127</v>
      </c>
      <c r="H63" s="20" t="s">
        <v>4840</v>
      </c>
      <c r="I63" s="20">
        <v>112111</v>
      </c>
      <c r="J63" s="20">
        <v>131</v>
      </c>
      <c r="K63" s="20" t="s">
        <v>20</v>
      </c>
      <c r="L63" s="20">
        <v>1</v>
      </c>
      <c r="M63" s="33">
        <v>18629032</v>
      </c>
      <c r="N63" s="33">
        <f t="shared" si="7"/>
        <v>18629032</v>
      </c>
      <c r="O63" s="20" t="s">
        <v>21</v>
      </c>
      <c r="P63" s="20">
        <f t="shared" si="5"/>
        <v>39</v>
      </c>
      <c r="Q63" s="20">
        <f t="shared" si="2"/>
        <v>152</v>
      </c>
    </row>
    <row r="64" spans="1:17" ht="15" customHeight="1" x14ac:dyDescent="0.2">
      <c r="A64" s="20" t="s">
        <v>2679</v>
      </c>
      <c r="B64" s="63">
        <v>45946</v>
      </c>
      <c r="C64" s="20">
        <f t="shared" si="9"/>
        <v>291</v>
      </c>
      <c r="D64" s="20">
        <v>1</v>
      </c>
      <c r="G64" s="32" t="s">
        <v>910</v>
      </c>
      <c r="H64" s="20" t="s">
        <v>4844</v>
      </c>
      <c r="I64" s="20">
        <v>112111</v>
      </c>
      <c r="J64" s="20">
        <v>131</v>
      </c>
      <c r="K64" s="20" t="s">
        <v>20</v>
      </c>
      <c r="L64" s="20">
        <v>1</v>
      </c>
      <c r="M64" s="33">
        <v>12774194</v>
      </c>
      <c r="N64" s="33">
        <f t="shared" si="7"/>
        <v>12774194</v>
      </c>
      <c r="O64" s="20" t="s">
        <v>21</v>
      </c>
      <c r="P64" s="20">
        <f t="shared" si="5"/>
        <v>40</v>
      </c>
      <c r="Q64" s="20">
        <f t="shared" si="2"/>
        <v>152</v>
      </c>
    </row>
    <row r="65" spans="1:17" ht="15" customHeight="1" x14ac:dyDescent="0.2">
      <c r="A65" s="20" t="s">
        <v>2679</v>
      </c>
      <c r="B65" s="63">
        <v>45948</v>
      </c>
      <c r="C65" s="20">
        <f t="shared" si="9"/>
        <v>292</v>
      </c>
      <c r="D65" s="20">
        <v>1</v>
      </c>
      <c r="G65" s="32" t="s">
        <v>4796</v>
      </c>
      <c r="H65" s="20" t="s">
        <v>2687</v>
      </c>
      <c r="I65" s="20">
        <v>112111</v>
      </c>
      <c r="J65" s="20">
        <v>5154</v>
      </c>
      <c r="K65" s="20" t="s">
        <v>20</v>
      </c>
      <c r="L65" s="20">
        <v>1</v>
      </c>
      <c r="M65" s="33">
        <v>5085</v>
      </c>
      <c r="N65" s="33">
        <f t="shared" si="7"/>
        <v>5085</v>
      </c>
      <c r="O65" s="20" t="s">
        <v>21</v>
      </c>
      <c r="P65" s="20">
        <f t="shared" si="5"/>
        <v>41</v>
      </c>
      <c r="Q65" s="20">
        <f t="shared" si="2"/>
        <v>12</v>
      </c>
    </row>
    <row r="66" spans="1:17" ht="15" customHeight="1" x14ac:dyDescent="0.2">
      <c r="A66" s="20" t="s">
        <v>2679</v>
      </c>
      <c r="B66" s="63">
        <v>45951</v>
      </c>
      <c r="C66" s="20">
        <f t="shared" si="9"/>
        <v>293</v>
      </c>
      <c r="D66" s="20">
        <v>1</v>
      </c>
      <c r="G66" s="32" t="s">
        <v>911</v>
      </c>
      <c r="H66" s="20" t="s">
        <v>4861</v>
      </c>
      <c r="I66" s="20">
        <v>112111</v>
      </c>
      <c r="J66" s="20">
        <v>131</v>
      </c>
      <c r="K66" s="20" t="s">
        <v>20</v>
      </c>
      <c r="L66" s="20">
        <v>1</v>
      </c>
      <c r="M66" s="33">
        <v>21290322</v>
      </c>
      <c r="N66" s="33">
        <f t="shared" si="7"/>
        <v>21290322</v>
      </c>
      <c r="O66" s="20" t="s">
        <v>21</v>
      </c>
      <c r="P66" s="20">
        <f t="shared" si="5"/>
        <v>42</v>
      </c>
      <c r="Q66" s="20">
        <f t="shared" si="2"/>
        <v>164</v>
      </c>
    </row>
    <row r="67" spans="1:17" ht="15" customHeight="1" x14ac:dyDescent="0.2">
      <c r="A67" s="20" t="s">
        <v>2679</v>
      </c>
      <c r="B67" s="63">
        <v>45951</v>
      </c>
      <c r="C67" s="20">
        <f t="shared" si="9"/>
        <v>294</v>
      </c>
      <c r="D67" s="20">
        <v>1</v>
      </c>
      <c r="G67" s="32" t="s">
        <v>132</v>
      </c>
      <c r="H67" s="20" t="s">
        <v>4845</v>
      </c>
      <c r="I67" s="20">
        <v>112111</v>
      </c>
      <c r="J67" s="20">
        <v>131</v>
      </c>
      <c r="K67" s="20" t="s">
        <v>20</v>
      </c>
      <c r="L67" s="20">
        <v>1</v>
      </c>
      <c r="M67" s="33">
        <v>12774194</v>
      </c>
      <c r="N67" s="33">
        <f t="shared" si="7"/>
        <v>12774194</v>
      </c>
      <c r="O67" s="20" t="s">
        <v>21</v>
      </c>
      <c r="P67" s="20">
        <f t="shared" si="5"/>
        <v>43</v>
      </c>
      <c r="Q67" s="20">
        <f t="shared" si="2"/>
        <v>165</v>
      </c>
    </row>
    <row r="68" spans="1:17" ht="15" customHeight="1" x14ac:dyDescent="0.2">
      <c r="A68" s="20" t="s">
        <v>2678</v>
      </c>
      <c r="B68" s="63">
        <v>45952</v>
      </c>
      <c r="C68" s="20">
        <f t="shared" si="9"/>
        <v>295</v>
      </c>
      <c r="D68" s="20">
        <v>1</v>
      </c>
      <c r="G68" s="32" t="s">
        <v>2717</v>
      </c>
      <c r="H68" s="20" t="s">
        <v>3290</v>
      </c>
      <c r="I68" s="20">
        <v>333821</v>
      </c>
      <c r="J68" s="20">
        <v>112111</v>
      </c>
      <c r="K68" s="20" t="s">
        <v>20</v>
      </c>
      <c r="L68" s="20">
        <v>1</v>
      </c>
      <c r="M68" s="33">
        <v>42787419</v>
      </c>
      <c r="N68" s="33">
        <f t="shared" si="7"/>
        <v>42787419</v>
      </c>
      <c r="O68" s="20" t="s">
        <v>21</v>
      </c>
      <c r="P68" s="20">
        <f t="shared" si="5"/>
        <v>44</v>
      </c>
      <c r="Q68" s="20">
        <f t="shared" ref="Q68:Q133" si="10">LEN(H68)</f>
        <v>31</v>
      </c>
    </row>
    <row r="69" spans="1:17" ht="15" customHeight="1" x14ac:dyDescent="0.2">
      <c r="A69" s="20" t="s">
        <v>2679</v>
      </c>
      <c r="B69" s="63">
        <v>45952</v>
      </c>
      <c r="C69" s="20">
        <f t="shared" si="9"/>
        <v>296</v>
      </c>
      <c r="D69" s="20">
        <v>1</v>
      </c>
      <c r="G69" s="32" t="s">
        <v>117</v>
      </c>
      <c r="H69" s="20" t="s">
        <v>4842</v>
      </c>
      <c r="I69" s="20">
        <v>112111</v>
      </c>
      <c r="J69" s="20">
        <v>131</v>
      </c>
      <c r="K69" s="20" t="s">
        <v>20</v>
      </c>
      <c r="L69" s="20">
        <v>1</v>
      </c>
      <c r="M69" s="33">
        <v>21290322</v>
      </c>
      <c r="N69" s="33">
        <f t="shared" si="7"/>
        <v>21290322</v>
      </c>
      <c r="O69" s="20" t="s">
        <v>21</v>
      </c>
      <c r="P69" s="20">
        <f t="shared" si="5"/>
        <v>45</v>
      </c>
      <c r="Q69" s="20">
        <f t="shared" si="10"/>
        <v>169</v>
      </c>
    </row>
    <row r="70" spans="1:17" ht="15" customHeight="1" x14ac:dyDescent="0.2">
      <c r="A70" s="20" t="s">
        <v>2679</v>
      </c>
      <c r="B70" s="63">
        <v>45952</v>
      </c>
      <c r="C70" s="20">
        <f t="shared" si="9"/>
        <v>297</v>
      </c>
      <c r="D70" s="20">
        <v>1</v>
      </c>
      <c r="G70" s="32" t="s">
        <v>117</v>
      </c>
      <c r="H70" s="20" t="s">
        <v>4843</v>
      </c>
      <c r="I70" s="20">
        <v>112111</v>
      </c>
      <c r="J70" s="20">
        <v>131</v>
      </c>
      <c r="K70" s="20" t="s">
        <v>20</v>
      </c>
      <c r="L70" s="20">
        <v>1</v>
      </c>
      <c r="M70" s="33">
        <v>21290322</v>
      </c>
      <c r="N70" s="33">
        <f t="shared" si="7"/>
        <v>21290322</v>
      </c>
      <c r="O70" s="20" t="s">
        <v>21</v>
      </c>
      <c r="P70" s="20">
        <f t="shared" si="5"/>
        <v>46</v>
      </c>
      <c r="Q70" s="20">
        <f t="shared" si="10"/>
        <v>169</v>
      </c>
    </row>
    <row r="71" spans="1:17" ht="15" customHeight="1" x14ac:dyDescent="0.2">
      <c r="A71" s="20" t="s">
        <v>2678</v>
      </c>
      <c r="B71" s="63">
        <v>45955</v>
      </c>
      <c r="C71" s="20">
        <f t="shared" si="9"/>
        <v>298</v>
      </c>
      <c r="D71" s="20">
        <v>1</v>
      </c>
      <c r="G71" s="32" t="s">
        <v>134</v>
      </c>
      <c r="H71" s="20" t="s">
        <v>3017</v>
      </c>
      <c r="I71" s="20">
        <v>1111</v>
      </c>
      <c r="J71" s="20">
        <v>112111</v>
      </c>
      <c r="K71" s="20" t="s">
        <v>20</v>
      </c>
      <c r="L71" s="20">
        <v>1</v>
      </c>
      <c r="M71" s="33">
        <v>100000000</v>
      </c>
      <c r="N71" s="33">
        <f t="shared" si="7"/>
        <v>100000000</v>
      </c>
      <c r="O71" s="20" t="s">
        <v>21</v>
      </c>
      <c r="P71" s="20">
        <f t="shared" si="5"/>
        <v>47</v>
      </c>
      <c r="Q71" s="20">
        <f t="shared" si="10"/>
        <v>40</v>
      </c>
    </row>
    <row r="72" spans="1:17" ht="15" customHeight="1" x14ac:dyDescent="0.2">
      <c r="A72" s="20" t="s">
        <v>18</v>
      </c>
      <c r="B72" s="63">
        <v>45955</v>
      </c>
      <c r="C72" s="20">
        <f t="shared" ref="C72:C75" si="11">C71+D72</f>
        <v>299</v>
      </c>
      <c r="D72" s="20">
        <v>1</v>
      </c>
      <c r="G72" s="32" t="s">
        <v>43</v>
      </c>
      <c r="H72" s="20" t="s">
        <v>3004</v>
      </c>
      <c r="I72" s="20">
        <v>131</v>
      </c>
      <c r="J72" s="20">
        <v>5118</v>
      </c>
      <c r="K72" s="20" t="s">
        <v>20</v>
      </c>
      <c r="L72" s="20">
        <v>1</v>
      </c>
      <c r="M72" s="33">
        <v>21655531</v>
      </c>
      <c r="N72" s="33">
        <f t="shared" si="7"/>
        <v>21655531</v>
      </c>
      <c r="O72" s="20" t="s">
        <v>21</v>
      </c>
      <c r="P72" s="20">
        <f t="shared" si="5"/>
        <v>48</v>
      </c>
      <c r="Q72" s="20">
        <f t="shared" si="10"/>
        <v>43</v>
      </c>
    </row>
    <row r="73" spans="1:17" ht="15" customHeight="1" x14ac:dyDescent="0.2">
      <c r="A73" s="20" t="s">
        <v>2679</v>
      </c>
      <c r="B73" s="63">
        <v>45955</v>
      </c>
      <c r="C73" s="20">
        <f t="shared" si="11"/>
        <v>300</v>
      </c>
      <c r="D73" s="20">
        <v>1</v>
      </c>
      <c r="G73" s="32" t="s">
        <v>43</v>
      </c>
      <c r="H73" s="20" t="s">
        <v>3005</v>
      </c>
      <c r="I73" s="20">
        <v>112111</v>
      </c>
      <c r="J73" s="20">
        <v>131</v>
      </c>
      <c r="K73" s="20" t="s">
        <v>20</v>
      </c>
      <c r="L73" s="20">
        <v>1</v>
      </c>
      <c r="M73" s="33">
        <v>21655531</v>
      </c>
      <c r="N73" s="33">
        <f t="shared" si="7"/>
        <v>21655531</v>
      </c>
      <c r="O73" s="20" t="s">
        <v>21</v>
      </c>
      <c r="P73" s="20">
        <f t="shared" si="5"/>
        <v>49</v>
      </c>
      <c r="Q73" s="20">
        <f t="shared" si="10"/>
        <v>48</v>
      </c>
    </row>
    <row r="74" spans="1:17" ht="15" customHeight="1" x14ac:dyDescent="0.2">
      <c r="A74" s="20" t="s">
        <v>18</v>
      </c>
      <c r="B74" s="63">
        <v>45955</v>
      </c>
      <c r="C74" s="20">
        <f t="shared" si="11"/>
        <v>301</v>
      </c>
      <c r="D74" s="20">
        <v>1</v>
      </c>
      <c r="G74" s="32" t="s">
        <v>43</v>
      </c>
      <c r="H74" s="20" t="s">
        <v>3004</v>
      </c>
      <c r="I74" s="20">
        <v>131</v>
      </c>
      <c r="J74" s="20">
        <v>5118</v>
      </c>
      <c r="K74" s="20" t="s">
        <v>20</v>
      </c>
      <c r="L74" s="20">
        <v>1</v>
      </c>
      <c r="M74" s="33">
        <v>13150131</v>
      </c>
      <c r="N74" s="33">
        <f t="shared" si="7"/>
        <v>13150131</v>
      </c>
      <c r="O74" s="20" t="s">
        <v>21</v>
      </c>
      <c r="P74" s="20">
        <f t="shared" si="5"/>
        <v>50</v>
      </c>
      <c r="Q74" s="20">
        <f t="shared" si="10"/>
        <v>43</v>
      </c>
    </row>
    <row r="75" spans="1:17" ht="15" customHeight="1" x14ac:dyDescent="0.2">
      <c r="A75" s="20" t="s">
        <v>2679</v>
      </c>
      <c r="B75" s="63">
        <v>45955</v>
      </c>
      <c r="C75" s="20">
        <f t="shared" si="11"/>
        <v>302</v>
      </c>
      <c r="D75" s="20">
        <v>1</v>
      </c>
      <c r="G75" s="32" t="s">
        <v>43</v>
      </c>
      <c r="H75" s="20" t="s">
        <v>3005</v>
      </c>
      <c r="I75" s="20">
        <v>112111</v>
      </c>
      <c r="J75" s="20">
        <v>131</v>
      </c>
      <c r="K75" s="20" t="s">
        <v>20</v>
      </c>
      <c r="L75" s="20">
        <v>1</v>
      </c>
      <c r="M75" s="33">
        <v>13150131</v>
      </c>
      <c r="N75" s="33">
        <f t="shared" si="7"/>
        <v>13150131</v>
      </c>
      <c r="O75" s="20" t="s">
        <v>21</v>
      </c>
      <c r="P75" s="20">
        <f t="shared" si="5"/>
        <v>51</v>
      </c>
      <c r="Q75" s="20">
        <f t="shared" si="10"/>
        <v>48</v>
      </c>
    </row>
    <row r="76" spans="1:17" ht="15" customHeight="1" x14ac:dyDescent="0.2">
      <c r="A76" s="20" t="s">
        <v>2678</v>
      </c>
      <c r="B76" s="63">
        <v>45957</v>
      </c>
      <c r="C76" s="20">
        <f t="shared" si="9"/>
        <v>303</v>
      </c>
      <c r="D76" s="20">
        <v>1</v>
      </c>
      <c r="G76" s="32" t="s">
        <v>134</v>
      </c>
      <c r="H76" s="20" t="s">
        <v>3017</v>
      </c>
      <c r="I76" s="20">
        <v>1111</v>
      </c>
      <c r="J76" s="20">
        <v>112111</v>
      </c>
      <c r="K76" s="20" t="s">
        <v>20</v>
      </c>
      <c r="L76" s="20">
        <v>1</v>
      </c>
      <c r="M76" s="33">
        <v>20000000</v>
      </c>
      <c r="N76" s="33">
        <f t="shared" si="7"/>
        <v>20000000</v>
      </c>
      <c r="O76" s="20" t="s">
        <v>21</v>
      </c>
      <c r="P76" s="20">
        <f t="shared" si="5"/>
        <v>52</v>
      </c>
      <c r="Q76" s="20">
        <f t="shared" si="10"/>
        <v>40</v>
      </c>
    </row>
    <row r="77" spans="1:17" ht="15" customHeight="1" x14ac:dyDescent="0.2">
      <c r="A77" s="20" t="s">
        <v>18</v>
      </c>
      <c r="B77" s="63">
        <v>45961</v>
      </c>
      <c r="C77" s="20">
        <f t="shared" ref="C77:C78" si="12">C76+D77</f>
        <v>304</v>
      </c>
      <c r="D77" s="20">
        <v>1</v>
      </c>
      <c r="G77" s="32" t="s">
        <v>2717</v>
      </c>
      <c r="H77" s="20" t="s">
        <v>4849</v>
      </c>
      <c r="I77" s="20">
        <v>6425</v>
      </c>
      <c r="J77" s="20">
        <v>333822</v>
      </c>
      <c r="K77" s="20" t="s">
        <v>20</v>
      </c>
      <c r="L77" s="20">
        <v>1</v>
      </c>
      <c r="M77" s="33">
        <v>2112000</v>
      </c>
      <c r="N77" s="33">
        <f t="shared" si="7"/>
        <v>2112000</v>
      </c>
      <c r="O77" s="20" t="s">
        <v>21</v>
      </c>
      <c r="P77" s="20">
        <f t="shared" si="5"/>
        <v>53</v>
      </c>
      <c r="Q77" s="20">
        <f t="shared" si="10"/>
        <v>24</v>
      </c>
    </row>
    <row r="78" spans="1:17" ht="15" customHeight="1" x14ac:dyDescent="0.2">
      <c r="A78" s="20" t="s">
        <v>2678</v>
      </c>
      <c r="B78" s="63">
        <v>45961</v>
      </c>
      <c r="C78" s="20">
        <f t="shared" si="12"/>
        <v>305</v>
      </c>
      <c r="D78" s="20">
        <v>1</v>
      </c>
      <c r="G78" s="32" t="s">
        <v>2717</v>
      </c>
      <c r="H78" s="20" t="s">
        <v>3529</v>
      </c>
      <c r="I78" s="20">
        <v>333822</v>
      </c>
      <c r="J78" s="20">
        <v>112111</v>
      </c>
      <c r="K78" s="20" t="s">
        <v>20</v>
      </c>
      <c r="L78" s="20">
        <v>1</v>
      </c>
      <c r="M78" s="33">
        <v>2112000</v>
      </c>
      <c r="N78" s="33">
        <f t="shared" si="7"/>
        <v>2112000</v>
      </c>
      <c r="O78" s="20" t="s">
        <v>21</v>
      </c>
      <c r="P78" s="20">
        <f t="shared" si="5"/>
        <v>54</v>
      </c>
      <c r="Q78" s="20">
        <f t="shared" si="10"/>
        <v>28</v>
      </c>
    </row>
    <row r="79" spans="1:17" ht="15" customHeight="1" x14ac:dyDescent="0.2">
      <c r="A79" s="20" t="s">
        <v>2678</v>
      </c>
      <c r="B79" s="63">
        <v>45961</v>
      </c>
      <c r="C79" s="20">
        <f t="shared" si="9"/>
        <v>306</v>
      </c>
      <c r="D79" s="20">
        <v>1</v>
      </c>
      <c r="G79" s="32" t="s">
        <v>134</v>
      </c>
      <c r="H79" s="20" t="s">
        <v>3017</v>
      </c>
      <c r="I79" s="20">
        <v>1111</v>
      </c>
      <c r="J79" s="20">
        <v>112111</v>
      </c>
      <c r="K79" s="20" t="s">
        <v>20</v>
      </c>
      <c r="L79" s="20">
        <v>1</v>
      </c>
      <c r="M79" s="33">
        <v>25000000</v>
      </c>
      <c r="N79" s="33">
        <f t="shared" si="7"/>
        <v>25000000</v>
      </c>
      <c r="O79" s="20" t="s">
        <v>21</v>
      </c>
      <c r="P79" s="20">
        <f t="shared" si="5"/>
        <v>55</v>
      </c>
      <c r="Q79" s="20">
        <f t="shared" si="10"/>
        <v>40</v>
      </c>
    </row>
    <row r="80" spans="1:17" ht="15" customHeight="1" x14ac:dyDescent="0.2">
      <c r="A80" s="20" t="s">
        <v>2679</v>
      </c>
      <c r="B80" s="63">
        <v>45964</v>
      </c>
      <c r="C80" s="20">
        <f t="shared" si="9"/>
        <v>307</v>
      </c>
      <c r="D80" s="20">
        <v>1</v>
      </c>
      <c r="G80" s="32" t="s">
        <v>910</v>
      </c>
      <c r="H80" s="20" t="s">
        <v>4846</v>
      </c>
      <c r="I80" s="20">
        <v>112111</v>
      </c>
      <c r="J80" s="20">
        <v>131</v>
      </c>
      <c r="K80" s="20" t="s">
        <v>20</v>
      </c>
      <c r="L80" s="20">
        <v>1</v>
      </c>
      <c r="M80" s="33">
        <v>21290322</v>
      </c>
      <c r="N80" s="33">
        <f t="shared" si="7"/>
        <v>21290322</v>
      </c>
      <c r="O80" s="20" t="s">
        <v>21</v>
      </c>
      <c r="P80" s="20">
        <f t="shared" si="5"/>
        <v>56</v>
      </c>
      <c r="Q80" s="20">
        <f t="shared" si="10"/>
        <v>153</v>
      </c>
    </row>
    <row r="81" spans="1:17" ht="15" customHeight="1" x14ac:dyDescent="0.2">
      <c r="A81" s="20" t="s">
        <v>2678</v>
      </c>
      <c r="B81" s="63">
        <v>45964</v>
      </c>
      <c r="C81" s="20">
        <f t="shared" si="9"/>
        <v>308</v>
      </c>
      <c r="D81" s="20">
        <v>1</v>
      </c>
      <c r="G81" s="32" t="s">
        <v>134</v>
      </c>
      <c r="H81" s="20" t="s">
        <v>3017</v>
      </c>
      <c r="I81" s="20">
        <v>1111</v>
      </c>
      <c r="J81" s="20">
        <v>112111</v>
      </c>
      <c r="K81" s="20" t="s">
        <v>20</v>
      </c>
      <c r="L81" s="20">
        <v>1</v>
      </c>
      <c r="M81" s="33">
        <v>20000000</v>
      </c>
      <c r="N81" s="33">
        <f t="shared" si="7"/>
        <v>20000000</v>
      </c>
      <c r="O81" s="20" t="s">
        <v>21</v>
      </c>
      <c r="P81" s="20">
        <f t="shared" si="5"/>
        <v>57</v>
      </c>
      <c r="Q81" s="20">
        <f t="shared" si="10"/>
        <v>40</v>
      </c>
    </row>
    <row r="82" spans="1:17" ht="15" customHeight="1" x14ac:dyDescent="0.2">
      <c r="A82" s="20" t="s">
        <v>2679</v>
      </c>
      <c r="B82" s="63">
        <v>45964</v>
      </c>
      <c r="C82" s="20">
        <f t="shared" si="9"/>
        <v>309</v>
      </c>
      <c r="D82" s="20">
        <v>1</v>
      </c>
      <c r="G82" s="32" t="s">
        <v>68</v>
      </c>
      <c r="H82" s="20" t="s">
        <v>4847</v>
      </c>
      <c r="I82" s="20">
        <v>112111</v>
      </c>
      <c r="J82" s="20">
        <v>131</v>
      </c>
      <c r="K82" s="20" t="s">
        <v>20</v>
      </c>
      <c r="L82" s="20">
        <v>1</v>
      </c>
      <c r="M82" s="33">
        <v>21290322</v>
      </c>
      <c r="N82" s="33">
        <f t="shared" si="7"/>
        <v>21290322</v>
      </c>
      <c r="O82" s="20" t="s">
        <v>21</v>
      </c>
      <c r="P82" s="20">
        <f t="shared" si="5"/>
        <v>58</v>
      </c>
      <c r="Q82" s="20">
        <f t="shared" si="10"/>
        <v>162</v>
      </c>
    </row>
    <row r="83" spans="1:17" ht="15" customHeight="1" x14ac:dyDescent="0.2">
      <c r="A83" s="20" t="s">
        <v>2678</v>
      </c>
      <c r="B83" s="63">
        <v>45967</v>
      </c>
      <c r="C83" s="20">
        <f t="shared" si="9"/>
        <v>310</v>
      </c>
      <c r="D83" s="20">
        <v>1</v>
      </c>
      <c r="G83" s="32" t="s">
        <v>134</v>
      </c>
      <c r="H83" s="20" t="s">
        <v>3017</v>
      </c>
      <c r="I83" s="20">
        <v>1111</v>
      </c>
      <c r="J83" s="20">
        <v>112111</v>
      </c>
      <c r="K83" s="20" t="s">
        <v>20</v>
      </c>
      <c r="L83" s="20">
        <v>1</v>
      </c>
      <c r="M83" s="33">
        <v>25000000</v>
      </c>
      <c r="N83" s="33">
        <f t="shared" si="7"/>
        <v>25000000</v>
      </c>
      <c r="O83" s="20" t="s">
        <v>21</v>
      </c>
      <c r="P83" s="20">
        <f t="shared" si="5"/>
        <v>59</v>
      </c>
      <c r="Q83" s="20">
        <f t="shared" si="10"/>
        <v>40</v>
      </c>
    </row>
    <row r="84" spans="1:17" ht="15" customHeight="1" x14ac:dyDescent="0.2">
      <c r="A84" s="20" t="s">
        <v>2679</v>
      </c>
      <c r="B84" s="63">
        <v>45969</v>
      </c>
      <c r="C84" s="20">
        <f t="shared" si="9"/>
        <v>311</v>
      </c>
      <c r="D84" s="20">
        <v>1</v>
      </c>
      <c r="G84" s="32" t="s">
        <v>126</v>
      </c>
      <c r="H84" s="20" t="s">
        <v>4862</v>
      </c>
      <c r="I84" s="20">
        <v>112111</v>
      </c>
      <c r="J84" s="20">
        <v>131</v>
      </c>
      <c r="K84" s="20" t="s">
        <v>20</v>
      </c>
      <c r="L84" s="20">
        <v>1</v>
      </c>
      <c r="M84" s="33">
        <v>21290322</v>
      </c>
      <c r="N84" s="33">
        <f t="shared" si="7"/>
        <v>21290322</v>
      </c>
      <c r="O84" s="20" t="s">
        <v>21</v>
      </c>
      <c r="P84" s="20">
        <f t="shared" si="5"/>
        <v>60</v>
      </c>
      <c r="Q84" s="20">
        <f t="shared" si="10"/>
        <v>164</v>
      </c>
    </row>
    <row r="85" spans="1:17" ht="15" customHeight="1" x14ac:dyDescent="0.2">
      <c r="A85" s="20" t="s">
        <v>2678</v>
      </c>
      <c r="B85" s="63">
        <v>45971</v>
      </c>
      <c r="C85" s="20">
        <f t="shared" si="9"/>
        <v>312</v>
      </c>
      <c r="D85" s="20">
        <v>1</v>
      </c>
      <c r="G85" s="32" t="s">
        <v>134</v>
      </c>
      <c r="H85" s="20" t="s">
        <v>3017</v>
      </c>
      <c r="I85" s="20">
        <v>1111</v>
      </c>
      <c r="J85" s="20">
        <v>112111</v>
      </c>
      <c r="K85" s="20" t="s">
        <v>20</v>
      </c>
      <c r="L85" s="20">
        <v>1</v>
      </c>
      <c r="M85" s="33">
        <v>22224636</v>
      </c>
      <c r="N85" s="33">
        <f t="shared" si="7"/>
        <v>22224636</v>
      </c>
      <c r="O85" s="20" t="s">
        <v>21</v>
      </c>
      <c r="P85" s="20">
        <f t="shared" si="5"/>
        <v>61</v>
      </c>
      <c r="Q85" s="20">
        <f t="shared" si="10"/>
        <v>40</v>
      </c>
    </row>
    <row r="86" spans="1:17" ht="15" customHeight="1" x14ac:dyDescent="0.2">
      <c r="A86" s="20" t="s">
        <v>2679</v>
      </c>
      <c r="B86" s="63">
        <v>45976</v>
      </c>
      <c r="C86" s="20">
        <f t="shared" si="9"/>
        <v>313</v>
      </c>
      <c r="D86" s="20">
        <v>1</v>
      </c>
      <c r="G86" s="32" t="s">
        <v>4796</v>
      </c>
      <c r="H86" s="20" t="s">
        <v>2687</v>
      </c>
      <c r="I86" s="20">
        <v>112111</v>
      </c>
      <c r="J86" s="20">
        <v>5154</v>
      </c>
      <c r="K86" s="20" t="s">
        <v>20</v>
      </c>
      <c r="L86" s="20">
        <v>1</v>
      </c>
      <c r="M86" s="33">
        <v>1348</v>
      </c>
      <c r="N86" s="33">
        <f t="shared" si="7"/>
        <v>1348</v>
      </c>
      <c r="O86" s="20" t="s">
        <v>21</v>
      </c>
      <c r="P86" s="20">
        <f t="shared" si="5"/>
        <v>62</v>
      </c>
      <c r="Q86" s="20">
        <f t="shared" si="10"/>
        <v>12</v>
      </c>
    </row>
    <row r="87" spans="1:17" ht="15" customHeight="1" x14ac:dyDescent="0.2">
      <c r="A87" s="20" t="s">
        <v>2679</v>
      </c>
      <c r="B87" s="63">
        <v>45978</v>
      </c>
      <c r="C87" s="20">
        <f t="shared" si="9"/>
        <v>314</v>
      </c>
      <c r="D87" s="20">
        <v>1</v>
      </c>
      <c r="G87" s="32" t="s">
        <v>47</v>
      </c>
      <c r="H87" s="20" t="s">
        <v>4853</v>
      </c>
      <c r="I87" s="20">
        <v>112111</v>
      </c>
      <c r="J87" s="20">
        <v>131</v>
      </c>
      <c r="K87" s="20" t="s">
        <v>20</v>
      </c>
      <c r="L87" s="20">
        <v>1</v>
      </c>
      <c r="M87" s="33">
        <v>42580645</v>
      </c>
      <c r="N87" s="33">
        <f t="shared" si="7"/>
        <v>42580645</v>
      </c>
      <c r="O87" s="20" t="s">
        <v>21</v>
      </c>
      <c r="P87" s="20">
        <f t="shared" si="5"/>
        <v>63</v>
      </c>
      <c r="Q87" s="20">
        <f t="shared" si="10"/>
        <v>197</v>
      </c>
    </row>
    <row r="88" spans="1:17" ht="15" customHeight="1" x14ac:dyDescent="0.2">
      <c r="A88" s="20" t="s">
        <v>2678</v>
      </c>
      <c r="B88" s="63">
        <v>45980</v>
      </c>
      <c r="C88" s="20">
        <f t="shared" si="9"/>
        <v>315</v>
      </c>
      <c r="D88" s="20">
        <v>1</v>
      </c>
      <c r="G88" s="32" t="s">
        <v>134</v>
      </c>
      <c r="H88" s="20" t="s">
        <v>3017</v>
      </c>
      <c r="I88" s="20">
        <v>1111</v>
      </c>
      <c r="J88" s="20">
        <v>112111</v>
      </c>
      <c r="K88" s="20" t="s">
        <v>20</v>
      </c>
      <c r="L88" s="20">
        <v>1</v>
      </c>
      <c r="M88" s="33">
        <v>42581993</v>
      </c>
      <c r="N88" s="33">
        <f t="shared" si="7"/>
        <v>42581993</v>
      </c>
      <c r="O88" s="20" t="s">
        <v>21</v>
      </c>
      <c r="P88" s="20">
        <f t="shared" si="5"/>
        <v>64</v>
      </c>
      <c r="Q88" s="20">
        <f t="shared" si="10"/>
        <v>40</v>
      </c>
    </row>
    <row r="89" spans="1:17" ht="15" customHeight="1" x14ac:dyDescent="0.2">
      <c r="A89" s="20" t="s">
        <v>2679</v>
      </c>
      <c r="B89" s="63">
        <v>45982</v>
      </c>
      <c r="C89" s="20">
        <f t="shared" si="9"/>
        <v>316</v>
      </c>
      <c r="D89" s="20">
        <v>1</v>
      </c>
      <c r="G89" s="32" t="s">
        <v>63</v>
      </c>
      <c r="H89" s="20" t="s">
        <v>4848</v>
      </c>
      <c r="I89" s="20">
        <v>112111</v>
      </c>
      <c r="J89" s="20">
        <v>131</v>
      </c>
      <c r="K89" s="20" t="s">
        <v>20</v>
      </c>
      <c r="L89" s="20">
        <v>1</v>
      </c>
      <c r="M89" s="33">
        <v>21290322</v>
      </c>
      <c r="N89" s="33">
        <f t="shared" si="7"/>
        <v>21290322</v>
      </c>
      <c r="O89" s="20" t="s">
        <v>21</v>
      </c>
      <c r="P89" s="20">
        <f t="shared" si="5"/>
        <v>65</v>
      </c>
      <c r="Q89" s="20">
        <f t="shared" si="10"/>
        <v>157</v>
      </c>
    </row>
    <row r="90" spans="1:17" ht="15" customHeight="1" x14ac:dyDescent="0.2">
      <c r="A90" s="20" t="s">
        <v>2678</v>
      </c>
      <c r="B90" s="63">
        <v>45982</v>
      </c>
      <c r="C90" s="20">
        <f t="shared" si="9"/>
        <v>317</v>
      </c>
      <c r="D90" s="20">
        <v>1</v>
      </c>
      <c r="G90" s="32" t="s">
        <v>134</v>
      </c>
      <c r="H90" s="20" t="s">
        <v>3017</v>
      </c>
      <c r="I90" s="20">
        <v>1111</v>
      </c>
      <c r="J90" s="20">
        <v>112111</v>
      </c>
      <c r="K90" s="20" t="s">
        <v>20</v>
      </c>
      <c r="L90" s="20">
        <v>1</v>
      </c>
      <c r="M90" s="33">
        <v>21290322</v>
      </c>
      <c r="N90" s="33">
        <f t="shared" si="7"/>
        <v>21290322</v>
      </c>
      <c r="O90" s="20" t="s">
        <v>21</v>
      </c>
      <c r="P90" s="20">
        <f t="shared" si="5"/>
        <v>66</v>
      </c>
      <c r="Q90" s="20">
        <f t="shared" si="10"/>
        <v>40</v>
      </c>
    </row>
    <row r="91" spans="1:17" ht="15" customHeight="1" x14ac:dyDescent="0.2">
      <c r="A91" s="20" t="s">
        <v>2679</v>
      </c>
      <c r="B91" s="63">
        <v>45985</v>
      </c>
      <c r="C91" s="20">
        <f t="shared" si="9"/>
        <v>318</v>
      </c>
      <c r="D91" s="20">
        <v>1</v>
      </c>
      <c r="G91" s="32" t="s">
        <v>134</v>
      </c>
      <c r="H91" s="20" t="s">
        <v>4841</v>
      </c>
      <c r="I91" s="20">
        <v>112111</v>
      </c>
      <c r="J91" s="20">
        <v>1111</v>
      </c>
      <c r="K91" s="20" t="s">
        <v>20</v>
      </c>
      <c r="L91" s="20">
        <v>1</v>
      </c>
      <c r="M91" s="33">
        <v>55000</v>
      </c>
      <c r="N91" s="33">
        <f t="shared" si="7"/>
        <v>55000</v>
      </c>
      <c r="O91" s="20" t="s">
        <v>21</v>
      </c>
      <c r="P91" s="20">
        <f t="shared" si="5"/>
        <v>67</v>
      </c>
      <c r="Q91" s="20">
        <f t="shared" si="10"/>
        <v>36</v>
      </c>
    </row>
    <row r="92" spans="1:17" ht="15" customHeight="1" x14ac:dyDescent="0.2">
      <c r="A92" s="20" t="s">
        <v>2678</v>
      </c>
      <c r="B92" s="63">
        <v>45985</v>
      </c>
      <c r="C92" s="20">
        <f t="shared" si="9"/>
        <v>319</v>
      </c>
      <c r="D92" s="20">
        <v>1</v>
      </c>
      <c r="G92" s="32" t="s">
        <v>4796</v>
      </c>
      <c r="H92" s="20" t="s">
        <v>4850</v>
      </c>
      <c r="I92" s="20">
        <v>6425</v>
      </c>
      <c r="J92" s="20">
        <v>112111</v>
      </c>
      <c r="K92" s="20" t="s">
        <v>20</v>
      </c>
      <c r="L92" s="20">
        <v>1</v>
      </c>
      <c r="M92" s="33">
        <v>5000</v>
      </c>
      <c r="N92" s="33">
        <f t="shared" si="7"/>
        <v>5000</v>
      </c>
      <c r="O92" s="20" t="s">
        <v>21</v>
      </c>
      <c r="P92" s="20">
        <f t="shared" si="5"/>
        <v>68</v>
      </c>
      <c r="Q92" s="20">
        <f t="shared" si="10"/>
        <v>33</v>
      </c>
    </row>
    <row r="93" spans="1:17" ht="15" customHeight="1" x14ac:dyDescent="0.2">
      <c r="A93" s="20" t="s">
        <v>2678</v>
      </c>
      <c r="B93" s="63">
        <v>45985</v>
      </c>
      <c r="C93" s="20">
        <f t="shared" si="9"/>
        <v>320</v>
      </c>
      <c r="D93" s="20">
        <v>1</v>
      </c>
      <c r="G93" s="32" t="s">
        <v>4796</v>
      </c>
      <c r="H93" s="20" t="s">
        <v>4850</v>
      </c>
      <c r="I93" s="20">
        <v>6425</v>
      </c>
      <c r="J93" s="20">
        <v>112111</v>
      </c>
      <c r="K93" s="20" t="s">
        <v>20</v>
      </c>
      <c r="L93" s="20">
        <v>1</v>
      </c>
      <c r="M93" s="33">
        <v>50000</v>
      </c>
      <c r="N93" s="33">
        <f t="shared" si="7"/>
        <v>50000</v>
      </c>
      <c r="O93" s="20" t="s">
        <v>21</v>
      </c>
      <c r="P93" s="20">
        <f t="shared" si="5"/>
        <v>69</v>
      </c>
      <c r="Q93" s="20">
        <f t="shared" si="10"/>
        <v>33</v>
      </c>
    </row>
    <row r="94" spans="1:17" ht="15" customHeight="1" x14ac:dyDescent="0.2">
      <c r="A94" s="20" t="s">
        <v>2679</v>
      </c>
      <c r="B94" s="63">
        <v>45961</v>
      </c>
      <c r="C94" s="20">
        <f t="shared" ref="C94:C144" si="13">C93+D94</f>
        <v>321</v>
      </c>
      <c r="D94" s="20">
        <v>1</v>
      </c>
      <c r="G94" s="32" t="s">
        <v>3012</v>
      </c>
      <c r="H94" s="20" t="s">
        <v>4841</v>
      </c>
      <c r="I94" s="20">
        <v>112121</v>
      </c>
      <c r="J94" s="20">
        <v>1111</v>
      </c>
      <c r="K94" s="20" t="s">
        <v>20</v>
      </c>
      <c r="L94" s="20">
        <v>1</v>
      </c>
      <c r="M94" s="33">
        <v>8500000</v>
      </c>
      <c r="N94" s="33">
        <f t="shared" si="7"/>
        <v>8500000</v>
      </c>
      <c r="O94" s="20" t="s">
        <v>21</v>
      </c>
      <c r="P94" s="20">
        <f t="shared" si="5"/>
        <v>70</v>
      </c>
      <c r="Q94" s="20">
        <f t="shared" si="10"/>
        <v>36</v>
      </c>
    </row>
    <row r="95" spans="1:17" ht="15" customHeight="1" x14ac:dyDescent="0.2">
      <c r="A95" s="20" t="s">
        <v>2678</v>
      </c>
      <c r="B95" s="63">
        <v>45961</v>
      </c>
      <c r="C95" s="20">
        <f t="shared" si="13"/>
        <v>322</v>
      </c>
      <c r="D95" s="20">
        <v>1</v>
      </c>
      <c r="G95" s="32" t="s">
        <v>36</v>
      </c>
      <c r="H95" s="20" t="s">
        <v>4455</v>
      </c>
      <c r="I95" s="20">
        <v>6428</v>
      </c>
      <c r="J95" s="20">
        <v>112121</v>
      </c>
      <c r="K95" s="20" t="s">
        <v>20</v>
      </c>
      <c r="L95" s="20">
        <v>1</v>
      </c>
      <c r="M95" s="33">
        <v>6600000</v>
      </c>
      <c r="N95" s="33">
        <f t="shared" si="7"/>
        <v>6600000</v>
      </c>
      <c r="O95" s="20" t="s">
        <v>21</v>
      </c>
      <c r="P95" s="20">
        <f t="shared" si="5"/>
        <v>71</v>
      </c>
      <c r="Q95" s="20">
        <f t="shared" si="10"/>
        <v>21</v>
      </c>
    </row>
    <row r="96" spans="1:17" ht="15" customHeight="1" x14ac:dyDescent="0.2">
      <c r="A96" s="20" t="s">
        <v>2679</v>
      </c>
      <c r="B96" s="63">
        <v>45967</v>
      </c>
      <c r="C96" s="20">
        <f t="shared" si="13"/>
        <v>323</v>
      </c>
      <c r="D96" s="20">
        <v>1</v>
      </c>
      <c r="G96" s="32" t="s">
        <v>144</v>
      </c>
      <c r="H96" s="20" t="s">
        <v>4858</v>
      </c>
      <c r="I96" s="20">
        <v>112121</v>
      </c>
      <c r="J96" s="20">
        <v>131</v>
      </c>
      <c r="K96" s="20" t="s">
        <v>20</v>
      </c>
      <c r="L96" s="20">
        <v>1</v>
      </c>
      <c r="M96" s="33">
        <v>42580645</v>
      </c>
      <c r="N96" s="33">
        <f t="shared" si="7"/>
        <v>42580645</v>
      </c>
      <c r="O96" s="20" t="s">
        <v>21</v>
      </c>
      <c r="P96" s="20">
        <f t="shared" si="5"/>
        <v>72</v>
      </c>
      <c r="Q96" s="20">
        <f t="shared" si="10"/>
        <v>170</v>
      </c>
    </row>
    <row r="97" spans="1:17" ht="15" customHeight="1" x14ac:dyDescent="0.2">
      <c r="A97" s="20" t="s">
        <v>2679</v>
      </c>
      <c r="B97" s="63">
        <v>45968</v>
      </c>
      <c r="C97" s="20">
        <f t="shared" si="13"/>
        <v>324</v>
      </c>
      <c r="D97" s="20">
        <v>1</v>
      </c>
      <c r="G97" s="32" t="s">
        <v>145</v>
      </c>
      <c r="H97" s="20" t="s">
        <v>4856</v>
      </c>
      <c r="I97" s="20">
        <v>112121</v>
      </c>
      <c r="J97" s="20">
        <v>131</v>
      </c>
      <c r="K97" s="20" t="s">
        <v>20</v>
      </c>
      <c r="L97" s="20">
        <v>1</v>
      </c>
      <c r="M97" s="33">
        <v>31935484</v>
      </c>
      <c r="N97" s="33">
        <f t="shared" si="7"/>
        <v>31935484</v>
      </c>
      <c r="O97" s="20" t="s">
        <v>21</v>
      </c>
      <c r="P97" s="20">
        <f t="shared" si="5"/>
        <v>73</v>
      </c>
      <c r="Q97" s="20">
        <f t="shared" si="10"/>
        <v>200</v>
      </c>
    </row>
    <row r="98" spans="1:17" ht="15" customHeight="1" x14ac:dyDescent="0.2">
      <c r="A98" s="20" t="s">
        <v>2678</v>
      </c>
      <c r="B98" s="63">
        <v>45972</v>
      </c>
      <c r="C98" s="20">
        <f t="shared" si="13"/>
        <v>325</v>
      </c>
      <c r="D98" s="20">
        <v>1</v>
      </c>
      <c r="G98" s="32" t="s">
        <v>134</v>
      </c>
      <c r="H98" s="20" t="s">
        <v>3017</v>
      </c>
      <c r="I98" s="20">
        <v>111</v>
      </c>
      <c r="J98" s="20">
        <v>112121</v>
      </c>
      <c r="K98" s="20" t="s">
        <v>20</v>
      </c>
      <c r="L98" s="20">
        <v>1</v>
      </c>
      <c r="M98" s="33">
        <v>30000000</v>
      </c>
      <c r="N98" s="33">
        <f t="shared" si="7"/>
        <v>30000000</v>
      </c>
      <c r="O98" s="20" t="s">
        <v>21</v>
      </c>
      <c r="P98" s="20">
        <f t="shared" si="5"/>
        <v>74</v>
      </c>
      <c r="Q98" s="20">
        <f t="shared" si="10"/>
        <v>40</v>
      </c>
    </row>
    <row r="99" spans="1:17" ht="15" customHeight="1" x14ac:dyDescent="0.2">
      <c r="A99" s="20" t="s">
        <v>18</v>
      </c>
      <c r="B99" s="63">
        <v>45976</v>
      </c>
      <c r="C99" s="20">
        <f t="shared" ref="C99:C102" si="14">C98+D99</f>
        <v>326</v>
      </c>
      <c r="D99" s="20">
        <v>1</v>
      </c>
      <c r="G99" s="32" t="s">
        <v>43</v>
      </c>
      <c r="H99" s="20" t="s">
        <v>3004</v>
      </c>
      <c r="I99" s="20">
        <v>131</v>
      </c>
      <c r="J99" s="20">
        <v>5118</v>
      </c>
      <c r="K99" s="20" t="s">
        <v>20</v>
      </c>
      <c r="L99" s="20">
        <v>1</v>
      </c>
      <c r="M99" s="33">
        <v>20765426</v>
      </c>
      <c r="N99" s="33">
        <f t="shared" si="7"/>
        <v>20765426</v>
      </c>
      <c r="O99" s="20" t="s">
        <v>21</v>
      </c>
      <c r="P99" s="20">
        <f t="shared" si="5"/>
        <v>75</v>
      </c>
      <c r="Q99" s="20">
        <f t="shared" ref="Q99:Q102" si="15">LEN(H99)</f>
        <v>43</v>
      </c>
    </row>
    <row r="100" spans="1:17" ht="15" customHeight="1" x14ac:dyDescent="0.2">
      <c r="A100" s="20" t="s">
        <v>2679</v>
      </c>
      <c r="B100" s="63">
        <v>45976</v>
      </c>
      <c r="C100" s="20">
        <f t="shared" si="14"/>
        <v>327</v>
      </c>
      <c r="D100" s="20">
        <v>1</v>
      </c>
      <c r="G100" s="32" t="s">
        <v>43</v>
      </c>
      <c r="H100" s="20" t="s">
        <v>3005</v>
      </c>
      <c r="I100" s="20">
        <v>112121</v>
      </c>
      <c r="J100" s="20">
        <v>131</v>
      </c>
      <c r="K100" s="20" t="s">
        <v>20</v>
      </c>
      <c r="L100" s="20">
        <v>1</v>
      </c>
      <c r="M100" s="33">
        <v>20765426</v>
      </c>
      <c r="N100" s="33">
        <f t="shared" si="7"/>
        <v>20765426</v>
      </c>
      <c r="O100" s="20" t="s">
        <v>21</v>
      </c>
      <c r="P100" s="20">
        <f t="shared" si="5"/>
        <v>76</v>
      </c>
      <c r="Q100" s="20">
        <f t="shared" si="15"/>
        <v>48</v>
      </c>
    </row>
    <row r="101" spans="1:17" ht="15" customHeight="1" x14ac:dyDescent="0.2">
      <c r="A101" s="20" t="s">
        <v>18</v>
      </c>
      <c r="B101" s="63">
        <v>45976</v>
      </c>
      <c r="C101" s="20">
        <f t="shared" si="14"/>
        <v>328</v>
      </c>
      <c r="D101" s="20">
        <v>1</v>
      </c>
      <c r="G101" s="32" t="s">
        <v>43</v>
      </c>
      <c r="H101" s="20" t="s">
        <v>3004</v>
      </c>
      <c r="I101" s="20">
        <v>131</v>
      </c>
      <c r="J101" s="20">
        <v>5118</v>
      </c>
      <c r="K101" s="20" t="s">
        <v>20</v>
      </c>
      <c r="L101" s="20">
        <v>1</v>
      </c>
      <c r="M101" s="33">
        <v>23732426</v>
      </c>
      <c r="N101" s="33">
        <f t="shared" si="7"/>
        <v>23732426</v>
      </c>
      <c r="O101" s="20" t="s">
        <v>21</v>
      </c>
      <c r="P101" s="20">
        <f t="shared" si="5"/>
        <v>77</v>
      </c>
      <c r="Q101" s="20">
        <f t="shared" si="15"/>
        <v>43</v>
      </c>
    </row>
    <row r="102" spans="1:17" ht="15" customHeight="1" x14ac:dyDescent="0.2">
      <c r="A102" s="20" t="s">
        <v>2679</v>
      </c>
      <c r="B102" s="63">
        <v>45976</v>
      </c>
      <c r="C102" s="20">
        <f t="shared" si="14"/>
        <v>329</v>
      </c>
      <c r="D102" s="20">
        <v>1</v>
      </c>
      <c r="G102" s="32" t="s">
        <v>43</v>
      </c>
      <c r="H102" s="20" t="s">
        <v>3005</v>
      </c>
      <c r="I102" s="20">
        <v>112121</v>
      </c>
      <c r="J102" s="20">
        <v>131</v>
      </c>
      <c r="K102" s="20" t="s">
        <v>20</v>
      </c>
      <c r="L102" s="20">
        <v>1</v>
      </c>
      <c r="M102" s="33">
        <v>23732426</v>
      </c>
      <c r="N102" s="33">
        <f t="shared" si="7"/>
        <v>23732426</v>
      </c>
      <c r="O102" s="20" t="s">
        <v>21</v>
      </c>
      <c r="P102" s="20">
        <f t="shared" si="5"/>
        <v>78</v>
      </c>
      <c r="Q102" s="20">
        <f t="shared" si="15"/>
        <v>48</v>
      </c>
    </row>
    <row r="103" spans="1:17" ht="15" customHeight="1" x14ac:dyDescent="0.2">
      <c r="A103" s="20" t="s">
        <v>2678</v>
      </c>
      <c r="B103" s="63">
        <v>45979</v>
      </c>
      <c r="C103" s="20">
        <f t="shared" si="13"/>
        <v>330</v>
      </c>
      <c r="D103" s="20">
        <v>1</v>
      </c>
      <c r="G103" s="32" t="s">
        <v>134</v>
      </c>
      <c r="H103" s="20" t="s">
        <v>3017</v>
      </c>
      <c r="I103" s="20">
        <v>111</v>
      </c>
      <c r="J103" s="20">
        <v>112121</v>
      </c>
      <c r="K103" s="20" t="s">
        <v>20</v>
      </c>
      <c r="L103" s="20">
        <v>1</v>
      </c>
      <c r="M103" s="33">
        <v>4141800</v>
      </c>
      <c r="N103" s="33">
        <f t="shared" si="7"/>
        <v>4141800</v>
      </c>
      <c r="O103" s="20" t="s">
        <v>21</v>
      </c>
      <c r="P103" s="20">
        <f t="shared" si="5"/>
        <v>79</v>
      </c>
      <c r="Q103" s="20">
        <f t="shared" si="10"/>
        <v>40</v>
      </c>
    </row>
    <row r="104" spans="1:17" ht="15" customHeight="1" x14ac:dyDescent="0.2">
      <c r="A104" s="20" t="s">
        <v>2678</v>
      </c>
      <c r="B104" s="63">
        <v>45981</v>
      </c>
      <c r="C104" s="20">
        <f t="shared" si="13"/>
        <v>331</v>
      </c>
      <c r="D104" s="20">
        <v>1</v>
      </c>
      <c r="G104" s="32" t="s">
        <v>134</v>
      </c>
      <c r="H104" s="20" t="s">
        <v>3017</v>
      </c>
      <c r="I104" s="20">
        <v>111</v>
      </c>
      <c r="J104" s="20">
        <v>112121</v>
      </c>
      <c r="K104" s="20" t="s">
        <v>20</v>
      </c>
      <c r="L104" s="20">
        <v>1</v>
      </c>
      <c r="M104" s="33">
        <v>20000000</v>
      </c>
      <c r="N104" s="33">
        <f t="shared" si="7"/>
        <v>20000000</v>
      </c>
      <c r="O104" s="20" t="s">
        <v>21</v>
      </c>
      <c r="P104" s="20">
        <f t="shared" si="5"/>
        <v>80</v>
      </c>
      <c r="Q104" s="20">
        <f t="shared" si="10"/>
        <v>40</v>
      </c>
    </row>
    <row r="105" spans="1:17" ht="15" customHeight="1" x14ac:dyDescent="0.2">
      <c r="A105" s="20" t="s">
        <v>2679</v>
      </c>
      <c r="B105" s="63">
        <v>45986</v>
      </c>
      <c r="C105" s="20">
        <f t="shared" si="13"/>
        <v>332</v>
      </c>
      <c r="D105" s="20">
        <v>1</v>
      </c>
      <c r="G105" s="32" t="s">
        <v>910</v>
      </c>
      <c r="H105" s="20" t="s">
        <v>4863</v>
      </c>
      <c r="I105" s="20">
        <v>112121</v>
      </c>
      <c r="J105" s="20">
        <v>131</v>
      </c>
      <c r="K105" s="20" t="s">
        <v>20</v>
      </c>
      <c r="L105" s="20">
        <v>1</v>
      </c>
      <c r="M105" s="33">
        <v>21290322</v>
      </c>
      <c r="N105" s="33">
        <f t="shared" si="7"/>
        <v>21290322</v>
      </c>
      <c r="O105" s="20" t="s">
        <v>21</v>
      </c>
      <c r="P105" s="20">
        <f t="shared" si="5"/>
        <v>81</v>
      </c>
      <c r="Q105" s="20">
        <f t="shared" si="10"/>
        <v>153</v>
      </c>
    </row>
    <row r="106" spans="1:17" ht="15" customHeight="1" x14ac:dyDescent="0.2">
      <c r="A106" s="20" t="s">
        <v>2679</v>
      </c>
      <c r="B106" s="63">
        <v>45986</v>
      </c>
      <c r="C106" s="20">
        <f t="shared" si="13"/>
        <v>333</v>
      </c>
      <c r="D106" s="20">
        <v>1</v>
      </c>
      <c r="G106" s="32" t="s">
        <v>108</v>
      </c>
      <c r="H106" s="20" t="s">
        <v>4859</v>
      </c>
      <c r="I106" s="20">
        <v>112121</v>
      </c>
      <c r="J106" s="20">
        <v>131</v>
      </c>
      <c r="K106" s="20" t="s">
        <v>20</v>
      </c>
      <c r="L106" s="20">
        <v>1</v>
      </c>
      <c r="M106" s="33">
        <v>21290322</v>
      </c>
      <c r="N106" s="33">
        <f t="shared" si="7"/>
        <v>21290322</v>
      </c>
      <c r="O106" s="20" t="s">
        <v>21</v>
      </c>
      <c r="P106" s="20">
        <f t="shared" si="5"/>
        <v>82</v>
      </c>
      <c r="Q106" s="20">
        <f t="shared" si="10"/>
        <v>150</v>
      </c>
    </row>
    <row r="107" spans="1:17" ht="15" customHeight="1" x14ac:dyDescent="0.2">
      <c r="A107" s="20" t="s">
        <v>2679</v>
      </c>
      <c r="B107" s="63">
        <v>45986</v>
      </c>
      <c r="C107" s="20">
        <f t="shared" si="13"/>
        <v>334</v>
      </c>
      <c r="D107" s="20">
        <v>1</v>
      </c>
      <c r="G107" s="32" t="s">
        <v>909</v>
      </c>
      <c r="H107" s="20" t="s">
        <v>4864</v>
      </c>
      <c r="I107" s="20">
        <v>112121</v>
      </c>
      <c r="J107" s="20">
        <v>131</v>
      </c>
      <c r="K107" s="20" t="s">
        <v>20</v>
      </c>
      <c r="L107" s="20">
        <v>1</v>
      </c>
      <c r="M107" s="33">
        <v>21290322</v>
      </c>
      <c r="N107" s="33">
        <f t="shared" si="7"/>
        <v>21290322</v>
      </c>
      <c r="O107" s="20" t="s">
        <v>21</v>
      </c>
      <c r="P107" s="20">
        <f t="shared" si="5"/>
        <v>83</v>
      </c>
      <c r="Q107" s="20">
        <f t="shared" si="10"/>
        <v>110</v>
      </c>
    </row>
    <row r="108" spans="1:17" ht="15" customHeight="1" x14ac:dyDescent="0.2">
      <c r="A108" s="20" t="s">
        <v>2678</v>
      </c>
      <c r="B108" s="63">
        <v>45987</v>
      </c>
      <c r="C108" s="20">
        <f t="shared" si="13"/>
        <v>335</v>
      </c>
      <c r="D108" s="20">
        <v>1</v>
      </c>
      <c r="G108" s="32" t="s">
        <v>134</v>
      </c>
      <c r="H108" s="20" t="s">
        <v>3017</v>
      </c>
      <c r="I108" s="20">
        <v>111</v>
      </c>
      <c r="J108" s="20">
        <v>112121</v>
      </c>
      <c r="K108" s="20" t="s">
        <v>20</v>
      </c>
      <c r="L108" s="20">
        <v>1</v>
      </c>
      <c r="M108" s="33">
        <v>40000000</v>
      </c>
      <c r="N108" s="33">
        <f t="shared" si="7"/>
        <v>40000000</v>
      </c>
      <c r="O108" s="20" t="s">
        <v>21</v>
      </c>
      <c r="P108" s="20">
        <f t="shared" si="5"/>
        <v>84</v>
      </c>
      <c r="Q108" s="20">
        <f t="shared" si="10"/>
        <v>40</v>
      </c>
    </row>
    <row r="109" spans="1:17" ht="15" customHeight="1" x14ac:dyDescent="0.2">
      <c r="A109" s="20" t="s">
        <v>2679</v>
      </c>
      <c r="B109" s="63">
        <v>45989</v>
      </c>
      <c r="C109" s="20">
        <f t="shared" si="13"/>
        <v>336</v>
      </c>
      <c r="D109" s="20">
        <v>1</v>
      </c>
      <c r="G109" s="32" t="s">
        <v>66</v>
      </c>
      <c r="H109" s="20" t="s">
        <v>4854</v>
      </c>
      <c r="I109" s="20">
        <v>112121</v>
      </c>
      <c r="J109" s="20">
        <v>131</v>
      </c>
      <c r="K109" s="20" t="s">
        <v>20</v>
      </c>
      <c r="L109" s="20">
        <v>1</v>
      </c>
      <c r="M109" s="33">
        <v>21290322</v>
      </c>
      <c r="N109" s="33">
        <f t="shared" si="7"/>
        <v>21290322</v>
      </c>
      <c r="O109" s="20" t="s">
        <v>21</v>
      </c>
      <c r="P109" s="20">
        <f t="shared" si="5"/>
        <v>85</v>
      </c>
      <c r="Q109" s="20">
        <f t="shared" si="10"/>
        <v>174</v>
      </c>
    </row>
    <row r="110" spans="1:17" ht="15" customHeight="1" x14ac:dyDescent="0.2">
      <c r="A110" s="20" t="s">
        <v>2679</v>
      </c>
      <c r="B110" s="63">
        <v>45991</v>
      </c>
      <c r="C110" s="20">
        <f t="shared" si="13"/>
        <v>337</v>
      </c>
      <c r="D110" s="20">
        <v>1</v>
      </c>
      <c r="G110" s="32" t="s">
        <v>3012</v>
      </c>
      <c r="H110" s="20" t="s">
        <v>2687</v>
      </c>
      <c r="I110" s="20">
        <v>112121</v>
      </c>
      <c r="J110" s="20">
        <v>5154</v>
      </c>
      <c r="K110" s="20" t="s">
        <v>20</v>
      </c>
      <c r="L110" s="20">
        <v>1</v>
      </c>
      <c r="M110" s="33">
        <v>5105</v>
      </c>
      <c r="N110" s="33">
        <f t="shared" si="7"/>
        <v>5105</v>
      </c>
      <c r="O110" s="20" t="s">
        <v>21</v>
      </c>
      <c r="P110" s="20">
        <f t="shared" si="5"/>
        <v>86</v>
      </c>
      <c r="Q110" s="20">
        <f t="shared" si="10"/>
        <v>12</v>
      </c>
    </row>
    <row r="111" spans="1:17" ht="15" customHeight="1" x14ac:dyDescent="0.2">
      <c r="A111" s="20" t="s">
        <v>2678</v>
      </c>
      <c r="B111" s="63">
        <v>45992</v>
      </c>
      <c r="C111" s="20">
        <f t="shared" si="13"/>
        <v>338</v>
      </c>
      <c r="D111" s="20">
        <v>1</v>
      </c>
      <c r="G111" s="32" t="s">
        <v>134</v>
      </c>
      <c r="H111" s="20" t="s">
        <v>3017</v>
      </c>
      <c r="I111" s="20">
        <v>111</v>
      </c>
      <c r="J111" s="20">
        <v>112121</v>
      </c>
      <c r="K111" s="20" t="s">
        <v>20</v>
      </c>
      <c r="L111" s="20">
        <v>1</v>
      </c>
      <c r="M111" s="33">
        <v>20000000</v>
      </c>
      <c r="N111" s="33">
        <f t="shared" si="7"/>
        <v>20000000</v>
      </c>
      <c r="O111" s="20" t="s">
        <v>21</v>
      </c>
      <c r="P111" s="20">
        <f t="shared" si="5"/>
        <v>87</v>
      </c>
      <c r="Q111" s="20">
        <f t="shared" si="10"/>
        <v>40</v>
      </c>
    </row>
    <row r="112" spans="1:17" ht="15" customHeight="1" x14ac:dyDescent="0.2">
      <c r="A112" s="20" t="s">
        <v>2678</v>
      </c>
      <c r="B112" s="63">
        <v>45994</v>
      </c>
      <c r="C112" s="20">
        <f t="shared" si="13"/>
        <v>339</v>
      </c>
      <c r="D112" s="20">
        <v>1</v>
      </c>
      <c r="G112" s="32" t="s">
        <v>134</v>
      </c>
      <c r="H112" s="20" t="s">
        <v>3017</v>
      </c>
      <c r="I112" s="20">
        <v>111</v>
      </c>
      <c r="J112" s="20">
        <v>112121</v>
      </c>
      <c r="K112" s="20" t="s">
        <v>20</v>
      </c>
      <c r="L112" s="20">
        <v>1</v>
      </c>
      <c r="M112" s="33">
        <v>20000000</v>
      </c>
      <c r="N112" s="33">
        <f t="shared" si="7"/>
        <v>20000000</v>
      </c>
      <c r="O112" s="20" t="s">
        <v>21</v>
      </c>
      <c r="P112" s="20">
        <f t="shared" ref="P112:P154" si="16">P111+1</f>
        <v>88</v>
      </c>
      <c r="Q112" s="20">
        <f t="shared" si="10"/>
        <v>40</v>
      </c>
    </row>
    <row r="113" spans="1:17" ht="15" customHeight="1" x14ac:dyDescent="0.2">
      <c r="A113" s="20" t="s">
        <v>2679</v>
      </c>
      <c r="B113" s="63">
        <v>45995</v>
      </c>
      <c r="C113" s="20">
        <f t="shared" si="13"/>
        <v>340</v>
      </c>
      <c r="D113" s="20">
        <v>1</v>
      </c>
      <c r="G113" s="32" t="s">
        <v>68</v>
      </c>
      <c r="H113" s="20" t="s">
        <v>4855</v>
      </c>
      <c r="I113" s="20">
        <v>112121</v>
      </c>
      <c r="J113" s="20">
        <v>131</v>
      </c>
      <c r="K113" s="20" t="s">
        <v>20</v>
      </c>
      <c r="L113" s="20">
        <v>1</v>
      </c>
      <c r="M113" s="33">
        <v>21290322</v>
      </c>
      <c r="N113" s="33">
        <f t="shared" si="7"/>
        <v>21290322</v>
      </c>
      <c r="O113" s="20" t="s">
        <v>21</v>
      </c>
      <c r="P113" s="20">
        <f t="shared" si="16"/>
        <v>89</v>
      </c>
      <c r="Q113" s="20">
        <f t="shared" si="10"/>
        <v>163</v>
      </c>
    </row>
    <row r="114" spans="1:17" ht="15" customHeight="1" x14ac:dyDescent="0.2">
      <c r="A114" s="20" t="s">
        <v>2679</v>
      </c>
      <c r="B114" s="63">
        <v>45996</v>
      </c>
      <c r="C114" s="20">
        <f t="shared" si="13"/>
        <v>341</v>
      </c>
      <c r="D114" s="20">
        <v>1</v>
      </c>
      <c r="G114" s="32" t="s">
        <v>36</v>
      </c>
      <c r="H114" s="20" t="s">
        <v>4866</v>
      </c>
      <c r="I114" s="20">
        <v>112121</v>
      </c>
      <c r="J114" s="20">
        <v>131</v>
      </c>
      <c r="K114" s="20" t="s">
        <v>20</v>
      </c>
      <c r="L114" s="20">
        <v>1</v>
      </c>
      <c r="M114" s="33">
        <v>21400000</v>
      </c>
      <c r="N114" s="33">
        <f t="shared" si="7"/>
        <v>21400000</v>
      </c>
      <c r="O114" s="20" t="s">
        <v>21</v>
      </c>
      <c r="P114" s="20">
        <f t="shared" si="16"/>
        <v>90</v>
      </c>
      <c r="Q114" s="20">
        <f t="shared" si="10"/>
        <v>24</v>
      </c>
    </row>
    <row r="115" spans="1:17" ht="15" customHeight="1" x14ac:dyDescent="0.2">
      <c r="A115" s="20" t="s">
        <v>2678</v>
      </c>
      <c r="B115" s="63">
        <v>45996</v>
      </c>
      <c r="C115" s="20">
        <f t="shared" si="13"/>
        <v>342</v>
      </c>
      <c r="D115" s="20">
        <v>1</v>
      </c>
      <c r="G115" s="32" t="s">
        <v>134</v>
      </c>
      <c r="H115" s="20" t="s">
        <v>3017</v>
      </c>
      <c r="I115" s="20">
        <v>111</v>
      </c>
      <c r="J115" s="20">
        <v>112121</v>
      </c>
      <c r="K115" s="20" t="s">
        <v>20</v>
      </c>
      <c r="L115" s="20">
        <v>1</v>
      </c>
      <c r="M115" s="33">
        <v>109678</v>
      </c>
      <c r="N115" s="33">
        <f t="shared" si="7"/>
        <v>109678</v>
      </c>
      <c r="O115" s="20" t="s">
        <v>21</v>
      </c>
      <c r="P115" s="20">
        <f t="shared" si="16"/>
        <v>91</v>
      </c>
      <c r="Q115" s="20">
        <f t="shared" si="10"/>
        <v>40</v>
      </c>
    </row>
    <row r="116" spans="1:17" ht="15" customHeight="1" x14ac:dyDescent="0.2">
      <c r="A116" s="20" t="s">
        <v>18</v>
      </c>
      <c r="B116" s="63">
        <v>45998</v>
      </c>
      <c r="C116" s="20">
        <f t="shared" ref="C116:C119" si="17">C115+D116</f>
        <v>343</v>
      </c>
      <c r="D116" s="20">
        <v>1</v>
      </c>
      <c r="G116" s="32" t="s">
        <v>43</v>
      </c>
      <c r="H116" s="20" t="s">
        <v>3004</v>
      </c>
      <c r="I116" s="20">
        <v>131</v>
      </c>
      <c r="J116" s="20">
        <v>5118</v>
      </c>
      <c r="K116" s="20" t="s">
        <v>20</v>
      </c>
      <c r="L116" s="20">
        <v>1</v>
      </c>
      <c r="M116" s="33">
        <v>20416758</v>
      </c>
      <c r="N116" s="33">
        <f t="shared" si="7"/>
        <v>20416758</v>
      </c>
      <c r="O116" s="20" t="s">
        <v>21</v>
      </c>
      <c r="P116" s="20">
        <f t="shared" si="16"/>
        <v>92</v>
      </c>
      <c r="Q116" s="20">
        <f t="shared" ref="Q116:Q119" si="18">LEN(H116)</f>
        <v>43</v>
      </c>
    </row>
    <row r="117" spans="1:17" ht="15" customHeight="1" x14ac:dyDescent="0.2">
      <c r="A117" s="20" t="s">
        <v>2679</v>
      </c>
      <c r="B117" s="63">
        <v>45998</v>
      </c>
      <c r="C117" s="20">
        <f t="shared" si="17"/>
        <v>344</v>
      </c>
      <c r="D117" s="20">
        <v>1</v>
      </c>
      <c r="G117" s="32" t="s">
        <v>43</v>
      </c>
      <c r="H117" s="20" t="s">
        <v>3005</v>
      </c>
      <c r="I117" s="20">
        <v>112121</v>
      </c>
      <c r="J117" s="20">
        <v>131</v>
      </c>
      <c r="K117" s="20" t="s">
        <v>20</v>
      </c>
      <c r="L117" s="20">
        <v>1</v>
      </c>
      <c r="M117" s="33">
        <v>20416758</v>
      </c>
      <c r="N117" s="33">
        <f t="shared" si="7"/>
        <v>20416758</v>
      </c>
      <c r="O117" s="20" t="s">
        <v>21</v>
      </c>
      <c r="P117" s="20">
        <f t="shared" si="16"/>
        <v>93</v>
      </c>
      <c r="Q117" s="20">
        <f t="shared" si="18"/>
        <v>48</v>
      </c>
    </row>
    <row r="118" spans="1:17" ht="15" customHeight="1" x14ac:dyDescent="0.2">
      <c r="A118" s="20" t="s">
        <v>18</v>
      </c>
      <c r="B118" s="63">
        <v>45998</v>
      </c>
      <c r="C118" s="20">
        <f t="shared" si="17"/>
        <v>345</v>
      </c>
      <c r="D118" s="20">
        <v>1</v>
      </c>
      <c r="G118" s="32" t="s">
        <v>43</v>
      </c>
      <c r="H118" s="20" t="s">
        <v>3004</v>
      </c>
      <c r="I118" s="20">
        <v>131</v>
      </c>
      <c r="J118" s="20">
        <v>5118</v>
      </c>
      <c r="K118" s="20" t="s">
        <v>20</v>
      </c>
      <c r="L118" s="20">
        <v>1</v>
      </c>
      <c r="M118" s="33">
        <v>22386412</v>
      </c>
      <c r="N118" s="33">
        <f t="shared" si="7"/>
        <v>22386412</v>
      </c>
      <c r="O118" s="20" t="s">
        <v>21</v>
      </c>
      <c r="P118" s="20">
        <f t="shared" si="16"/>
        <v>94</v>
      </c>
      <c r="Q118" s="20">
        <f t="shared" si="18"/>
        <v>43</v>
      </c>
    </row>
    <row r="119" spans="1:17" ht="15" customHeight="1" x14ac:dyDescent="0.2">
      <c r="A119" s="20" t="s">
        <v>2679</v>
      </c>
      <c r="B119" s="63">
        <v>45998</v>
      </c>
      <c r="C119" s="20">
        <f t="shared" si="17"/>
        <v>346</v>
      </c>
      <c r="D119" s="20">
        <v>1</v>
      </c>
      <c r="G119" s="32" t="s">
        <v>43</v>
      </c>
      <c r="H119" s="20" t="s">
        <v>3005</v>
      </c>
      <c r="I119" s="20">
        <v>112121</v>
      </c>
      <c r="J119" s="20">
        <v>131</v>
      </c>
      <c r="K119" s="20" t="s">
        <v>20</v>
      </c>
      <c r="L119" s="20">
        <v>1</v>
      </c>
      <c r="M119" s="33">
        <v>22386412</v>
      </c>
      <c r="N119" s="33">
        <f t="shared" si="7"/>
        <v>22386412</v>
      </c>
      <c r="O119" s="20" t="s">
        <v>21</v>
      </c>
      <c r="P119" s="20">
        <f t="shared" si="16"/>
        <v>95</v>
      </c>
      <c r="Q119" s="20">
        <f t="shared" si="18"/>
        <v>48</v>
      </c>
    </row>
    <row r="120" spans="1:17" ht="15" customHeight="1" x14ac:dyDescent="0.2">
      <c r="A120" s="20" t="s">
        <v>2678</v>
      </c>
      <c r="B120" s="63">
        <v>45998</v>
      </c>
      <c r="C120" s="20">
        <f t="shared" si="13"/>
        <v>347</v>
      </c>
      <c r="D120" s="20">
        <v>1</v>
      </c>
      <c r="G120" s="32" t="s">
        <v>134</v>
      </c>
      <c r="H120" s="20" t="s">
        <v>3017</v>
      </c>
      <c r="I120" s="20">
        <v>111</v>
      </c>
      <c r="J120" s="20">
        <v>112121</v>
      </c>
      <c r="K120" s="20" t="s">
        <v>20</v>
      </c>
      <c r="L120" s="20">
        <v>1</v>
      </c>
      <c r="M120" s="33">
        <v>30000000</v>
      </c>
      <c r="N120" s="33">
        <f t="shared" si="7"/>
        <v>30000000</v>
      </c>
      <c r="O120" s="20" t="s">
        <v>21</v>
      </c>
      <c r="P120" s="20">
        <f t="shared" si="16"/>
        <v>96</v>
      </c>
      <c r="Q120" s="20">
        <f t="shared" si="10"/>
        <v>40</v>
      </c>
    </row>
    <row r="121" spans="1:17" ht="15" customHeight="1" x14ac:dyDescent="0.2">
      <c r="A121" s="20" t="s">
        <v>2678</v>
      </c>
      <c r="B121" s="63">
        <v>46002</v>
      </c>
      <c r="C121" s="20">
        <f t="shared" si="13"/>
        <v>348</v>
      </c>
      <c r="D121" s="20">
        <v>1</v>
      </c>
      <c r="G121" s="32" t="s">
        <v>3012</v>
      </c>
      <c r="H121" s="20" t="s">
        <v>3094</v>
      </c>
      <c r="I121" s="20">
        <v>6425</v>
      </c>
      <c r="J121" s="20">
        <v>112121</v>
      </c>
      <c r="K121" s="20" t="s">
        <v>20</v>
      </c>
      <c r="L121" s="20">
        <v>1</v>
      </c>
      <c r="M121" s="33">
        <v>5000</v>
      </c>
      <c r="N121" s="33">
        <f t="shared" si="7"/>
        <v>5000</v>
      </c>
      <c r="O121" s="20" t="s">
        <v>21</v>
      </c>
      <c r="P121" s="20">
        <f t="shared" si="16"/>
        <v>97</v>
      </c>
      <c r="Q121" s="20">
        <f t="shared" si="10"/>
        <v>13</v>
      </c>
    </row>
    <row r="122" spans="1:17" ht="15" customHeight="1" x14ac:dyDescent="0.2">
      <c r="A122" s="20" t="s">
        <v>2678</v>
      </c>
      <c r="B122" s="63">
        <v>46005</v>
      </c>
      <c r="C122" s="20">
        <f t="shared" si="13"/>
        <v>349</v>
      </c>
      <c r="D122" s="20">
        <v>1</v>
      </c>
      <c r="G122" s="32" t="s">
        <v>134</v>
      </c>
      <c r="H122" s="20" t="s">
        <v>3017</v>
      </c>
      <c r="I122" s="20">
        <v>111</v>
      </c>
      <c r="J122" s="20">
        <v>112121</v>
      </c>
      <c r="K122" s="20" t="s">
        <v>20</v>
      </c>
      <c r="L122" s="20">
        <v>1</v>
      </c>
      <c r="M122" s="33">
        <v>27000000</v>
      </c>
      <c r="N122" s="33">
        <f t="shared" si="7"/>
        <v>27000000</v>
      </c>
      <c r="O122" s="20" t="s">
        <v>21</v>
      </c>
      <c r="P122" s="20">
        <f t="shared" si="16"/>
        <v>98</v>
      </c>
      <c r="Q122" s="20">
        <f t="shared" si="10"/>
        <v>40</v>
      </c>
    </row>
    <row r="123" spans="1:17" ht="15" customHeight="1" x14ac:dyDescent="0.2">
      <c r="A123" s="20" t="s">
        <v>2679</v>
      </c>
      <c r="B123" s="63">
        <v>46008</v>
      </c>
      <c r="C123" s="20">
        <f t="shared" si="13"/>
        <v>350</v>
      </c>
      <c r="D123" s="20">
        <v>1</v>
      </c>
      <c r="G123" s="32" t="s">
        <v>912</v>
      </c>
      <c r="H123" s="20" t="s">
        <v>4860</v>
      </c>
      <c r="I123" s="20">
        <v>112121</v>
      </c>
      <c r="J123" s="20">
        <v>131</v>
      </c>
      <c r="K123" s="20" t="s">
        <v>20</v>
      </c>
      <c r="L123" s="20">
        <v>1</v>
      </c>
      <c r="M123" s="33">
        <v>12774194</v>
      </c>
      <c r="N123" s="33">
        <f t="shared" ref="N123:N144" si="19">L123*M123</f>
        <v>12774194</v>
      </c>
      <c r="O123" s="20" t="s">
        <v>21</v>
      </c>
      <c r="P123" s="20">
        <f t="shared" si="16"/>
        <v>99</v>
      </c>
      <c r="Q123" s="20">
        <f t="shared" si="10"/>
        <v>170</v>
      </c>
    </row>
    <row r="124" spans="1:17" ht="15" customHeight="1" x14ac:dyDescent="0.2">
      <c r="A124" s="20" t="s">
        <v>2678</v>
      </c>
      <c r="B124" s="63">
        <v>46011</v>
      </c>
      <c r="C124" s="20">
        <f t="shared" si="13"/>
        <v>351</v>
      </c>
      <c r="D124" s="20">
        <v>1</v>
      </c>
      <c r="G124" s="32" t="s">
        <v>134</v>
      </c>
      <c r="H124" s="20" t="s">
        <v>3017</v>
      </c>
      <c r="I124" s="20">
        <v>111</v>
      </c>
      <c r="J124" s="20">
        <v>112121</v>
      </c>
      <c r="K124" s="20" t="s">
        <v>20</v>
      </c>
      <c r="L124" s="20">
        <v>1</v>
      </c>
      <c r="M124" s="33">
        <v>63000000</v>
      </c>
      <c r="N124" s="33">
        <f t="shared" si="19"/>
        <v>63000000</v>
      </c>
      <c r="O124" s="20" t="s">
        <v>21</v>
      </c>
      <c r="P124" s="20">
        <f t="shared" si="16"/>
        <v>100</v>
      </c>
      <c r="Q124" s="20">
        <f t="shared" si="10"/>
        <v>40</v>
      </c>
    </row>
    <row r="125" spans="1:17" ht="15" customHeight="1" x14ac:dyDescent="0.2">
      <c r="A125" s="20" t="s">
        <v>2679</v>
      </c>
      <c r="B125" s="63">
        <v>46013</v>
      </c>
      <c r="C125" s="20">
        <f t="shared" si="13"/>
        <v>352</v>
      </c>
      <c r="D125" s="20">
        <v>1</v>
      </c>
      <c r="G125" s="32" t="s">
        <v>114</v>
      </c>
      <c r="H125" s="20" t="s">
        <v>4865</v>
      </c>
      <c r="I125" s="20">
        <v>112121</v>
      </c>
      <c r="J125" s="20">
        <v>131</v>
      </c>
      <c r="K125" s="20" t="s">
        <v>20</v>
      </c>
      <c r="L125" s="20">
        <v>1</v>
      </c>
      <c r="M125" s="33">
        <v>21290322</v>
      </c>
      <c r="N125" s="33">
        <f t="shared" si="19"/>
        <v>21290322</v>
      </c>
      <c r="O125" s="20" t="s">
        <v>21</v>
      </c>
      <c r="P125" s="20">
        <f t="shared" si="16"/>
        <v>101</v>
      </c>
      <c r="Q125" s="20">
        <f t="shared" si="10"/>
        <v>146</v>
      </c>
    </row>
    <row r="126" spans="1:17" ht="15" customHeight="1" x14ac:dyDescent="0.2">
      <c r="A126" s="20" t="s">
        <v>2679</v>
      </c>
      <c r="B126" s="63">
        <v>46013</v>
      </c>
      <c r="C126" s="20">
        <f t="shared" ref="C126:C129" si="20">C125+D126</f>
        <v>353</v>
      </c>
      <c r="D126" s="20">
        <v>1</v>
      </c>
      <c r="G126" s="32" t="s">
        <v>43</v>
      </c>
      <c r="H126" s="20" t="s">
        <v>3004</v>
      </c>
      <c r="I126" s="20">
        <v>131</v>
      </c>
      <c r="J126" s="20">
        <v>5118</v>
      </c>
      <c r="K126" s="20" t="s">
        <v>20</v>
      </c>
      <c r="L126" s="20">
        <v>1</v>
      </c>
      <c r="M126" s="33">
        <v>19776427</v>
      </c>
      <c r="N126" s="33">
        <f t="shared" si="19"/>
        <v>19776427</v>
      </c>
      <c r="O126" s="20" t="s">
        <v>21</v>
      </c>
      <c r="P126" s="20">
        <f t="shared" si="16"/>
        <v>102</v>
      </c>
      <c r="Q126" s="20">
        <f t="shared" ref="Q126:Q129" si="21">LEN(H126)</f>
        <v>43</v>
      </c>
    </row>
    <row r="127" spans="1:17" ht="15" customHeight="1" x14ac:dyDescent="0.2">
      <c r="A127" s="20" t="s">
        <v>2679</v>
      </c>
      <c r="B127" s="63">
        <v>46013</v>
      </c>
      <c r="C127" s="20">
        <f t="shared" si="20"/>
        <v>354</v>
      </c>
      <c r="D127" s="20">
        <v>1</v>
      </c>
      <c r="G127" s="32" t="s">
        <v>43</v>
      </c>
      <c r="H127" s="20" t="s">
        <v>3005</v>
      </c>
      <c r="I127" s="20">
        <v>112121</v>
      </c>
      <c r="J127" s="20">
        <v>131</v>
      </c>
      <c r="K127" s="20" t="s">
        <v>20</v>
      </c>
      <c r="L127" s="20">
        <v>1</v>
      </c>
      <c r="M127" s="33">
        <v>19776427</v>
      </c>
      <c r="N127" s="33">
        <f t="shared" si="19"/>
        <v>19776427</v>
      </c>
      <c r="O127" s="20" t="s">
        <v>21</v>
      </c>
      <c r="P127" s="20">
        <f t="shared" si="16"/>
        <v>103</v>
      </c>
      <c r="Q127" s="20">
        <f t="shared" si="21"/>
        <v>48</v>
      </c>
    </row>
    <row r="128" spans="1:17" ht="15" customHeight="1" x14ac:dyDescent="0.2">
      <c r="A128" s="20" t="s">
        <v>2679</v>
      </c>
      <c r="B128" s="63">
        <v>46013</v>
      </c>
      <c r="C128" s="20">
        <f t="shared" si="20"/>
        <v>355</v>
      </c>
      <c r="D128" s="20">
        <v>1</v>
      </c>
      <c r="G128" s="32" t="s">
        <v>43</v>
      </c>
      <c r="H128" s="20" t="s">
        <v>3004</v>
      </c>
      <c r="I128" s="20">
        <v>131</v>
      </c>
      <c r="J128" s="20">
        <v>5118</v>
      </c>
      <c r="K128" s="20" t="s">
        <v>20</v>
      </c>
      <c r="L128" s="20">
        <v>1</v>
      </c>
      <c r="M128" s="33">
        <v>17798427</v>
      </c>
      <c r="N128" s="33">
        <f t="shared" si="19"/>
        <v>17798427</v>
      </c>
      <c r="O128" s="20" t="s">
        <v>21</v>
      </c>
      <c r="P128" s="20">
        <f t="shared" si="16"/>
        <v>104</v>
      </c>
      <c r="Q128" s="20">
        <f t="shared" si="21"/>
        <v>43</v>
      </c>
    </row>
    <row r="129" spans="1:17" ht="15" customHeight="1" x14ac:dyDescent="0.2">
      <c r="A129" s="20" t="s">
        <v>2679</v>
      </c>
      <c r="B129" s="63">
        <v>46013</v>
      </c>
      <c r="C129" s="20">
        <f t="shared" si="20"/>
        <v>356</v>
      </c>
      <c r="D129" s="20">
        <v>1</v>
      </c>
      <c r="G129" s="32" t="s">
        <v>43</v>
      </c>
      <c r="H129" s="20" t="s">
        <v>3005</v>
      </c>
      <c r="I129" s="20">
        <v>112121</v>
      </c>
      <c r="J129" s="20">
        <v>131</v>
      </c>
      <c r="K129" s="20" t="s">
        <v>20</v>
      </c>
      <c r="L129" s="20">
        <v>1</v>
      </c>
      <c r="M129" s="33">
        <v>17798427</v>
      </c>
      <c r="N129" s="33">
        <f t="shared" si="19"/>
        <v>17798427</v>
      </c>
      <c r="O129" s="20" t="s">
        <v>21</v>
      </c>
      <c r="P129" s="20">
        <f t="shared" si="16"/>
        <v>105</v>
      </c>
      <c r="Q129" s="20">
        <f t="shared" si="21"/>
        <v>48</v>
      </c>
    </row>
    <row r="130" spans="1:17" ht="15" customHeight="1" x14ac:dyDescent="0.2">
      <c r="A130" s="20" t="s">
        <v>2678</v>
      </c>
      <c r="B130" s="63">
        <v>46013</v>
      </c>
      <c r="C130" s="20">
        <f t="shared" si="13"/>
        <v>357</v>
      </c>
      <c r="D130" s="20">
        <v>1</v>
      </c>
      <c r="G130" s="32" t="s">
        <v>134</v>
      </c>
      <c r="H130" s="20" t="s">
        <v>3017</v>
      </c>
      <c r="I130" s="20">
        <v>111</v>
      </c>
      <c r="J130" s="20">
        <v>112121</v>
      </c>
      <c r="K130" s="20" t="s">
        <v>20</v>
      </c>
      <c r="L130" s="20">
        <v>1</v>
      </c>
      <c r="M130" s="33">
        <v>38000000</v>
      </c>
      <c r="N130" s="33">
        <f t="shared" si="19"/>
        <v>38000000</v>
      </c>
      <c r="O130" s="20" t="s">
        <v>21</v>
      </c>
      <c r="P130" s="20">
        <f t="shared" si="16"/>
        <v>106</v>
      </c>
      <c r="Q130" s="20">
        <f t="shared" si="10"/>
        <v>40</v>
      </c>
    </row>
    <row r="131" spans="1:17" ht="15" customHeight="1" x14ac:dyDescent="0.2">
      <c r="A131" s="20" t="s">
        <v>2679</v>
      </c>
      <c r="B131" s="63">
        <v>46015</v>
      </c>
      <c r="C131" s="20">
        <f t="shared" si="13"/>
        <v>358</v>
      </c>
      <c r="D131" s="20">
        <v>1</v>
      </c>
      <c r="G131" s="32" t="s">
        <v>66</v>
      </c>
      <c r="H131" s="20" t="s">
        <v>4857</v>
      </c>
      <c r="I131" s="20">
        <v>112121</v>
      </c>
      <c r="J131" s="20">
        <v>131</v>
      </c>
      <c r="K131" s="20" t="s">
        <v>20</v>
      </c>
      <c r="L131" s="20">
        <v>1</v>
      </c>
      <c r="M131" s="33">
        <v>21290322</v>
      </c>
      <c r="N131" s="33">
        <f t="shared" si="19"/>
        <v>21290322</v>
      </c>
      <c r="O131" s="20" t="s">
        <v>21</v>
      </c>
      <c r="P131" s="20">
        <f t="shared" si="16"/>
        <v>107</v>
      </c>
      <c r="Q131" s="20">
        <f t="shared" si="10"/>
        <v>176</v>
      </c>
    </row>
    <row r="132" spans="1:17" ht="15" customHeight="1" x14ac:dyDescent="0.2">
      <c r="A132" s="20" t="s">
        <v>2678</v>
      </c>
      <c r="B132" s="63">
        <v>46018</v>
      </c>
      <c r="C132" s="20">
        <f t="shared" si="13"/>
        <v>359</v>
      </c>
      <c r="D132" s="20">
        <v>1</v>
      </c>
      <c r="G132" s="32" t="s">
        <v>134</v>
      </c>
      <c r="H132" s="20" t="s">
        <v>3017</v>
      </c>
      <c r="I132" s="20">
        <v>111</v>
      </c>
      <c r="J132" s="20">
        <v>112121</v>
      </c>
      <c r="K132" s="20" t="s">
        <v>20</v>
      </c>
      <c r="L132" s="20">
        <v>1</v>
      </c>
      <c r="M132" s="33">
        <v>80000000</v>
      </c>
      <c r="N132" s="33">
        <f t="shared" si="19"/>
        <v>80000000</v>
      </c>
      <c r="O132" s="20" t="s">
        <v>21</v>
      </c>
      <c r="P132" s="20">
        <f t="shared" si="16"/>
        <v>108</v>
      </c>
      <c r="Q132" s="20">
        <f t="shared" si="10"/>
        <v>40</v>
      </c>
    </row>
    <row r="133" spans="1:17" ht="15" customHeight="1" x14ac:dyDescent="0.2">
      <c r="A133" s="20" t="s">
        <v>2679</v>
      </c>
      <c r="B133" s="63">
        <v>46022</v>
      </c>
      <c r="C133" s="20">
        <f t="shared" si="13"/>
        <v>360</v>
      </c>
      <c r="D133" s="20">
        <v>1</v>
      </c>
      <c r="G133" s="32" t="s">
        <v>3012</v>
      </c>
      <c r="H133" s="20" t="s">
        <v>2687</v>
      </c>
      <c r="I133" s="20">
        <v>112121</v>
      </c>
      <c r="J133" s="20">
        <v>5154</v>
      </c>
      <c r="K133" s="20" t="s">
        <v>20</v>
      </c>
      <c r="L133" s="20">
        <v>1</v>
      </c>
      <c r="M133" s="33">
        <v>7642</v>
      </c>
      <c r="N133" s="33">
        <f t="shared" si="19"/>
        <v>7642</v>
      </c>
      <c r="O133" s="20" t="s">
        <v>21</v>
      </c>
      <c r="P133" s="20">
        <f t="shared" si="16"/>
        <v>109</v>
      </c>
      <c r="Q133" s="20">
        <f t="shared" si="10"/>
        <v>12</v>
      </c>
    </row>
    <row r="134" spans="1:17" ht="15" customHeight="1" x14ac:dyDescent="0.2">
      <c r="A134" s="20" t="s">
        <v>2719</v>
      </c>
      <c r="B134" s="109" t="s">
        <v>309</v>
      </c>
      <c r="C134" s="20">
        <f t="shared" si="13"/>
        <v>361</v>
      </c>
      <c r="D134" s="20">
        <v>1</v>
      </c>
      <c r="G134" s="32" t="s">
        <v>37</v>
      </c>
      <c r="H134" s="20" t="s">
        <v>4867</v>
      </c>
      <c r="I134" s="20">
        <v>331</v>
      </c>
      <c r="J134" s="20">
        <v>1111</v>
      </c>
      <c r="K134" s="20" t="s">
        <v>20</v>
      </c>
      <c r="L134" s="20">
        <v>1</v>
      </c>
      <c r="M134" s="33">
        <v>3240000</v>
      </c>
      <c r="N134" s="33">
        <f t="shared" si="19"/>
        <v>3240000</v>
      </c>
      <c r="O134" s="20" t="s">
        <v>21</v>
      </c>
      <c r="P134" s="20">
        <f t="shared" si="16"/>
        <v>110</v>
      </c>
      <c r="Q134" s="20">
        <f t="shared" ref="Q134:Q144" si="22">LEN(H134)</f>
        <v>53</v>
      </c>
    </row>
    <row r="135" spans="1:17" ht="15" customHeight="1" x14ac:dyDescent="0.2">
      <c r="A135" s="20" t="s">
        <v>2719</v>
      </c>
      <c r="B135" s="109" t="s">
        <v>309</v>
      </c>
      <c r="C135" s="20">
        <f t="shared" si="13"/>
        <v>362</v>
      </c>
      <c r="D135" s="20">
        <v>1</v>
      </c>
      <c r="G135" s="32" t="s">
        <v>277</v>
      </c>
      <c r="H135" s="20" t="s">
        <v>4868</v>
      </c>
      <c r="I135" s="20">
        <v>331</v>
      </c>
      <c r="J135" s="20">
        <v>1111</v>
      </c>
      <c r="K135" s="20" t="s">
        <v>20</v>
      </c>
      <c r="L135" s="20">
        <v>1</v>
      </c>
      <c r="M135" s="33">
        <v>11000</v>
      </c>
      <c r="N135" s="33">
        <f t="shared" si="19"/>
        <v>11000</v>
      </c>
      <c r="O135" s="20" t="s">
        <v>21</v>
      </c>
      <c r="P135" s="20">
        <f t="shared" si="16"/>
        <v>111</v>
      </c>
      <c r="Q135" s="20">
        <f t="shared" si="22"/>
        <v>38</v>
      </c>
    </row>
    <row r="136" spans="1:17" ht="15" customHeight="1" x14ac:dyDescent="0.2">
      <c r="A136" s="20" t="s">
        <v>2719</v>
      </c>
      <c r="B136" s="109" t="s">
        <v>312</v>
      </c>
      <c r="C136" s="20">
        <f t="shared" si="13"/>
        <v>363</v>
      </c>
      <c r="D136" s="20">
        <v>1</v>
      </c>
      <c r="G136" s="32" t="s">
        <v>277</v>
      </c>
      <c r="H136" s="20" t="s">
        <v>4869</v>
      </c>
      <c r="I136" s="20">
        <v>331</v>
      </c>
      <c r="J136" s="20">
        <v>1111</v>
      </c>
      <c r="K136" s="20" t="s">
        <v>20</v>
      </c>
      <c r="L136" s="20">
        <v>1</v>
      </c>
      <c r="M136" s="33">
        <v>1081370</v>
      </c>
      <c r="N136" s="33">
        <f t="shared" si="19"/>
        <v>1081370</v>
      </c>
      <c r="O136" s="20" t="s">
        <v>21</v>
      </c>
      <c r="P136" s="20">
        <f t="shared" si="16"/>
        <v>112</v>
      </c>
      <c r="Q136" s="20">
        <f t="shared" si="22"/>
        <v>38</v>
      </c>
    </row>
    <row r="137" spans="1:17" ht="15" customHeight="1" x14ac:dyDescent="0.2">
      <c r="A137" s="20" t="s">
        <v>2719</v>
      </c>
      <c r="B137" s="109" t="s">
        <v>312</v>
      </c>
      <c r="C137" s="20">
        <f t="shared" si="13"/>
        <v>364</v>
      </c>
      <c r="D137" s="20">
        <v>1</v>
      </c>
      <c r="G137" s="32" t="s">
        <v>277</v>
      </c>
      <c r="H137" s="20" t="s">
        <v>4870</v>
      </c>
      <c r="I137" s="20">
        <v>331</v>
      </c>
      <c r="J137" s="20">
        <v>1111</v>
      </c>
      <c r="K137" s="20" t="s">
        <v>20</v>
      </c>
      <c r="L137" s="20">
        <v>1</v>
      </c>
      <c r="M137" s="33">
        <v>28697</v>
      </c>
      <c r="N137" s="33">
        <f t="shared" si="19"/>
        <v>28697</v>
      </c>
      <c r="O137" s="20" t="s">
        <v>21</v>
      </c>
      <c r="P137" s="20">
        <f t="shared" si="16"/>
        <v>113</v>
      </c>
      <c r="Q137" s="20">
        <f t="shared" si="22"/>
        <v>38</v>
      </c>
    </row>
    <row r="138" spans="1:17" ht="15" customHeight="1" x14ac:dyDescent="0.2">
      <c r="A138" s="20" t="s">
        <v>2719</v>
      </c>
      <c r="B138" s="109" t="s">
        <v>316</v>
      </c>
      <c r="C138" s="20">
        <f t="shared" si="13"/>
        <v>365</v>
      </c>
      <c r="D138" s="20">
        <v>1</v>
      </c>
      <c r="G138" s="32" t="s">
        <v>37</v>
      </c>
      <c r="H138" s="20" t="s">
        <v>4871</v>
      </c>
      <c r="I138" s="20">
        <v>331</v>
      </c>
      <c r="J138" s="20">
        <v>1111</v>
      </c>
      <c r="K138" s="20" t="s">
        <v>20</v>
      </c>
      <c r="L138" s="20">
        <v>1</v>
      </c>
      <c r="M138" s="33">
        <v>3240000</v>
      </c>
      <c r="N138" s="33">
        <f t="shared" si="19"/>
        <v>3240000</v>
      </c>
      <c r="O138" s="20" t="s">
        <v>21</v>
      </c>
      <c r="P138" s="20">
        <f t="shared" si="16"/>
        <v>114</v>
      </c>
      <c r="Q138" s="20">
        <f t="shared" si="22"/>
        <v>53</v>
      </c>
    </row>
    <row r="139" spans="1:17" ht="15" customHeight="1" x14ac:dyDescent="0.2">
      <c r="A139" s="20" t="s">
        <v>2719</v>
      </c>
      <c r="B139" s="109" t="s">
        <v>602</v>
      </c>
      <c r="C139" s="20">
        <f t="shared" si="13"/>
        <v>366</v>
      </c>
      <c r="D139" s="20">
        <v>1</v>
      </c>
      <c r="G139" s="32" t="s">
        <v>277</v>
      </c>
      <c r="H139" s="20" t="s">
        <v>4872</v>
      </c>
      <c r="I139" s="20">
        <v>331</v>
      </c>
      <c r="J139" s="20">
        <v>1111</v>
      </c>
      <c r="K139" s="20" t="s">
        <v>20</v>
      </c>
      <c r="L139" s="20">
        <v>1</v>
      </c>
      <c r="M139" s="33">
        <v>7150</v>
      </c>
      <c r="N139" s="33">
        <f t="shared" si="19"/>
        <v>7150</v>
      </c>
      <c r="O139" s="20" t="s">
        <v>21</v>
      </c>
      <c r="P139" s="20">
        <f t="shared" si="16"/>
        <v>115</v>
      </c>
      <c r="Q139" s="20">
        <f t="shared" si="22"/>
        <v>38</v>
      </c>
    </row>
    <row r="140" spans="1:17" ht="15" customHeight="1" x14ac:dyDescent="0.2">
      <c r="A140" s="20" t="s">
        <v>2719</v>
      </c>
      <c r="B140" s="109" t="s">
        <v>523</v>
      </c>
      <c r="C140" s="20">
        <f t="shared" si="13"/>
        <v>367</v>
      </c>
      <c r="D140" s="20">
        <v>1</v>
      </c>
      <c r="G140" s="32" t="s">
        <v>41</v>
      </c>
      <c r="H140" s="20" t="s">
        <v>4873</v>
      </c>
      <c r="I140" s="20">
        <v>331</v>
      </c>
      <c r="J140" s="20">
        <v>1111</v>
      </c>
      <c r="K140" s="20" t="s">
        <v>20</v>
      </c>
      <c r="L140" s="20">
        <v>1</v>
      </c>
      <c r="M140" s="33">
        <v>2235600</v>
      </c>
      <c r="N140" s="33">
        <f t="shared" si="19"/>
        <v>2235600</v>
      </c>
      <c r="O140" s="20" t="s">
        <v>21</v>
      </c>
      <c r="P140" s="20">
        <f t="shared" si="16"/>
        <v>116</v>
      </c>
      <c r="Q140" s="20">
        <f t="shared" si="22"/>
        <v>55</v>
      </c>
    </row>
    <row r="141" spans="1:17" ht="15" customHeight="1" x14ac:dyDescent="0.2">
      <c r="A141" s="20" t="s">
        <v>2719</v>
      </c>
      <c r="B141" s="109" t="s">
        <v>456</v>
      </c>
      <c r="C141" s="20">
        <f t="shared" si="13"/>
        <v>368</v>
      </c>
      <c r="D141" s="20">
        <v>1</v>
      </c>
      <c r="G141" s="32" t="s">
        <v>37</v>
      </c>
      <c r="H141" s="20" t="s">
        <v>4874</v>
      </c>
      <c r="I141" s="20">
        <v>331</v>
      </c>
      <c r="J141" s="20">
        <v>1111</v>
      </c>
      <c r="K141" s="20" t="s">
        <v>20</v>
      </c>
      <c r="L141" s="20">
        <v>1</v>
      </c>
      <c r="M141" s="33">
        <v>3240000</v>
      </c>
      <c r="N141" s="33">
        <f t="shared" si="19"/>
        <v>3240000</v>
      </c>
      <c r="O141" s="20" t="s">
        <v>21</v>
      </c>
      <c r="P141" s="20">
        <f t="shared" si="16"/>
        <v>117</v>
      </c>
      <c r="Q141" s="20">
        <f t="shared" si="22"/>
        <v>53</v>
      </c>
    </row>
    <row r="142" spans="1:17" ht="15" customHeight="1" x14ac:dyDescent="0.2">
      <c r="A142" s="20" t="s">
        <v>2719</v>
      </c>
      <c r="B142" s="109" t="s">
        <v>380</v>
      </c>
      <c r="C142" s="20">
        <f t="shared" si="13"/>
        <v>369</v>
      </c>
      <c r="D142" s="20">
        <v>1</v>
      </c>
      <c r="G142" s="32" t="s">
        <v>120</v>
      </c>
      <c r="H142" s="20" t="s">
        <v>4875</v>
      </c>
      <c r="I142" s="20">
        <v>331</v>
      </c>
      <c r="J142" s="20">
        <v>1111</v>
      </c>
      <c r="K142" s="20" t="s">
        <v>20</v>
      </c>
      <c r="L142" s="20">
        <v>1</v>
      </c>
      <c r="M142" s="33">
        <v>12710425</v>
      </c>
      <c r="N142" s="33">
        <f t="shared" si="19"/>
        <v>12710425</v>
      </c>
      <c r="O142" s="20" t="s">
        <v>21</v>
      </c>
      <c r="P142" s="20">
        <f t="shared" si="16"/>
        <v>118</v>
      </c>
      <c r="Q142" s="20">
        <f t="shared" si="22"/>
        <v>50</v>
      </c>
    </row>
    <row r="143" spans="1:17" ht="15" customHeight="1" x14ac:dyDescent="0.2">
      <c r="A143" s="20" t="s">
        <v>2719</v>
      </c>
      <c r="B143" s="109" t="s">
        <v>381</v>
      </c>
      <c r="C143" s="20">
        <f t="shared" si="13"/>
        <v>370</v>
      </c>
      <c r="D143" s="20">
        <v>1</v>
      </c>
      <c r="G143" s="32" t="s">
        <v>41</v>
      </c>
      <c r="H143" s="20" t="s">
        <v>4876</v>
      </c>
      <c r="I143" s="20">
        <v>331</v>
      </c>
      <c r="J143" s="20">
        <v>1111</v>
      </c>
      <c r="K143" s="20" t="s">
        <v>20</v>
      </c>
      <c r="L143" s="20">
        <v>1</v>
      </c>
      <c r="M143" s="33">
        <v>4199040</v>
      </c>
      <c r="N143" s="33">
        <f t="shared" si="19"/>
        <v>4199040</v>
      </c>
      <c r="O143" s="20" t="s">
        <v>21</v>
      </c>
      <c r="P143" s="20">
        <f t="shared" si="16"/>
        <v>119</v>
      </c>
      <c r="Q143" s="20">
        <f t="shared" si="22"/>
        <v>55</v>
      </c>
    </row>
    <row r="144" spans="1:17" ht="15" customHeight="1" x14ac:dyDescent="0.2">
      <c r="A144" s="20" t="s">
        <v>2719</v>
      </c>
      <c r="B144" s="63">
        <v>46018</v>
      </c>
      <c r="C144" s="20">
        <f t="shared" si="13"/>
        <v>371</v>
      </c>
      <c r="D144" s="20">
        <v>1</v>
      </c>
      <c r="G144" s="32" t="s">
        <v>277</v>
      </c>
      <c r="H144" s="20" t="s">
        <v>4877</v>
      </c>
      <c r="I144" s="20">
        <v>331</v>
      </c>
      <c r="J144" s="20">
        <v>1111</v>
      </c>
      <c r="K144" s="20" t="s">
        <v>20</v>
      </c>
      <c r="L144" s="20">
        <v>1</v>
      </c>
      <c r="M144" s="33">
        <v>28732</v>
      </c>
      <c r="N144" s="33">
        <f t="shared" si="19"/>
        <v>28732</v>
      </c>
      <c r="O144" s="20" t="s">
        <v>21</v>
      </c>
      <c r="P144" s="20">
        <f t="shared" si="16"/>
        <v>120</v>
      </c>
      <c r="Q144" s="20">
        <f t="shared" si="22"/>
        <v>38</v>
      </c>
    </row>
    <row r="145" spans="1:17" ht="15" customHeight="1" x14ac:dyDescent="0.2">
      <c r="A145" s="20" t="s">
        <v>18</v>
      </c>
      <c r="B145" s="63">
        <v>45961</v>
      </c>
      <c r="C145" s="20">
        <f t="shared" ref="C145:C147" si="23">C144+D145</f>
        <v>372</v>
      </c>
      <c r="D145" s="20">
        <v>1</v>
      </c>
      <c r="G145" s="32" t="s">
        <v>93</v>
      </c>
      <c r="H145" s="20" t="s">
        <v>371</v>
      </c>
      <c r="I145" s="20">
        <v>64271</v>
      </c>
      <c r="J145" s="20">
        <v>3383</v>
      </c>
      <c r="K145" s="20" t="s">
        <v>20</v>
      </c>
      <c r="L145" s="20">
        <v>1</v>
      </c>
      <c r="M145" s="33">
        <v>690300</v>
      </c>
      <c r="N145" s="33">
        <f t="shared" ref="N145:N147" si="24">L145*M145</f>
        <v>690300</v>
      </c>
      <c r="O145" s="20" t="s">
        <v>21</v>
      </c>
      <c r="P145" s="20">
        <f t="shared" si="16"/>
        <v>121</v>
      </c>
      <c r="Q145" s="20">
        <f t="shared" ref="Q145:Q147" si="25">LEN(H145)</f>
        <v>30</v>
      </c>
    </row>
    <row r="146" spans="1:17" ht="15" customHeight="1" x14ac:dyDescent="0.2">
      <c r="A146" s="20" t="s">
        <v>18</v>
      </c>
      <c r="B146" s="63">
        <v>45991</v>
      </c>
      <c r="C146" s="20">
        <f t="shared" si="23"/>
        <v>373</v>
      </c>
      <c r="D146" s="20">
        <v>1</v>
      </c>
      <c r="G146" s="32" t="s">
        <v>93</v>
      </c>
      <c r="H146" s="20" t="s">
        <v>372</v>
      </c>
      <c r="I146" s="20">
        <v>64271</v>
      </c>
      <c r="J146" s="20">
        <v>3383</v>
      </c>
      <c r="K146" s="20" t="s">
        <v>20</v>
      </c>
      <c r="L146" s="20">
        <v>1</v>
      </c>
      <c r="M146" s="33">
        <v>690300</v>
      </c>
      <c r="N146" s="33">
        <f t="shared" si="24"/>
        <v>690300</v>
      </c>
      <c r="O146" s="20" t="s">
        <v>21</v>
      </c>
      <c r="P146" s="20">
        <f t="shared" si="16"/>
        <v>122</v>
      </c>
      <c r="Q146" s="20">
        <f t="shared" si="25"/>
        <v>30</v>
      </c>
    </row>
    <row r="147" spans="1:17" ht="15" customHeight="1" x14ac:dyDescent="0.2">
      <c r="A147" s="20" t="s">
        <v>18</v>
      </c>
      <c r="B147" s="63">
        <v>46022</v>
      </c>
      <c r="C147" s="20">
        <f t="shared" si="23"/>
        <v>374</v>
      </c>
      <c r="D147" s="20">
        <v>1</v>
      </c>
      <c r="G147" s="32" t="s">
        <v>93</v>
      </c>
      <c r="H147" s="20" t="s">
        <v>373</v>
      </c>
      <c r="I147" s="20">
        <v>64271</v>
      </c>
      <c r="J147" s="20">
        <v>3383</v>
      </c>
      <c r="K147" s="20" t="s">
        <v>20</v>
      </c>
      <c r="L147" s="20">
        <v>1</v>
      </c>
      <c r="M147" s="33">
        <v>690300</v>
      </c>
      <c r="N147" s="33">
        <f t="shared" si="24"/>
        <v>690300</v>
      </c>
      <c r="O147" s="20" t="s">
        <v>21</v>
      </c>
      <c r="P147" s="20">
        <f t="shared" si="16"/>
        <v>123</v>
      </c>
      <c r="Q147" s="20">
        <f t="shared" si="25"/>
        <v>30</v>
      </c>
    </row>
    <row r="148" spans="1:17" ht="15" customHeight="1" x14ac:dyDescent="0.2">
      <c r="A148" s="20" t="s">
        <v>2719</v>
      </c>
      <c r="B148" s="63">
        <v>45869</v>
      </c>
      <c r="C148" s="20">
        <f t="shared" ref="C148:C153" si="26">C147+D148</f>
        <v>375</v>
      </c>
      <c r="D148" s="20">
        <v>1</v>
      </c>
      <c r="G148" s="32" t="s">
        <v>93</v>
      </c>
      <c r="H148" s="20" t="s">
        <v>3863</v>
      </c>
      <c r="I148" s="20">
        <v>3383</v>
      </c>
      <c r="J148" s="20">
        <v>1111</v>
      </c>
      <c r="K148" s="20" t="s">
        <v>20</v>
      </c>
      <c r="L148" s="20">
        <v>1</v>
      </c>
      <c r="M148" s="33">
        <v>690300</v>
      </c>
      <c r="N148" s="33">
        <f t="shared" ref="N148:N153" si="27">L148*M148</f>
        <v>690300</v>
      </c>
      <c r="O148" s="20" t="s">
        <v>21</v>
      </c>
      <c r="P148" s="20">
        <f t="shared" si="16"/>
        <v>124</v>
      </c>
      <c r="Q148" s="20">
        <f t="shared" ref="Q148:Q153" si="28">LEN(H148)</f>
        <v>34</v>
      </c>
    </row>
    <row r="149" spans="1:17" ht="15" customHeight="1" x14ac:dyDescent="0.2">
      <c r="A149" s="20" t="s">
        <v>2719</v>
      </c>
      <c r="B149" s="63">
        <v>45900</v>
      </c>
      <c r="C149" s="20">
        <f t="shared" si="26"/>
        <v>376</v>
      </c>
      <c r="D149" s="20">
        <v>1</v>
      </c>
      <c r="G149" s="32" t="s">
        <v>93</v>
      </c>
      <c r="H149" s="20" t="s">
        <v>3564</v>
      </c>
      <c r="I149" s="20">
        <v>3383</v>
      </c>
      <c r="J149" s="20">
        <v>1111</v>
      </c>
      <c r="K149" s="20" t="s">
        <v>20</v>
      </c>
      <c r="L149" s="20">
        <v>1</v>
      </c>
      <c r="M149" s="33">
        <v>690300</v>
      </c>
      <c r="N149" s="33">
        <f t="shared" si="27"/>
        <v>690300</v>
      </c>
      <c r="O149" s="20" t="s">
        <v>21</v>
      </c>
      <c r="P149" s="20">
        <f t="shared" si="16"/>
        <v>125</v>
      </c>
      <c r="Q149" s="20">
        <f t="shared" si="28"/>
        <v>34</v>
      </c>
    </row>
    <row r="150" spans="1:17" ht="15" customHeight="1" x14ac:dyDescent="0.2">
      <c r="A150" s="20" t="s">
        <v>2719</v>
      </c>
      <c r="B150" s="63">
        <v>45930</v>
      </c>
      <c r="C150" s="20">
        <f t="shared" si="26"/>
        <v>377</v>
      </c>
      <c r="D150" s="20">
        <v>1</v>
      </c>
      <c r="G150" s="32" t="s">
        <v>93</v>
      </c>
      <c r="H150" s="20" t="s">
        <v>3164</v>
      </c>
      <c r="I150" s="20">
        <v>3383</v>
      </c>
      <c r="J150" s="20">
        <v>1111</v>
      </c>
      <c r="K150" s="20" t="s">
        <v>20</v>
      </c>
      <c r="L150" s="20">
        <v>1</v>
      </c>
      <c r="M150" s="33">
        <v>690300</v>
      </c>
      <c r="N150" s="33">
        <f t="shared" si="27"/>
        <v>690300</v>
      </c>
      <c r="O150" s="20" t="s">
        <v>21</v>
      </c>
      <c r="P150" s="20">
        <f t="shared" si="16"/>
        <v>126</v>
      </c>
      <c r="Q150" s="20">
        <f t="shared" si="28"/>
        <v>34</v>
      </c>
    </row>
    <row r="151" spans="1:17" ht="15" customHeight="1" x14ac:dyDescent="0.2">
      <c r="A151" s="20" t="s">
        <v>2719</v>
      </c>
      <c r="B151" s="63">
        <v>45961</v>
      </c>
      <c r="C151" s="20">
        <f t="shared" si="26"/>
        <v>378</v>
      </c>
      <c r="D151" s="20">
        <v>1</v>
      </c>
      <c r="G151" s="32" t="s">
        <v>93</v>
      </c>
      <c r="H151" s="20" t="s">
        <v>2684</v>
      </c>
      <c r="I151" s="20">
        <v>3383</v>
      </c>
      <c r="J151" s="20">
        <v>1111</v>
      </c>
      <c r="K151" s="20" t="s">
        <v>20</v>
      </c>
      <c r="L151" s="20">
        <v>1</v>
      </c>
      <c r="M151" s="33">
        <v>690300</v>
      </c>
      <c r="N151" s="33">
        <f t="shared" si="27"/>
        <v>690300</v>
      </c>
      <c r="O151" s="20" t="s">
        <v>21</v>
      </c>
      <c r="P151" s="20">
        <f t="shared" si="16"/>
        <v>127</v>
      </c>
      <c r="Q151" s="20">
        <f t="shared" si="28"/>
        <v>34</v>
      </c>
    </row>
    <row r="152" spans="1:17" ht="15" customHeight="1" x14ac:dyDescent="0.2">
      <c r="A152" s="20" t="s">
        <v>2719</v>
      </c>
      <c r="B152" s="63">
        <v>45991</v>
      </c>
      <c r="C152" s="20">
        <f t="shared" si="26"/>
        <v>379</v>
      </c>
      <c r="D152" s="20">
        <v>1</v>
      </c>
      <c r="G152" s="32" t="s">
        <v>93</v>
      </c>
      <c r="H152" s="20" t="s">
        <v>2685</v>
      </c>
      <c r="I152" s="20">
        <v>3383</v>
      </c>
      <c r="J152" s="20">
        <v>1111</v>
      </c>
      <c r="K152" s="20" t="s">
        <v>20</v>
      </c>
      <c r="L152" s="20">
        <v>1</v>
      </c>
      <c r="M152" s="33">
        <v>690300</v>
      </c>
      <c r="N152" s="33">
        <f t="shared" si="27"/>
        <v>690300</v>
      </c>
      <c r="O152" s="20" t="s">
        <v>21</v>
      </c>
      <c r="P152" s="20">
        <f t="shared" si="16"/>
        <v>128</v>
      </c>
      <c r="Q152" s="20">
        <f t="shared" si="28"/>
        <v>34</v>
      </c>
    </row>
    <row r="153" spans="1:17" ht="15" customHeight="1" x14ac:dyDescent="0.2">
      <c r="A153" s="20" t="s">
        <v>2719</v>
      </c>
      <c r="B153" s="63">
        <v>46022</v>
      </c>
      <c r="C153" s="20">
        <f t="shared" si="26"/>
        <v>380</v>
      </c>
      <c r="D153" s="20">
        <v>1</v>
      </c>
      <c r="G153" s="32" t="s">
        <v>93</v>
      </c>
      <c r="H153" s="20" t="s">
        <v>3036</v>
      </c>
      <c r="I153" s="20">
        <v>3383</v>
      </c>
      <c r="J153" s="20">
        <v>1111</v>
      </c>
      <c r="K153" s="20" t="s">
        <v>20</v>
      </c>
      <c r="L153" s="20">
        <v>1</v>
      </c>
      <c r="M153" s="33">
        <v>690300</v>
      </c>
      <c r="N153" s="33">
        <f t="shared" si="27"/>
        <v>690300</v>
      </c>
      <c r="O153" s="20" t="s">
        <v>21</v>
      </c>
      <c r="P153" s="20">
        <f t="shared" si="16"/>
        <v>129</v>
      </c>
      <c r="Q153" s="20">
        <f t="shared" si="28"/>
        <v>34</v>
      </c>
    </row>
    <row r="154" spans="1:17" ht="15" customHeight="1" x14ac:dyDescent="0.2">
      <c r="A154" s="20" t="s">
        <v>2679</v>
      </c>
      <c r="B154" s="63">
        <v>45931</v>
      </c>
      <c r="C154" s="20">
        <f t="shared" ref="C154" si="29">C153+D154</f>
        <v>381</v>
      </c>
      <c r="D154" s="20">
        <v>1</v>
      </c>
      <c r="G154" s="32" t="s">
        <v>36</v>
      </c>
      <c r="H154" s="20" t="s">
        <v>4455</v>
      </c>
      <c r="I154" s="20">
        <v>6428</v>
      </c>
      <c r="J154" s="20">
        <v>112111</v>
      </c>
      <c r="K154" s="20" t="s">
        <v>20</v>
      </c>
      <c r="L154" s="20">
        <v>1</v>
      </c>
      <c r="M154" s="33">
        <v>546983</v>
      </c>
      <c r="N154" s="33">
        <f t="shared" ref="N154" si="30">L154*M154</f>
        <v>546983</v>
      </c>
      <c r="O154" s="20" t="s">
        <v>21</v>
      </c>
      <c r="P154" s="20">
        <f t="shared" si="16"/>
        <v>130</v>
      </c>
      <c r="Q154" s="20">
        <f t="shared" ref="Q154" si="31">LEN(H154)</f>
        <v>21</v>
      </c>
    </row>
  </sheetData>
  <autoFilter ref="A3:Q153" xr:uid="{00000000-0001-0000-0A00-000000000000}"/>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Z666"/>
  <sheetViews>
    <sheetView workbookViewId="0">
      <selection activeCell="P1" sqref="P1"/>
    </sheetView>
  </sheetViews>
  <sheetFormatPr defaultRowHeight="15" customHeight="1" x14ac:dyDescent="0.25"/>
  <cols>
    <col min="1" max="1" width="9.140625" style="111" customWidth="1"/>
    <col min="2" max="2" width="10.7109375" style="121" customWidth="1"/>
    <col min="3" max="3" width="9.140625" style="111" customWidth="1"/>
    <col min="4" max="4" width="9.42578125" style="111" bestFit="1" customWidth="1"/>
    <col min="5" max="6" width="9.140625" style="111" customWidth="1"/>
    <col min="7" max="7" width="15.42578125" style="116" bestFit="1" customWidth="1"/>
    <col min="8" max="8" width="37.28515625" style="111" bestFit="1" customWidth="1"/>
    <col min="9" max="10" width="8.7109375" style="111" customWidth="1"/>
    <col min="11" max="11" width="11.42578125" style="111" bestFit="1" customWidth="1"/>
    <col min="12" max="12" width="7.28515625" style="111" bestFit="1" customWidth="1"/>
    <col min="13" max="14" width="14.85546875" style="139" bestFit="1" customWidth="1"/>
    <col min="15" max="15" width="10.7109375" style="111" customWidth="1"/>
    <col min="16" max="16" width="10.5703125" style="111" bestFit="1" customWidth="1"/>
    <col min="17" max="17" width="11.28515625" style="111" bestFit="1" customWidth="1"/>
    <col min="18" max="18" width="10.5703125" style="111" bestFit="1" customWidth="1"/>
    <col min="19" max="21" width="10.7109375" style="111" bestFit="1" customWidth="1"/>
    <col min="22" max="23" width="9.140625" style="111"/>
    <col min="24" max="24" width="9.5703125" style="111" bestFit="1" customWidth="1"/>
    <col min="25" max="25" width="10.7109375" style="111" bestFit="1" customWidth="1"/>
    <col min="26" max="26" width="9.85546875" style="111" bestFit="1" customWidth="1"/>
    <col min="27" max="16384" width="9.140625" style="111"/>
  </cols>
  <sheetData>
    <row r="1" spans="1:26" ht="15" customHeight="1" thickBot="1" x14ac:dyDescent="0.25">
      <c r="A1" s="174" t="s">
        <v>0</v>
      </c>
      <c r="B1" s="174" t="s">
        <v>1</v>
      </c>
      <c r="C1" s="174" t="s">
        <v>2</v>
      </c>
      <c r="D1" s="176" t="s">
        <v>3</v>
      </c>
      <c r="E1" s="176" t="s">
        <v>4</v>
      </c>
      <c r="F1" s="176" t="s">
        <v>5</v>
      </c>
      <c r="G1" s="181" t="s">
        <v>6</v>
      </c>
      <c r="H1" s="221" t="s">
        <v>7</v>
      </c>
      <c r="I1" s="185" t="s">
        <v>8</v>
      </c>
      <c r="J1" s="186"/>
      <c r="K1" s="174" t="s">
        <v>9</v>
      </c>
      <c r="L1" s="174" t="s">
        <v>10</v>
      </c>
      <c r="M1" s="228" t="s">
        <v>11</v>
      </c>
      <c r="N1" s="228" t="s">
        <v>12</v>
      </c>
      <c r="O1" s="110"/>
      <c r="P1" s="152" t="s">
        <v>3991</v>
      </c>
    </row>
    <row r="2" spans="1:26" ht="15" customHeight="1" thickBot="1" x14ac:dyDescent="0.3">
      <c r="A2" s="175"/>
      <c r="B2" s="175"/>
      <c r="C2" s="175"/>
      <c r="D2" s="177"/>
      <c r="E2" s="177"/>
      <c r="F2" s="223"/>
      <c r="G2" s="182"/>
      <c r="H2" s="222"/>
      <c r="I2" s="113" t="s">
        <v>13</v>
      </c>
      <c r="J2" s="113" t="s">
        <v>14</v>
      </c>
      <c r="K2" s="175"/>
      <c r="L2" s="175"/>
      <c r="M2" s="229"/>
      <c r="N2" s="229"/>
      <c r="O2" s="114"/>
    </row>
    <row r="3" spans="1:26" ht="15" customHeight="1" x14ac:dyDescent="0.25">
      <c r="A3" s="4"/>
      <c r="B3" s="5"/>
      <c r="C3" s="4">
        <v>619</v>
      </c>
      <c r="D3" s="6"/>
      <c r="E3" s="6"/>
      <c r="F3" s="6"/>
      <c r="G3" s="4" t="s">
        <v>15</v>
      </c>
      <c r="H3" s="7"/>
      <c r="I3" s="115"/>
      <c r="J3" s="115"/>
      <c r="K3" s="9"/>
      <c r="L3" s="10"/>
      <c r="M3" s="11"/>
      <c r="N3" s="11"/>
      <c r="O3" s="111" t="s">
        <v>16</v>
      </c>
      <c r="P3" s="111" t="s">
        <v>17</v>
      </c>
      <c r="U3" s="117"/>
    </row>
    <row r="4" spans="1:26" ht="15" customHeight="1" x14ac:dyDescent="0.25">
      <c r="A4" s="111" t="s">
        <v>18</v>
      </c>
      <c r="B4" s="120">
        <v>45931</v>
      </c>
      <c r="C4" s="111">
        <f t="shared" ref="C4:C67" si="0">C3+D4</f>
        <v>620</v>
      </c>
      <c r="D4" s="111">
        <v>1</v>
      </c>
      <c r="E4" s="116"/>
      <c r="G4" s="116" t="s">
        <v>51</v>
      </c>
      <c r="H4" s="111" t="s">
        <v>1182</v>
      </c>
      <c r="I4" s="111">
        <v>64277</v>
      </c>
      <c r="J4" s="111">
        <v>331</v>
      </c>
      <c r="K4" s="111" t="s">
        <v>20</v>
      </c>
      <c r="L4" s="111">
        <v>1</v>
      </c>
      <c r="M4" s="118">
        <v>480600</v>
      </c>
      <c r="N4" s="118">
        <f t="shared" ref="N4:N67" si="1">M4*L4</f>
        <v>480600</v>
      </c>
      <c r="O4" s="111" t="s">
        <v>21</v>
      </c>
      <c r="P4" s="111">
        <v>1</v>
      </c>
      <c r="S4" s="117"/>
      <c r="T4" s="117"/>
      <c r="U4" s="117"/>
      <c r="X4" s="137"/>
      <c r="Y4" s="117"/>
    </row>
    <row r="5" spans="1:26" ht="15" customHeight="1" x14ac:dyDescent="0.25">
      <c r="A5" s="111" t="s">
        <v>18</v>
      </c>
      <c r="B5" s="120">
        <v>45931</v>
      </c>
      <c r="C5" s="111">
        <f t="shared" si="0"/>
        <v>621</v>
      </c>
      <c r="D5" s="111">
        <v>1</v>
      </c>
      <c r="E5" s="116"/>
      <c r="G5" s="116" t="s">
        <v>981</v>
      </c>
      <c r="H5" s="111" t="s">
        <v>1183</v>
      </c>
      <c r="I5" s="111">
        <v>64277</v>
      </c>
      <c r="J5" s="111">
        <v>331</v>
      </c>
      <c r="K5" s="111" t="s">
        <v>20</v>
      </c>
      <c r="L5" s="111">
        <v>1</v>
      </c>
      <c r="M5" s="118">
        <v>401000</v>
      </c>
      <c r="N5" s="118">
        <f t="shared" si="1"/>
        <v>401000</v>
      </c>
      <c r="O5" s="111" t="s">
        <v>21</v>
      </c>
      <c r="P5" s="111">
        <f t="shared" ref="P5:P68" si="2">P4+D5</f>
        <v>2</v>
      </c>
      <c r="U5" s="117"/>
      <c r="W5" s="138"/>
      <c r="X5" s="137"/>
      <c r="Y5" s="137"/>
      <c r="Z5" s="117"/>
    </row>
    <row r="6" spans="1:26" ht="15" customHeight="1" x14ac:dyDescent="0.25">
      <c r="A6" s="111" t="s">
        <v>18</v>
      </c>
      <c r="B6" s="120">
        <v>45934</v>
      </c>
      <c r="C6" s="111">
        <f t="shared" si="0"/>
        <v>622</v>
      </c>
      <c r="D6" s="111">
        <v>1</v>
      </c>
      <c r="E6" s="116"/>
      <c r="G6" s="116" t="s">
        <v>48</v>
      </c>
      <c r="H6" s="111" t="s">
        <v>975</v>
      </c>
      <c r="I6" s="111">
        <v>64277</v>
      </c>
      <c r="J6" s="111">
        <v>331</v>
      </c>
      <c r="K6" s="111" t="s">
        <v>20</v>
      </c>
      <c r="L6" s="111">
        <v>1</v>
      </c>
      <c r="M6" s="118">
        <v>317101</v>
      </c>
      <c r="N6" s="118">
        <f t="shared" si="1"/>
        <v>317101</v>
      </c>
      <c r="O6" s="111" t="s">
        <v>21</v>
      </c>
      <c r="P6" s="111">
        <f t="shared" si="2"/>
        <v>3</v>
      </c>
      <c r="X6" s="137"/>
    </row>
    <row r="7" spans="1:26" ht="15" customHeight="1" x14ac:dyDescent="0.25">
      <c r="A7" s="111" t="s">
        <v>18</v>
      </c>
      <c r="B7" s="120">
        <v>45934</v>
      </c>
      <c r="C7" s="111">
        <f t="shared" si="0"/>
        <v>623</v>
      </c>
      <c r="D7" s="111">
        <v>1</v>
      </c>
      <c r="E7" s="116"/>
      <c r="G7" s="116" t="s">
        <v>982</v>
      </c>
      <c r="H7" s="111" t="s">
        <v>1184</v>
      </c>
      <c r="I7" s="111">
        <v>64277</v>
      </c>
      <c r="J7" s="111">
        <v>331</v>
      </c>
      <c r="K7" s="111" t="s">
        <v>20</v>
      </c>
      <c r="L7" s="111">
        <v>1</v>
      </c>
      <c r="M7" s="118">
        <v>280000</v>
      </c>
      <c r="N7" s="118">
        <f t="shared" si="1"/>
        <v>280000</v>
      </c>
      <c r="O7" s="111" t="s">
        <v>21</v>
      </c>
      <c r="P7" s="111">
        <f t="shared" si="2"/>
        <v>4</v>
      </c>
    </row>
    <row r="8" spans="1:26" ht="15" customHeight="1" x14ac:dyDescent="0.25">
      <c r="A8" s="111" t="s">
        <v>18</v>
      </c>
      <c r="B8" s="120">
        <v>45934</v>
      </c>
      <c r="C8" s="111">
        <f t="shared" si="0"/>
        <v>624</v>
      </c>
      <c r="D8" s="111">
        <v>1</v>
      </c>
      <c r="E8" s="116"/>
      <c r="G8" s="116" t="s">
        <v>25</v>
      </c>
      <c r="H8" s="111" t="s">
        <v>1185</v>
      </c>
      <c r="I8" s="111">
        <v>64277</v>
      </c>
      <c r="J8" s="111">
        <v>331</v>
      </c>
      <c r="K8" s="111" t="s">
        <v>20</v>
      </c>
      <c r="L8" s="111">
        <v>1</v>
      </c>
      <c r="M8" s="118">
        <v>3731399</v>
      </c>
      <c r="N8" s="118">
        <f t="shared" si="1"/>
        <v>3731399</v>
      </c>
      <c r="O8" s="111" t="s">
        <v>21</v>
      </c>
      <c r="P8" s="111">
        <f t="shared" si="2"/>
        <v>5</v>
      </c>
    </row>
    <row r="9" spans="1:26" ht="15" customHeight="1" x14ac:dyDescent="0.25">
      <c r="A9" s="111" t="s">
        <v>18</v>
      </c>
      <c r="B9" s="120">
        <v>45935</v>
      </c>
      <c r="C9" s="111">
        <f t="shared" si="0"/>
        <v>625</v>
      </c>
      <c r="D9" s="111">
        <v>1</v>
      </c>
      <c r="E9" s="116"/>
      <c r="G9" s="116" t="s">
        <v>37</v>
      </c>
      <c r="H9" s="111" t="s">
        <v>976</v>
      </c>
      <c r="I9" s="111">
        <v>64277</v>
      </c>
      <c r="J9" s="111">
        <v>331</v>
      </c>
      <c r="K9" s="111" t="s">
        <v>20</v>
      </c>
      <c r="L9" s="111">
        <v>1</v>
      </c>
      <c r="M9" s="118">
        <v>3240000</v>
      </c>
      <c r="N9" s="118">
        <f t="shared" si="1"/>
        <v>3240000</v>
      </c>
      <c r="O9" s="111" t="s">
        <v>21</v>
      </c>
      <c r="P9" s="111">
        <f t="shared" si="2"/>
        <v>6</v>
      </c>
    </row>
    <row r="10" spans="1:26" ht="15" customHeight="1" x14ac:dyDescent="0.25">
      <c r="A10" s="111" t="s">
        <v>18</v>
      </c>
      <c r="B10" s="120">
        <v>45935</v>
      </c>
      <c r="C10" s="111">
        <f t="shared" si="0"/>
        <v>626</v>
      </c>
      <c r="D10" s="111">
        <v>1</v>
      </c>
      <c r="E10" s="116"/>
      <c r="G10" s="116" t="s">
        <v>23</v>
      </c>
      <c r="H10" s="111" t="s">
        <v>1186</v>
      </c>
      <c r="I10" s="111">
        <v>64277</v>
      </c>
      <c r="J10" s="111">
        <v>331</v>
      </c>
      <c r="K10" s="111" t="s">
        <v>20</v>
      </c>
      <c r="L10" s="111">
        <v>1</v>
      </c>
      <c r="M10" s="118">
        <v>78600</v>
      </c>
      <c r="N10" s="118">
        <f t="shared" si="1"/>
        <v>78600</v>
      </c>
      <c r="O10" s="111" t="s">
        <v>21</v>
      </c>
      <c r="P10" s="111">
        <f t="shared" si="2"/>
        <v>7</v>
      </c>
    </row>
    <row r="11" spans="1:26" ht="15" customHeight="1" x14ac:dyDescent="0.25">
      <c r="A11" s="111" t="s">
        <v>18</v>
      </c>
      <c r="B11" s="120">
        <v>45936</v>
      </c>
      <c r="C11" s="111">
        <f t="shared" si="0"/>
        <v>627</v>
      </c>
      <c r="D11" s="111">
        <v>1</v>
      </c>
      <c r="E11" s="116"/>
      <c r="G11" s="116" t="s">
        <v>23</v>
      </c>
      <c r="H11" s="111" t="s">
        <v>1187</v>
      </c>
      <c r="I11" s="111">
        <v>64277</v>
      </c>
      <c r="J11" s="111">
        <v>331</v>
      </c>
      <c r="K11" s="111" t="s">
        <v>20</v>
      </c>
      <c r="L11" s="111">
        <v>1</v>
      </c>
      <c r="M11" s="118">
        <v>178000</v>
      </c>
      <c r="N11" s="118">
        <f t="shared" si="1"/>
        <v>178000</v>
      </c>
      <c r="O11" s="111" t="s">
        <v>21</v>
      </c>
      <c r="P11" s="111">
        <f t="shared" si="2"/>
        <v>8</v>
      </c>
    </row>
    <row r="12" spans="1:26" ht="15" customHeight="1" x14ac:dyDescent="0.25">
      <c r="A12" s="111" t="s">
        <v>18</v>
      </c>
      <c r="B12" s="120">
        <v>45937</v>
      </c>
      <c r="C12" s="111">
        <f t="shared" si="0"/>
        <v>628</v>
      </c>
      <c r="D12" s="111">
        <v>1</v>
      </c>
      <c r="E12" s="116"/>
      <c r="G12" s="116" t="s">
        <v>31</v>
      </c>
      <c r="H12" s="111" t="s">
        <v>1188</v>
      </c>
      <c r="I12" s="111">
        <v>64277</v>
      </c>
      <c r="J12" s="111">
        <v>331</v>
      </c>
      <c r="K12" s="111" t="s">
        <v>20</v>
      </c>
      <c r="L12" s="111">
        <v>1</v>
      </c>
      <c r="M12" s="118">
        <v>1945264</v>
      </c>
      <c r="N12" s="118">
        <f t="shared" si="1"/>
        <v>1945264</v>
      </c>
      <c r="O12" s="111" t="s">
        <v>21</v>
      </c>
      <c r="P12" s="111">
        <f t="shared" si="2"/>
        <v>9</v>
      </c>
    </row>
    <row r="13" spans="1:26" ht="15" customHeight="1" x14ac:dyDescent="0.25">
      <c r="A13" s="111" t="s">
        <v>18</v>
      </c>
      <c r="B13" s="120">
        <v>45938</v>
      </c>
      <c r="C13" s="111">
        <f t="shared" si="0"/>
        <v>629</v>
      </c>
      <c r="D13" s="111">
        <v>1</v>
      </c>
      <c r="E13" s="116"/>
      <c r="G13" s="116" t="s">
        <v>23</v>
      </c>
      <c r="H13" s="111" t="s">
        <v>1189</v>
      </c>
      <c r="I13" s="111">
        <v>64277</v>
      </c>
      <c r="J13" s="111">
        <v>331</v>
      </c>
      <c r="K13" s="111" t="s">
        <v>20</v>
      </c>
      <c r="L13" s="111">
        <v>1</v>
      </c>
      <c r="M13" s="118">
        <v>107000</v>
      </c>
      <c r="N13" s="118">
        <f t="shared" si="1"/>
        <v>107000</v>
      </c>
      <c r="O13" s="111" t="s">
        <v>21</v>
      </c>
      <c r="P13" s="111">
        <f t="shared" si="2"/>
        <v>10</v>
      </c>
    </row>
    <row r="14" spans="1:26" ht="15" customHeight="1" x14ac:dyDescent="0.25">
      <c r="A14" s="111" t="s">
        <v>18</v>
      </c>
      <c r="B14" s="120">
        <v>45939</v>
      </c>
      <c r="C14" s="111">
        <f t="shared" si="0"/>
        <v>630</v>
      </c>
      <c r="D14" s="111">
        <v>1</v>
      </c>
      <c r="E14" s="116"/>
      <c r="G14" s="116" t="s">
        <v>28</v>
      </c>
      <c r="H14" s="111" t="s">
        <v>1190</v>
      </c>
      <c r="I14" s="111">
        <v>64277</v>
      </c>
      <c r="J14" s="111">
        <v>331</v>
      </c>
      <c r="K14" s="111" t="s">
        <v>20</v>
      </c>
      <c r="L14" s="111">
        <v>1</v>
      </c>
      <c r="M14" s="118">
        <v>943920</v>
      </c>
      <c r="N14" s="118">
        <f t="shared" si="1"/>
        <v>943920</v>
      </c>
      <c r="O14" s="111" t="s">
        <v>21</v>
      </c>
      <c r="P14" s="111">
        <f t="shared" si="2"/>
        <v>11</v>
      </c>
    </row>
    <row r="15" spans="1:26" ht="15" customHeight="1" x14ac:dyDescent="0.25">
      <c r="A15" s="111" t="s">
        <v>18</v>
      </c>
      <c r="B15" s="120">
        <v>45939</v>
      </c>
      <c r="C15" s="111">
        <f t="shared" si="0"/>
        <v>631</v>
      </c>
      <c r="D15" s="111">
        <v>1</v>
      </c>
      <c r="E15" s="116"/>
      <c r="G15" s="116" t="s">
        <v>24</v>
      </c>
      <c r="H15" s="111" t="s">
        <v>1051</v>
      </c>
      <c r="I15" s="111">
        <v>64277</v>
      </c>
      <c r="J15" s="111">
        <v>331</v>
      </c>
      <c r="K15" s="111" t="s">
        <v>20</v>
      </c>
      <c r="L15" s="111">
        <v>1</v>
      </c>
      <c r="M15" s="118">
        <v>53000</v>
      </c>
      <c r="N15" s="118">
        <f t="shared" si="1"/>
        <v>53000</v>
      </c>
      <c r="O15" s="111" t="s">
        <v>21</v>
      </c>
      <c r="P15" s="111">
        <f t="shared" si="2"/>
        <v>12</v>
      </c>
    </row>
    <row r="16" spans="1:26" ht="15" customHeight="1" x14ac:dyDescent="0.25">
      <c r="A16" s="111" t="s">
        <v>18</v>
      </c>
      <c r="B16" s="120">
        <v>45939</v>
      </c>
      <c r="C16" s="111">
        <f t="shared" si="0"/>
        <v>632</v>
      </c>
      <c r="D16" s="111">
        <v>1</v>
      </c>
      <c r="E16" s="116"/>
      <c r="G16" s="116" t="s">
        <v>19</v>
      </c>
      <c r="H16" s="111" t="s">
        <v>1052</v>
      </c>
      <c r="I16" s="111">
        <v>64277</v>
      </c>
      <c r="J16" s="111">
        <v>331</v>
      </c>
      <c r="K16" s="111" t="s">
        <v>20</v>
      </c>
      <c r="L16" s="111">
        <v>1</v>
      </c>
      <c r="M16" s="118">
        <v>46000</v>
      </c>
      <c r="N16" s="118">
        <f t="shared" si="1"/>
        <v>46000</v>
      </c>
      <c r="O16" s="111" t="s">
        <v>21</v>
      </c>
      <c r="P16" s="111">
        <f t="shared" si="2"/>
        <v>13</v>
      </c>
    </row>
    <row r="17" spans="1:16" ht="15" customHeight="1" x14ac:dyDescent="0.25">
      <c r="A17" s="111" t="s">
        <v>18</v>
      </c>
      <c r="B17" s="120">
        <v>45940</v>
      </c>
      <c r="C17" s="111">
        <f t="shared" si="0"/>
        <v>633</v>
      </c>
      <c r="D17" s="111">
        <v>1</v>
      </c>
      <c r="E17" s="116"/>
      <c r="G17" s="116" t="s">
        <v>23</v>
      </c>
      <c r="H17" s="111" t="s">
        <v>1191</v>
      </c>
      <c r="I17" s="111">
        <v>64277</v>
      </c>
      <c r="J17" s="111">
        <v>331</v>
      </c>
      <c r="K17" s="111" t="s">
        <v>20</v>
      </c>
      <c r="L17" s="111">
        <v>1</v>
      </c>
      <c r="M17" s="118">
        <v>1287000</v>
      </c>
      <c r="N17" s="118">
        <f t="shared" si="1"/>
        <v>1287000</v>
      </c>
      <c r="O17" s="111" t="s">
        <v>21</v>
      </c>
      <c r="P17" s="111">
        <f t="shared" si="2"/>
        <v>14</v>
      </c>
    </row>
    <row r="18" spans="1:16" ht="15" customHeight="1" x14ac:dyDescent="0.25">
      <c r="A18" s="111" t="s">
        <v>18</v>
      </c>
      <c r="B18" s="120">
        <v>45941</v>
      </c>
      <c r="C18" s="111">
        <f t="shared" si="0"/>
        <v>634</v>
      </c>
      <c r="D18" s="111">
        <v>1</v>
      </c>
      <c r="E18" s="116"/>
      <c r="G18" s="116" t="s">
        <v>983</v>
      </c>
      <c r="H18" s="111" t="s">
        <v>1192</v>
      </c>
      <c r="I18" s="111">
        <v>64277</v>
      </c>
      <c r="J18" s="111">
        <v>331</v>
      </c>
      <c r="K18" s="111" t="s">
        <v>20</v>
      </c>
      <c r="L18" s="111">
        <v>1</v>
      </c>
      <c r="M18" s="118">
        <v>1126062</v>
      </c>
      <c r="N18" s="118">
        <f t="shared" si="1"/>
        <v>1126062</v>
      </c>
      <c r="O18" s="111" t="s">
        <v>21</v>
      </c>
      <c r="P18" s="111">
        <f t="shared" si="2"/>
        <v>15</v>
      </c>
    </row>
    <row r="19" spans="1:16" ht="15" customHeight="1" x14ac:dyDescent="0.25">
      <c r="A19" s="111" t="s">
        <v>18</v>
      </c>
      <c r="B19" s="120">
        <v>45941</v>
      </c>
      <c r="C19" s="111">
        <f t="shared" si="0"/>
        <v>635</v>
      </c>
      <c r="D19" s="111">
        <v>1</v>
      </c>
      <c r="E19" s="116"/>
      <c r="G19" s="116" t="s">
        <v>984</v>
      </c>
      <c r="H19" s="111" t="s">
        <v>1193</v>
      </c>
      <c r="I19" s="111">
        <v>64277</v>
      </c>
      <c r="J19" s="111">
        <v>331</v>
      </c>
      <c r="K19" s="111" t="s">
        <v>20</v>
      </c>
      <c r="L19" s="111">
        <v>1</v>
      </c>
      <c r="M19" s="118">
        <v>329000</v>
      </c>
      <c r="N19" s="118">
        <f t="shared" si="1"/>
        <v>329000</v>
      </c>
      <c r="O19" s="111" t="s">
        <v>21</v>
      </c>
      <c r="P19" s="111">
        <f t="shared" si="2"/>
        <v>16</v>
      </c>
    </row>
    <row r="20" spans="1:16" ht="15" customHeight="1" x14ac:dyDescent="0.25">
      <c r="A20" s="111" t="s">
        <v>18</v>
      </c>
      <c r="B20" s="120">
        <v>45941</v>
      </c>
      <c r="C20" s="111">
        <f t="shared" si="0"/>
        <v>636</v>
      </c>
      <c r="D20" s="111">
        <v>1</v>
      </c>
      <c r="E20" s="116"/>
      <c r="G20" s="116" t="s">
        <v>985</v>
      </c>
      <c r="H20" s="111" t="s">
        <v>1194</v>
      </c>
      <c r="I20" s="111">
        <v>64276</v>
      </c>
      <c r="J20" s="111">
        <v>331</v>
      </c>
      <c r="K20" s="111" t="s">
        <v>20</v>
      </c>
      <c r="L20" s="111">
        <v>1</v>
      </c>
      <c r="M20" s="118">
        <v>4580000</v>
      </c>
      <c r="N20" s="118">
        <f t="shared" si="1"/>
        <v>4580000</v>
      </c>
      <c r="O20" s="111" t="s">
        <v>21</v>
      </c>
      <c r="P20" s="111">
        <f t="shared" si="2"/>
        <v>17</v>
      </c>
    </row>
    <row r="21" spans="1:16" ht="15" customHeight="1" x14ac:dyDescent="0.25">
      <c r="A21" s="111" t="s">
        <v>18</v>
      </c>
      <c r="B21" s="120">
        <v>45941</v>
      </c>
      <c r="C21" s="111">
        <f t="shared" si="0"/>
        <v>637</v>
      </c>
      <c r="D21" s="111">
        <v>1</v>
      </c>
      <c r="E21" s="116"/>
      <c r="G21" s="116" t="s">
        <v>19</v>
      </c>
      <c r="H21" s="111" t="s">
        <v>1053</v>
      </c>
      <c r="I21" s="111">
        <v>64277</v>
      </c>
      <c r="J21" s="111">
        <v>331</v>
      </c>
      <c r="K21" s="111" t="s">
        <v>20</v>
      </c>
      <c r="L21" s="111">
        <v>1</v>
      </c>
      <c r="M21" s="118">
        <v>26000</v>
      </c>
      <c r="N21" s="118">
        <f t="shared" si="1"/>
        <v>26000</v>
      </c>
      <c r="O21" s="111" t="s">
        <v>21</v>
      </c>
      <c r="P21" s="111">
        <f t="shared" si="2"/>
        <v>18</v>
      </c>
    </row>
    <row r="22" spans="1:16" ht="15" customHeight="1" x14ac:dyDescent="0.25">
      <c r="A22" s="111" t="s">
        <v>18</v>
      </c>
      <c r="B22" s="120">
        <v>45942</v>
      </c>
      <c r="C22" s="111">
        <f t="shared" si="0"/>
        <v>638</v>
      </c>
      <c r="D22" s="111">
        <v>1</v>
      </c>
      <c r="E22" s="116"/>
      <c r="G22" s="116" t="s">
        <v>51</v>
      </c>
      <c r="H22" s="111" t="s">
        <v>1195</v>
      </c>
      <c r="I22" s="111">
        <v>64277</v>
      </c>
      <c r="J22" s="111">
        <v>331</v>
      </c>
      <c r="K22" s="111" t="s">
        <v>20</v>
      </c>
      <c r="L22" s="111">
        <v>1</v>
      </c>
      <c r="M22" s="118">
        <v>615600</v>
      </c>
      <c r="N22" s="118">
        <f t="shared" si="1"/>
        <v>615600</v>
      </c>
      <c r="O22" s="111" t="s">
        <v>21</v>
      </c>
      <c r="P22" s="111">
        <f t="shared" si="2"/>
        <v>19</v>
      </c>
    </row>
    <row r="23" spans="1:16" ht="15" customHeight="1" x14ac:dyDescent="0.25">
      <c r="A23" s="111" t="s">
        <v>18</v>
      </c>
      <c r="B23" s="120">
        <v>45944</v>
      </c>
      <c r="C23" s="111">
        <f t="shared" si="0"/>
        <v>639</v>
      </c>
      <c r="D23" s="111">
        <v>1</v>
      </c>
      <c r="E23" s="116"/>
      <c r="G23" s="116" t="s">
        <v>986</v>
      </c>
      <c r="H23" s="111" t="s">
        <v>1196</v>
      </c>
      <c r="I23" s="111">
        <v>64277</v>
      </c>
      <c r="J23" s="111">
        <v>331</v>
      </c>
      <c r="K23" s="111" t="s">
        <v>20</v>
      </c>
      <c r="L23" s="111">
        <v>1</v>
      </c>
      <c r="M23" s="118">
        <v>2971080</v>
      </c>
      <c r="N23" s="118">
        <f t="shared" si="1"/>
        <v>2971080</v>
      </c>
      <c r="O23" s="111" t="s">
        <v>21</v>
      </c>
      <c r="P23" s="111">
        <f t="shared" si="2"/>
        <v>20</v>
      </c>
    </row>
    <row r="24" spans="1:16" ht="15" customHeight="1" x14ac:dyDescent="0.25">
      <c r="A24" s="111" t="s">
        <v>18</v>
      </c>
      <c r="B24" s="120">
        <v>45944</v>
      </c>
      <c r="C24" s="111">
        <f t="shared" si="0"/>
        <v>640</v>
      </c>
      <c r="D24" s="111">
        <v>1</v>
      </c>
      <c r="E24" s="116"/>
      <c r="G24" s="116" t="s">
        <v>987</v>
      </c>
      <c r="H24" s="111" t="s">
        <v>1197</v>
      </c>
      <c r="I24" s="111">
        <v>64277</v>
      </c>
      <c r="J24" s="111">
        <v>331</v>
      </c>
      <c r="K24" s="111" t="s">
        <v>20</v>
      </c>
      <c r="L24" s="111">
        <v>1</v>
      </c>
      <c r="M24" s="118">
        <v>355000</v>
      </c>
      <c r="N24" s="118">
        <f t="shared" si="1"/>
        <v>355000</v>
      </c>
      <c r="O24" s="111" t="s">
        <v>21</v>
      </c>
      <c r="P24" s="111">
        <f t="shared" si="2"/>
        <v>21</v>
      </c>
    </row>
    <row r="25" spans="1:16" ht="15" customHeight="1" x14ac:dyDescent="0.25">
      <c r="A25" s="111" t="s">
        <v>18</v>
      </c>
      <c r="B25" s="120">
        <v>45944</v>
      </c>
      <c r="C25" s="111">
        <f t="shared" si="0"/>
        <v>641</v>
      </c>
      <c r="D25" s="111">
        <v>1</v>
      </c>
      <c r="E25" s="116"/>
      <c r="G25" s="116" t="s">
        <v>23</v>
      </c>
      <c r="H25" s="111" t="s">
        <v>1198</v>
      </c>
      <c r="I25" s="111">
        <v>64277</v>
      </c>
      <c r="J25" s="111">
        <v>331</v>
      </c>
      <c r="K25" s="111" t="s">
        <v>20</v>
      </c>
      <c r="L25" s="111">
        <v>1</v>
      </c>
      <c r="M25" s="118">
        <v>89000</v>
      </c>
      <c r="N25" s="118">
        <f t="shared" si="1"/>
        <v>89000</v>
      </c>
      <c r="O25" s="111" t="s">
        <v>21</v>
      </c>
      <c r="P25" s="111">
        <f t="shared" si="2"/>
        <v>22</v>
      </c>
    </row>
    <row r="26" spans="1:16" ht="15" customHeight="1" x14ac:dyDescent="0.25">
      <c r="A26" s="111" t="s">
        <v>18</v>
      </c>
      <c r="B26" s="120">
        <v>45944</v>
      </c>
      <c r="C26" s="111">
        <f t="shared" si="0"/>
        <v>642</v>
      </c>
      <c r="D26" s="111">
        <v>1</v>
      </c>
      <c r="E26" s="116"/>
      <c r="G26" s="116" t="s">
        <v>24</v>
      </c>
      <c r="H26" s="111" t="s">
        <v>1054</v>
      </c>
      <c r="I26" s="111">
        <v>64277</v>
      </c>
      <c r="J26" s="111">
        <v>331</v>
      </c>
      <c r="K26" s="111" t="s">
        <v>20</v>
      </c>
      <c r="L26" s="111">
        <v>1</v>
      </c>
      <c r="M26" s="118">
        <v>15000</v>
      </c>
      <c r="N26" s="118">
        <f t="shared" si="1"/>
        <v>15000</v>
      </c>
      <c r="O26" s="111" t="s">
        <v>21</v>
      </c>
      <c r="P26" s="111">
        <f t="shared" si="2"/>
        <v>23</v>
      </c>
    </row>
    <row r="27" spans="1:16" ht="15" customHeight="1" x14ac:dyDescent="0.25">
      <c r="A27" s="111" t="s">
        <v>18</v>
      </c>
      <c r="B27" s="120">
        <v>45944</v>
      </c>
      <c r="C27" s="111">
        <f t="shared" si="0"/>
        <v>643</v>
      </c>
      <c r="D27" s="111">
        <v>1</v>
      </c>
      <c r="E27" s="116"/>
      <c r="G27" s="116" t="s">
        <v>19</v>
      </c>
      <c r="H27" s="111" t="s">
        <v>1055</v>
      </c>
      <c r="I27" s="111">
        <v>64277</v>
      </c>
      <c r="J27" s="111">
        <v>331</v>
      </c>
      <c r="K27" s="111" t="s">
        <v>20</v>
      </c>
      <c r="L27" s="111">
        <v>1</v>
      </c>
      <c r="M27" s="118">
        <v>45000</v>
      </c>
      <c r="N27" s="118">
        <f t="shared" si="1"/>
        <v>45000</v>
      </c>
      <c r="O27" s="111" t="s">
        <v>21</v>
      </c>
      <c r="P27" s="111">
        <f t="shared" si="2"/>
        <v>24</v>
      </c>
    </row>
    <row r="28" spans="1:16" ht="15" customHeight="1" x14ac:dyDescent="0.25">
      <c r="A28" s="111" t="s">
        <v>18</v>
      </c>
      <c r="B28" s="120">
        <v>45945</v>
      </c>
      <c r="C28" s="111">
        <f t="shared" si="0"/>
        <v>644</v>
      </c>
      <c r="D28" s="111">
        <v>1</v>
      </c>
      <c r="E28" s="116"/>
      <c r="G28" s="116" t="s">
        <v>27</v>
      </c>
      <c r="H28" s="111" t="s">
        <v>1177</v>
      </c>
      <c r="I28" s="111">
        <v>64277</v>
      </c>
      <c r="J28" s="111">
        <v>331</v>
      </c>
      <c r="K28" s="111" t="s">
        <v>20</v>
      </c>
      <c r="L28" s="111">
        <v>1</v>
      </c>
      <c r="M28" s="118">
        <v>159840</v>
      </c>
      <c r="N28" s="118">
        <f t="shared" si="1"/>
        <v>159840</v>
      </c>
      <c r="O28" s="111" t="s">
        <v>21</v>
      </c>
      <c r="P28" s="111">
        <f t="shared" si="2"/>
        <v>25</v>
      </c>
    </row>
    <row r="29" spans="1:16" ht="15" customHeight="1" x14ac:dyDescent="0.25">
      <c r="A29" s="111" t="s">
        <v>18</v>
      </c>
      <c r="B29" s="120">
        <v>45945</v>
      </c>
      <c r="C29" s="111">
        <f t="shared" si="0"/>
        <v>645</v>
      </c>
      <c r="D29" s="111">
        <v>1</v>
      </c>
      <c r="E29" s="116"/>
      <c r="G29" s="116" t="s">
        <v>988</v>
      </c>
      <c r="H29" s="111" t="s">
        <v>1199</v>
      </c>
      <c r="I29" s="111">
        <v>64277</v>
      </c>
      <c r="J29" s="111">
        <v>331</v>
      </c>
      <c r="K29" s="111" t="s">
        <v>20</v>
      </c>
      <c r="L29" s="111">
        <v>1</v>
      </c>
      <c r="M29" s="118">
        <v>150000</v>
      </c>
      <c r="N29" s="118">
        <f t="shared" si="1"/>
        <v>150000</v>
      </c>
      <c r="O29" s="111" t="s">
        <v>21</v>
      </c>
      <c r="P29" s="111">
        <f t="shared" si="2"/>
        <v>26</v>
      </c>
    </row>
    <row r="30" spans="1:16" ht="15" customHeight="1" x14ac:dyDescent="0.25">
      <c r="A30" s="111" t="s">
        <v>18</v>
      </c>
      <c r="B30" s="120">
        <v>45945</v>
      </c>
      <c r="C30" s="111">
        <f t="shared" si="0"/>
        <v>646</v>
      </c>
      <c r="D30" s="111">
        <v>1</v>
      </c>
      <c r="E30" s="116"/>
      <c r="G30" s="116" t="s">
        <v>989</v>
      </c>
      <c r="H30" s="111" t="s">
        <v>1200</v>
      </c>
      <c r="I30" s="111">
        <v>64277</v>
      </c>
      <c r="J30" s="111">
        <v>331</v>
      </c>
      <c r="K30" s="111" t="s">
        <v>20</v>
      </c>
      <c r="L30" s="111">
        <v>1</v>
      </c>
      <c r="M30" s="118">
        <v>216000</v>
      </c>
      <c r="N30" s="118">
        <f t="shared" si="1"/>
        <v>216000</v>
      </c>
      <c r="O30" s="111" t="s">
        <v>21</v>
      </c>
      <c r="P30" s="111">
        <f t="shared" si="2"/>
        <v>27</v>
      </c>
    </row>
    <row r="31" spans="1:16" ht="15" customHeight="1" x14ac:dyDescent="0.25">
      <c r="A31" s="111" t="s">
        <v>18</v>
      </c>
      <c r="B31" s="120">
        <v>45945</v>
      </c>
      <c r="C31" s="111">
        <f t="shared" si="0"/>
        <v>647</v>
      </c>
      <c r="D31" s="111">
        <v>1</v>
      </c>
      <c r="E31" s="116"/>
      <c r="G31" s="116" t="s">
        <v>19</v>
      </c>
      <c r="H31" s="111" t="s">
        <v>1056</v>
      </c>
      <c r="I31" s="111">
        <v>64277</v>
      </c>
      <c r="J31" s="111">
        <v>331</v>
      </c>
      <c r="K31" s="111" t="s">
        <v>20</v>
      </c>
      <c r="L31" s="111">
        <v>1</v>
      </c>
      <c r="M31" s="118">
        <v>29000</v>
      </c>
      <c r="N31" s="118">
        <f t="shared" si="1"/>
        <v>29000</v>
      </c>
      <c r="O31" s="111" t="s">
        <v>21</v>
      </c>
      <c r="P31" s="111">
        <f t="shared" si="2"/>
        <v>28</v>
      </c>
    </row>
    <row r="32" spans="1:16" ht="15" customHeight="1" x14ac:dyDescent="0.25">
      <c r="A32" s="111" t="s">
        <v>18</v>
      </c>
      <c r="B32" s="120">
        <v>45946</v>
      </c>
      <c r="C32" s="111">
        <f t="shared" si="0"/>
        <v>648</v>
      </c>
      <c r="D32" s="111">
        <v>1</v>
      </c>
      <c r="E32" s="116"/>
      <c r="G32" s="116" t="s">
        <v>33</v>
      </c>
      <c r="H32" s="111" t="s">
        <v>1201</v>
      </c>
      <c r="I32" s="111">
        <v>64277</v>
      </c>
      <c r="J32" s="111">
        <v>331</v>
      </c>
      <c r="K32" s="111" t="s">
        <v>20</v>
      </c>
      <c r="L32" s="111">
        <v>1</v>
      </c>
      <c r="M32" s="118">
        <v>1291498</v>
      </c>
      <c r="N32" s="118">
        <f t="shared" si="1"/>
        <v>1291498</v>
      </c>
      <c r="O32" s="111" t="s">
        <v>21</v>
      </c>
      <c r="P32" s="111">
        <f t="shared" si="2"/>
        <v>29</v>
      </c>
    </row>
    <row r="33" spans="1:16" ht="15" customHeight="1" x14ac:dyDescent="0.25">
      <c r="A33" s="111" t="s">
        <v>18</v>
      </c>
      <c r="B33" s="120">
        <v>45946</v>
      </c>
      <c r="C33" s="111">
        <f t="shared" si="0"/>
        <v>649</v>
      </c>
      <c r="D33" s="111">
        <v>1</v>
      </c>
      <c r="E33" s="116"/>
      <c r="G33" s="116" t="s">
        <v>23</v>
      </c>
      <c r="H33" s="111" t="s">
        <v>1202</v>
      </c>
      <c r="I33" s="111">
        <v>64277</v>
      </c>
      <c r="J33" s="111">
        <v>331</v>
      </c>
      <c r="K33" s="111" t="s">
        <v>20</v>
      </c>
      <c r="L33" s="111">
        <v>1</v>
      </c>
      <c r="M33" s="118">
        <v>452000</v>
      </c>
      <c r="N33" s="118">
        <f t="shared" si="1"/>
        <v>452000</v>
      </c>
      <c r="O33" s="111" t="s">
        <v>21</v>
      </c>
      <c r="P33" s="111">
        <f t="shared" si="2"/>
        <v>30</v>
      </c>
    </row>
    <row r="34" spans="1:16" ht="15" customHeight="1" x14ac:dyDescent="0.25">
      <c r="A34" s="111" t="s">
        <v>18</v>
      </c>
      <c r="B34" s="120">
        <v>45946</v>
      </c>
      <c r="C34" s="111">
        <f t="shared" si="0"/>
        <v>650</v>
      </c>
      <c r="D34" s="111">
        <v>1</v>
      </c>
      <c r="E34" s="116"/>
      <c r="G34" s="116" t="s">
        <v>19</v>
      </c>
      <c r="H34" s="111" t="s">
        <v>1057</v>
      </c>
      <c r="I34" s="111">
        <v>64277</v>
      </c>
      <c r="J34" s="111">
        <v>331</v>
      </c>
      <c r="K34" s="111" t="s">
        <v>20</v>
      </c>
      <c r="L34" s="111">
        <v>1</v>
      </c>
      <c r="M34" s="118">
        <v>103000</v>
      </c>
      <c r="N34" s="118">
        <f t="shared" si="1"/>
        <v>103000</v>
      </c>
      <c r="O34" s="111" t="s">
        <v>21</v>
      </c>
      <c r="P34" s="111">
        <f t="shared" si="2"/>
        <v>31</v>
      </c>
    </row>
    <row r="35" spans="1:16" ht="15" customHeight="1" x14ac:dyDescent="0.25">
      <c r="A35" s="111" t="s">
        <v>18</v>
      </c>
      <c r="B35" s="120">
        <v>45946</v>
      </c>
      <c r="C35" s="111">
        <f t="shared" si="0"/>
        <v>651</v>
      </c>
      <c r="D35" s="111">
        <v>1</v>
      </c>
      <c r="E35" s="116"/>
      <c r="G35" s="116" t="s">
        <v>19</v>
      </c>
      <c r="H35" s="111" t="s">
        <v>1058</v>
      </c>
      <c r="I35" s="111">
        <v>64277</v>
      </c>
      <c r="J35" s="111">
        <v>331</v>
      </c>
      <c r="K35" s="111" t="s">
        <v>20</v>
      </c>
      <c r="L35" s="111">
        <v>1</v>
      </c>
      <c r="M35" s="118">
        <v>125000</v>
      </c>
      <c r="N35" s="118">
        <f t="shared" si="1"/>
        <v>125000</v>
      </c>
      <c r="O35" s="111" t="s">
        <v>21</v>
      </c>
      <c r="P35" s="111">
        <f t="shared" si="2"/>
        <v>32</v>
      </c>
    </row>
    <row r="36" spans="1:16" ht="15" customHeight="1" x14ac:dyDescent="0.25">
      <c r="A36" s="111" t="s">
        <v>18</v>
      </c>
      <c r="B36" s="120">
        <v>45947</v>
      </c>
      <c r="C36" s="111">
        <f t="shared" si="0"/>
        <v>652</v>
      </c>
      <c r="D36" s="111">
        <v>1</v>
      </c>
      <c r="E36" s="116"/>
      <c r="G36" s="116" t="s">
        <v>989</v>
      </c>
      <c r="H36" s="111" t="s">
        <v>1203</v>
      </c>
      <c r="I36" s="111">
        <v>64277</v>
      </c>
      <c r="J36" s="111">
        <v>331</v>
      </c>
      <c r="K36" s="111" t="s">
        <v>20</v>
      </c>
      <c r="L36" s="111">
        <v>1</v>
      </c>
      <c r="M36" s="118">
        <v>216000</v>
      </c>
      <c r="N36" s="118">
        <f t="shared" si="1"/>
        <v>216000</v>
      </c>
      <c r="O36" s="111" t="s">
        <v>21</v>
      </c>
      <c r="P36" s="111">
        <f t="shared" si="2"/>
        <v>33</v>
      </c>
    </row>
    <row r="37" spans="1:16" ht="15" customHeight="1" x14ac:dyDescent="0.25">
      <c r="A37" s="111" t="s">
        <v>18</v>
      </c>
      <c r="B37" s="120">
        <v>45947</v>
      </c>
      <c r="C37" s="111">
        <f t="shared" si="0"/>
        <v>653</v>
      </c>
      <c r="D37" s="111">
        <v>1</v>
      </c>
      <c r="E37" s="116"/>
      <c r="G37" s="116" t="s">
        <v>121</v>
      </c>
      <c r="H37" s="111" t="s">
        <v>1204</v>
      </c>
      <c r="I37" s="111">
        <v>64277</v>
      </c>
      <c r="J37" s="111">
        <v>331</v>
      </c>
      <c r="K37" s="111" t="s">
        <v>20</v>
      </c>
      <c r="L37" s="111">
        <v>1</v>
      </c>
      <c r="M37" s="118">
        <v>1400760</v>
      </c>
      <c r="N37" s="118">
        <f t="shared" si="1"/>
        <v>1400760</v>
      </c>
      <c r="O37" s="111" t="s">
        <v>21</v>
      </c>
      <c r="P37" s="111">
        <f t="shared" si="2"/>
        <v>34</v>
      </c>
    </row>
    <row r="38" spans="1:16" ht="15" customHeight="1" x14ac:dyDescent="0.25">
      <c r="A38" s="111" t="s">
        <v>18</v>
      </c>
      <c r="B38" s="120">
        <v>45947</v>
      </c>
      <c r="C38" s="111">
        <f t="shared" si="0"/>
        <v>654</v>
      </c>
      <c r="D38" s="111">
        <v>1</v>
      </c>
      <c r="E38" s="116"/>
      <c r="G38" s="116" t="s">
        <v>990</v>
      </c>
      <c r="H38" s="111" t="s">
        <v>1205</v>
      </c>
      <c r="I38" s="111">
        <v>64277</v>
      </c>
      <c r="J38" s="111">
        <v>331</v>
      </c>
      <c r="K38" s="111" t="s">
        <v>20</v>
      </c>
      <c r="L38" s="111">
        <v>1</v>
      </c>
      <c r="M38" s="118">
        <v>334530</v>
      </c>
      <c r="N38" s="118">
        <f t="shared" si="1"/>
        <v>334530</v>
      </c>
      <c r="O38" s="111" t="s">
        <v>21</v>
      </c>
      <c r="P38" s="111">
        <f t="shared" si="2"/>
        <v>35</v>
      </c>
    </row>
    <row r="39" spans="1:16" ht="15" customHeight="1" x14ac:dyDescent="0.25">
      <c r="A39" s="111" t="s">
        <v>18</v>
      </c>
      <c r="B39" s="120">
        <v>45947</v>
      </c>
      <c r="C39" s="111">
        <f t="shared" si="0"/>
        <v>655</v>
      </c>
      <c r="D39" s="111">
        <v>1</v>
      </c>
      <c r="E39" s="116"/>
      <c r="G39" s="116" t="s">
        <v>24</v>
      </c>
      <c r="H39" s="111" t="s">
        <v>1059</v>
      </c>
      <c r="I39" s="111">
        <v>64277</v>
      </c>
      <c r="J39" s="111">
        <v>331</v>
      </c>
      <c r="K39" s="111" t="s">
        <v>20</v>
      </c>
      <c r="L39" s="111">
        <v>1</v>
      </c>
      <c r="M39" s="118">
        <v>136000</v>
      </c>
      <c r="N39" s="118">
        <f t="shared" si="1"/>
        <v>136000</v>
      </c>
      <c r="O39" s="111" t="s">
        <v>21</v>
      </c>
      <c r="P39" s="111">
        <f t="shared" si="2"/>
        <v>36</v>
      </c>
    </row>
    <row r="40" spans="1:16" ht="15" customHeight="1" x14ac:dyDescent="0.25">
      <c r="A40" s="111" t="s">
        <v>18</v>
      </c>
      <c r="B40" s="120">
        <v>45947</v>
      </c>
      <c r="C40" s="111">
        <f t="shared" si="0"/>
        <v>656</v>
      </c>
      <c r="D40" s="111">
        <v>1</v>
      </c>
      <c r="E40" s="116"/>
      <c r="G40" s="116" t="s">
        <v>19</v>
      </c>
      <c r="H40" s="111" t="s">
        <v>1060</v>
      </c>
      <c r="I40" s="111">
        <v>64277</v>
      </c>
      <c r="J40" s="111">
        <v>331</v>
      </c>
      <c r="K40" s="111" t="s">
        <v>20</v>
      </c>
      <c r="L40" s="111">
        <v>1</v>
      </c>
      <c r="M40" s="118">
        <v>61000</v>
      </c>
      <c r="N40" s="118">
        <f t="shared" si="1"/>
        <v>61000</v>
      </c>
      <c r="O40" s="111" t="s">
        <v>21</v>
      </c>
      <c r="P40" s="111">
        <f t="shared" si="2"/>
        <v>37</v>
      </c>
    </row>
    <row r="41" spans="1:16" ht="15" customHeight="1" x14ac:dyDescent="0.25">
      <c r="A41" s="111" t="s">
        <v>18</v>
      </c>
      <c r="B41" s="120">
        <v>45948</v>
      </c>
      <c r="C41" s="111">
        <f t="shared" si="0"/>
        <v>657</v>
      </c>
      <c r="D41" s="111">
        <v>1</v>
      </c>
      <c r="E41" s="116"/>
      <c r="G41" s="116" t="s">
        <v>22</v>
      </c>
      <c r="H41" s="111" t="s">
        <v>1206</v>
      </c>
      <c r="I41" s="111">
        <v>64277</v>
      </c>
      <c r="J41" s="111">
        <v>331</v>
      </c>
      <c r="K41" s="111" t="s">
        <v>20</v>
      </c>
      <c r="L41" s="111">
        <v>1</v>
      </c>
      <c r="M41" s="118">
        <v>750600</v>
      </c>
      <c r="N41" s="118">
        <f t="shared" si="1"/>
        <v>750600</v>
      </c>
      <c r="O41" s="111" t="s">
        <v>21</v>
      </c>
      <c r="P41" s="111">
        <f t="shared" si="2"/>
        <v>38</v>
      </c>
    </row>
    <row r="42" spans="1:16" ht="15" customHeight="1" x14ac:dyDescent="0.25">
      <c r="A42" s="111" t="s">
        <v>18</v>
      </c>
      <c r="B42" s="120">
        <v>45948</v>
      </c>
      <c r="C42" s="111">
        <f t="shared" si="0"/>
        <v>658</v>
      </c>
      <c r="D42" s="111">
        <v>1</v>
      </c>
      <c r="E42" s="116"/>
      <c r="G42" s="116" t="s">
        <v>19</v>
      </c>
      <c r="H42" s="111" t="s">
        <v>1061</v>
      </c>
      <c r="I42" s="111">
        <v>64277</v>
      </c>
      <c r="J42" s="111">
        <v>331</v>
      </c>
      <c r="K42" s="111" t="s">
        <v>20</v>
      </c>
      <c r="L42" s="111">
        <v>1</v>
      </c>
      <c r="M42" s="118">
        <v>169000</v>
      </c>
      <c r="N42" s="118">
        <f t="shared" si="1"/>
        <v>169000</v>
      </c>
      <c r="O42" s="111" t="s">
        <v>21</v>
      </c>
      <c r="P42" s="111">
        <f t="shared" si="2"/>
        <v>39</v>
      </c>
    </row>
    <row r="43" spans="1:16" ht="15" customHeight="1" x14ac:dyDescent="0.25">
      <c r="A43" s="111" t="s">
        <v>18</v>
      </c>
      <c r="B43" s="120">
        <v>45948</v>
      </c>
      <c r="C43" s="111">
        <f t="shared" si="0"/>
        <v>659</v>
      </c>
      <c r="D43" s="111">
        <v>1</v>
      </c>
      <c r="E43" s="116"/>
      <c r="G43" s="116" t="s">
        <v>19</v>
      </c>
      <c r="H43" s="111" t="s">
        <v>1062</v>
      </c>
      <c r="I43" s="111">
        <v>64277</v>
      </c>
      <c r="J43" s="111">
        <v>331</v>
      </c>
      <c r="K43" s="111" t="s">
        <v>20</v>
      </c>
      <c r="L43" s="111">
        <v>1</v>
      </c>
      <c r="M43" s="118">
        <v>174000</v>
      </c>
      <c r="N43" s="118">
        <f t="shared" si="1"/>
        <v>174000</v>
      </c>
      <c r="O43" s="111" t="s">
        <v>21</v>
      </c>
      <c r="P43" s="111">
        <f t="shared" si="2"/>
        <v>40</v>
      </c>
    </row>
    <row r="44" spans="1:16" ht="15" customHeight="1" x14ac:dyDescent="0.25">
      <c r="A44" s="111" t="s">
        <v>18</v>
      </c>
      <c r="B44" s="120">
        <v>45948</v>
      </c>
      <c r="C44" s="111">
        <f t="shared" si="0"/>
        <v>660</v>
      </c>
      <c r="D44" s="111">
        <v>1</v>
      </c>
      <c r="E44" s="116"/>
      <c r="G44" s="116" t="s">
        <v>19</v>
      </c>
      <c r="H44" s="111" t="s">
        <v>1063</v>
      </c>
      <c r="I44" s="111">
        <v>64277</v>
      </c>
      <c r="J44" s="111">
        <v>331</v>
      </c>
      <c r="K44" s="111" t="s">
        <v>20</v>
      </c>
      <c r="L44" s="111">
        <v>1</v>
      </c>
      <c r="M44" s="118">
        <v>19000</v>
      </c>
      <c r="N44" s="118">
        <f t="shared" si="1"/>
        <v>19000</v>
      </c>
      <c r="O44" s="111" t="s">
        <v>21</v>
      </c>
      <c r="P44" s="111">
        <f t="shared" si="2"/>
        <v>41</v>
      </c>
    </row>
    <row r="45" spans="1:16" ht="15" customHeight="1" x14ac:dyDescent="0.25">
      <c r="A45" s="111" t="s">
        <v>18</v>
      </c>
      <c r="B45" s="120">
        <v>45948</v>
      </c>
      <c r="C45" s="111">
        <f t="shared" si="0"/>
        <v>661</v>
      </c>
      <c r="D45" s="111">
        <v>1</v>
      </c>
      <c r="E45" s="116"/>
      <c r="G45" s="116" t="s">
        <v>19</v>
      </c>
      <c r="H45" s="111" t="s">
        <v>1064</v>
      </c>
      <c r="I45" s="111">
        <v>64277</v>
      </c>
      <c r="J45" s="111">
        <v>331</v>
      </c>
      <c r="K45" s="111" t="s">
        <v>20</v>
      </c>
      <c r="L45" s="111">
        <v>1</v>
      </c>
      <c r="M45" s="118">
        <v>19000</v>
      </c>
      <c r="N45" s="118">
        <f t="shared" si="1"/>
        <v>19000</v>
      </c>
      <c r="O45" s="111" t="s">
        <v>21</v>
      </c>
      <c r="P45" s="111">
        <f t="shared" si="2"/>
        <v>42</v>
      </c>
    </row>
    <row r="46" spans="1:16" ht="15" customHeight="1" x14ac:dyDescent="0.25">
      <c r="A46" s="111" t="s">
        <v>18</v>
      </c>
      <c r="B46" s="120">
        <v>45949</v>
      </c>
      <c r="C46" s="111">
        <f t="shared" si="0"/>
        <v>662</v>
      </c>
      <c r="D46" s="111">
        <v>1</v>
      </c>
      <c r="E46" s="116"/>
      <c r="G46" s="116" t="s">
        <v>24</v>
      </c>
      <c r="H46" s="111" t="s">
        <v>1065</v>
      </c>
      <c r="I46" s="111">
        <v>64277</v>
      </c>
      <c r="J46" s="111">
        <v>331</v>
      </c>
      <c r="K46" s="111" t="s">
        <v>20</v>
      </c>
      <c r="L46" s="111">
        <v>1</v>
      </c>
      <c r="M46" s="118">
        <v>116000</v>
      </c>
      <c r="N46" s="118">
        <f t="shared" si="1"/>
        <v>116000</v>
      </c>
      <c r="O46" s="111" t="s">
        <v>21</v>
      </c>
      <c r="P46" s="111">
        <f t="shared" si="2"/>
        <v>43</v>
      </c>
    </row>
    <row r="47" spans="1:16" ht="15" customHeight="1" x14ac:dyDescent="0.25">
      <c r="A47" s="111" t="s">
        <v>18</v>
      </c>
      <c r="B47" s="120">
        <v>45949</v>
      </c>
      <c r="C47" s="111">
        <f t="shared" si="0"/>
        <v>663</v>
      </c>
      <c r="D47" s="111">
        <v>1</v>
      </c>
      <c r="E47" s="116"/>
      <c r="G47" s="116" t="s">
        <v>19</v>
      </c>
      <c r="H47" s="111" t="s">
        <v>1066</v>
      </c>
      <c r="I47" s="111">
        <v>64277</v>
      </c>
      <c r="J47" s="111">
        <v>331</v>
      </c>
      <c r="K47" s="111" t="s">
        <v>20</v>
      </c>
      <c r="L47" s="111">
        <v>1</v>
      </c>
      <c r="M47" s="118">
        <v>251000</v>
      </c>
      <c r="N47" s="118">
        <f t="shared" si="1"/>
        <v>251000</v>
      </c>
      <c r="O47" s="111" t="s">
        <v>21</v>
      </c>
      <c r="P47" s="111">
        <f t="shared" si="2"/>
        <v>44</v>
      </c>
    </row>
    <row r="48" spans="1:16" ht="15" customHeight="1" x14ac:dyDescent="0.25">
      <c r="A48" s="111" t="s">
        <v>18</v>
      </c>
      <c r="B48" s="120">
        <v>45950</v>
      </c>
      <c r="C48" s="111">
        <f t="shared" si="0"/>
        <v>664</v>
      </c>
      <c r="D48" s="111">
        <v>1</v>
      </c>
      <c r="E48" s="116"/>
      <c r="G48" s="116" t="s">
        <v>991</v>
      </c>
      <c r="H48" s="111" t="s">
        <v>1207</v>
      </c>
      <c r="I48" s="111">
        <v>64277</v>
      </c>
      <c r="J48" s="111">
        <v>331</v>
      </c>
      <c r="K48" s="111" t="s">
        <v>20</v>
      </c>
      <c r="L48" s="111">
        <v>1</v>
      </c>
      <c r="M48" s="118">
        <v>230000</v>
      </c>
      <c r="N48" s="118">
        <f t="shared" si="1"/>
        <v>230000</v>
      </c>
      <c r="O48" s="111" t="s">
        <v>21</v>
      </c>
      <c r="P48" s="111">
        <f t="shared" si="2"/>
        <v>45</v>
      </c>
    </row>
    <row r="49" spans="1:16" ht="15" customHeight="1" x14ac:dyDescent="0.25">
      <c r="A49" s="111" t="s">
        <v>18</v>
      </c>
      <c r="B49" s="120">
        <v>45951</v>
      </c>
      <c r="C49" s="111">
        <f t="shared" si="0"/>
        <v>665</v>
      </c>
      <c r="D49" s="111">
        <v>1</v>
      </c>
      <c r="E49" s="116"/>
      <c r="G49" s="116" t="s">
        <v>992</v>
      </c>
      <c r="H49" s="111" t="s">
        <v>1208</v>
      </c>
      <c r="I49" s="111">
        <v>64277</v>
      </c>
      <c r="J49" s="111">
        <v>331</v>
      </c>
      <c r="K49" s="111" t="s">
        <v>20</v>
      </c>
      <c r="L49" s="111">
        <v>1</v>
      </c>
      <c r="M49" s="118">
        <v>514080</v>
      </c>
      <c r="N49" s="118">
        <f t="shared" si="1"/>
        <v>514080</v>
      </c>
      <c r="O49" s="111" t="s">
        <v>21</v>
      </c>
      <c r="P49" s="111">
        <f t="shared" si="2"/>
        <v>46</v>
      </c>
    </row>
    <row r="50" spans="1:16" ht="15" customHeight="1" x14ac:dyDescent="0.25">
      <c r="A50" s="111" t="s">
        <v>18</v>
      </c>
      <c r="B50" s="120">
        <v>45951</v>
      </c>
      <c r="C50" s="111">
        <f t="shared" si="0"/>
        <v>666</v>
      </c>
      <c r="D50" s="111">
        <v>1</v>
      </c>
      <c r="E50" s="116"/>
      <c r="G50" s="116" t="s">
        <v>992</v>
      </c>
      <c r="H50" s="111" t="s">
        <v>1209</v>
      </c>
      <c r="I50" s="111">
        <v>64277</v>
      </c>
      <c r="J50" s="111">
        <v>331</v>
      </c>
      <c r="K50" s="111" t="s">
        <v>20</v>
      </c>
      <c r="L50" s="111">
        <v>1</v>
      </c>
      <c r="M50" s="118">
        <v>250800</v>
      </c>
      <c r="N50" s="118">
        <f t="shared" si="1"/>
        <v>250800</v>
      </c>
      <c r="O50" s="111" t="s">
        <v>21</v>
      </c>
      <c r="P50" s="111">
        <f t="shared" si="2"/>
        <v>47</v>
      </c>
    </row>
    <row r="51" spans="1:16" ht="15" customHeight="1" x14ac:dyDescent="0.25">
      <c r="A51" s="111" t="s">
        <v>18</v>
      </c>
      <c r="B51" s="120">
        <v>45952</v>
      </c>
      <c r="C51" s="111">
        <f t="shared" si="0"/>
        <v>667</v>
      </c>
      <c r="D51" s="111">
        <v>1</v>
      </c>
      <c r="E51" s="116"/>
      <c r="G51" s="116" t="s">
        <v>27</v>
      </c>
      <c r="H51" s="111" t="s">
        <v>1178</v>
      </c>
      <c r="I51" s="111">
        <v>64277</v>
      </c>
      <c r="J51" s="111">
        <v>331</v>
      </c>
      <c r="K51" s="111" t="s">
        <v>20</v>
      </c>
      <c r="L51" s="111">
        <v>1</v>
      </c>
      <c r="M51" s="118">
        <v>317520</v>
      </c>
      <c r="N51" s="118">
        <f t="shared" si="1"/>
        <v>317520</v>
      </c>
      <c r="O51" s="111" t="s">
        <v>21</v>
      </c>
      <c r="P51" s="111">
        <f t="shared" si="2"/>
        <v>48</v>
      </c>
    </row>
    <row r="52" spans="1:16" ht="15" customHeight="1" x14ac:dyDescent="0.25">
      <c r="A52" s="111" t="s">
        <v>18</v>
      </c>
      <c r="B52" s="120">
        <v>45952</v>
      </c>
      <c r="C52" s="111">
        <f t="shared" si="0"/>
        <v>668</v>
      </c>
      <c r="D52" s="111">
        <v>1</v>
      </c>
      <c r="E52" s="116"/>
      <c r="G52" s="116" t="s">
        <v>993</v>
      </c>
      <c r="H52" s="111" t="s">
        <v>1210</v>
      </c>
      <c r="I52" s="111">
        <v>64277</v>
      </c>
      <c r="J52" s="111">
        <v>331</v>
      </c>
      <c r="K52" s="111" t="s">
        <v>20</v>
      </c>
      <c r="L52" s="111">
        <v>1</v>
      </c>
      <c r="M52" s="118">
        <v>1015200</v>
      </c>
      <c r="N52" s="118">
        <f t="shared" si="1"/>
        <v>1015200</v>
      </c>
      <c r="O52" s="111" t="s">
        <v>21</v>
      </c>
      <c r="P52" s="111">
        <f t="shared" si="2"/>
        <v>49</v>
      </c>
    </row>
    <row r="53" spans="1:16" ht="15" customHeight="1" x14ac:dyDescent="0.25">
      <c r="A53" s="111" t="s">
        <v>18</v>
      </c>
      <c r="B53" s="120">
        <v>45952</v>
      </c>
      <c r="C53" s="111">
        <f t="shared" si="0"/>
        <v>669</v>
      </c>
      <c r="D53" s="111">
        <v>1</v>
      </c>
      <c r="E53" s="116"/>
      <c r="G53" s="116" t="s">
        <v>23</v>
      </c>
      <c r="H53" s="111" t="s">
        <v>1211</v>
      </c>
      <c r="I53" s="111">
        <v>64277</v>
      </c>
      <c r="J53" s="111">
        <v>331</v>
      </c>
      <c r="K53" s="111" t="s">
        <v>20</v>
      </c>
      <c r="L53" s="111">
        <v>1</v>
      </c>
      <c r="M53" s="118">
        <v>158000</v>
      </c>
      <c r="N53" s="118">
        <f t="shared" si="1"/>
        <v>158000</v>
      </c>
      <c r="O53" s="111" t="s">
        <v>21</v>
      </c>
      <c r="P53" s="111">
        <f t="shared" si="2"/>
        <v>50</v>
      </c>
    </row>
    <row r="54" spans="1:16" ht="15" customHeight="1" x14ac:dyDescent="0.25">
      <c r="A54" s="111" t="s">
        <v>18</v>
      </c>
      <c r="B54" s="120">
        <v>45952</v>
      </c>
      <c r="C54" s="111">
        <f t="shared" si="0"/>
        <v>670</v>
      </c>
      <c r="D54" s="111">
        <v>1</v>
      </c>
      <c r="E54" s="116"/>
      <c r="G54" s="116" t="s">
        <v>994</v>
      </c>
      <c r="H54" s="111" t="s">
        <v>1212</v>
      </c>
      <c r="I54" s="111">
        <v>64276</v>
      </c>
      <c r="J54" s="111">
        <v>331</v>
      </c>
      <c r="K54" s="111" t="s">
        <v>20</v>
      </c>
      <c r="L54" s="111">
        <v>1</v>
      </c>
      <c r="M54" s="118">
        <v>1067000</v>
      </c>
      <c r="N54" s="118">
        <f t="shared" si="1"/>
        <v>1067000</v>
      </c>
      <c r="O54" s="111" t="s">
        <v>21</v>
      </c>
      <c r="P54" s="111">
        <f t="shared" si="2"/>
        <v>51</v>
      </c>
    </row>
    <row r="55" spans="1:16" ht="15" customHeight="1" x14ac:dyDescent="0.25">
      <c r="A55" s="111" t="s">
        <v>18</v>
      </c>
      <c r="B55" s="120">
        <v>45952</v>
      </c>
      <c r="C55" s="111">
        <f t="shared" si="0"/>
        <v>671</v>
      </c>
      <c r="D55" s="111">
        <v>1</v>
      </c>
      <c r="E55" s="116"/>
      <c r="G55" s="116" t="s">
        <v>19</v>
      </c>
      <c r="H55" s="111" t="s">
        <v>1067</v>
      </c>
      <c r="I55" s="111">
        <v>64277</v>
      </c>
      <c r="J55" s="111">
        <v>331</v>
      </c>
      <c r="K55" s="111" t="s">
        <v>20</v>
      </c>
      <c r="L55" s="111">
        <v>1</v>
      </c>
      <c r="M55" s="118">
        <v>88000</v>
      </c>
      <c r="N55" s="118">
        <f t="shared" si="1"/>
        <v>88000</v>
      </c>
      <c r="O55" s="111" t="s">
        <v>21</v>
      </c>
      <c r="P55" s="111">
        <f t="shared" si="2"/>
        <v>52</v>
      </c>
    </row>
    <row r="56" spans="1:16" ht="15" customHeight="1" x14ac:dyDescent="0.25">
      <c r="A56" s="111" t="s">
        <v>18</v>
      </c>
      <c r="B56" s="120">
        <v>45952</v>
      </c>
      <c r="C56" s="111">
        <f t="shared" si="0"/>
        <v>672</v>
      </c>
      <c r="D56" s="111">
        <v>1</v>
      </c>
      <c r="E56" s="116"/>
      <c r="G56" s="116" t="s">
        <v>19</v>
      </c>
      <c r="H56" s="111" t="s">
        <v>1068</v>
      </c>
      <c r="I56" s="111">
        <v>64277</v>
      </c>
      <c r="J56" s="111">
        <v>331</v>
      </c>
      <c r="K56" s="111" t="s">
        <v>20</v>
      </c>
      <c r="L56" s="111">
        <v>1</v>
      </c>
      <c r="M56" s="118">
        <v>17000</v>
      </c>
      <c r="N56" s="118">
        <f t="shared" si="1"/>
        <v>17000</v>
      </c>
      <c r="O56" s="111" t="s">
        <v>21</v>
      </c>
      <c r="P56" s="111">
        <f t="shared" si="2"/>
        <v>53</v>
      </c>
    </row>
    <row r="57" spans="1:16" ht="15" customHeight="1" x14ac:dyDescent="0.25">
      <c r="A57" s="111" t="s">
        <v>18</v>
      </c>
      <c r="B57" s="120">
        <v>45952</v>
      </c>
      <c r="C57" s="111">
        <f t="shared" si="0"/>
        <v>673</v>
      </c>
      <c r="D57" s="111">
        <v>1</v>
      </c>
      <c r="E57" s="116"/>
      <c r="G57" s="116" t="s">
        <v>19</v>
      </c>
      <c r="H57" s="111" t="s">
        <v>1069</v>
      </c>
      <c r="I57" s="111">
        <v>64277</v>
      </c>
      <c r="J57" s="111">
        <v>331</v>
      </c>
      <c r="K57" s="111" t="s">
        <v>20</v>
      </c>
      <c r="L57" s="111">
        <v>1</v>
      </c>
      <c r="M57" s="118">
        <v>30000</v>
      </c>
      <c r="N57" s="118">
        <f t="shared" si="1"/>
        <v>30000</v>
      </c>
      <c r="O57" s="111" t="s">
        <v>21</v>
      </c>
      <c r="P57" s="111">
        <f t="shared" si="2"/>
        <v>54</v>
      </c>
    </row>
    <row r="58" spans="1:16" ht="15" customHeight="1" x14ac:dyDescent="0.25">
      <c r="A58" s="111" t="s">
        <v>18</v>
      </c>
      <c r="B58" s="120">
        <v>45953</v>
      </c>
      <c r="C58" s="111">
        <f t="shared" si="0"/>
        <v>674</v>
      </c>
      <c r="D58" s="111">
        <v>1</v>
      </c>
      <c r="E58" s="116"/>
      <c r="G58" s="116" t="s">
        <v>988</v>
      </c>
      <c r="H58" s="111" t="s">
        <v>1213</v>
      </c>
      <c r="I58" s="111">
        <v>64277</v>
      </c>
      <c r="J58" s="111">
        <v>331</v>
      </c>
      <c r="K58" s="111" t="s">
        <v>20</v>
      </c>
      <c r="L58" s="111">
        <v>1</v>
      </c>
      <c r="M58" s="118">
        <v>155000</v>
      </c>
      <c r="N58" s="118">
        <f t="shared" si="1"/>
        <v>155000</v>
      </c>
      <c r="O58" s="111" t="s">
        <v>21</v>
      </c>
      <c r="P58" s="111">
        <f t="shared" si="2"/>
        <v>55</v>
      </c>
    </row>
    <row r="59" spans="1:16" ht="15" customHeight="1" x14ac:dyDescent="0.25">
      <c r="A59" s="111" t="s">
        <v>18</v>
      </c>
      <c r="B59" s="120">
        <v>45953</v>
      </c>
      <c r="C59" s="111">
        <f t="shared" si="0"/>
        <v>675</v>
      </c>
      <c r="D59" s="111">
        <v>1</v>
      </c>
      <c r="E59" s="116"/>
      <c r="G59" s="116" t="s">
        <v>995</v>
      </c>
      <c r="H59" s="111" t="s">
        <v>1214</v>
      </c>
      <c r="I59" s="111">
        <v>64277</v>
      </c>
      <c r="J59" s="111">
        <v>331</v>
      </c>
      <c r="K59" s="111" t="s">
        <v>20</v>
      </c>
      <c r="L59" s="111">
        <v>1</v>
      </c>
      <c r="M59" s="118">
        <v>135000</v>
      </c>
      <c r="N59" s="118">
        <f t="shared" si="1"/>
        <v>135000</v>
      </c>
      <c r="O59" s="111" t="s">
        <v>21</v>
      </c>
      <c r="P59" s="111">
        <f t="shared" si="2"/>
        <v>56</v>
      </c>
    </row>
    <row r="60" spans="1:16" ht="15" customHeight="1" x14ac:dyDescent="0.25">
      <c r="A60" s="111" t="s">
        <v>18</v>
      </c>
      <c r="B60" s="120">
        <v>45953</v>
      </c>
      <c r="C60" s="111">
        <f t="shared" si="0"/>
        <v>676</v>
      </c>
      <c r="D60" s="111">
        <v>1</v>
      </c>
      <c r="E60" s="116"/>
      <c r="G60" s="116" t="s">
        <v>19</v>
      </c>
      <c r="H60" s="111" t="s">
        <v>1070</v>
      </c>
      <c r="I60" s="111">
        <v>64277</v>
      </c>
      <c r="J60" s="111">
        <v>331</v>
      </c>
      <c r="K60" s="111" t="s">
        <v>20</v>
      </c>
      <c r="L60" s="111">
        <v>1</v>
      </c>
      <c r="M60" s="118">
        <v>17000</v>
      </c>
      <c r="N60" s="118">
        <f t="shared" si="1"/>
        <v>17000</v>
      </c>
      <c r="O60" s="111" t="s">
        <v>21</v>
      </c>
      <c r="P60" s="111">
        <f t="shared" si="2"/>
        <v>57</v>
      </c>
    </row>
    <row r="61" spans="1:16" ht="15" customHeight="1" x14ac:dyDescent="0.25">
      <c r="A61" s="111" t="s">
        <v>18</v>
      </c>
      <c r="B61" s="120">
        <v>45954</v>
      </c>
      <c r="C61" s="111">
        <f t="shared" si="0"/>
        <v>677</v>
      </c>
      <c r="D61" s="111">
        <v>1</v>
      </c>
      <c r="E61" s="116"/>
      <c r="G61" s="116" t="s">
        <v>33</v>
      </c>
      <c r="H61" s="111" t="s">
        <v>1215</v>
      </c>
      <c r="I61" s="111">
        <v>64277</v>
      </c>
      <c r="J61" s="111">
        <v>331</v>
      </c>
      <c r="K61" s="111" t="s">
        <v>20</v>
      </c>
      <c r="L61" s="111">
        <v>1</v>
      </c>
      <c r="M61" s="118">
        <v>924900</v>
      </c>
      <c r="N61" s="118">
        <f t="shared" si="1"/>
        <v>924900</v>
      </c>
      <c r="O61" s="111" t="s">
        <v>21</v>
      </c>
      <c r="P61" s="111">
        <f t="shared" si="2"/>
        <v>58</v>
      </c>
    </row>
    <row r="62" spans="1:16" ht="15" customHeight="1" x14ac:dyDescent="0.25">
      <c r="A62" s="111" t="s">
        <v>18</v>
      </c>
      <c r="B62" s="120">
        <v>45954</v>
      </c>
      <c r="C62" s="111">
        <f t="shared" si="0"/>
        <v>678</v>
      </c>
      <c r="D62" s="111">
        <v>1</v>
      </c>
      <c r="E62" s="116"/>
      <c r="G62" s="116" t="s">
        <v>23</v>
      </c>
      <c r="H62" s="111" t="s">
        <v>1216</v>
      </c>
      <c r="I62" s="111">
        <v>64277</v>
      </c>
      <c r="J62" s="111">
        <v>331</v>
      </c>
      <c r="K62" s="111" t="s">
        <v>20</v>
      </c>
      <c r="L62" s="111">
        <v>1</v>
      </c>
      <c r="M62" s="118">
        <v>138000</v>
      </c>
      <c r="N62" s="118">
        <f t="shared" si="1"/>
        <v>138000</v>
      </c>
      <c r="O62" s="111" t="s">
        <v>21</v>
      </c>
      <c r="P62" s="111">
        <f t="shared" si="2"/>
        <v>59</v>
      </c>
    </row>
    <row r="63" spans="1:16" ht="15" customHeight="1" x14ac:dyDescent="0.25">
      <c r="A63" s="111" t="s">
        <v>18</v>
      </c>
      <c r="B63" s="120">
        <v>45956</v>
      </c>
      <c r="C63" s="111">
        <f t="shared" si="0"/>
        <v>679</v>
      </c>
      <c r="D63" s="111">
        <v>1</v>
      </c>
      <c r="E63" s="116"/>
      <c r="G63" s="116" t="s">
        <v>996</v>
      </c>
      <c r="H63" s="111" t="s">
        <v>1217</v>
      </c>
      <c r="I63" s="111">
        <v>64277</v>
      </c>
      <c r="J63" s="111">
        <v>331</v>
      </c>
      <c r="K63" s="111" t="s">
        <v>20</v>
      </c>
      <c r="L63" s="111">
        <v>1</v>
      </c>
      <c r="M63" s="118">
        <v>132000</v>
      </c>
      <c r="N63" s="118">
        <f t="shared" si="1"/>
        <v>132000</v>
      </c>
      <c r="O63" s="111" t="s">
        <v>21</v>
      </c>
      <c r="P63" s="111">
        <f t="shared" si="2"/>
        <v>60</v>
      </c>
    </row>
    <row r="64" spans="1:16" ht="15" customHeight="1" x14ac:dyDescent="0.25">
      <c r="A64" s="111" t="s">
        <v>18</v>
      </c>
      <c r="B64" s="120">
        <v>45956</v>
      </c>
      <c r="C64" s="111">
        <f t="shared" si="0"/>
        <v>680</v>
      </c>
      <c r="D64" s="111">
        <v>1</v>
      </c>
      <c r="E64" s="116"/>
      <c r="G64" s="116" t="s">
        <v>19</v>
      </c>
      <c r="H64" s="111" t="s">
        <v>1071</v>
      </c>
      <c r="I64" s="111">
        <v>64277</v>
      </c>
      <c r="J64" s="111">
        <v>331</v>
      </c>
      <c r="K64" s="111" t="s">
        <v>20</v>
      </c>
      <c r="L64" s="111">
        <v>1</v>
      </c>
      <c r="M64" s="118">
        <v>14000</v>
      </c>
      <c r="N64" s="118">
        <f t="shared" si="1"/>
        <v>14000</v>
      </c>
      <c r="O64" s="111" t="s">
        <v>21</v>
      </c>
      <c r="P64" s="111">
        <f t="shared" si="2"/>
        <v>61</v>
      </c>
    </row>
    <row r="65" spans="1:16" ht="15" customHeight="1" x14ac:dyDescent="0.25">
      <c r="A65" s="111" t="s">
        <v>18</v>
      </c>
      <c r="B65" s="120">
        <v>45956</v>
      </c>
      <c r="C65" s="111">
        <f t="shared" si="0"/>
        <v>681</v>
      </c>
      <c r="D65" s="111">
        <v>1</v>
      </c>
      <c r="E65" s="116"/>
      <c r="G65" s="116" t="s">
        <v>19</v>
      </c>
      <c r="H65" s="111" t="s">
        <v>1072</v>
      </c>
      <c r="I65" s="111">
        <v>64277</v>
      </c>
      <c r="J65" s="111">
        <v>331</v>
      </c>
      <c r="K65" s="111" t="s">
        <v>20</v>
      </c>
      <c r="L65" s="111">
        <v>1</v>
      </c>
      <c r="M65" s="118">
        <v>64000</v>
      </c>
      <c r="N65" s="118">
        <f t="shared" si="1"/>
        <v>64000</v>
      </c>
      <c r="O65" s="111" t="s">
        <v>21</v>
      </c>
      <c r="P65" s="111">
        <f t="shared" si="2"/>
        <v>62</v>
      </c>
    </row>
    <row r="66" spans="1:16" ht="15" customHeight="1" x14ac:dyDescent="0.25">
      <c r="A66" s="111" t="s">
        <v>18</v>
      </c>
      <c r="B66" s="120">
        <v>45957</v>
      </c>
      <c r="C66" s="111">
        <f t="shared" si="0"/>
        <v>682</v>
      </c>
      <c r="D66" s="111">
        <v>1</v>
      </c>
      <c r="E66" s="116"/>
      <c r="G66" s="116" t="s">
        <v>997</v>
      </c>
      <c r="H66" s="111" t="s">
        <v>1218</v>
      </c>
      <c r="I66" s="111">
        <v>64277</v>
      </c>
      <c r="J66" s="111">
        <v>331</v>
      </c>
      <c r="K66" s="111" t="s">
        <v>20</v>
      </c>
      <c r="L66" s="111">
        <v>1</v>
      </c>
      <c r="M66" s="118">
        <v>1005480</v>
      </c>
      <c r="N66" s="118">
        <f t="shared" si="1"/>
        <v>1005480</v>
      </c>
      <c r="O66" s="111" t="s">
        <v>21</v>
      </c>
      <c r="P66" s="111">
        <f t="shared" si="2"/>
        <v>63</v>
      </c>
    </row>
    <row r="67" spans="1:16" ht="15" customHeight="1" x14ac:dyDescent="0.25">
      <c r="A67" s="111" t="s">
        <v>18</v>
      </c>
      <c r="B67" s="120">
        <v>45958</v>
      </c>
      <c r="C67" s="111">
        <f t="shared" si="0"/>
        <v>683</v>
      </c>
      <c r="D67" s="111">
        <v>1</v>
      </c>
      <c r="E67" s="116"/>
      <c r="G67" s="116" t="s">
        <v>44</v>
      </c>
      <c r="H67" s="111" t="s">
        <v>1219</v>
      </c>
      <c r="I67" s="111">
        <v>64277</v>
      </c>
      <c r="J67" s="111">
        <v>331</v>
      </c>
      <c r="K67" s="111" t="s">
        <v>20</v>
      </c>
      <c r="L67" s="111">
        <v>1</v>
      </c>
      <c r="M67" s="118">
        <v>6502000</v>
      </c>
      <c r="N67" s="118">
        <f t="shared" si="1"/>
        <v>6502000</v>
      </c>
      <c r="O67" s="111" t="s">
        <v>21</v>
      </c>
      <c r="P67" s="111">
        <f t="shared" si="2"/>
        <v>64</v>
      </c>
    </row>
    <row r="68" spans="1:16" ht="15" customHeight="1" x14ac:dyDescent="0.25">
      <c r="A68" s="111" t="s">
        <v>18</v>
      </c>
      <c r="B68" s="120">
        <v>45958</v>
      </c>
      <c r="C68" s="111">
        <f t="shared" ref="C68:C131" si="3">C67+D68</f>
        <v>684</v>
      </c>
      <c r="D68" s="111">
        <v>1</v>
      </c>
      <c r="E68" s="116"/>
      <c r="G68" s="116" t="s">
        <v>998</v>
      </c>
      <c r="H68" s="111" t="s">
        <v>1220</v>
      </c>
      <c r="I68" s="111">
        <v>64277</v>
      </c>
      <c r="J68" s="111">
        <v>331</v>
      </c>
      <c r="K68" s="111" t="s">
        <v>20</v>
      </c>
      <c r="L68" s="111">
        <v>1</v>
      </c>
      <c r="M68" s="118">
        <v>1825740</v>
      </c>
      <c r="N68" s="118">
        <f t="shared" ref="N68:N131" si="4">M68*L68</f>
        <v>1825740</v>
      </c>
      <c r="O68" s="111" t="s">
        <v>21</v>
      </c>
      <c r="P68" s="111">
        <f t="shared" si="2"/>
        <v>65</v>
      </c>
    </row>
    <row r="69" spans="1:16" ht="15" customHeight="1" x14ac:dyDescent="0.25">
      <c r="A69" s="111" t="s">
        <v>18</v>
      </c>
      <c r="B69" s="120">
        <v>45958</v>
      </c>
      <c r="C69" s="111">
        <f t="shared" si="3"/>
        <v>685</v>
      </c>
      <c r="D69" s="111">
        <v>1</v>
      </c>
      <c r="E69" s="116"/>
      <c r="G69" s="116" t="s">
        <v>999</v>
      </c>
      <c r="H69" s="111" t="s">
        <v>1221</v>
      </c>
      <c r="I69" s="111">
        <v>64276</v>
      </c>
      <c r="J69" s="111">
        <v>331</v>
      </c>
      <c r="K69" s="111" t="s">
        <v>20</v>
      </c>
      <c r="L69" s="111">
        <v>1</v>
      </c>
      <c r="M69" s="118">
        <v>589000</v>
      </c>
      <c r="N69" s="118">
        <f t="shared" si="4"/>
        <v>589000</v>
      </c>
      <c r="O69" s="111" t="s">
        <v>21</v>
      </c>
      <c r="P69" s="111">
        <f t="shared" ref="P69:P132" si="5">P68+D69</f>
        <v>66</v>
      </c>
    </row>
    <row r="70" spans="1:16" ht="15" customHeight="1" x14ac:dyDescent="0.25">
      <c r="A70" s="111" t="s">
        <v>18</v>
      </c>
      <c r="B70" s="120">
        <v>45959</v>
      </c>
      <c r="C70" s="111">
        <f t="shared" si="3"/>
        <v>686</v>
      </c>
      <c r="D70" s="111">
        <v>1</v>
      </c>
      <c r="E70" s="116"/>
      <c r="G70" s="116" t="s">
        <v>1000</v>
      </c>
      <c r="H70" s="111" t="s">
        <v>1222</v>
      </c>
      <c r="I70" s="111">
        <v>64277</v>
      </c>
      <c r="J70" s="111">
        <v>331</v>
      </c>
      <c r="K70" s="111" t="s">
        <v>20</v>
      </c>
      <c r="L70" s="111">
        <v>1</v>
      </c>
      <c r="M70" s="118">
        <v>124000</v>
      </c>
      <c r="N70" s="118">
        <f t="shared" si="4"/>
        <v>124000</v>
      </c>
      <c r="O70" s="111" t="s">
        <v>21</v>
      </c>
      <c r="P70" s="111">
        <f t="shared" si="5"/>
        <v>67</v>
      </c>
    </row>
    <row r="71" spans="1:16" ht="15" customHeight="1" x14ac:dyDescent="0.25">
      <c r="A71" s="111" t="s">
        <v>18</v>
      </c>
      <c r="B71" s="120">
        <v>45959</v>
      </c>
      <c r="C71" s="111">
        <f t="shared" si="3"/>
        <v>687</v>
      </c>
      <c r="D71" s="111">
        <v>1</v>
      </c>
      <c r="E71" s="116"/>
      <c r="G71" s="116" t="s">
        <v>19</v>
      </c>
      <c r="H71" s="111" t="s">
        <v>1073</v>
      </c>
      <c r="I71" s="111">
        <v>64277</v>
      </c>
      <c r="J71" s="111">
        <v>331</v>
      </c>
      <c r="K71" s="111" t="s">
        <v>20</v>
      </c>
      <c r="L71" s="111">
        <v>1</v>
      </c>
      <c r="M71" s="118">
        <v>117000</v>
      </c>
      <c r="N71" s="118">
        <f t="shared" si="4"/>
        <v>117000</v>
      </c>
      <c r="O71" s="111" t="s">
        <v>21</v>
      </c>
      <c r="P71" s="111">
        <f t="shared" si="5"/>
        <v>68</v>
      </c>
    </row>
    <row r="72" spans="1:16" ht="15" customHeight="1" x14ac:dyDescent="0.25">
      <c r="A72" s="111" t="s">
        <v>18</v>
      </c>
      <c r="B72" s="120">
        <v>45959</v>
      </c>
      <c r="C72" s="111">
        <f t="shared" si="3"/>
        <v>688</v>
      </c>
      <c r="D72" s="111">
        <v>1</v>
      </c>
      <c r="E72" s="116"/>
      <c r="G72" s="116" t="s">
        <v>19</v>
      </c>
      <c r="H72" s="111" t="s">
        <v>1074</v>
      </c>
      <c r="I72" s="111">
        <v>64277</v>
      </c>
      <c r="J72" s="111">
        <v>331</v>
      </c>
      <c r="K72" s="111" t="s">
        <v>20</v>
      </c>
      <c r="L72" s="111">
        <v>1</v>
      </c>
      <c r="M72" s="118">
        <v>43000</v>
      </c>
      <c r="N72" s="118">
        <f t="shared" si="4"/>
        <v>43000</v>
      </c>
      <c r="O72" s="111" t="s">
        <v>21</v>
      </c>
      <c r="P72" s="111">
        <f t="shared" si="5"/>
        <v>69</v>
      </c>
    </row>
    <row r="73" spans="1:16" ht="15" customHeight="1" x14ac:dyDescent="0.25">
      <c r="A73" s="111" t="s">
        <v>18</v>
      </c>
      <c r="B73" s="120">
        <v>45959</v>
      </c>
      <c r="C73" s="111">
        <f t="shared" si="3"/>
        <v>689</v>
      </c>
      <c r="D73" s="111">
        <v>1</v>
      </c>
      <c r="E73" s="116"/>
      <c r="G73" s="116" t="s">
        <v>19</v>
      </c>
      <c r="H73" s="111" t="s">
        <v>1075</v>
      </c>
      <c r="I73" s="111">
        <v>64277</v>
      </c>
      <c r="J73" s="111">
        <v>331</v>
      </c>
      <c r="K73" s="111" t="s">
        <v>20</v>
      </c>
      <c r="L73" s="111">
        <v>1</v>
      </c>
      <c r="M73" s="118">
        <v>174000</v>
      </c>
      <c r="N73" s="118">
        <f t="shared" si="4"/>
        <v>174000</v>
      </c>
      <c r="O73" s="111" t="s">
        <v>21</v>
      </c>
      <c r="P73" s="111">
        <f t="shared" si="5"/>
        <v>70</v>
      </c>
    </row>
    <row r="74" spans="1:16" ht="15" customHeight="1" x14ac:dyDescent="0.25">
      <c r="A74" s="111" t="s">
        <v>18</v>
      </c>
      <c r="B74" s="120">
        <v>45960</v>
      </c>
      <c r="C74" s="111">
        <f t="shared" si="3"/>
        <v>690</v>
      </c>
      <c r="D74" s="111">
        <v>1</v>
      </c>
      <c r="E74" s="116"/>
      <c r="G74" s="116" t="s">
        <v>1001</v>
      </c>
      <c r="H74" s="111" t="s">
        <v>1223</v>
      </c>
      <c r="I74" s="111">
        <v>64277</v>
      </c>
      <c r="J74" s="111">
        <v>331</v>
      </c>
      <c r="K74" s="111" t="s">
        <v>20</v>
      </c>
      <c r="L74" s="111">
        <v>1</v>
      </c>
      <c r="M74" s="118">
        <v>712976</v>
      </c>
      <c r="N74" s="118">
        <f t="shared" si="4"/>
        <v>712976</v>
      </c>
      <c r="O74" s="111" t="s">
        <v>21</v>
      </c>
      <c r="P74" s="111">
        <f t="shared" si="5"/>
        <v>71</v>
      </c>
    </row>
    <row r="75" spans="1:16" ht="15" customHeight="1" x14ac:dyDescent="0.25">
      <c r="A75" s="111" t="s">
        <v>18</v>
      </c>
      <c r="B75" s="120">
        <v>45960</v>
      </c>
      <c r="C75" s="111">
        <f t="shared" si="3"/>
        <v>691</v>
      </c>
      <c r="D75" s="111">
        <v>1</v>
      </c>
      <c r="E75" s="116"/>
      <c r="G75" s="116" t="s">
        <v>1002</v>
      </c>
      <c r="H75" s="111" t="s">
        <v>1224</v>
      </c>
      <c r="I75" s="111">
        <v>64277</v>
      </c>
      <c r="J75" s="111">
        <v>331</v>
      </c>
      <c r="K75" s="111" t="s">
        <v>20</v>
      </c>
      <c r="L75" s="111">
        <v>1</v>
      </c>
      <c r="M75" s="118">
        <v>425250</v>
      </c>
      <c r="N75" s="118">
        <f t="shared" si="4"/>
        <v>425250</v>
      </c>
      <c r="O75" s="111" t="s">
        <v>21</v>
      </c>
      <c r="P75" s="111">
        <f t="shared" si="5"/>
        <v>72</v>
      </c>
    </row>
    <row r="76" spans="1:16" ht="15" customHeight="1" x14ac:dyDescent="0.25">
      <c r="A76" s="111" t="s">
        <v>18</v>
      </c>
      <c r="B76" s="120">
        <v>45960</v>
      </c>
      <c r="C76" s="111">
        <f t="shared" si="3"/>
        <v>692</v>
      </c>
      <c r="D76" s="111">
        <v>1</v>
      </c>
      <c r="E76" s="116"/>
      <c r="G76" s="116" t="s">
        <v>19</v>
      </c>
      <c r="H76" s="111" t="s">
        <v>1076</v>
      </c>
      <c r="I76" s="111">
        <v>64277</v>
      </c>
      <c r="J76" s="111">
        <v>331</v>
      </c>
      <c r="K76" s="111" t="s">
        <v>20</v>
      </c>
      <c r="L76" s="111">
        <v>1</v>
      </c>
      <c r="M76" s="118">
        <v>71000</v>
      </c>
      <c r="N76" s="118">
        <f t="shared" si="4"/>
        <v>71000</v>
      </c>
      <c r="O76" s="111" t="s">
        <v>21</v>
      </c>
      <c r="P76" s="111">
        <f t="shared" si="5"/>
        <v>73</v>
      </c>
    </row>
    <row r="77" spans="1:16" ht="15" customHeight="1" x14ac:dyDescent="0.25">
      <c r="A77" s="111" t="s">
        <v>18</v>
      </c>
      <c r="B77" s="120">
        <v>45960</v>
      </c>
      <c r="C77" s="111">
        <f t="shared" si="3"/>
        <v>693</v>
      </c>
      <c r="D77" s="111">
        <v>1</v>
      </c>
      <c r="E77" s="116"/>
      <c r="G77" s="116" t="s">
        <v>19</v>
      </c>
      <c r="H77" s="111" t="s">
        <v>1077</v>
      </c>
      <c r="I77" s="111">
        <v>64277</v>
      </c>
      <c r="J77" s="111">
        <v>331</v>
      </c>
      <c r="K77" s="111" t="s">
        <v>20</v>
      </c>
      <c r="L77" s="111">
        <v>1</v>
      </c>
      <c r="M77" s="118">
        <v>115000</v>
      </c>
      <c r="N77" s="118">
        <f t="shared" si="4"/>
        <v>115000</v>
      </c>
      <c r="O77" s="111" t="s">
        <v>21</v>
      </c>
      <c r="P77" s="111">
        <f t="shared" si="5"/>
        <v>74</v>
      </c>
    </row>
    <row r="78" spans="1:16" ht="15" customHeight="1" x14ac:dyDescent="0.25">
      <c r="A78" s="111" t="s">
        <v>18</v>
      </c>
      <c r="B78" s="120">
        <v>45961</v>
      </c>
      <c r="C78" s="111">
        <f t="shared" si="3"/>
        <v>694</v>
      </c>
      <c r="D78" s="111">
        <v>1</v>
      </c>
      <c r="E78" s="116"/>
      <c r="G78" s="116" t="s">
        <v>1003</v>
      </c>
      <c r="H78" s="111" t="s">
        <v>1225</v>
      </c>
      <c r="I78" s="111">
        <v>64277</v>
      </c>
      <c r="J78" s="111">
        <v>331</v>
      </c>
      <c r="K78" s="111" t="s">
        <v>20</v>
      </c>
      <c r="L78" s="111">
        <v>1</v>
      </c>
      <c r="M78" s="118">
        <v>340000</v>
      </c>
      <c r="N78" s="118">
        <f t="shared" si="4"/>
        <v>340000</v>
      </c>
      <c r="O78" s="111" t="s">
        <v>21</v>
      </c>
      <c r="P78" s="111">
        <f t="shared" si="5"/>
        <v>75</v>
      </c>
    </row>
    <row r="79" spans="1:16" ht="15" customHeight="1" x14ac:dyDescent="0.25">
      <c r="A79" s="111" t="s">
        <v>18</v>
      </c>
      <c r="B79" s="120">
        <v>45961</v>
      </c>
      <c r="C79" s="111">
        <f t="shared" si="3"/>
        <v>695</v>
      </c>
      <c r="D79" s="111">
        <v>1</v>
      </c>
      <c r="E79" s="116"/>
      <c r="G79" s="116" t="s">
        <v>998</v>
      </c>
      <c r="H79" s="111" t="s">
        <v>1226</v>
      </c>
      <c r="I79" s="111">
        <v>64277</v>
      </c>
      <c r="J79" s="111">
        <v>331</v>
      </c>
      <c r="K79" s="111" t="s">
        <v>20</v>
      </c>
      <c r="L79" s="111">
        <v>1</v>
      </c>
      <c r="M79" s="118">
        <v>249480</v>
      </c>
      <c r="N79" s="118">
        <f t="shared" si="4"/>
        <v>249480</v>
      </c>
      <c r="O79" s="111" t="s">
        <v>21</v>
      </c>
      <c r="P79" s="111">
        <f t="shared" si="5"/>
        <v>76</v>
      </c>
    </row>
    <row r="80" spans="1:16" ht="15" customHeight="1" x14ac:dyDescent="0.25">
      <c r="A80" s="111" t="s">
        <v>18</v>
      </c>
      <c r="B80" s="120">
        <v>45961</v>
      </c>
      <c r="C80" s="111">
        <f t="shared" si="3"/>
        <v>696</v>
      </c>
      <c r="D80" s="111">
        <v>1</v>
      </c>
      <c r="E80" s="116"/>
      <c r="G80" s="116" t="s">
        <v>1004</v>
      </c>
      <c r="H80" s="111" t="s">
        <v>1227</v>
      </c>
      <c r="I80" s="111">
        <v>64277</v>
      </c>
      <c r="J80" s="111">
        <v>331</v>
      </c>
      <c r="K80" s="111" t="s">
        <v>20</v>
      </c>
      <c r="L80" s="111">
        <v>1</v>
      </c>
      <c r="M80" s="118">
        <v>345600</v>
      </c>
      <c r="N80" s="118">
        <f t="shared" si="4"/>
        <v>345600</v>
      </c>
      <c r="O80" s="111" t="s">
        <v>21</v>
      </c>
      <c r="P80" s="111">
        <f t="shared" si="5"/>
        <v>77</v>
      </c>
    </row>
    <row r="81" spans="1:16" ht="15" customHeight="1" x14ac:dyDescent="0.25">
      <c r="A81" s="111" t="s">
        <v>18</v>
      </c>
      <c r="B81" s="120">
        <v>45961</v>
      </c>
      <c r="C81" s="111">
        <f t="shared" si="3"/>
        <v>697</v>
      </c>
      <c r="D81" s="111">
        <v>1</v>
      </c>
      <c r="E81" s="116"/>
      <c r="G81" s="116" t="s">
        <v>1005</v>
      </c>
      <c r="H81" s="111" t="s">
        <v>1228</v>
      </c>
      <c r="I81" s="111">
        <v>64277</v>
      </c>
      <c r="J81" s="111">
        <v>331</v>
      </c>
      <c r="K81" s="111" t="s">
        <v>20</v>
      </c>
      <c r="L81" s="111">
        <v>1</v>
      </c>
      <c r="M81" s="118">
        <v>243000</v>
      </c>
      <c r="N81" s="118">
        <f t="shared" si="4"/>
        <v>243000</v>
      </c>
      <c r="O81" s="111" t="s">
        <v>21</v>
      </c>
      <c r="P81" s="111">
        <f t="shared" si="5"/>
        <v>78</v>
      </c>
    </row>
    <row r="82" spans="1:16" ht="15" customHeight="1" x14ac:dyDescent="0.25">
      <c r="A82" s="111" t="s">
        <v>18</v>
      </c>
      <c r="B82" s="120">
        <v>45961</v>
      </c>
      <c r="C82" s="111">
        <f t="shared" si="3"/>
        <v>698</v>
      </c>
      <c r="D82" s="111">
        <v>1</v>
      </c>
      <c r="E82" s="116"/>
      <c r="G82" s="116" t="s">
        <v>24</v>
      </c>
      <c r="H82" s="111" t="s">
        <v>1078</v>
      </c>
      <c r="I82" s="111">
        <v>64277</v>
      </c>
      <c r="J82" s="111">
        <v>331</v>
      </c>
      <c r="K82" s="111" t="s">
        <v>20</v>
      </c>
      <c r="L82" s="111">
        <v>1</v>
      </c>
      <c r="M82" s="118">
        <v>106000</v>
      </c>
      <c r="N82" s="118">
        <f t="shared" si="4"/>
        <v>106000</v>
      </c>
      <c r="O82" s="111" t="s">
        <v>21</v>
      </c>
      <c r="P82" s="111">
        <f t="shared" si="5"/>
        <v>79</v>
      </c>
    </row>
    <row r="83" spans="1:16" ht="15" customHeight="1" x14ac:dyDescent="0.25">
      <c r="A83" s="111" t="s">
        <v>18</v>
      </c>
      <c r="B83" s="120">
        <v>45961</v>
      </c>
      <c r="C83" s="111">
        <f t="shared" si="3"/>
        <v>699</v>
      </c>
      <c r="D83" s="111">
        <v>1</v>
      </c>
      <c r="E83" s="116"/>
      <c r="G83" s="116" t="s">
        <v>19</v>
      </c>
      <c r="H83" s="111" t="s">
        <v>1079</v>
      </c>
      <c r="I83" s="111">
        <v>64277</v>
      </c>
      <c r="J83" s="111">
        <v>331</v>
      </c>
      <c r="K83" s="111" t="s">
        <v>20</v>
      </c>
      <c r="L83" s="111">
        <v>1</v>
      </c>
      <c r="M83" s="118">
        <v>97000</v>
      </c>
      <c r="N83" s="118">
        <f t="shared" si="4"/>
        <v>97000</v>
      </c>
      <c r="O83" s="111" t="s">
        <v>21</v>
      </c>
      <c r="P83" s="111">
        <f t="shared" si="5"/>
        <v>80</v>
      </c>
    </row>
    <row r="84" spans="1:16" ht="15" customHeight="1" x14ac:dyDescent="0.25">
      <c r="A84" s="111" t="s">
        <v>18</v>
      </c>
      <c r="B84" s="120">
        <v>45962</v>
      </c>
      <c r="C84" s="111">
        <f t="shared" si="3"/>
        <v>700</v>
      </c>
      <c r="D84" s="111">
        <v>1</v>
      </c>
      <c r="E84" s="116"/>
      <c r="G84" s="116" t="s">
        <v>1006</v>
      </c>
      <c r="H84" s="111" t="s">
        <v>1229</v>
      </c>
      <c r="I84" s="111">
        <v>64277</v>
      </c>
      <c r="J84" s="111">
        <v>331</v>
      </c>
      <c r="K84" s="111" t="s">
        <v>20</v>
      </c>
      <c r="L84" s="111">
        <v>1</v>
      </c>
      <c r="M84" s="118">
        <v>1900584</v>
      </c>
      <c r="N84" s="118">
        <f t="shared" si="4"/>
        <v>1900584</v>
      </c>
      <c r="O84" s="111" t="s">
        <v>21</v>
      </c>
      <c r="P84" s="111">
        <f t="shared" si="5"/>
        <v>81</v>
      </c>
    </row>
    <row r="85" spans="1:16" ht="15" customHeight="1" x14ac:dyDescent="0.25">
      <c r="A85" s="111" t="s">
        <v>18</v>
      </c>
      <c r="B85" s="120">
        <v>45963</v>
      </c>
      <c r="C85" s="111">
        <f t="shared" si="3"/>
        <v>701</v>
      </c>
      <c r="D85" s="111">
        <v>1</v>
      </c>
      <c r="E85" s="116"/>
      <c r="G85" s="116" t="s">
        <v>1005</v>
      </c>
      <c r="H85" s="111" t="s">
        <v>1230</v>
      </c>
      <c r="I85" s="111">
        <v>64277</v>
      </c>
      <c r="J85" s="111">
        <v>331</v>
      </c>
      <c r="K85" s="111" t="s">
        <v>20</v>
      </c>
      <c r="L85" s="111">
        <v>1</v>
      </c>
      <c r="M85" s="118">
        <v>67000</v>
      </c>
      <c r="N85" s="118">
        <f t="shared" si="4"/>
        <v>67000</v>
      </c>
      <c r="O85" s="111" t="s">
        <v>21</v>
      </c>
      <c r="P85" s="111">
        <f t="shared" si="5"/>
        <v>82</v>
      </c>
    </row>
    <row r="86" spans="1:16" ht="15" customHeight="1" x14ac:dyDescent="0.25">
      <c r="A86" s="111" t="s">
        <v>18</v>
      </c>
      <c r="B86" s="120">
        <v>45963</v>
      </c>
      <c r="C86" s="111">
        <f t="shared" si="3"/>
        <v>702</v>
      </c>
      <c r="D86" s="111">
        <v>1</v>
      </c>
      <c r="E86" s="116"/>
      <c r="G86" s="116" t="s">
        <v>19</v>
      </c>
      <c r="H86" s="111" t="s">
        <v>1080</v>
      </c>
      <c r="I86" s="111">
        <v>64277</v>
      </c>
      <c r="J86" s="111">
        <v>331</v>
      </c>
      <c r="K86" s="111" t="s">
        <v>20</v>
      </c>
      <c r="L86" s="111">
        <v>1</v>
      </c>
      <c r="M86" s="118">
        <v>33000</v>
      </c>
      <c r="N86" s="118">
        <f t="shared" si="4"/>
        <v>33000</v>
      </c>
      <c r="O86" s="111" t="s">
        <v>21</v>
      </c>
      <c r="P86" s="111">
        <f t="shared" si="5"/>
        <v>83</v>
      </c>
    </row>
    <row r="87" spans="1:16" ht="15" customHeight="1" x14ac:dyDescent="0.25">
      <c r="A87" s="111" t="s">
        <v>18</v>
      </c>
      <c r="B87" s="120">
        <v>45963</v>
      </c>
      <c r="C87" s="111">
        <f t="shared" si="3"/>
        <v>703</v>
      </c>
      <c r="D87" s="111">
        <v>1</v>
      </c>
      <c r="E87" s="116"/>
      <c r="G87" s="116" t="s">
        <v>19</v>
      </c>
      <c r="H87" s="111" t="s">
        <v>1081</v>
      </c>
      <c r="I87" s="111">
        <v>64277</v>
      </c>
      <c r="J87" s="111">
        <v>331</v>
      </c>
      <c r="K87" s="111" t="s">
        <v>20</v>
      </c>
      <c r="L87" s="111">
        <v>1</v>
      </c>
      <c r="M87" s="118">
        <v>44000</v>
      </c>
      <c r="N87" s="118">
        <f t="shared" si="4"/>
        <v>44000</v>
      </c>
      <c r="O87" s="111" t="s">
        <v>21</v>
      </c>
      <c r="P87" s="111">
        <f t="shared" si="5"/>
        <v>84</v>
      </c>
    </row>
    <row r="88" spans="1:16" ht="15" customHeight="1" x14ac:dyDescent="0.25">
      <c r="A88" s="111" t="s">
        <v>18</v>
      </c>
      <c r="B88" s="120">
        <v>45963</v>
      </c>
      <c r="C88" s="111">
        <f t="shared" si="3"/>
        <v>704</v>
      </c>
      <c r="D88" s="111">
        <v>1</v>
      </c>
      <c r="E88" s="116"/>
      <c r="G88" s="116" t="s">
        <v>19</v>
      </c>
      <c r="H88" s="111" t="s">
        <v>1082</v>
      </c>
      <c r="I88" s="111">
        <v>64277</v>
      </c>
      <c r="J88" s="111">
        <v>331</v>
      </c>
      <c r="K88" s="111" t="s">
        <v>20</v>
      </c>
      <c r="L88" s="111">
        <v>1</v>
      </c>
      <c r="M88" s="118">
        <v>85000</v>
      </c>
      <c r="N88" s="118">
        <f t="shared" si="4"/>
        <v>85000</v>
      </c>
      <c r="O88" s="111" t="s">
        <v>21</v>
      </c>
      <c r="P88" s="111">
        <f t="shared" si="5"/>
        <v>85</v>
      </c>
    </row>
    <row r="89" spans="1:16" ht="15" customHeight="1" x14ac:dyDescent="0.25">
      <c r="A89" s="111" t="s">
        <v>18</v>
      </c>
      <c r="B89" s="120">
        <v>45964</v>
      </c>
      <c r="C89" s="111">
        <f t="shared" si="3"/>
        <v>705</v>
      </c>
      <c r="D89" s="111">
        <v>1</v>
      </c>
      <c r="E89" s="116"/>
      <c r="G89" s="116" t="s">
        <v>48</v>
      </c>
      <c r="H89" s="111" t="s">
        <v>977</v>
      </c>
      <c r="I89" s="111">
        <v>64277</v>
      </c>
      <c r="J89" s="111">
        <v>331</v>
      </c>
      <c r="K89" s="111" t="s">
        <v>20</v>
      </c>
      <c r="L89" s="111">
        <v>1</v>
      </c>
      <c r="M89" s="118">
        <v>202755</v>
      </c>
      <c r="N89" s="118">
        <f t="shared" si="4"/>
        <v>202755</v>
      </c>
      <c r="O89" s="111" t="s">
        <v>21</v>
      </c>
      <c r="P89" s="111">
        <f t="shared" si="5"/>
        <v>86</v>
      </c>
    </row>
    <row r="90" spans="1:16" ht="15" customHeight="1" x14ac:dyDescent="0.25">
      <c r="A90" s="111" t="s">
        <v>18</v>
      </c>
      <c r="B90" s="120">
        <v>45964</v>
      </c>
      <c r="C90" s="111">
        <f t="shared" si="3"/>
        <v>706</v>
      </c>
      <c r="D90" s="111">
        <v>1</v>
      </c>
      <c r="E90" s="116"/>
      <c r="G90" s="116" t="s">
        <v>1007</v>
      </c>
      <c r="H90" s="111" t="s">
        <v>1231</v>
      </c>
      <c r="I90" s="111">
        <v>64277</v>
      </c>
      <c r="J90" s="111">
        <v>331</v>
      </c>
      <c r="K90" s="111" t="s">
        <v>20</v>
      </c>
      <c r="L90" s="111">
        <v>1</v>
      </c>
      <c r="M90" s="118">
        <v>1060000</v>
      </c>
      <c r="N90" s="118">
        <f t="shared" si="4"/>
        <v>1060000</v>
      </c>
      <c r="O90" s="111" t="s">
        <v>21</v>
      </c>
      <c r="P90" s="111">
        <f t="shared" si="5"/>
        <v>87</v>
      </c>
    </row>
    <row r="91" spans="1:16" ht="15" customHeight="1" x14ac:dyDescent="0.25">
      <c r="A91" s="111" t="s">
        <v>18</v>
      </c>
      <c r="B91" s="120">
        <v>45964</v>
      </c>
      <c r="C91" s="111">
        <f t="shared" si="3"/>
        <v>707</v>
      </c>
      <c r="D91" s="111">
        <v>1</v>
      </c>
      <c r="E91" s="116"/>
      <c r="G91" s="116" t="s">
        <v>19</v>
      </c>
      <c r="H91" s="111" t="s">
        <v>1083</v>
      </c>
      <c r="I91" s="111">
        <v>64277</v>
      </c>
      <c r="J91" s="111">
        <v>331</v>
      </c>
      <c r="K91" s="111" t="s">
        <v>20</v>
      </c>
      <c r="L91" s="111">
        <v>1</v>
      </c>
      <c r="M91" s="118">
        <v>30000</v>
      </c>
      <c r="N91" s="118">
        <f t="shared" si="4"/>
        <v>30000</v>
      </c>
      <c r="O91" s="111" t="s">
        <v>21</v>
      </c>
      <c r="P91" s="111">
        <f t="shared" si="5"/>
        <v>88</v>
      </c>
    </row>
    <row r="92" spans="1:16" ht="15" customHeight="1" x14ac:dyDescent="0.25">
      <c r="A92" s="111" t="s">
        <v>18</v>
      </c>
      <c r="B92" s="120">
        <v>45964</v>
      </c>
      <c r="C92" s="111">
        <f t="shared" si="3"/>
        <v>708</v>
      </c>
      <c r="D92" s="111">
        <v>1</v>
      </c>
      <c r="E92" s="116"/>
      <c r="G92" s="116" t="s">
        <v>19</v>
      </c>
      <c r="H92" s="111" t="s">
        <v>1084</v>
      </c>
      <c r="I92" s="111">
        <v>64277</v>
      </c>
      <c r="J92" s="111">
        <v>331</v>
      </c>
      <c r="K92" s="111" t="s">
        <v>20</v>
      </c>
      <c r="L92" s="111">
        <v>1</v>
      </c>
      <c r="M92" s="118">
        <v>25000</v>
      </c>
      <c r="N92" s="118">
        <f t="shared" si="4"/>
        <v>25000</v>
      </c>
      <c r="O92" s="111" t="s">
        <v>21</v>
      </c>
      <c r="P92" s="111">
        <f t="shared" si="5"/>
        <v>89</v>
      </c>
    </row>
    <row r="93" spans="1:16" ht="15" customHeight="1" x14ac:dyDescent="0.25">
      <c r="A93" s="111" t="s">
        <v>18</v>
      </c>
      <c r="B93" s="120">
        <v>45965</v>
      </c>
      <c r="C93" s="111">
        <f t="shared" si="3"/>
        <v>709</v>
      </c>
      <c r="D93" s="111">
        <v>1</v>
      </c>
      <c r="E93" s="116"/>
      <c r="G93" s="116" t="s">
        <v>37</v>
      </c>
      <c r="H93" s="111" t="s">
        <v>978</v>
      </c>
      <c r="I93" s="111">
        <v>64277</v>
      </c>
      <c r="J93" s="111">
        <v>331</v>
      </c>
      <c r="K93" s="111" t="s">
        <v>20</v>
      </c>
      <c r="L93" s="111">
        <v>1</v>
      </c>
      <c r="M93" s="118">
        <v>3240000</v>
      </c>
      <c r="N93" s="118">
        <f t="shared" si="4"/>
        <v>3240000</v>
      </c>
      <c r="O93" s="111" t="s">
        <v>21</v>
      </c>
      <c r="P93" s="111">
        <f t="shared" si="5"/>
        <v>90</v>
      </c>
    </row>
    <row r="94" spans="1:16" ht="15" customHeight="1" x14ac:dyDescent="0.25">
      <c r="A94" s="111" t="s">
        <v>18</v>
      </c>
      <c r="B94" s="120">
        <v>45965</v>
      </c>
      <c r="C94" s="111">
        <f t="shared" si="3"/>
        <v>710</v>
      </c>
      <c r="D94" s="111">
        <v>1</v>
      </c>
      <c r="E94" s="116"/>
      <c r="G94" s="116" t="s">
        <v>988</v>
      </c>
      <c r="H94" s="111" t="s">
        <v>1232</v>
      </c>
      <c r="I94" s="111">
        <v>64277</v>
      </c>
      <c r="J94" s="111">
        <v>331</v>
      </c>
      <c r="K94" s="111" t="s">
        <v>20</v>
      </c>
      <c r="L94" s="111">
        <v>1</v>
      </c>
      <c r="M94" s="118">
        <v>155000</v>
      </c>
      <c r="N94" s="118">
        <f t="shared" si="4"/>
        <v>155000</v>
      </c>
      <c r="O94" s="111" t="s">
        <v>21</v>
      </c>
      <c r="P94" s="111">
        <f t="shared" si="5"/>
        <v>91</v>
      </c>
    </row>
    <row r="95" spans="1:16" ht="15" customHeight="1" x14ac:dyDescent="0.25">
      <c r="A95" s="111" t="s">
        <v>18</v>
      </c>
      <c r="B95" s="120">
        <v>45965</v>
      </c>
      <c r="C95" s="111">
        <f t="shared" si="3"/>
        <v>711</v>
      </c>
      <c r="D95" s="111">
        <v>1</v>
      </c>
      <c r="E95" s="116"/>
      <c r="G95" s="116" t="s">
        <v>22</v>
      </c>
      <c r="H95" s="111" t="s">
        <v>1233</v>
      </c>
      <c r="I95" s="111">
        <v>64277</v>
      </c>
      <c r="J95" s="111">
        <v>331</v>
      </c>
      <c r="K95" s="111" t="s">
        <v>20</v>
      </c>
      <c r="L95" s="111">
        <v>1</v>
      </c>
      <c r="M95" s="118">
        <v>1181520</v>
      </c>
      <c r="N95" s="118">
        <f t="shared" si="4"/>
        <v>1181520</v>
      </c>
      <c r="O95" s="111" t="s">
        <v>21</v>
      </c>
      <c r="P95" s="111">
        <f t="shared" si="5"/>
        <v>92</v>
      </c>
    </row>
    <row r="96" spans="1:16" ht="15" customHeight="1" x14ac:dyDescent="0.25">
      <c r="A96" s="111" t="s">
        <v>18</v>
      </c>
      <c r="B96" s="120">
        <v>45965</v>
      </c>
      <c r="C96" s="111">
        <f t="shared" si="3"/>
        <v>712</v>
      </c>
      <c r="D96" s="111">
        <v>1</v>
      </c>
      <c r="E96" s="116"/>
      <c r="G96" s="116" t="s">
        <v>19</v>
      </c>
      <c r="H96" s="111" t="s">
        <v>1085</v>
      </c>
      <c r="I96" s="111">
        <v>64277</v>
      </c>
      <c r="J96" s="111">
        <v>331</v>
      </c>
      <c r="K96" s="111" t="s">
        <v>20</v>
      </c>
      <c r="L96" s="111">
        <v>1</v>
      </c>
      <c r="M96" s="118">
        <v>30000</v>
      </c>
      <c r="N96" s="118">
        <f t="shared" si="4"/>
        <v>30000</v>
      </c>
      <c r="O96" s="111" t="s">
        <v>21</v>
      </c>
      <c r="P96" s="111">
        <f t="shared" si="5"/>
        <v>93</v>
      </c>
    </row>
    <row r="97" spans="1:16" ht="15" customHeight="1" x14ac:dyDescent="0.25">
      <c r="A97" s="111" t="s">
        <v>18</v>
      </c>
      <c r="B97" s="120">
        <v>45966</v>
      </c>
      <c r="C97" s="111">
        <f t="shared" si="3"/>
        <v>713</v>
      </c>
      <c r="D97" s="111">
        <v>1</v>
      </c>
      <c r="E97" s="116"/>
      <c r="G97" s="116" t="s">
        <v>1008</v>
      </c>
      <c r="H97" s="111" t="s">
        <v>1234</v>
      </c>
      <c r="I97" s="111">
        <v>64277</v>
      </c>
      <c r="J97" s="111">
        <v>331</v>
      </c>
      <c r="K97" s="111" t="s">
        <v>20</v>
      </c>
      <c r="L97" s="111">
        <v>1</v>
      </c>
      <c r="M97" s="118">
        <v>327000</v>
      </c>
      <c r="N97" s="118">
        <f t="shared" si="4"/>
        <v>327000</v>
      </c>
      <c r="O97" s="111" t="s">
        <v>21</v>
      </c>
      <c r="P97" s="111">
        <f t="shared" si="5"/>
        <v>94</v>
      </c>
    </row>
    <row r="98" spans="1:16" ht="15" customHeight="1" x14ac:dyDescent="0.25">
      <c r="A98" s="111" t="s">
        <v>18</v>
      </c>
      <c r="B98" s="120">
        <v>45966</v>
      </c>
      <c r="C98" s="111">
        <f t="shared" si="3"/>
        <v>714</v>
      </c>
      <c r="D98" s="111">
        <v>1</v>
      </c>
      <c r="E98" s="116"/>
      <c r="G98" s="116" t="s">
        <v>22</v>
      </c>
      <c r="H98" s="111" t="s">
        <v>1235</v>
      </c>
      <c r="I98" s="111">
        <v>64277</v>
      </c>
      <c r="J98" s="111">
        <v>331</v>
      </c>
      <c r="K98" s="111" t="s">
        <v>20</v>
      </c>
      <c r="L98" s="111">
        <v>1</v>
      </c>
      <c r="M98" s="118">
        <v>761400</v>
      </c>
      <c r="N98" s="118">
        <f t="shared" si="4"/>
        <v>761400</v>
      </c>
      <c r="O98" s="111" t="s">
        <v>21</v>
      </c>
      <c r="P98" s="111">
        <f t="shared" si="5"/>
        <v>95</v>
      </c>
    </row>
    <row r="99" spans="1:16" ht="15" customHeight="1" x14ac:dyDescent="0.25">
      <c r="A99" s="111" t="s">
        <v>18</v>
      </c>
      <c r="B99" s="120">
        <v>45966</v>
      </c>
      <c r="C99" s="111">
        <f t="shared" si="3"/>
        <v>715</v>
      </c>
      <c r="D99" s="111">
        <v>1</v>
      </c>
      <c r="E99" s="116"/>
      <c r="G99" s="116" t="s">
        <v>19</v>
      </c>
      <c r="H99" s="111" t="s">
        <v>1086</v>
      </c>
      <c r="I99" s="111">
        <v>64277</v>
      </c>
      <c r="J99" s="111">
        <v>331</v>
      </c>
      <c r="K99" s="111" t="s">
        <v>20</v>
      </c>
      <c r="L99" s="111">
        <v>1</v>
      </c>
      <c r="M99" s="118">
        <v>82000</v>
      </c>
      <c r="N99" s="118">
        <f t="shared" si="4"/>
        <v>82000</v>
      </c>
      <c r="O99" s="111" t="s">
        <v>21</v>
      </c>
      <c r="P99" s="111">
        <f t="shared" si="5"/>
        <v>96</v>
      </c>
    </row>
    <row r="100" spans="1:16" ht="15" customHeight="1" x14ac:dyDescent="0.25">
      <c r="A100" s="111" t="s">
        <v>18</v>
      </c>
      <c r="B100" s="120">
        <v>45967</v>
      </c>
      <c r="C100" s="111">
        <f t="shared" si="3"/>
        <v>716</v>
      </c>
      <c r="D100" s="111">
        <v>1</v>
      </c>
      <c r="E100" s="116"/>
      <c r="G100" s="116" t="s">
        <v>1009</v>
      </c>
      <c r="H100" s="111" t="s">
        <v>1236</v>
      </c>
      <c r="I100" s="111">
        <v>64277</v>
      </c>
      <c r="J100" s="111">
        <v>331</v>
      </c>
      <c r="K100" s="111" t="s">
        <v>20</v>
      </c>
      <c r="L100" s="111">
        <v>1</v>
      </c>
      <c r="M100" s="118">
        <v>510000</v>
      </c>
      <c r="N100" s="118">
        <f t="shared" si="4"/>
        <v>510000</v>
      </c>
      <c r="O100" s="111" t="s">
        <v>21</v>
      </c>
      <c r="P100" s="111">
        <f t="shared" si="5"/>
        <v>97</v>
      </c>
    </row>
    <row r="101" spans="1:16" ht="15" customHeight="1" x14ac:dyDescent="0.25">
      <c r="A101" s="111" t="s">
        <v>18</v>
      </c>
      <c r="B101" s="120">
        <v>45967</v>
      </c>
      <c r="C101" s="111">
        <f t="shared" si="3"/>
        <v>717</v>
      </c>
      <c r="D101" s="111">
        <v>1</v>
      </c>
      <c r="E101" s="116"/>
      <c r="G101" s="116" t="s">
        <v>27</v>
      </c>
      <c r="H101" s="111" t="s">
        <v>1179</v>
      </c>
      <c r="I101" s="111">
        <v>64277</v>
      </c>
      <c r="J101" s="111">
        <v>331</v>
      </c>
      <c r="K101" s="111" t="s">
        <v>20</v>
      </c>
      <c r="L101" s="111">
        <v>1</v>
      </c>
      <c r="M101" s="118">
        <v>450360</v>
      </c>
      <c r="N101" s="118">
        <f t="shared" si="4"/>
        <v>450360</v>
      </c>
      <c r="O101" s="111" t="s">
        <v>21</v>
      </c>
      <c r="P101" s="111">
        <f t="shared" si="5"/>
        <v>98</v>
      </c>
    </row>
    <row r="102" spans="1:16" ht="15" customHeight="1" x14ac:dyDescent="0.25">
      <c r="A102" s="111" t="s">
        <v>18</v>
      </c>
      <c r="B102" s="120">
        <v>45967</v>
      </c>
      <c r="C102" s="111">
        <f t="shared" si="3"/>
        <v>718</v>
      </c>
      <c r="D102" s="111">
        <v>1</v>
      </c>
      <c r="E102" s="116"/>
      <c r="G102" s="116" t="s">
        <v>1006</v>
      </c>
      <c r="H102" s="111" t="s">
        <v>1237</v>
      </c>
      <c r="I102" s="111">
        <v>64277</v>
      </c>
      <c r="J102" s="111">
        <v>331</v>
      </c>
      <c r="K102" s="111" t="s">
        <v>20</v>
      </c>
      <c r="L102" s="111">
        <v>1</v>
      </c>
      <c r="M102" s="118">
        <v>2557128</v>
      </c>
      <c r="N102" s="118">
        <f t="shared" si="4"/>
        <v>2557128</v>
      </c>
      <c r="O102" s="111" t="s">
        <v>21</v>
      </c>
      <c r="P102" s="111">
        <f t="shared" si="5"/>
        <v>99</v>
      </c>
    </row>
    <row r="103" spans="1:16" ht="15" customHeight="1" x14ac:dyDescent="0.25">
      <c r="A103" s="111" t="s">
        <v>18</v>
      </c>
      <c r="B103" s="120">
        <v>45967</v>
      </c>
      <c r="C103" s="111">
        <f t="shared" si="3"/>
        <v>719</v>
      </c>
      <c r="D103" s="111">
        <v>1</v>
      </c>
      <c r="E103" s="116"/>
      <c r="G103" s="116" t="s">
        <v>23</v>
      </c>
      <c r="H103" s="111" t="s">
        <v>1238</v>
      </c>
      <c r="I103" s="111">
        <v>64277</v>
      </c>
      <c r="J103" s="111">
        <v>331</v>
      </c>
      <c r="K103" s="111" t="s">
        <v>20</v>
      </c>
      <c r="L103" s="111">
        <v>1</v>
      </c>
      <c r="M103" s="118">
        <v>367000</v>
      </c>
      <c r="N103" s="118">
        <f t="shared" si="4"/>
        <v>367000</v>
      </c>
      <c r="O103" s="111" t="s">
        <v>21</v>
      </c>
      <c r="P103" s="111">
        <f t="shared" si="5"/>
        <v>100</v>
      </c>
    </row>
    <row r="104" spans="1:16" ht="15" customHeight="1" x14ac:dyDescent="0.25">
      <c r="A104" s="111" t="s">
        <v>18</v>
      </c>
      <c r="B104" s="120">
        <v>45967</v>
      </c>
      <c r="C104" s="111">
        <f t="shared" si="3"/>
        <v>720</v>
      </c>
      <c r="D104" s="111">
        <v>1</v>
      </c>
      <c r="E104" s="116"/>
      <c r="G104" s="116" t="s">
        <v>19</v>
      </c>
      <c r="H104" s="111" t="s">
        <v>1087</v>
      </c>
      <c r="I104" s="111">
        <v>64277</v>
      </c>
      <c r="J104" s="111">
        <v>331</v>
      </c>
      <c r="K104" s="111" t="s">
        <v>20</v>
      </c>
      <c r="L104" s="111">
        <v>1</v>
      </c>
      <c r="M104" s="118">
        <v>69000</v>
      </c>
      <c r="N104" s="118">
        <f t="shared" si="4"/>
        <v>69000</v>
      </c>
      <c r="O104" s="111" t="s">
        <v>21</v>
      </c>
      <c r="P104" s="111">
        <f t="shared" si="5"/>
        <v>101</v>
      </c>
    </row>
    <row r="105" spans="1:16" ht="15" customHeight="1" x14ac:dyDescent="0.25">
      <c r="A105" s="111" t="s">
        <v>18</v>
      </c>
      <c r="B105" s="120">
        <v>45967</v>
      </c>
      <c r="C105" s="111">
        <f t="shared" si="3"/>
        <v>721</v>
      </c>
      <c r="D105" s="111">
        <v>1</v>
      </c>
      <c r="E105" s="116"/>
      <c r="G105" s="116" t="s">
        <v>19</v>
      </c>
      <c r="H105" s="111" t="s">
        <v>1088</v>
      </c>
      <c r="I105" s="111">
        <v>64277</v>
      </c>
      <c r="J105" s="111">
        <v>331</v>
      </c>
      <c r="K105" s="111" t="s">
        <v>20</v>
      </c>
      <c r="L105" s="111">
        <v>1</v>
      </c>
      <c r="M105" s="118">
        <v>36000</v>
      </c>
      <c r="N105" s="118">
        <f t="shared" si="4"/>
        <v>36000</v>
      </c>
      <c r="O105" s="111" t="s">
        <v>21</v>
      </c>
      <c r="P105" s="111">
        <f t="shared" si="5"/>
        <v>102</v>
      </c>
    </row>
    <row r="106" spans="1:16" ht="15" customHeight="1" x14ac:dyDescent="0.25">
      <c r="A106" s="111" t="s">
        <v>18</v>
      </c>
      <c r="B106" s="120">
        <v>45967</v>
      </c>
      <c r="C106" s="111">
        <f t="shared" si="3"/>
        <v>722</v>
      </c>
      <c r="D106" s="111">
        <v>1</v>
      </c>
      <c r="E106" s="116"/>
      <c r="G106" s="116" t="s">
        <v>19</v>
      </c>
      <c r="H106" s="111" t="s">
        <v>1089</v>
      </c>
      <c r="I106" s="111">
        <v>64277</v>
      </c>
      <c r="J106" s="111">
        <v>331</v>
      </c>
      <c r="K106" s="111" t="s">
        <v>20</v>
      </c>
      <c r="L106" s="111">
        <v>1</v>
      </c>
      <c r="M106" s="118">
        <v>81000</v>
      </c>
      <c r="N106" s="118">
        <f t="shared" si="4"/>
        <v>81000</v>
      </c>
      <c r="O106" s="111" t="s">
        <v>21</v>
      </c>
      <c r="P106" s="111">
        <f t="shared" si="5"/>
        <v>103</v>
      </c>
    </row>
    <row r="107" spans="1:16" ht="15" customHeight="1" x14ac:dyDescent="0.25">
      <c r="A107" s="111" t="s">
        <v>18</v>
      </c>
      <c r="B107" s="120">
        <v>45968</v>
      </c>
      <c r="C107" s="111">
        <f t="shared" si="3"/>
        <v>723</v>
      </c>
      <c r="D107" s="111">
        <v>1</v>
      </c>
      <c r="E107" s="116"/>
      <c r="G107" s="116" t="s">
        <v>34</v>
      </c>
      <c r="H107" s="111" t="s">
        <v>1239</v>
      </c>
      <c r="I107" s="111">
        <v>64277</v>
      </c>
      <c r="J107" s="111">
        <v>331</v>
      </c>
      <c r="K107" s="111" t="s">
        <v>20</v>
      </c>
      <c r="L107" s="111">
        <v>1</v>
      </c>
      <c r="M107" s="118">
        <v>1640001</v>
      </c>
      <c r="N107" s="118">
        <f t="shared" si="4"/>
        <v>1640001</v>
      </c>
      <c r="O107" s="111" t="s">
        <v>21</v>
      </c>
      <c r="P107" s="111">
        <f t="shared" si="5"/>
        <v>104</v>
      </c>
    </row>
    <row r="108" spans="1:16" ht="15" customHeight="1" x14ac:dyDescent="0.25">
      <c r="A108" s="111" t="s">
        <v>18</v>
      </c>
      <c r="B108" s="120">
        <v>45968</v>
      </c>
      <c r="C108" s="111">
        <f t="shared" si="3"/>
        <v>724</v>
      </c>
      <c r="D108" s="111">
        <v>1</v>
      </c>
      <c r="E108" s="116"/>
      <c r="G108" s="116" t="s">
        <v>19</v>
      </c>
      <c r="H108" s="111" t="s">
        <v>1090</v>
      </c>
      <c r="I108" s="111">
        <v>64277</v>
      </c>
      <c r="J108" s="111">
        <v>331</v>
      </c>
      <c r="K108" s="111" t="s">
        <v>20</v>
      </c>
      <c r="L108" s="111">
        <v>1</v>
      </c>
      <c r="M108" s="118">
        <v>39000</v>
      </c>
      <c r="N108" s="118">
        <f t="shared" si="4"/>
        <v>39000</v>
      </c>
      <c r="O108" s="111" t="s">
        <v>21</v>
      </c>
      <c r="P108" s="111">
        <f t="shared" si="5"/>
        <v>105</v>
      </c>
    </row>
    <row r="109" spans="1:16" ht="15" customHeight="1" x14ac:dyDescent="0.25">
      <c r="A109" s="111" t="s">
        <v>18</v>
      </c>
      <c r="B109" s="120">
        <v>45968</v>
      </c>
      <c r="C109" s="111">
        <f t="shared" si="3"/>
        <v>725</v>
      </c>
      <c r="D109" s="111">
        <v>1</v>
      </c>
      <c r="E109" s="116"/>
      <c r="G109" s="116" t="s">
        <v>19</v>
      </c>
      <c r="H109" s="111" t="s">
        <v>1091</v>
      </c>
      <c r="I109" s="111">
        <v>64277</v>
      </c>
      <c r="J109" s="111">
        <v>331</v>
      </c>
      <c r="K109" s="111" t="s">
        <v>20</v>
      </c>
      <c r="L109" s="111">
        <v>1</v>
      </c>
      <c r="M109" s="118">
        <v>24000</v>
      </c>
      <c r="N109" s="118">
        <f t="shared" si="4"/>
        <v>24000</v>
      </c>
      <c r="O109" s="111" t="s">
        <v>21</v>
      </c>
      <c r="P109" s="111">
        <f t="shared" si="5"/>
        <v>106</v>
      </c>
    </row>
    <row r="110" spans="1:16" ht="15" customHeight="1" x14ac:dyDescent="0.25">
      <c r="A110" s="111" t="s">
        <v>18</v>
      </c>
      <c r="B110" s="120">
        <v>45968</v>
      </c>
      <c r="C110" s="111">
        <f t="shared" si="3"/>
        <v>726</v>
      </c>
      <c r="D110" s="111">
        <v>1</v>
      </c>
      <c r="E110" s="116"/>
      <c r="G110" s="116" t="s">
        <v>19</v>
      </c>
      <c r="H110" s="111" t="s">
        <v>1092</v>
      </c>
      <c r="I110" s="111">
        <v>64277</v>
      </c>
      <c r="J110" s="111">
        <v>331</v>
      </c>
      <c r="K110" s="111" t="s">
        <v>20</v>
      </c>
      <c r="L110" s="111">
        <v>1</v>
      </c>
      <c r="M110" s="118">
        <v>54000</v>
      </c>
      <c r="N110" s="118">
        <f t="shared" si="4"/>
        <v>54000</v>
      </c>
      <c r="O110" s="111" t="s">
        <v>21</v>
      </c>
      <c r="P110" s="111">
        <f t="shared" si="5"/>
        <v>107</v>
      </c>
    </row>
    <row r="111" spans="1:16" ht="15" customHeight="1" x14ac:dyDescent="0.25">
      <c r="A111" s="111" t="s">
        <v>18</v>
      </c>
      <c r="B111" s="120">
        <v>45969</v>
      </c>
      <c r="C111" s="111">
        <f t="shared" si="3"/>
        <v>727</v>
      </c>
      <c r="D111" s="111">
        <v>1</v>
      </c>
      <c r="E111" s="116"/>
      <c r="G111" s="116" t="s">
        <v>25</v>
      </c>
      <c r="H111" s="111" t="s">
        <v>1240</v>
      </c>
      <c r="I111" s="111">
        <v>64277</v>
      </c>
      <c r="J111" s="111">
        <v>331</v>
      </c>
      <c r="K111" s="111" t="s">
        <v>20</v>
      </c>
      <c r="L111" s="111">
        <v>1</v>
      </c>
      <c r="M111" s="118">
        <v>1545048</v>
      </c>
      <c r="N111" s="118">
        <f t="shared" si="4"/>
        <v>1545048</v>
      </c>
      <c r="O111" s="111" t="s">
        <v>21</v>
      </c>
      <c r="P111" s="111">
        <f t="shared" si="5"/>
        <v>108</v>
      </c>
    </row>
    <row r="112" spans="1:16" ht="15" customHeight="1" x14ac:dyDescent="0.25">
      <c r="A112" s="111" t="s">
        <v>18</v>
      </c>
      <c r="B112" s="120">
        <v>45969</v>
      </c>
      <c r="C112" s="111">
        <f t="shared" si="3"/>
        <v>728</v>
      </c>
      <c r="D112" s="111">
        <v>1</v>
      </c>
      <c r="E112" s="116"/>
      <c r="G112" s="116" t="s">
        <v>24</v>
      </c>
      <c r="H112" s="111" t="s">
        <v>1093</v>
      </c>
      <c r="I112" s="111">
        <v>64277</v>
      </c>
      <c r="J112" s="111">
        <v>331</v>
      </c>
      <c r="K112" s="111" t="s">
        <v>20</v>
      </c>
      <c r="L112" s="111">
        <v>1</v>
      </c>
      <c r="M112" s="118">
        <v>153000</v>
      </c>
      <c r="N112" s="118">
        <f t="shared" si="4"/>
        <v>153000</v>
      </c>
      <c r="O112" s="111" t="s">
        <v>21</v>
      </c>
      <c r="P112" s="111">
        <f t="shared" si="5"/>
        <v>109</v>
      </c>
    </row>
    <row r="113" spans="1:16" ht="15" customHeight="1" x14ac:dyDescent="0.25">
      <c r="A113" s="111" t="s">
        <v>18</v>
      </c>
      <c r="B113" s="120">
        <v>45969</v>
      </c>
      <c r="C113" s="111">
        <f t="shared" si="3"/>
        <v>729</v>
      </c>
      <c r="D113" s="111">
        <v>1</v>
      </c>
      <c r="E113" s="116"/>
      <c r="G113" s="116" t="s">
        <v>19</v>
      </c>
      <c r="H113" s="111" t="s">
        <v>1094</v>
      </c>
      <c r="I113" s="111">
        <v>64277</v>
      </c>
      <c r="J113" s="111">
        <v>331</v>
      </c>
      <c r="K113" s="111" t="s">
        <v>20</v>
      </c>
      <c r="L113" s="111">
        <v>1</v>
      </c>
      <c r="M113" s="118">
        <v>226000</v>
      </c>
      <c r="N113" s="118">
        <f t="shared" si="4"/>
        <v>226000</v>
      </c>
      <c r="O113" s="111" t="s">
        <v>21</v>
      </c>
      <c r="P113" s="111">
        <f t="shared" si="5"/>
        <v>110</v>
      </c>
    </row>
    <row r="114" spans="1:16" ht="15" customHeight="1" x14ac:dyDescent="0.25">
      <c r="A114" s="111" t="s">
        <v>18</v>
      </c>
      <c r="B114" s="120">
        <v>45970</v>
      </c>
      <c r="C114" s="111">
        <f t="shared" si="3"/>
        <v>730</v>
      </c>
      <c r="D114" s="111">
        <v>1</v>
      </c>
      <c r="E114" s="116"/>
      <c r="G114" s="116" t="s">
        <v>983</v>
      </c>
      <c r="H114" s="111" t="s">
        <v>1241</v>
      </c>
      <c r="I114" s="111">
        <v>64277</v>
      </c>
      <c r="J114" s="111">
        <v>331</v>
      </c>
      <c r="K114" s="111" t="s">
        <v>20</v>
      </c>
      <c r="L114" s="111">
        <v>1</v>
      </c>
      <c r="M114" s="118">
        <v>656586</v>
      </c>
      <c r="N114" s="118">
        <f t="shared" si="4"/>
        <v>656586</v>
      </c>
      <c r="O114" s="111" t="s">
        <v>21</v>
      </c>
      <c r="P114" s="111">
        <f t="shared" si="5"/>
        <v>111</v>
      </c>
    </row>
    <row r="115" spans="1:16" ht="15" customHeight="1" x14ac:dyDescent="0.25">
      <c r="A115" s="111" t="s">
        <v>18</v>
      </c>
      <c r="B115" s="120">
        <v>45970</v>
      </c>
      <c r="C115" s="111">
        <f t="shared" si="3"/>
        <v>731</v>
      </c>
      <c r="D115" s="111">
        <v>1</v>
      </c>
      <c r="E115" s="116"/>
      <c r="G115" s="116" t="s">
        <v>23</v>
      </c>
      <c r="H115" s="111" t="s">
        <v>1242</v>
      </c>
      <c r="I115" s="111">
        <v>64277</v>
      </c>
      <c r="J115" s="111">
        <v>331</v>
      </c>
      <c r="K115" s="111" t="s">
        <v>20</v>
      </c>
      <c r="L115" s="111">
        <v>1</v>
      </c>
      <c r="M115" s="118">
        <v>94000</v>
      </c>
      <c r="N115" s="118">
        <f t="shared" si="4"/>
        <v>94000</v>
      </c>
      <c r="O115" s="111" t="s">
        <v>21</v>
      </c>
      <c r="P115" s="111">
        <f t="shared" si="5"/>
        <v>112</v>
      </c>
    </row>
    <row r="116" spans="1:16" ht="15" customHeight="1" x14ac:dyDescent="0.25">
      <c r="A116" s="111" t="s">
        <v>18</v>
      </c>
      <c r="B116" s="120">
        <v>45971</v>
      </c>
      <c r="C116" s="111">
        <f t="shared" si="3"/>
        <v>732</v>
      </c>
      <c r="D116" s="111">
        <v>1</v>
      </c>
      <c r="E116" s="116"/>
      <c r="G116" s="116" t="s">
        <v>30</v>
      </c>
      <c r="H116" s="111" t="s">
        <v>1243</v>
      </c>
      <c r="I116" s="111">
        <v>64276</v>
      </c>
      <c r="J116" s="111">
        <v>331</v>
      </c>
      <c r="K116" s="111" t="s">
        <v>20</v>
      </c>
      <c r="L116" s="111">
        <v>1</v>
      </c>
      <c r="M116" s="118">
        <v>15089000</v>
      </c>
      <c r="N116" s="118">
        <f t="shared" si="4"/>
        <v>15089000</v>
      </c>
      <c r="O116" s="111" t="s">
        <v>21</v>
      </c>
      <c r="P116" s="111">
        <f t="shared" si="5"/>
        <v>113</v>
      </c>
    </row>
    <row r="117" spans="1:16" ht="15" customHeight="1" x14ac:dyDescent="0.25">
      <c r="A117" s="111" t="s">
        <v>18</v>
      </c>
      <c r="B117" s="120">
        <v>45971</v>
      </c>
      <c r="C117" s="111">
        <f t="shared" si="3"/>
        <v>733</v>
      </c>
      <c r="D117" s="111">
        <v>1</v>
      </c>
      <c r="E117" s="116"/>
      <c r="G117" s="116" t="s">
        <v>982</v>
      </c>
      <c r="H117" s="111" t="s">
        <v>1244</v>
      </c>
      <c r="I117" s="111">
        <v>64277</v>
      </c>
      <c r="J117" s="111">
        <v>331</v>
      </c>
      <c r="K117" s="111" t="s">
        <v>20</v>
      </c>
      <c r="L117" s="111">
        <v>1</v>
      </c>
      <c r="M117" s="118">
        <v>155000</v>
      </c>
      <c r="N117" s="118">
        <f t="shared" si="4"/>
        <v>155000</v>
      </c>
      <c r="O117" s="111" t="s">
        <v>21</v>
      </c>
      <c r="P117" s="111">
        <f t="shared" si="5"/>
        <v>114</v>
      </c>
    </row>
    <row r="118" spans="1:16" ht="15" customHeight="1" x14ac:dyDescent="0.25">
      <c r="A118" s="111" t="s">
        <v>18</v>
      </c>
      <c r="B118" s="120">
        <v>45971</v>
      </c>
      <c r="C118" s="111">
        <f t="shared" si="3"/>
        <v>734</v>
      </c>
      <c r="D118" s="111">
        <v>1</v>
      </c>
      <c r="E118" s="116"/>
      <c r="G118" s="116" t="s">
        <v>34</v>
      </c>
      <c r="H118" s="111" t="s">
        <v>1245</v>
      </c>
      <c r="I118" s="111">
        <v>64277</v>
      </c>
      <c r="J118" s="111">
        <v>331</v>
      </c>
      <c r="K118" s="111" t="s">
        <v>20</v>
      </c>
      <c r="L118" s="111">
        <v>1</v>
      </c>
      <c r="M118" s="118">
        <v>625000</v>
      </c>
      <c r="N118" s="118">
        <f t="shared" si="4"/>
        <v>625000</v>
      </c>
      <c r="O118" s="111" t="s">
        <v>21</v>
      </c>
      <c r="P118" s="111">
        <f t="shared" si="5"/>
        <v>115</v>
      </c>
    </row>
    <row r="119" spans="1:16" ht="15" customHeight="1" x14ac:dyDescent="0.25">
      <c r="A119" s="111" t="s">
        <v>18</v>
      </c>
      <c r="B119" s="120">
        <v>45971</v>
      </c>
      <c r="C119" s="111">
        <f t="shared" si="3"/>
        <v>735</v>
      </c>
      <c r="D119" s="111">
        <v>1</v>
      </c>
      <c r="E119" s="116"/>
      <c r="G119" s="116" t="s">
        <v>19</v>
      </c>
      <c r="H119" s="111" t="s">
        <v>1095</v>
      </c>
      <c r="I119" s="111">
        <v>64277</v>
      </c>
      <c r="J119" s="111">
        <v>331</v>
      </c>
      <c r="K119" s="111" t="s">
        <v>20</v>
      </c>
      <c r="L119" s="111">
        <v>1</v>
      </c>
      <c r="M119" s="118">
        <v>36000</v>
      </c>
      <c r="N119" s="118">
        <f t="shared" si="4"/>
        <v>36000</v>
      </c>
      <c r="O119" s="111" t="s">
        <v>21</v>
      </c>
      <c r="P119" s="111">
        <f t="shared" si="5"/>
        <v>116</v>
      </c>
    </row>
    <row r="120" spans="1:16" ht="15" customHeight="1" x14ac:dyDescent="0.25">
      <c r="A120" s="111" t="s">
        <v>18</v>
      </c>
      <c r="B120" s="120">
        <v>45972</v>
      </c>
      <c r="C120" s="111">
        <f t="shared" si="3"/>
        <v>736</v>
      </c>
      <c r="D120" s="111">
        <v>1</v>
      </c>
      <c r="E120" s="116"/>
      <c r="G120" s="116" t="s">
        <v>986</v>
      </c>
      <c r="H120" s="111" t="s">
        <v>1246</v>
      </c>
      <c r="I120" s="111">
        <v>64277</v>
      </c>
      <c r="J120" s="111">
        <v>331</v>
      </c>
      <c r="K120" s="111" t="s">
        <v>20</v>
      </c>
      <c r="L120" s="111">
        <v>1</v>
      </c>
      <c r="M120" s="118">
        <v>2001240</v>
      </c>
      <c r="N120" s="118">
        <f t="shared" si="4"/>
        <v>2001240</v>
      </c>
      <c r="O120" s="111" t="s">
        <v>21</v>
      </c>
      <c r="P120" s="111">
        <f t="shared" si="5"/>
        <v>117</v>
      </c>
    </row>
    <row r="121" spans="1:16" ht="15" customHeight="1" x14ac:dyDescent="0.25">
      <c r="A121" s="111" t="s">
        <v>18</v>
      </c>
      <c r="B121" s="120">
        <v>45972</v>
      </c>
      <c r="C121" s="111">
        <f t="shared" si="3"/>
        <v>737</v>
      </c>
      <c r="D121" s="111">
        <v>1</v>
      </c>
      <c r="E121" s="116"/>
      <c r="G121" s="116" t="s">
        <v>39</v>
      </c>
      <c r="H121" s="111" t="s">
        <v>1247</v>
      </c>
      <c r="I121" s="111">
        <v>64277</v>
      </c>
      <c r="J121" s="111">
        <v>331</v>
      </c>
      <c r="K121" s="111" t="s">
        <v>20</v>
      </c>
      <c r="L121" s="111">
        <v>1</v>
      </c>
      <c r="M121" s="118">
        <v>540000</v>
      </c>
      <c r="N121" s="118">
        <f t="shared" si="4"/>
        <v>540000</v>
      </c>
      <c r="O121" s="111" t="s">
        <v>21</v>
      </c>
      <c r="P121" s="111">
        <f t="shared" si="5"/>
        <v>118</v>
      </c>
    </row>
    <row r="122" spans="1:16" ht="15" customHeight="1" x14ac:dyDescent="0.25">
      <c r="A122" s="111" t="s">
        <v>18</v>
      </c>
      <c r="B122" s="120">
        <v>45973</v>
      </c>
      <c r="C122" s="111">
        <f t="shared" si="3"/>
        <v>738</v>
      </c>
      <c r="D122" s="111">
        <v>1</v>
      </c>
      <c r="E122" s="116"/>
      <c r="G122" s="116" t="s">
        <v>1010</v>
      </c>
      <c r="H122" s="111" t="s">
        <v>1248</v>
      </c>
      <c r="I122" s="111">
        <v>64277</v>
      </c>
      <c r="J122" s="111">
        <v>331</v>
      </c>
      <c r="K122" s="111" t="s">
        <v>20</v>
      </c>
      <c r="L122" s="111">
        <v>1</v>
      </c>
      <c r="M122" s="118">
        <v>3869460</v>
      </c>
      <c r="N122" s="118">
        <f t="shared" si="4"/>
        <v>3869460</v>
      </c>
      <c r="O122" s="111" t="s">
        <v>21</v>
      </c>
      <c r="P122" s="111">
        <f t="shared" si="5"/>
        <v>119</v>
      </c>
    </row>
    <row r="123" spans="1:16" ht="15" customHeight="1" x14ac:dyDescent="0.25">
      <c r="A123" s="111" t="s">
        <v>18</v>
      </c>
      <c r="B123" s="120">
        <v>45973</v>
      </c>
      <c r="C123" s="111">
        <f t="shared" si="3"/>
        <v>739</v>
      </c>
      <c r="D123" s="111">
        <v>1</v>
      </c>
      <c r="E123" s="116"/>
      <c r="G123" s="116" t="s">
        <v>1011</v>
      </c>
      <c r="H123" s="111" t="s">
        <v>1249</v>
      </c>
      <c r="I123" s="111">
        <v>64277</v>
      </c>
      <c r="J123" s="111">
        <v>331</v>
      </c>
      <c r="K123" s="111" t="s">
        <v>20</v>
      </c>
      <c r="L123" s="111">
        <v>1</v>
      </c>
      <c r="M123" s="118">
        <v>155000</v>
      </c>
      <c r="N123" s="118">
        <f t="shared" si="4"/>
        <v>155000</v>
      </c>
      <c r="O123" s="111" t="s">
        <v>21</v>
      </c>
      <c r="P123" s="111">
        <f t="shared" si="5"/>
        <v>120</v>
      </c>
    </row>
    <row r="124" spans="1:16" ht="15" customHeight="1" x14ac:dyDescent="0.25">
      <c r="A124" s="111" t="s">
        <v>18</v>
      </c>
      <c r="B124" s="120">
        <v>45974</v>
      </c>
      <c r="C124" s="111">
        <f t="shared" si="3"/>
        <v>740</v>
      </c>
      <c r="D124" s="111">
        <v>1</v>
      </c>
      <c r="E124" s="116"/>
      <c r="G124" s="116" t="s">
        <v>1012</v>
      </c>
      <c r="H124" s="111" t="s">
        <v>1250</v>
      </c>
      <c r="I124" s="111">
        <v>64277</v>
      </c>
      <c r="J124" s="111">
        <v>331</v>
      </c>
      <c r="K124" s="111" t="s">
        <v>20</v>
      </c>
      <c r="L124" s="111">
        <v>1</v>
      </c>
      <c r="M124" s="118">
        <v>1504818</v>
      </c>
      <c r="N124" s="118">
        <f t="shared" si="4"/>
        <v>1504818</v>
      </c>
      <c r="O124" s="111" t="s">
        <v>21</v>
      </c>
      <c r="P124" s="111">
        <f t="shared" si="5"/>
        <v>121</v>
      </c>
    </row>
    <row r="125" spans="1:16" ht="15" customHeight="1" x14ac:dyDescent="0.25">
      <c r="A125" s="111" t="s">
        <v>18</v>
      </c>
      <c r="B125" s="120">
        <v>45974</v>
      </c>
      <c r="C125" s="111">
        <f t="shared" si="3"/>
        <v>741</v>
      </c>
      <c r="D125" s="111">
        <v>1</v>
      </c>
      <c r="E125" s="116"/>
      <c r="G125" s="116" t="s">
        <v>1013</v>
      </c>
      <c r="H125" s="111" t="s">
        <v>1251</v>
      </c>
      <c r="I125" s="111">
        <v>64276</v>
      </c>
      <c r="J125" s="111">
        <v>331</v>
      </c>
      <c r="K125" s="111" t="s">
        <v>20</v>
      </c>
      <c r="L125" s="111">
        <v>1</v>
      </c>
      <c r="M125" s="118">
        <v>3333000</v>
      </c>
      <c r="N125" s="118">
        <f t="shared" si="4"/>
        <v>3333000</v>
      </c>
      <c r="O125" s="111" t="s">
        <v>21</v>
      </c>
      <c r="P125" s="111">
        <f t="shared" si="5"/>
        <v>122</v>
      </c>
    </row>
    <row r="126" spans="1:16" ht="15" customHeight="1" x14ac:dyDescent="0.25">
      <c r="A126" s="111" t="s">
        <v>18</v>
      </c>
      <c r="B126" s="120">
        <v>45974</v>
      </c>
      <c r="C126" s="111">
        <f t="shared" si="3"/>
        <v>742</v>
      </c>
      <c r="D126" s="111">
        <v>1</v>
      </c>
      <c r="E126" s="116"/>
      <c r="G126" s="116" t="s">
        <v>52</v>
      </c>
      <c r="H126" s="111" t="s">
        <v>1252</v>
      </c>
      <c r="I126" s="111">
        <v>64277</v>
      </c>
      <c r="J126" s="111">
        <v>331</v>
      </c>
      <c r="K126" s="111" t="s">
        <v>20</v>
      </c>
      <c r="L126" s="111">
        <v>1</v>
      </c>
      <c r="M126" s="118">
        <v>1382400</v>
      </c>
      <c r="N126" s="118">
        <f t="shared" si="4"/>
        <v>1382400</v>
      </c>
      <c r="O126" s="111" t="s">
        <v>21</v>
      </c>
      <c r="P126" s="111">
        <f t="shared" si="5"/>
        <v>123</v>
      </c>
    </row>
    <row r="127" spans="1:16" ht="15" customHeight="1" x14ac:dyDescent="0.25">
      <c r="A127" s="111" t="s">
        <v>18</v>
      </c>
      <c r="B127" s="120">
        <v>45974</v>
      </c>
      <c r="C127" s="111">
        <f t="shared" si="3"/>
        <v>743</v>
      </c>
      <c r="D127" s="111">
        <v>1</v>
      </c>
      <c r="E127" s="116"/>
      <c r="G127" s="116" t="s">
        <v>996</v>
      </c>
      <c r="H127" s="111" t="s">
        <v>1253</v>
      </c>
      <c r="I127" s="111">
        <v>64277</v>
      </c>
      <c r="J127" s="111">
        <v>331</v>
      </c>
      <c r="K127" s="111" t="s">
        <v>20</v>
      </c>
      <c r="L127" s="111">
        <v>1</v>
      </c>
      <c r="M127" s="118">
        <v>120000</v>
      </c>
      <c r="N127" s="118">
        <f t="shared" si="4"/>
        <v>120000</v>
      </c>
      <c r="O127" s="111" t="s">
        <v>21</v>
      </c>
      <c r="P127" s="111">
        <f t="shared" si="5"/>
        <v>124</v>
      </c>
    </row>
    <row r="128" spans="1:16" ht="15" customHeight="1" x14ac:dyDescent="0.25">
      <c r="A128" s="111" t="s">
        <v>18</v>
      </c>
      <c r="B128" s="120">
        <v>45975</v>
      </c>
      <c r="C128" s="111">
        <f t="shared" si="3"/>
        <v>744</v>
      </c>
      <c r="D128" s="111">
        <v>1</v>
      </c>
      <c r="E128" s="116"/>
      <c r="G128" s="116" t="s">
        <v>23</v>
      </c>
      <c r="H128" s="111" t="s">
        <v>1254</v>
      </c>
      <c r="I128" s="111">
        <v>64277</v>
      </c>
      <c r="J128" s="111">
        <v>331</v>
      </c>
      <c r="K128" s="111" t="s">
        <v>20</v>
      </c>
      <c r="L128" s="111">
        <v>1</v>
      </c>
      <c r="M128" s="118">
        <v>193000</v>
      </c>
      <c r="N128" s="118">
        <f t="shared" si="4"/>
        <v>193000</v>
      </c>
      <c r="O128" s="111" t="s">
        <v>21</v>
      </c>
      <c r="P128" s="111">
        <f t="shared" si="5"/>
        <v>125</v>
      </c>
    </row>
    <row r="129" spans="1:16" ht="15" customHeight="1" x14ac:dyDescent="0.25">
      <c r="A129" s="111" t="s">
        <v>18</v>
      </c>
      <c r="B129" s="120">
        <v>45975</v>
      </c>
      <c r="C129" s="111">
        <f t="shared" si="3"/>
        <v>745</v>
      </c>
      <c r="D129" s="111">
        <v>1</v>
      </c>
      <c r="E129" s="116"/>
      <c r="G129" s="116" t="s">
        <v>19</v>
      </c>
      <c r="H129" s="111" t="s">
        <v>1096</v>
      </c>
      <c r="I129" s="111">
        <v>64277</v>
      </c>
      <c r="J129" s="111">
        <v>331</v>
      </c>
      <c r="K129" s="111" t="s">
        <v>20</v>
      </c>
      <c r="L129" s="111">
        <v>1</v>
      </c>
      <c r="M129" s="118">
        <v>108000</v>
      </c>
      <c r="N129" s="118">
        <f t="shared" si="4"/>
        <v>108000</v>
      </c>
      <c r="O129" s="111" t="s">
        <v>21</v>
      </c>
      <c r="P129" s="111">
        <f t="shared" si="5"/>
        <v>126</v>
      </c>
    </row>
    <row r="130" spans="1:16" ht="15" customHeight="1" x14ac:dyDescent="0.25">
      <c r="A130" s="111" t="s">
        <v>18</v>
      </c>
      <c r="B130" s="120">
        <v>45976</v>
      </c>
      <c r="C130" s="111">
        <f t="shared" si="3"/>
        <v>746</v>
      </c>
      <c r="D130" s="111">
        <v>1</v>
      </c>
      <c r="E130" s="116"/>
      <c r="G130" s="116" t="s">
        <v>1003</v>
      </c>
      <c r="H130" s="111" t="s">
        <v>1255</v>
      </c>
      <c r="I130" s="111">
        <v>64277</v>
      </c>
      <c r="J130" s="111">
        <v>331</v>
      </c>
      <c r="K130" s="111" t="s">
        <v>20</v>
      </c>
      <c r="L130" s="111">
        <v>1</v>
      </c>
      <c r="M130" s="118">
        <v>270000</v>
      </c>
      <c r="N130" s="118">
        <f t="shared" si="4"/>
        <v>270000</v>
      </c>
      <c r="O130" s="111" t="s">
        <v>21</v>
      </c>
      <c r="P130" s="111">
        <f t="shared" si="5"/>
        <v>127</v>
      </c>
    </row>
    <row r="131" spans="1:16" ht="15" customHeight="1" x14ac:dyDescent="0.25">
      <c r="A131" s="111" t="s">
        <v>18</v>
      </c>
      <c r="B131" s="120">
        <v>45976</v>
      </c>
      <c r="C131" s="111">
        <f t="shared" si="3"/>
        <v>747</v>
      </c>
      <c r="D131" s="111">
        <v>1</v>
      </c>
      <c r="E131" s="116"/>
      <c r="G131" s="116" t="s">
        <v>982</v>
      </c>
      <c r="H131" s="111" t="s">
        <v>1256</v>
      </c>
      <c r="I131" s="111">
        <v>64277</v>
      </c>
      <c r="J131" s="111">
        <v>331</v>
      </c>
      <c r="K131" s="111" t="s">
        <v>20</v>
      </c>
      <c r="L131" s="111">
        <v>1</v>
      </c>
      <c r="M131" s="118">
        <v>335000</v>
      </c>
      <c r="N131" s="118">
        <f t="shared" si="4"/>
        <v>335000</v>
      </c>
      <c r="O131" s="111" t="s">
        <v>21</v>
      </c>
      <c r="P131" s="111">
        <f t="shared" si="5"/>
        <v>128</v>
      </c>
    </row>
    <row r="132" spans="1:16" ht="15" customHeight="1" x14ac:dyDescent="0.25">
      <c r="A132" s="111" t="s">
        <v>18</v>
      </c>
      <c r="B132" s="120">
        <v>45976</v>
      </c>
      <c r="C132" s="111">
        <f t="shared" ref="C132:C195" si="6">C131+D132</f>
        <v>748</v>
      </c>
      <c r="D132" s="111">
        <v>1</v>
      </c>
      <c r="E132" s="116"/>
      <c r="G132" s="116" t="s">
        <v>1014</v>
      </c>
      <c r="H132" s="111" t="s">
        <v>1257</v>
      </c>
      <c r="I132" s="111">
        <v>64277</v>
      </c>
      <c r="J132" s="111">
        <v>331</v>
      </c>
      <c r="K132" s="111" t="s">
        <v>20</v>
      </c>
      <c r="L132" s="111">
        <v>1</v>
      </c>
      <c r="M132" s="118">
        <v>221000</v>
      </c>
      <c r="N132" s="118">
        <f t="shared" ref="N132:N195" si="7">M132*L132</f>
        <v>221000</v>
      </c>
      <c r="O132" s="111" t="s">
        <v>21</v>
      </c>
      <c r="P132" s="111">
        <f t="shared" si="5"/>
        <v>129</v>
      </c>
    </row>
    <row r="133" spans="1:16" ht="15" customHeight="1" x14ac:dyDescent="0.25">
      <c r="A133" s="111" t="s">
        <v>18</v>
      </c>
      <c r="B133" s="120">
        <v>45976</v>
      </c>
      <c r="C133" s="111">
        <f t="shared" si="6"/>
        <v>749</v>
      </c>
      <c r="D133" s="111">
        <v>1</v>
      </c>
      <c r="E133" s="116"/>
      <c r="G133" s="116" t="s">
        <v>24</v>
      </c>
      <c r="H133" s="111" t="s">
        <v>1097</v>
      </c>
      <c r="I133" s="111">
        <v>64277</v>
      </c>
      <c r="J133" s="111">
        <v>331</v>
      </c>
      <c r="K133" s="111" t="s">
        <v>20</v>
      </c>
      <c r="L133" s="111">
        <v>1</v>
      </c>
      <c r="M133" s="118">
        <v>277000</v>
      </c>
      <c r="N133" s="118">
        <f t="shared" si="7"/>
        <v>277000</v>
      </c>
      <c r="O133" s="111" t="s">
        <v>21</v>
      </c>
      <c r="P133" s="111">
        <f t="shared" ref="P133:P196" si="8">P132+D133</f>
        <v>130</v>
      </c>
    </row>
    <row r="134" spans="1:16" ht="15" customHeight="1" x14ac:dyDescent="0.25">
      <c r="A134" s="111" t="s">
        <v>18</v>
      </c>
      <c r="B134" s="120">
        <v>45976</v>
      </c>
      <c r="C134" s="111">
        <f t="shared" si="6"/>
        <v>750</v>
      </c>
      <c r="D134" s="111">
        <v>1</v>
      </c>
      <c r="E134" s="116"/>
      <c r="G134" s="116" t="s">
        <v>19</v>
      </c>
      <c r="H134" s="111" t="s">
        <v>1098</v>
      </c>
      <c r="I134" s="111">
        <v>64277</v>
      </c>
      <c r="J134" s="111">
        <v>331</v>
      </c>
      <c r="K134" s="111" t="s">
        <v>20</v>
      </c>
      <c r="L134" s="111">
        <v>1</v>
      </c>
      <c r="M134" s="118">
        <v>30000</v>
      </c>
      <c r="N134" s="118">
        <f t="shared" si="7"/>
        <v>30000</v>
      </c>
      <c r="O134" s="111" t="s">
        <v>21</v>
      </c>
      <c r="P134" s="111">
        <f t="shared" si="8"/>
        <v>131</v>
      </c>
    </row>
    <row r="135" spans="1:16" ht="15" customHeight="1" x14ac:dyDescent="0.25">
      <c r="A135" s="111" t="s">
        <v>18</v>
      </c>
      <c r="B135" s="120">
        <v>45976</v>
      </c>
      <c r="C135" s="111">
        <f t="shared" si="6"/>
        <v>751</v>
      </c>
      <c r="D135" s="111">
        <v>1</v>
      </c>
      <c r="E135" s="116"/>
      <c r="G135" s="116" t="s">
        <v>19</v>
      </c>
      <c r="H135" s="111" t="s">
        <v>1099</v>
      </c>
      <c r="I135" s="111">
        <v>64277</v>
      </c>
      <c r="J135" s="111">
        <v>331</v>
      </c>
      <c r="K135" s="111" t="s">
        <v>20</v>
      </c>
      <c r="L135" s="111">
        <v>1</v>
      </c>
      <c r="M135" s="118">
        <v>282000</v>
      </c>
      <c r="N135" s="118">
        <f t="shared" si="7"/>
        <v>282000</v>
      </c>
      <c r="O135" s="111" t="s">
        <v>21</v>
      </c>
      <c r="P135" s="111">
        <f t="shared" si="8"/>
        <v>132</v>
      </c>
    </row>
    <row r="136" spans="1:16" ht="15" customHeight="1" x14ac:dyDescent="0.25">
      <c r="A136" s="111" t="s">
        <v>18</v>
      </c>
      <c r="B136" s="120">
        <v>45977</v>
      </c>
      <c r="C136" s="111">
        <f t="shared" si="6"/>
        <v>752</v>
      </c>
      <c r="D136" s="111">
        <v>1</v>
      </c>
      <c r="E136" s="116"/>
      <c r="G136" s="116" t="s">
        <v>25</v>
      </c>
      <c r="H136" s="111" t="s">
        <v>1258</v>
      </c>
      <c r="I136" s="111">
        <v>64277</v>
      </c>
      <c r="J136" s="111">
        <v>331</v>
      </c>
      <c r="K136" s="111" t="s">
        <v>20</v>
      </c>
      <c r="L136" s="111">
        <v>1</v>
      </c>
      <c r="M136" s="118">
        <v>450360</v>
      </c>
      <c r="N136" s="118">
        <f t="shared" si="7"/>
        <v>450360</v>
      </c>
      <c r="O136" s="111" t="s">
        <v>21</v>
      </c>
      <c r="P136" s="111">
        <f t="shared" si="8"/>
        <v>133</v>
      </c>
    </row>
    <row r="137" spans="1:16" ht="15" customHeight="1" x14ac:dyDescent="0.25">
      <c r="A137" s="111" t="s">
        <v>18</v>
      </c>
      <c r="B137" s="120">
        <v>45978</v>
      </c>
      <c r="C137" s="111">
        <f t="shared" si="6"/>
        <v>753</v>
      </c>
      <c r="D137" s="111">
        <v>1</v>
      </c>
      <c r="E137" s="116"/>
      <c r="G137" s="116" t="s">
        <v>988</v>
      </c>
      <c r="H137" s="111" t="s">
        <v>1259</v>
      </c>
      <c r="I137" s="111">
        <v>64277</v>
      </c>
      <c r="J137" s="111">
        <v>331</v>
      </c>
      <c r="K137" s="111" t="s">
        <v>20</v>
      </c>
      <c r="L137" s="111">
        <v>1</v>
      </c>
      <c r="M137" s="118">
        <v>215000</v>
      </c>
      <c r="N137" s="118">
        <f t="shared" si="7"/>
        <v>215000</v>
      </c>
      <c r="O137" s="111" t="s">
        <v>21</v>
      </c>
      <c r="P137" s="111">
        <f t="shared" si="8"/>
        <v>134</v>
      </c>
    </row>
    <row r="138" spans="1:16" ht="15" customHeight="1" x14ac:dyDescent="0.25">
      <c r="A138" s="111" t="s">
        <v>18</v>
      </c>
      <c r="B138" s="120">
        <v>45979</v>
      </c>
      <c r="C138" s="111">
        <f t="shared" si="6"/>
        <v>754</v>
      </c>
      <c r="D138" s="111">
        <v>1</v>
      </c>
      <c r="E138" s="116"/>
      <c r="G138" s="116" t="s">
        <v>28</v>
      </c>
      <c r="H138" s="111" t="s">
        <v>1260</v>
      </c>
      <c r="I138" s="111">
        <v>64277</v>
      </c>
      <c r="J138" s="111">
        <v>331</v>
      </c>
      <c r="K138" s="111" t="s">
        <v>20</v>
      </c>
      <c r="L138" s="111">
        <v>1</v>
      </c>
      <c r="M138" s="118">
        <v>1040040</v>
      </c>
      <c r="N138" s="118">
        <f t="shared" si="7"/>
        <v>1040040</v>
      </c>
      <c r="O138" s="111" t="s">
        <v>21</v>
      </c>
      <c r="P138" s="111">
        <f t="shared" si="8"/>
        <v>135</v>
      </c>
    </row>
    <row r="139" spans="1:16" ht="15" customHeight="1" x14ac:dyDescent="0.25">
      <c r="A139" s="111" t="s">
        <v>18</v>
      </c>
      <c r="B139" s="120">
        <v>45979</v>
      </c>
      <c r="C139" s="111">
        <f t="shared" si="6"/>
        <v>755</v>
      </c>
      <c r="D139" s="111">
        <v>1</v>
      </c>
      <c r="E139" s="116"/>
      <c r="G139" s="116" t="s">
        <v>19</v>
      </c>
      <c r="H139" s="111" t="s">
        <v>1100</v>
      </c>
      <c r="I139" s="111">
        <v>64277</v>
      </c>
      <c r="J139" s="111">
        <v>331</v>
      </c>
      <c r="K139" s="111" t="s">
        <v>20</v>
      </c>
      <c r="L139" s="111">
        <v>1</v>
      </c>
      <c r="M139" s="118">
        <v>153000</v>
      </c>
      <c r="N139" s="118">
        <f t="shared" si="7"/>
        <v>153000</v>
      </c>
      <c r="O139" s="111" t="s">
        <v>21</v>
      </c>
      <c r="P139" s="111">
        <f t="shared" si="8"/>
        <v>136</v>
      </c>
    </row>
    <row r="140" spans="1:16" ht="15" customHeight="1" x14ac:dyDescent="0.25">
      <c r="A140" s="111" t="s">
        <v>18</v>
      </c>
      <c r="B140" s="120">
        <v>45980</v>
      </c>
      <c r="C140" s="111">
        <f t="shared" si="6"/>
        <v>756</v>
      </c>
      <c r="D140" s="111">
        <v>1</v>
      </c>
      <c r="E140" s="116"/>
      <c r="G140" s="116" t="s">
        <v>24</v>
      </c>
      <c r="H140" s="111" t="s">
        <v>1101</v>
      </c>
      <c r="I140" s="111">
        <v>64277</v>
      </c>
      <c r="J140" s="111">
        <v>331</v>
      </c>
      <c r="K140" s="111" t="s">
        <v>20</v>
      </c>
      <c r="L140" s="111">
        <v>1</v>
      </c>
      <c r="M140" s="118">
        <v>105000</v>
      </c>
      <c r="N140" s="118">
        <f t="shared" si="7"/>
        <v>105000</v>
      </c>
      <c r="O140" s="111" t="s">
        <v>21</v>
      </c>
      <c r="P140" s="111">
        <f t="shared" si="8"/>
        <v>137</v>
      </c>
    </row>
    <row r="141" spans="1:16" ht="15" customHeight="1" x14ac:dyDescent="0.25">
      <c r="A141" s="111" t="s">
        <v>18</v>
      </c>
      <c r="B141" s="120">
        <v>45981</v>
      </c>
      <c r="C141" s="111">
        <f t="shared" si="6"/>
        <v>757</v>
      </c>
      <c r="D141" s="111">
        <v>1</v>
      </c>
      <c r="E141" s="116"/>
      <c r="G141" s="116" t="s">
        <v>19</v>
      </c>
      <c r="H141" s="111" t="s">
        <v>1102</v>
      </c>
      <c r="I141" s="111">
        <v>64277</v>
      </c>
      <c r="J141" s="111">
        <v>331</v>
      </c>
      <c r="K141" s="111" t="s">
        <v>20</v>
      </c>
      <c r="L141" s="111">
        <v>1</v>
      </c>
      <c r="M141" s="118">
        <v>131000</v>
      </c>
      <c r="N141" s="118">
        <f t="shared" si="7"/>
        <v>131000</v>
      </c>
      <c r="O141" s="111" t="s">
        <v>21</v>
      </c>
      <c r="P141" s="111">
        <f t="shared" si="8"/>
        <v>138</v>
      </c>
    </row>
    <row r="142" spans="1:16" ht="15" customHeight="1" x14ac:dyDescent="0.25">
      <c r="A142" s="111" t="s">
        <v>18</v>
      </c>
      <c r="B142" s="120">
        <v>45982</v>
      </c>
      <c r="C142" s="111">
        <f t="shared" si="6"/>
        <v>758</v>
      </c>
      <c r="D142" s="111">
        <v>1</v>
      </c>
      <c r="E142" s="116"/>
      <c r="G142" s="116" t="s">
        <v>23</v>
      </c>
      <c r="H142" s="111" t="s">
        <v>1261</v>
      </c>
      <c r="I142" s="111">
        <v>64277</v>
      </c>
      <c r="J142" s="111">
        <v>331</v>
      </c>
      <c r="K142" s="111" t="s">
        <v>20</v>
      </c>
      <c r="L142" s="111">
        <v>1</v>
      </c>
      <c r="M142" s="118">
        <v>94000</v>
      </c>
      <c r="N142" s="118">
        <f t="shared" si="7"/>
        <v>94000</v>
      </c>
      <c r="O142" s="111" t="s">
        <v>21</v>
      </c>
      <c r="P142" s="111">
        <f t="shared" si="8"/>
        <v>139</v>
      </c>
    </row>
    <row r="143" spans="1:16" ht="15" customHeight="1" x14ac:dyDescent="0.25">
      <c r="A143" s="111" t="s">
        <v>18</v>
      </c>
      <c r="B143" s="120">
        <v>45983</v>
      </c>
      <c r="C143" s="111">
        <f t="shared" si="6"/>
        <v>759</v>
      </c>
      <c r="D143" s="111">
        <v>1</v>
      </c>
      <c r="E143" s="116"/>
      <c r="G143" s="116" t="s">
        <v>1015</v>
      </c>
      <c r="H143" s="111" t="s">
        <v>1262</v>
      </c>
      <c r="I143" s="111">
        <v>64277</v>
      </c>
      <c r="J143" s="111">
        <v>331</v>
      </c>
      <c r="K143" s="111" t="s">
        <v>20</v>
      </c>
      <c r="L143" s="111">
        <v>1</v>
      </c>
      <c r="M143" s="118">
        <v>1847286</v>
      </c>
      <c r="N143" s="118">
        <f t="shared" si="7"/>
        <v>1847286</v>
      </c>
      <c r="O143" s="111" t="s">
        <v>21</v>
      </c>
      <c r="P143" s="111">
        <f t="shared" si="8"/>
        <v>140</v>
      </c>
    </row>
    <row r="144" spans="1:16" ht="15" customHeight="1" x14ac:dyDescent="0.25">
      <c r="A144" s="111" t="s">
        <v>18</v>
      </c>
      <c r="B144" s="120">
        <v>45983</v>
      </c>
      <c r="C144" s="111">
        <f t="shared" si="6"/>
        <v>760</v>
      </c>
      <c r="D144" s="111">
        <v>1</v>
      </c>
      <c r="E144" s="116"/>
      <c r="G144" s="116" t="s">
        <v>1016</v>
      </c>
      <c r="H144" s="111" t="s">
        <v>1263</v>
      </c>
      <c r="I144" s="111">
        <v>64277</v>
      </c>
      <c r="J144" s="111">
        <v>331</v>
      </c>
      <c r="K144" s="111" t="s">
        <v>20</v>
      </c>
      <c r="L144" s="111">
        <v>1</v>
      </c>
      <c r="M144" s="118">
        <v>245000</v>
      </c>
      <c r="N144" s="118">
        <f t="shared" si="7"/>
        <v>245000</v>
      </c>
      <c r="O144" s="111" t="s">
        <v>21</v>
      </c>
      <c r="P144" s="111">
        <f t="shared" si="8"/>
        <v>141</v>
      </c>
    </row>
    <row r="145" spans="1:16" ht="15" customHeight="1" x14ac:dyDescent="0.25">
      <c r="A145" s="111" t="s">
        <v>18</v>
      </c>
      <c r="B145" s="120">
        <v>45983</v>
      </c>
      <c r="C145" s="111">
        <f t="shared" si="6"/>
        <v>761</v>
      </c>
      <c r="D145" s="111">
        <v>1</v>
      </c>
      <c r="E145" s="116"/>
      <c r="G145" s="116" t="s">
        <v>987</v>
      </c>
      <c r="H145" s="111" t="s">
        <v>1264</v>
      </c>
      <c r="I145" s="111">
        <v>64277</v>
      </c>
      <c r="J145" s="111">
        <v>331</v>
      </c>
      <c r="K145" s="111" t="s">
        <v>20</v>
      </c>
      <c r="L145" s="111">
        <v>1</v>
      </c>
      <c r="M145" s="118">
        <v>430000</v>
      </c>
      <c r="N145" s="118">
        <f t="shared" si="7"/>
        <v>430000</v>
      </c>
      <c r="O145" s="111" t="s">
        <v>21</v>
      </c>
      <c r="P145" s="111">
        <f t="shared" si="8"/>
        <v>142</v>
      </c>
    </row>
    <row r="146" spans="1:16" ht="15" customHeight="1" x14ac:dyDescent="0.25">
      <c r="A146" s="111" t="s">
        <v>18</v>
      </c>
      <c r="B146" s="120">
        <v>45983</v>
      </c>
      <c r="C146" s="111">
        <f t="shared" si="6"/>
        <v>762</v>
      </c>
      <c r="D146" s="111">
        <v>1</v>
      </c>
      <c r="E146" s="116"/>
      <c r="G146" s="116" t="s">
        <v>23</v>
      </c>
      <c r="H146" s="111" t="s">
        <v>1265</v>
      </c>
      <c r="I146" s="111">
        <v>64277</v>
      </c>
      <c r="J146" s="111">
        <v>331</v>
      </c>
      <c r="K146" s="111" t="s">
        <v>20</v>
      </c>
      <c r="L146" s="111">
        <v>1</v>
      </c>
      <c r="M146" s="118">
        <v>138000</v>
      </c>
      <c r="N146" s="118">
        <f t="shared" si="7"/>
        <v>138000</v>
      </c>
      <c r="O146" s="111" t="s">
        <v>21</v>
      </c>
      <c r="P146" s="111">
        <f t="shared" si="8"/>
        <v>143</v>
      </c>
    </row>
    <row r="147" spans="1:16" ht="15" customHeight="1" x14ac:dyDescent="0.25">
      <c r="A147" s="111" t="s">
        <v>18</v>
      </c>
      <c r="B147" s="120">
        <v>45983</v>
      </c>
      <c r="C147" s="111">
        <f t="shared" si="6"/>
        <v>763</v>
      </c>
      <c r="D147" s="111">
        <v>1</v>
      </c>
      <c r="E147" s="116"/>
      <c r="G147" s="116" t="s">
        <v>23</v>
      </c>
      <c r="H147" s="111" t="s">
        <v>1266</v>
      </c>
      <c r="I147" s="111">
        <v>64277</v>
      </c>
      <c r="J147" s="111">
        <v>331</v>
      </c>
      <c r="K147" s="111" t="s">
        <v>20</v>
      </c>
      <c r="L147" s="111">
        <v>1</v>
      </c>
      <c r="M147" s="118">
        <v>97000</v>
      </c>
      <c r="N147" s="118">
        <f t="shared" si="7"/>
        <v>97000</v>
      </c>
      <c r="O147" s="111" t="s">
        <v>21</v>
      </c>
      <c r="P147" s="111">
        <f t="shared" si="8"/>
        <v>144</v>
      </c>
    </row>
    <row r="148" spans="1:16" ht="15" customHeight="1" x14ac:dyDescent="0.25">
      <c r="A148" s="111" t="s">
        <v>18</v>
      </c>
      <c r="B148" s="120">
        <v>45983</v>
      </c>
      <c r="C148" s="111">
        <f t="shared" si="6"/>
        <v>764</v>
      </c>
      <c r="D148" s="111">
        <v>1</v>
      </c>
      <c r="E148" s="116"/>
      <c r="G148" s="116" t="s">
        <v>1017</v>
      </c>
      <c r="H148" s="111" t="s">
        <v>1103</v>
      </c>
      <c r="I148" s="111">
        <v>64277</v>
      </c>
      <c r="J148" s="111">
        <v>331</v>
      </c>
      <c r="K148" s="111" t="s">
        <v>20</v>
      </c>
      <c r="L148" s="111">
        <v>1</v>
      </c>
      <c r="M148" s="118">
        <v>46000</v>
      </c>
      <c r="N148" s="118">
        <f t="shared" si="7"/>
        <v>46000</v>
      </c>
      <c r="O148" s="111" t="s">
        <v>21</v>
      </c>
      <c r="P148" s="111">
        <f t="shared" si="8"/>
        <v>145</v>
      </c>
    </row>
    <row r="149" spans="1:16" ht="15" customHeight="1" x14ac:dyDescent="0.25">
      <c r="A149" s="111" t="s">
        <v>18</v>
      </c>
      <c r="B149" s="120">
        <v>45983</v>
      </c>
      <c r="C149" s="111">
        <f t="shared" si="6"/>
        <v>765</v>
      </c>
      <c r="D149" s="111">
        <v>1</v>
      </c>
      <c r="E149" s="116"/>
      <c r="G149" s="116" t="s">
        <v>24</v>
      </c>
      <c r="H149" s="111" t="s">
        <v>1104</v>
      </c>
      <c r="I149" s="111">
        <v>64277</v>
      </c>
      <c r="J149" s="111">
        <v>331</v>
      </c>
      <c r="K149" s="111" t="s">
        <v>20</v>
      </c>
      <c r="L149" s="111">
        <v>1</v>
      </c>
      <c r="M149" s="118">
        <v>64000</v>
      </c>
      <c r="N149" s="118">
        <f t="shared" si="7"/>
        <v>64000</v>
      </c>
      <c r="O149" s="111" t="s">
        <v>21</v>
      </c>
      <c r="P149" s="111">
        <f t="shared" si="8"/>
        <v>146</v>
      </c>
    </row>
    <row r="150" spans="1:16" ht="15" customHeight="1" x14ac:dyDescent="0.25">
      <c r="A150" s="111" t="s">
        <v>18</v>
      </c>
      <c r="B150" s="120">
        <v>45983</v>
      </c>
      <c r="C150" s="111">
        <f t="shared" si="6"/>
        <v>766</v>
      </c>
      <c r="D150" s="111">
        <v>1</v>
      </c>
      <c r="E150" s="116"/>
      <c r="G150" s="116" t="s">
        <v>19</v>
      </c>
      <c r="H150" s="111" t="s">
        <v>1105</v>
      </c>
      <c r="I150" s="111">
        <v>64277</v>
      </c>
      <c r="J150" s="111">
        <v>331</v>
      </c>
      <c r="K150" s="111" t="s">
        <v>20</v>
      </c>
      <c r="L150" s="111">
        <v>1</v>
      </c>
      <c r="M150" s="118">
        <v>36000</v>
      </c>
      <c r="N150" s="118">
        <f t="shared" si="7"/>
        <v>36000</v>
      </c>
      <c r="O150" s="111" t="s">
        <v>21</v>
      </c>
      <c r="P150" s="111">
        <f t="shared" si="8"/>
        <v>147</v>
      </c>
    </row>
    <row r="151" spans="1:16" ht="15" customHeight="1" x14ac:dyDescent="0.25">
      <c r="A151" s="111" t="s">
        <v>18</v>
      </c>
      <c r="B151" s="120">
        <v>45983</v>
      </c>
      <c r="C151" s="111">
        <f t="shared" si="6"/>
        <v>767</v>
      </c>
      <c r="D151" s="111">
        <v>1</v>
      </c>
      <c r="E151" s="116"/>
      <c r="G151" s="116" t="s">
        <v>19</v>
      </c>
      <c r="H151" s="111" t="s">
        <v>1106</v>
      </c>
      <c r="I151" s="111">
        <v>64277</v>
      </c>
      <c r="J151" s="111">
        <v>331</v>
      </c>
      <c r="K151" s="111" t="s">
        <v>20</v>
      </c>
      <c r="L151" s="111">
        <v>1</v>
      </c>
      <c r="M151" s="118">
        <v>31000</v>
      </c>
      <c r="N151" s="118">
        <f t="shared" si="7"/>
        <v>31000</v>
      </c>
      <c r="O151" s="111" t="s">
        <v>21</v>
      </c>
      <c r="P151" s="111">
        <f t="shared" si="8"/>
        <v>148</v>
      </c>
    </row>
    <row r="152" spans="1:16" ht="15" customHeight="1" x14ac:dyDescent="0.25">
      <c r="A152" s="111" t="s">
        <v>18</v>
      </c>
      <c r="B152" s="120">
        <v>45983</v>
      </c>
      <c r="C152" s="111">
        <f t="shared" si="6"/>
        <v>768</v>
      </c>
      <c r="D152" s="111">
        <v>1</v>
      </c>
      <c r="E152" s="116"/>
      <c r="G152" s="116" t="s">
        <v>19</v>
      </c>
      <c r="H152" s="111" t="s">
        <v>1107</v>
      </c>
      <c r="I152" s="111">
        <v>64277</v>
      </c>
      <c r="J152" s="111">
        <v>331</v>
      </c>
      <c r="K152" s="111" t="s">
        <v>20</v>
      </c>
      <c r="L152" s="111">
        <v>1</v>
      </c>
      <c r="M152" s="118">
        <v>191000</v>
      </c>
      <c r="N152" s="118">
        <f t="shared" si="7"/>
        <v>191000</v>
      </c>
      <c r="O152" s="111" t="s">
        <v>21</v>
      </c>
      <c r="P152" s="111">
        <f t="shared" si="8"/>
        <v>149</v>
      </c>
    </row>
    <row r="153" spans="1:16" ht="15" customHeight="1" x14ac:dyDescent="0.25">
      <c r="A153" s="111" t="s">
        <v>18</v>
      </c>
      <c r="B153" s="120">
        <v>45984</v>
      </c>
      <c r="C153" s="111">
        <f t="shared" si="6"/>
        <v>769</v>
      </c>
      <c r="D153" s="111">
        <v>1</v>
      </c>
      <c r="E153" s="116"/>
      <c r="G153" s="116" t="s">
        <v>19</v>
      </c>
      <c r="H153" s="111" t="s">
        <v>1108</v>
      </c>
      <c r="I153" s="111">
        <v>64277</v>
      </c>
      <c r="J153" s="111">
        <v>331</v>
      </c>
      <c r="K153" s="111" t="s">
        <v>20</v>
      </c>
      <c r="L153" s="111">
        <v>1</v>
      </c>
      <c r="M153" s="118">
        <v>44000</v>
      </c>
      <c r="N153" s="118">
        <f t="shared" si="7"/>
        <v>44000</v>
      </c>
      <c r="O153" s="111" t="s">
        <v>21</v>
      </c>
      <c r="P153" s="111">
        <f t="shared" si="8"/>
        <v>150</v>
      </c>
    </row>
    <row r="154" spans="1:16" ht="15" customHeight="1" x14ac:dyDescent="0.25">
      <c r="A154" s="111" t="s">
        <v>18</v>
      </c>
      <c r="B154" s="120">
        <v>45985</v>
      </c>
      <c r="C154" s="111">
        <f t="shared" si="6"/>
        <v>770</v>
      </c>
      <c r="D154" s="111">
        <v>1</v>
      </c>
      <c r="E154" s="116"/>
      <c r="G154" s="116" t="s">
        <v>1018</v>
      </c>
      <c r="H154" s="111" t="s">
        <v>1267</v>
      </c>
      <c r="I154" s="111">
        <v>64277</v>
      </c>
      <c r="J154" s="111">
        <v>331</v>
      </c>
      <c r="K154" s="111" t="s">
        <v>20</v>
      </c>
      <c r="L154" s="111">
        <v>1</v>
      </c>
      <c r="M154" s="118">
        <v>806760</v>
      </c>
      <c r="N154" s="118">
        <f t="shared" si="7"/>
        <v>806760</v>
      </c>
      <c r="O154" s="111" t="s">
        <v>21</v>
      </c>
      <c r="P154" s="111">
        <f t="shared" si="8"/>
        <v>151</v>
      </c>
    </row>
    <row r="155" spans="1:16" ht="15" customHeight="1" x14ac:dyDescent="0.25">
      <c r="A155" s="111" t="s">
        <v>18</v>
      </c>
      <c r="B155" s="120">
        <v>45985</v>
      </c>
      <c r="C155" s="111">
        <f t="shared" si="6"/>
        <v>771</v>
      </c>
      <c r="D155" s="111">
        <v>1</v>
      </c>
      <c r="E155" s="116"/>
      <c r="G155" s="116" t="s">
        <v>23</v>
      </c>
      <c r="H155" s="111" t="s">
        <v>1268</v>
      </c>
      <c r="I155" s="111">
        <v>64277</v>
      </c>
      <c r="J155" s="111">
        <v>331</v>
      </c>
      <c r="K155" s="111" t="s">
        <v>20</v>
      </c>
      <c r="L155" s="111">
        <v>1</v>
      </c>
      <c r="M155" s="118">
        <v>94000</v>
      </c>
      <c r="N155" s="118">
        <f t="shared" si="7"/>
        <v>94000</v>
      </c>
      <c r="O155" s="111" t="s">
        <v>21</v>
      </c>
      <c r="P155" s="111">
        <f t="shared" si="8"/>
        <v>152</v>
      </c>
    </row>
    <row r="156" spans="1:16" ht="15" customHeight="1" x14ac:dyDescent="0.25">
      <c r="A156" s="111" t="s">
        <v>18</v>
      </c>
      <c r="B156" s="120">
        <v>45985</v>
      </c>
      <c r="C156" s="111">
        <f t="shared" si="6"/>
        <v>772</v>
      </c>
      <c r="D156" s="111">
        <v>1</v>
      </c>
      <c r="E156" s="116"/>
      <c r="G156" s="116" t="s">
        <v>24</v>
      </c>
      <c r="H156" s="111" t="s">
        <v>1109</v>
      </c>
      <c r="I156" s="111">
        <v>64277</v>
      </c>
      <c r="J156" s="111">
        <v>331</v>
      </c>
      <c r="K156" s="111" t="s">
        <v>20</v>
      </c>
      <c r="L156" s="111">
        <v>1</v>
      </c>
      <c r="M156" s="118">
        <v>17000</v>
      </c>
      <c r="N156" s="118">
        <f t="shared" si="7"/>
        <v>17000</v>
      </c>
      <c r="O156" s="111" t="s">
        <v>21</v>
      </c>
      <c r="P156" s="111">
        <f t="shared" si="8"/>
        <v>153</v>
      </c>
    </row>
    <row r="157" spans="1:16" ht="15" customHeight="1" x14ac:dyDescent="0.25">
      <c r="A157" s="111" t="s">
        <v>18</v>
      </c>
      <c r="B157" s="120">
        <v>45986</v>
      </c>
      <c r="C157" s="111">
        <f t="shared" si="6"/>
        <v>773</v>
      </c>
      <c r="D157" s="111">
        <v>1</v>
      </c>
      <c r="E157" s="116"/>
      <c r="G157" s="116" t="s">
        <v>1019</v>
      </c>
      <c r="H157" s="111" t="s">
        <v>1269</v>
      </c>
      <c r="I157" s="111">
        <v>64277</v>
      </c>
      <c r="J157" s="111">
        <v>331</v>
      </c>
      <c r="K157" s="111" t="s">
        <v>20</v>
      </c>
      <c r="L157" s="111">
        <v>1</v>
      </c>
      <c r="M157" s="118">
        <v>781000</v>
      </c>
      <c r="N157" s="118">
        <f t="shared" si="7"/>
        <v>781000</v>
      </c>
      <c r="O157" s="111" t="s">
        <v>21</v>
      </c>
      <c r="P157" s="111">
        <f t="shared" si="8"/>
        <v>154</v>
      </c>
    </row>
    <row r="158" spans="1:16" ht="15" customHeight="1" x14ac:dyDescent="0.25">
      <c r="A158" s="111" t="s">
        <v>18</v>
      </c>
      <c r="B158" s="120">
        <v>45986</v>
      </c>
      <c r="C158" s="111">
        <f t="shared" si="6"/>
        <v>774</v>
      </c>
      <c r="D158" s="111">
        <v>1</v>
      </c>
      <c r="E158" s="116"/>
      <c r="G158" s="116" t="s">
        <v>1020</v>
      </c>
      <c r="H158" s="111" t="s">
        <v>1270</v>
      </c>
      <c r="I158" s="111">
        <v>64277</v>
      </c>
      <c r="J158" s="111">
        <v>331</v>
      </c>
      <c r="K158" s="111" t="s">
        <v>20</v>
      </c>
      <c r="L158" s="111">
        <v>1</v>
      </c>
      <c r="M158" s="118">
        <v>1242000</v>
      </c>
      <c r="N158" s="118">
        <f t="shared" si="7"/>
        <v>1242000</v>
      </c>
      <c r="O158" s="111" t="s">
        <v>21</v>
      </c>
      <c r="P158" s="111">
        <f t="shared" si="8"/>
        <v>155</v>
      </c>
    </row>
    <row r="159" spans="1:16" ht="15" customHeight="1" x14ac:dyDescent="0.25">
      <c r="A159" s="111" t="s">
        <v>18</v>
      </c>
      <c r="B159" s="120">
        <v>45986</v>
      </c>
      <c r="C159" s="111">
        <f t="shared" si="6"/>
        <v>775</v>
      </c>
      <c r="D159" s="111">
        <v>1</v>
      </c>
      <c r="E159" s="116"/>
      <c r="G159" s="116" t="s">
        <v>1021</v>
      </c>
      <c r="H159" s="111" t="s">
        <v>1271</v>
      </c>
      <c r="I159" s="111">
        <v>64277</v>
      </c>
      <c r="J159" s="111">
        <v>331</v>
      </c>
      <c r="K159" s="111" t="s">
        <v>20</v>
      </c>
      <c r="L159" s="111">
        <v>1</v>
      </c>
      <c r="M159" s="118">
        <v>182000</v>
      </c>
      <c r="N159" s="118">
        <f t="shared" si="7"/>
        <v>182000</v>
      </c>
      <c r="O159" s="111" t="s">
        <v>21</v>
      </c>
      <c r="P159" s="111">
        <f t="shared" si="8"/>
        <v>156</v>
      </c>
    </row>
    <row r="160" spans="1:16" ht="15" customHeight="1" x14ac:dyDescent="0.25">
      <c r="A160" s="111" t="s">
        <v>18</v>
      </c>
      <c r="B160" s="120">
        <v>45986</v>
      </c>
      <c r="C160" s="111">
        <f t="shared" si="6"/>
        <v>776</v>
      </c>
      <c r="D160" s="111">
        <v>1</v>
      </c>
      <c r="E160" s="116"/>
      <c r="G160" s="116" t="s">
        <v>1022</v>
      </c>
      <c r="H160" s="111" t="s">
        <v>1272</v>
      </c>
      <c r="I160" s="111">
        <v>64277</v>
      </c>
      <c r="J160" s="111">
        <v>331</v>
      </c>
      <c r="K160" s="111" t="s">
        <v>20</v>
      </c>
      <c r="L160" s="111">
        <v>1</v>
      </c>
      <c r="M160" s="118">
        <v>69000</v>
      </c>
      <c r="N160" s="118">
        <f t="shared" si="7"/>
        <v>69000</v>
      </c>
      <c r="O160" s="111" t="s">
        <v>21</v>
      </c>
      <c r="P160" s="111">
        <f t="shared" si="8"/>
        <v>157</v>
      </c>
    </row>
    <row r="161" spans="1:16" ht="15" customHeight="1" x14ac:dyDescent="0.25">
      <c r="A161" s="111" t="s">
        <v>18</v>
      </c>
      <c r="B161" s="120">
        <v>45987</v>
      </c>
      <c r="C161" s="111">
        <f t="shared" si="6"/>
        <v>777</v>
      </c>
      <c r="D161" s="111">
        <v>1</v>
      </c>
      <c r="E161" s="116"/>
      <c r="G161" s="116" t="s">
        <v>30</v>
      </c>
      <c r="H161" s="111" t="s">
        <v>1273</v>
      </c>
      <c r="I161" s="111">
        <v>64276</v>
      </c>
      <c r="J161" s="111">
        <v>331</v>
      </c>
      <c r="K161" s="111" t="s">
        <v>20</v>
      </c>
      <c r="L161" s="111">
        <v>1</v>
      </c>
      <c r="M161" s="118">
        <v>1699000</v>
      </c>
      <c r="N161" s="118">
        <f t="shared" si="7"/>
        <v>1699000</v>
      </c>
      <c r="O161" s="111" t="s">
        <v>21</v>
      </c>
      <c r="P161" s="111">
        <f t="shared" si="8"/>
        <v>158</v>
      </c>
    </row>
    <row r="162" spans="1:16" ht="15" customHeight="1" x14ac:dyDescent="0.25">
      <c r="A162" s="111" t="s">
        <v>18</v>
      </c>
      <c r="B162" s="120">
        <v>45987</v>
      </c>
      <c r="C162" s="111">
        <f t="shared" si="6"/>
        <v>778</v>
      </c>
      <c r="D162" s="111">
        <v>1</v>
      </c>
      <c r="E162" s="116"/>
      <c r="G162" s="116" t="s">
        <v>30</v>
      </c>
      <c r="H162" s="111" t="s">
        <v>1274</v>
      </c>
      <c r="I162" s="111">
        <v>64276</v>
      </c>
      <c r="J162" s="111">
        <v>331</v>
      </c>
      <c r="K162" s="111" t="s">
        <v>20</v>
      </c>
      <c r="L162" s="111">
        <v>1</v>
      </c>
      <c r="M162" s="118">
        <v>-1199000</v>
      </c>
      <c r="N162" s="118">
        <f t="shared" si="7"/>
        <v>-1199000</v>
      </c>
      <c r="O162" s="111" t="s">
        <v>21</v>
      </c>
      <c r="P162" s="111">
        <f t="shared" si="8"/>
        <v>159</v>
      </c>
    </row>
    <row r="163" spans="1:16" ht="15" customHeight="1" x14ac:dyDescent="0.25">
      <c r="A163" s="111" t="s">
        <v>18</v>
      </c>
      <c r="B163" s="120">
        <v>45987</v>
      </c>
      <c r="C163" s="111">
        <f t="shared" si="6"/>
        <v>779</v>
      </c>
      <c r="D163" s="111">
        <v>1</v>
      </c>
      <c r="E163" s="116"/>
      <c r="G163" s="116" t="s">
        <v>28</v>
      </c>
      <c r="H163" s="111" t="s">
        <v>1275</v>
      </c>
      <c r="I163" s="111">
        <v>64277</v>
      </c>
      <c r="J163" s="111">
        <v>331</v>
      </c>
      <c r="K163" s="111" t="s">
        <v>20</v>
      </c>
      <c r="L163" s="111">
        <v>1</v>
      </c>
      <c r="M163" s="118">
        <v>1042200</v>
      </c>
      <c r="N163" s="118">
        <f t="shared" si="7"/>
        <v>1042200</v>
      </c>
      <c r="O163" s="111" t="s">
        <v>21</v>
      </c>
      <c r="P163" s="111">
        <f t="shared" si="8"/>
        <v>160</v>
      </c>
    </row>
    <row r="164" spans="1:16" ht="15" customHeight="1" x14ac:dyDescent="0.25">
      <c r="A164" s="111" t="s">
        <v>18</v>
      </c>
      <c r="B164" s="120">
        <v>45987</v>
      </c>
      <c r="C164" s="111">
        <f t="shared" si="6"/>
        <v>780</v>
      </c>
      <c r="D164" s="111">
        <v>1</v>
      </c>
      <c r="E164" s="116"/>
      <c r="G164" s="116" t="s">
        <v>31</v>
      </c>
      <c r="H164" s="111" t="s">
        <v>1276</v>
      </c>
      <c r="I164" s="111">
        <v>64277</v>
      </c>
      <c r="J164" s="111">
        <v>331</v>
      </c>
      <c r="K164" s="111" t="s">
        <v>20</v>
      </c>
      <c r="L164" s="111">
        <v>1</v>
      </c>
      <c r="M164" s="118">
        <v>3374600</v>
      </c>
      <c r="N164" s="118">
        <f t="shared" si="7"/>
        <v>3374600</v>
      </c>
      <c r="O164" s="111" t="s">
        <v>21</v>
      </c>
      <c r="P164" s="111">
        <f t="shared" si="8"/>
        <v>161</v>
      </c>
    </row>
    <row r="165" spans="1:16" ht="15" customHeight="1" x14ac:dyDescent="0.25">
      <c r="A165" s="111" t="s">
        <v>18</v>
      </c>
      <c r="B165" s="120">
        <v>45988</v>
      </c>
      <c r="C165" s="111">
        <f t="shared" si="6"/>
        <v>781</v>
      </c>
      <c r="D165" s="111">
        <v>1</v>
      </c>
      <c r="E165" s="116"/>
      <c r="G165" s="116" t="s">
        <v>1023</v>
      </c>
      <c r="H165" s="111" t="s">
        <v>1277</v>
      </c>
      <c r="I165" s="111">
        <v>64277</v>
      </c>
      <c r="J165" s="111">
        <v>331</v>
      </c>
      <c r="K165" s="111" t="s">
        <v>20</v>
      </c>
      <c r="L165" s="111">
        <v>1</v>
      </c>
      <c r="M165" s="118">
        <v>656640</v>
      </c>
      <c r="N165" s="118">
        <f t="shared" si="7"/>
        <v>656640</v>
      </c>
      <c r="O165" s="111" t="s">
        <v>21</v>
      </c>
      <c r="P165" s="111">
        <f t="shared" si="8"/>
        <v>162</v>
      </c>
    </row>
    <row r="166" spans="1:16" ht="15" customHeight="1" x14ac:dyDescent="0.25">
      <c r="A166" s="111" t="s">
        <v>18</v>
      </c>
      <c r="B166" s="120">
        <v>45988</v>
      </c>
      <c r="C166" s="111">
        <f t="shared" si="6"/>
        <v>782</v>
      </c>
      <c r="D166" s="111">
        <v>1</v>
      </c>
      <c r="E166" s="116"/>
      <c r="G166" s="116" t="s">
        <v>23</v>
      </c>
      <c r="H166" s="111" t="s">
        <v>1278</v>
      </c>
      <c r="I166" s="111">
        <v>64277</v>
      </c>
      <c r="J166" s="111">
        <v>331</v>
      </c>
      <c r="K166" s="111" t="s">
        <v>20</v>
      </c>
      <c r="L166" s="111">
        <v>1</v>
      </c>
      <c r="M166" s="118">
        <v>341000</v>
      </c>
      <c r="N166" s="118">
        <f t="shared" si="7"/>
        <v>341000</v>
      </c>
      <c r="O166" s="111" t="s">
        <v>21</v>
      </c>
      <c r="P166" s="111">
        <f t="shared" si="8"/>
        <v>163</v>
      </c>
    </row>
    <row r="167" spans="1:16" ht="15" customHeight="1" x14ac:dyDescent="0.25">
      <c r="A167" s="111" t="s">
        <v>18</v>
      </c>
      <c r="B167" s="120">
        <v>45988</v>
      </c>
      <c r="C167" s="111">
        <f t="shared" si="6"/>
        <v>783</v>
      </c>
      <c r="D167" s="111">
        <v>1</v>
      </c>
      <c r="E167" s="116"/>
      <c r="G167" s="116" t="s">
        <v>39</v>
      </c>
      <c r="H167" s="111" t="s">
        <v>1279</v>
      </c>
      <c r="I167" s="111">
        <v>64277</v>
      </c>
      <c r="J167" s="111">
        <v>331</v>
      </c>
      <c r="K167" s="111" t="s">
        <v>20</v>
      </c>
      <c r="L167" s="111">
        <v>1</v>
      </c>
      <c r="M167" s="118">
        <v>162000</v>
      </c>
      <c r="N167" s="118">
        <f t="shared" si="7"/>
        <v>162000</v>
      </c>
      <c r="O167" s="111" t="s">
        <v>21</v>
      </c>
      <c r="P167" s="111">
        <f t="shared" si="8"/>
        <v>164</v>
      </c>
    </row>
    <row r="168" spans="1:16" ht="15" customHeight="1" x14ac:dyDescent="0.25">
      <c r="A168" s="111" t="s">
        <v>18</v>
      </c>
      <c r="B168" s="120">
        <v>45988</v>
      </c>
      <c r="C168" s="111">
        <f t="shared" si="6"/>
        <v>784</v>
      </c>
      <c r="D168" s="111">
        <v>1</v>
      </c>
      <c r="E168" s="116"/>
      <c r="G168" s="116" t="s">
        <v>25</v>
      </c>
      <c r="H168" s="111" t="s">
        <v>1280</v>
      </c>
      <c r="I168" s="111">
        <v>64277</v>
      </c>
      <c r="J168" s="111">
        <v>331</v>
      </c>
      <c r="K168" s="111" t="s">
        <v>20</v>
      </c>
      <c r="L168" s="111">
        <v>1</v>
      </c>
      <c r="M168" s="118">
        <v>758161</v>
      </c>
      <c r="N168" s="118">
        <f t="shared" si="7"/>
        <v>758161</v>
      </c>
      <c r="O168" s="111" t="s">
        <v>21</v>
      </c>
      <c r="P168" s="111">
        <f t="shared" si="8"/>
        <v>165</v>
      </c>
    </row>
    <row r="169" spans="1:16" ht="15" customHeight="1" x14ac:dyDescent="0.25">
      <c r="A169" s="111" t="s">
        <v>18</v>
      </c>
      <c r="B169" s="120">
        <v>45988</v>
      </c>
      <c r="C169" s="111">
        <f t="shared" si="6"/>
        <v>785</v>
      </c>
      <c r="D169" s="111">
        <v>1</v>
      </c>
      <c r="E169" s="116"/>
      <c r="G169" s="116" t="s">
        <v>19</v>
      </c>
      <c r="H169" s="111" t="s">
        <v>1110</v>
      </c>
      <c r="I169" s="111">
        <v>64277</v>
      </c>
      <c r="J169" s="111">
        <v>331</v>
      </c>
      <c r="K169" s="111" t="s">
        <v>20</v>
      </c>
      <c r="L169" s="111">
        <v>1</v>
      </c>
      <c r="M169" s="118">
        <v>155000</v>
      </c>
      <c r="N169" s="118">
        <f t="shared" si="7"/>
        <v>155000</v>
      </c>
      <c r="O169" s="111" t="s">
        <v>21</v>
      </c>
      <c r="P169" s="111">
        <f t="shared" si="8"/>
        <v>166</v>
      </c>
    </row>
    <row r="170" spans="1:16" ht="15" customHeight="1" x14ac:dyDescent="0.25">
      <c r="A170" s="111" t="s">
        <v>18</v>
      </c>
      <c r="B170" s="120">
        <v>45988</v>
      </c>
      <c r="C170" s="111">
        <f t="shared" si="6"/>
        <v>786</v>
      </c>
      <c r="D170" s="111">
        <v>1</v>
      </c>
      <c r="E170" s="116"/>
      <c r="G170" s="116" t="s">
        <v>19</v>
      </c>
      <c r="H170" s="111" t="s">
        <v>1111</v>
      </c>
      <c r="I170" s="111">
        <v>64277</v>
      </c>
      <c r="J170" s="111">
        <v>331</v>
      </c>
      <c r="K170" s="111" t="s">
        <v>20</v>
      </c>
      <c r="L170" s="111">
        <v>1</v>
      </c>
      <c r="M170" s="118">
        <v>30000</v>
      </c>
      <c r="N170" s="118">
        <f t="shared" si="7"/>
        <v>30000</v>
      </c>
      <c r="O170" s="111" t="s">
        <v>21</v>
      </c>
      <c r="P170" s="111">
        <f t="shared" si="8"/>
        <v>167</v>
      </c>
    </row>
    <row r="171" spans="1:16" ht="15" customHeight="1" x14ac:dyDescent="0.25">
      <c r="A171" s="111" t="s">
        <v>18</v>
      </c>
      <c r="B171" s="120">
        <v>45989</v>
      </c>
      <c r="C171" s="111">
        <f t="shared" si="6"/>
        <v>787</v>
      </c>
      <c r="D171" s="111">
        <v>1</v>
      </c>
      <c r="E171" s="116"/>
      <c r="G171" s="116" t="s">
        <v>991</v>
      </c>
      <c r="H171" s="111" t="s">
        <v>1281</v>
      </c>
      <c r="I171" s="111">
        <v>64277</v>
      </c>
      <c r="J171" s="111">
        <v>331</v>
      </c>
      <c r="K171" s="111" t="s">
        <v>20</v>
      </c>
      <c r="L171" s="111">
        <v>1</v>
      </c>
      <c r="M171" s="118">
        <v>350000</v>
      </c>
      <c r="N171" s="118">
        <f t="shared" si="7"/>
        <v>350000</v>
      </c>
      <c r="O171" s="111" t="s">
        <v>21</v>
      </c>
      <c r="P171" s="111">
        <f t="shared" si="8"/>
        <v>168</v>
      </c>
    </row>
    <row r="172" spans="1:16" ht="15" customHeight="1" x14ac:dyDescent="0.25">
      <c r="A172" s="111" t="s">
        <v>18</v>
      </c>
      <c r="B172" s="120">
        <v>45989</v>
      </c>
      <c r="C172" s="111">
        <f t="shared" si="6"/>
        <v>788</v>
      </c>
      <c r="D172" s="111">
        <v>1</v>
      </c>
      <c r="E172" s="116"/>
      <c r="G172" s="116" t="s">
        <v>19</v>
      </c>
      <c r="H172" s="111" t="s">
        <v>1112</v>
      </c>
      <c r="I172" s="111">
        <v>64277</v>
      </c>
      <c r="J172" s="111">
        <v>331</v>
      </c>
      <c r="K172" s="111" t="s">
        <v>20</v>
      </c>
      <c r="L172" s="111">
        <v>1</v>
      </c>
      <c r="M172" s="118">
        <v>205000</v>
      </c>
      <c r="N172" s="118">
        <f t="shared" si="7"/>
        <v>205000</v>
      </c>
      <c r="O172" s="111" t="s">
        <v>21</v>
      </c>
      <c r="P172" s="111">
        <f t="shared" si="8"/>
        <v>169</v>
      </c>
    </row>
    <row r="173" spans="1:16" ht="15" customHeight="1" x14ac:dyDescent="0.25">
      <c r="A173" s="111" t="s">
        <v>18</v>
      </c>
      <c r="B173" s="120">
        <v>45989</v>
      </c>
      <c r="C173" s="111">
        <f t="shared" si="6"/>
        <v>789</v>
      </c>
      <c r="D173" s="111">
        <v>1</v>
      </c>
      <c r="E173" s="116"/>
      <c r="G173" s="116" t="s">
        <v>19</v>
      </c>
      <c r="H173" s="111" t="s">
        <v>1113</v>
      </c>
      <c r="I173" s="111">
        <v>64277</v>
      </c>
      <c r="J173" s="111">
        <v>331</v>
      </c>
      <c r="K173" s="111" t="s">
        <v>20</v>
      </c>
      <c r="L173" s="111">
        <v>1</v>
      </c>
      <c r="M173" s="118">
        <v>155000</v>
      </c>
      <c r="N173" s="118">
        <f t="shared" si="7"/>
        <v>155000</v>
      </c>
      <c r="O173" s="111" t="s">
        <v>21</v>
      </c>
      <c r="P173" s="111">
        <f t="shared" si="8"/>
        <v>170</v>
      </c>
    </row>
    <row r="174" spans="1:16" ht="15" customHeight="1" x14ac:dyDescent="0.25">
      <c r="A174" s="111" t="s">
        <v>18</v>
      </c>
      <c r="B174" s="120">
        <v>45989</v>
      </c>
      <c r="C174" s="111">
        <f t="shared" si="6"/>
        <v>790</v>
      </c>
      <c r="D174" s="111">
        <v>1</v>
      </c>
      <c r="E174" s="116"/>
      <c r="G174" s="116" t="s">
        <v>19</v>
      </c>
      <c r="H174" s="111" t="s">
        <v>1114</v>
      </c>
      <c r="I174" s="111">
        <v>64277</v>
      </c>
      <c r="J174" s="111">
        <v>331</v>
      </c>
      <c r="K174" s="111" t="s">
        <v>20</v>
      </c>
      <c r="L174" s="111">
        <v>1</v>
      </c>
      <c r="M174" s="118">
        <v>27000</v>
      </c>
      <c r="N174" s="118">
        <f t="shared" si="7"/>
        <v>27000</v>
      </c>
      <c r="O174" s="111" t="s">
        <v>21</v>
      </c>
      <c r="P174" s="111">
        <f t="shared" si="8"/>
        <v>171</v>
      </c>
    </row>
    <row r="175" spans="1:16" ht="15" customHeight="1" x14ac:dyDescent="0.25">
      <c r="A175" s="111" t="s">
        <v>18</v>
      </c>
      <c r="B175" s="120">
        <v>45990</v>
      </c>
      <c r="C175" s="111">
        <f t="shared" si="6"/>
        <v>791</v>
      </c>
      <c r="D175" s="111">
        <v>1</v>
      </c>
      <c r="E175" s="116"/>
      <c r="G175" s="116" t="s">
        <v>27</v>
      </c>
      <c r="H175" s="111" t="s">
        <v>1180</v>
      </c>
      <c r="I175" s="111">
        <v>64277</v>
      </c>
      <c r="J175" s="111">
        <v>331</v>
      </c>
      <c r="K175" s="111" t="s">
        <v>20</v>
      </c>
      <c r="L175" s="111">
        <v>1</v>
      </c>
      <c r="M175" s="118">
        <v>346680</v>
      </c>
      <c r="N175" s="118">
        <f t="shared" si="7"/>
        <v>346680</v>
      </c>
      <c r="O175" s="111" t="s">
        <v>21</v>
      </c>
      <c r="P175" s="111">
        <f t="shared" si="8"/>
        <v>172</v>
      </c>
    </row>
    <row r="176" spans="1:16" ht="15" customHeight="1" x14ac:dyDescent="0.25">
      <c r="A176" s="111" t="s">
        <v>18</v>
      </c>
      <c r="B176" s="120">
        <v>45990</v>
      </c>
      <c r="C176" s="111">
        <f t="shared" si="6"/>
        <v>792</v>
      </c>
      <c r="D176" s="111">
        <v>1</v>
      </c>
      <c r="E176" s="116"/>
      <c r="G176" s="116" t="s">
        <v>1024</v>
      </c>
      <c r="H176" s="111" t="s">
        <v>1282</v>
      </c>
      <c r="I176" s="111">
        <v>64276</v>
      </c>
      <c r="J176" s="111">
        <v>331</v>
      </c>
      <c r="K176" s="111" t="s">
        <v>20</v>
      </c>
      <c r="L176" s="111">
        <v>1</v>
      </c>
      <c r="M176" s="118">
        <v>13440000</v>
      </c>
      <c r="N176" s="118">
        <f t="shared" si="7"/>
        <v>13440000</v>
      </c>
      <c r="O176" s="111" t="s">
        <v>21</v>
      </c>
      <c r="P176" s="111">
        <f t="shared" si="8"/>
        <v>173</v>
      </c>
    </row>
    <row r="177" spans="1:16" ht="15" customHeight="1" x14ac:dyDescent="0.25">
      <c r="A177" s="111" t="s">
        <v>18</v>
      </c>
      <c r="B177" s="120">
        <v>45990</v>
      </c>
      <c r="C177" s="111">
        <f t="shared" si="6"/>
        <v>793</v>
      </c>
      <c r="D177" s="111">
        <v>1</v>
      </c>
      <c r="E177" s="116"/>
      <c r="G177" s="116" t="s">
        <v>1025</v>
      </c>
      <c r="H177" s="111" t="s">
        <v>1283</v>
      </c>
      <c r="I177" s="111">
        <v>64277</v>
      </c>
      <c r="J177" s="111">
        <v>331</v>
      </c>
      <c r="K177" s="111" t="s">
        <v>20</v>
      </c>
      <c r="L177" s="111">
        <v>1</v>
      </c>
      <c r="M177" s="118">
        <v>1311120</v>
      </c>
      <c r="N177" s="118">
        <f t="shared" si="7"/>
        <v>1311120</v>
      </c>
      <c r="O177" s="111" t="s">
        <v>21</v>
      </c>
      <c r="P177" s="111">
        <f t="shared" si="8"/>
        <v>174</v>
      </c>
    </row>
    <row r="178" spans="1:16" ht="15" customHeight="1" x14ac:dyDescent="0.25">
      <c r="A178" s="111" t="s">
        <v>18</v>
      </c>
      <c r="B178" s="120">
        <v>45990</v>
      </c>
      <c r="C178" s="111">
        <f t="shared" si="6"/>
        <v>794</v>
      </c>
      <c r="D178" s="111">
        <v>1</v>
      </c>
      <c r="E178" s="116"/>
      <c r="G178" s="116" t="s">
        <v>1026</v>
      </c>
      <c r="H178" s="111" t="s">
        <v>1284</v>
      </c>
      <c r="I178" s="111">
        <v>64277</v>
      </c>
      <c r="J178" s="111">
        <v>331</v>
      </c>
      <c r="K178" s="111" t="s">
        <v>20</v>
      </c>
      <c r="L178" s="111">
        <v>1</v>
      </c>
      <c r="M178" s="118">
        <v>1144000</v>
      </c>
      <c r="N178" s="118">
        <f t="shared" si="7"/>
        <v>1144000</v>
      </c>
      <c r="O178" s="111" t="s">
        <v>21</v>
      </c>
      <c r="P178" s="111">
        <f t="shared" si="8"/>
        <v>175</v>
      </c>
    </row>
    <row r="179" spans="1:16" ht="15" customHeight="1" x14ac:dyDescent="0.25">
      <c r="A179" s="111" t="s">
        <v>18</v>
      </c>
      <c r="B179" s="120">
        <v>45990</v>
      </c>
      <c r="C179" s="111">
        <f t="shared" si="6"/>
        <v>795</v>
      </c>
      <c r="D179" s="111">
        <v>1</v>
      </c>
      <c r="E179" s="116"/>
      <c r="G179" s="116" t="s">
        <v>25</v>
      </c>
      <c r="H179" s="111" t="s">
        <v>1285</v>
      </c>
      <c r="I179" s="111">
        <v>64277</v>
      </c>
      <c r="J179" s="111">
        <v>331</v>
      </c>
      <c r="K179" s="111" t="s">
        <v>20</v>
      </c>
      <c r="L179" s="111">
        <v>1</v>
      </c>
      <c r="M179" s="118">
        <v>1226880</v>
      </c>
      <c r="N179" s="118">
        <f t="shared" si="7"/>
        <v>1226880</v>
      </c>
      <c r="O179" s="111" t="s">
        <v>21</v>
      </c>
      <c r="P179" s="111">
        <f t="shared" si="8"/>
        <v>176</v>
      </c>
    </row>
    <row r="180" spans="1:16" ht="15" customHeight="1" x14ac:dyDescent="0.25">
      <c r="A180" s="111" t="s">
        <v>18</v>
      </c>
      <c r="B180" s="120">
        <v>45990</v>
      </c>
      <c r="C180" s="111">
        <f t="shared" si="6"/>
        <v>796</v>
      </c>
      <c r="D180" s="111">
        <v>1</v>
      </c>
      <c r="E180" s="116"/>
      <c r="G180" s="116" t="s">
        <v>24</v>
      </c>
      <c r="H180" s="111" t="s">
        <v>1115</v>
      </c>
      <c r="I180" s="111">
        <v>64277</v>
      </c>
      <c r="J180" s="111">
        <v>331</v>
      </c>
      <c r="K180" s="111" t="s">
        <v>20</v>
      </c>
      <c r="L180" s="111">
        <v>1</v>
      </c>
      <c r="M180" s="118">
        <v>181000</v>
      </c>
      <c r="N180" s="118">
        <f t="shared" si="7"/>
        <v>181000</v>
      </c>
      <c r="O180" s="111" t="s">
        <v>21</v>
      </c>
      <c r="P180" s="111">
        <f t="shared" si="8"/>
        <v>177</v>
      </c>
    </row>
    <row r="181" spans="1:16" ht="15" customHeight="1" x14ac:dyDescent="0.25">
      <c r="A181" s="111" t="s">
        <v>18</v>
      </c>
      <c r="B181" s="120">
        <v>45991</v>
      </c>
      <c r="C181" s="111">
        <f t="shared" si="6"/>
        <v>797</v>
      </c>
      <c r="D181" s="111">
        <v>1</v>
      </c>
      <c r="E181" s="116"/>
      <c r="G181" s="116" t="s">
        <v>23</v>
      </c>
      <c r="H181" s="111" t="s">
        <v>1286</v>
      </c>
      <c r="I181" s="111">
        <v>64277</v>
      </c>
      <c r="J181" s="111">
        <v>331</v>
      </c>
      <c r="K181" s="111" t="s">
        <v>20</v>
      </c>
      <c r="L181" s="111">
        <v>1</v>
      </c>
      <c r="M181" s="118">
        <v>97000</v>
      </c>
      <c r="N181" s="118">
        <f t="shared" si="7"/>
        <v>97000</v>
      </c>
      <c r="O181" s="111" t="s">
        <v>21</v>
      </c>
      <c r="P181" s="111">
        <f t="shared" si="8"/>
        <v>178</v>
      </c>
    </row>
    <row r="182" spans="1:16" ht="15" customHeight="1" x14ac:dyDescent="0.25">
      <c r="A182" s="111" t="s">
        <v>18</v>
      </c>
      <c r="B182" s="120">
        <v>45992</v>
      </c>
      <c r="C182" s="111">
        <f t="shared" si="6"/>
        <v>798</v>
      </c>
      <c r="D182" s="111">
        <v>1</v>
      </c>
      <c r="E182" s="116"/>
      <c r="G182" s="116" t="s">
        <v>1016</v>
      </c>
      <c r="H182" s="111" t="s">
        <v>1287</v>
      </c>
      <c r="I182" s="111">
        <v>64277</v>
      </c>
      <c r="J182" s="111">
        <v>331</v>
      </c>
      <c r="K182" s="111" t="s">
        <v>20</v>
      </c>
      <c r="L182" s="111">
        <v>1</v>
      </c>
      <c r="M182" s="118">
        <v>170000</v>
      </c>
      <c r="N182" s="118">
        <f t="shared" si="7"/>
        <v>170000</v>
      </c>
      <c r="O182" s="111" t="s">
        <v>21</v>
      </c>
      <c r="P182" s="111">
        <f t="shared" si="8"/>
        <v>179</v>
      </c>
    </row>
    <row r="183" spans="1:16" ht="15" customHeight="1" x14ac:dyDescent="0.25">
      <c r="A183" s="111" t="s">
        <v>18</v>
      </c>
      <c r="B183" s="120">
        <v>45992</v>
      </c>
      <c r="C183" s="111">
        <f t="shared" si="6"/>
        <v>799</v>
      </c>
      <c r="D183" s="111">
        <v>1</v>
      </c>
      <c r="E183" s="116"/>
      <c r="G183" s="116" t="s">
        <v>52</v>
      </c>
      <c r="H183" s="111" t="s">
        <v>1288</v>
      </c>
      <c r="I183" s="111">
        <v>64277</v>
      </c>
      <c r="J183" s="111">
        <v>331</v>
      </c>
      <c r="K183" s="111" t="s">
        <v>20</v>
      </c>
      <c r="L183" s="111">
        <v>1</v>
      </c>
      <c r="M183" s="118">
        <v>413640</v>
      </c>
      <c r="N183" s="118">
        <f t="shared" si="7"/>
        <v>413640</v>
      </c>
      <c r="O183" s="111" t="s">
        <v>21</v>
      </c>
      <c r="P183" s="111">
        <f t="shared" si="8"/>
        <v>180</v>
      </c>
    </row>
    <row r="184" spans="1:16" ht="15" customHeight="1" x14ac:dyDescent="0.25">
      <c r="A184" s="111" t="s">
        <v>18</v>
      </c>
      <c r="B184" s="120">
        <v>45992</v>
      </c>
      <c r="C184" s="111">
        <f t="shared" si="6"/>
        <v>800</v>
      </c>
      <c r="D184" s="111">
        <v>1</v>
      </c>
      <c r="E184" s="116"/>
      <c r="G184" s="116" t="s">
        <v>1027</v>
      </c>
      <c r="H184" s="111" t="s">
        <v>1289</v>
      </c>
      <c r="I184" s="111">
        <v>64277</v>
      </c>
      <c r="J184" s="111">
        <v>331</v>
      </c>
      <c r="K184" s="111" t="s">
        <v>20</v>
      </c>
      <c r="L184" s="111">
        <v>1</v>
      </c>
      <c r="M184" s="118">
        <v>424000</v>
      </c>
      <c r="N184" s="118">
        <f t="shared" si="7"/>
        <v>424000</v>
      </c>
      <c r="O184" s="111" t="s">
        <v>21</v>
      </c>
      <c r="P184" s="111">
        <f t="shared" si="8"/>
        <v>181</v>
      </c>
    </row>
    <row r="185" spans="1:16" ht="15" customHeight="1" x14ac:dyDescent="0.25">
      <c r="A185" s="111" t="s">
        <v>18</v>
      </c>
      <c r="B185" s="120">
        <v>45992</v>
      </c>
      <c r="C185" s="111">
        <f t="shared" si="6"/>
        <v>801</v>
      </c>
      <c r="D185" s="111">
        <v>1</v>
      </c>
      <c r="E185" s="116"/>
      <c r="G185" s="116" t="s">
        <v>19</v>
      </c>
      <c r="H185" s="111" t="s">
        <v>1116</v>
      </c>
      <c r="I185" s="111">
        <v>64277</v>
      </c>
      <c r="J185" s="111">
        <v>331</v>
      </c>
      <c r="K185" s="111" t="s">
        <v>20</v>
      </c>
      <c r="L185" s="111">
        <v>1</v>
      </c>
      <c r="M185" s="118">
        <v>44000</v>
      </c>
      <c r="N185" s="118">
        <f t="shared" si="7"/>
        <v>44000</v>
      </c>
      <c r="O185" s="111" t="s">
        <v>21</v>
      </c>
      <c r="P185" s="111">
        <f t="shared" si="8"/>
        <v>182</v>
      </c>
    </row>
    <row r="186" spans="1:16" ht="15" customHeight="1" x14ac:dyDescent="0.25">
      <c r="A186" s="111" t="s">
        <v>18</v>
      </c>
      <c r="B186" s="120">
        <v>45993</v>
      </c>
      <c r="C186" s="111">
        <f t="shared" si="6"/>
        <v>802</v>
      </c>
      <c r="D186" s="111">
        <v>1</v>
      </c>
      <c r="E186" s="116"/>
      <c r="G186" s="116" t="s">
        <v>1028</v>
      </c>
      <c r="H186" s="111" t="s">
        <v>1290</v>
      </c>
      <c r="I186" s="111">
        <v>64277</v>
      </c>
      <c r="J186" s="111">
        <v>331</v>
      </c>
      <c r="K186" s="111" t="s">
        <v>20</v>
      </c>
      <c r="L186" s="111">
        <v>1</v>
      </c>
      <c r="M186" s="118">
        <v>2158569</v>
      </c>
      <c r="N186" s="118">
        <f t="shared" si="7"/>
        <v>2158569</v>
      </c>
      <c r="O186" s="111" t="s">
        <v>21</v>
      </c>
      <c r="P186" s="111">
        <f t="shared" si="8"/>
        <v>183</v>
      </c>
    </row>
    <row r="187" spans="1:16" ht="15" customHeight="1" x14ac:dyDescent="0.25">
      <c r="A187" s="111" t="s">
        <v>18</v>
      </c>
      <c r="B187" s="120">
        <v>45993</v>
      </c>
      <c r="C187" s="111">
        <f t="shared" si="6"/>
        <v>803</v>
      </c>
      <c r="D187" s="111">
        <v>1</v>
      </c>
      <c r="E187" s="116"/>
      <c r="G187" s="116" t="s">
        <v>23</v>
      </c>
      <c r="H187" s="111" t="s">
        <v>1291</v>
      </c>
      <c r="I187" s="111">
        <v>64277</v>
      </c>
      <c r="J187" s="111">
        <v>331</v>
      </c>
      <c r="K187" s="111" t="s">
        <v>20</v>
      </c>
      <c r="L187" s="111">
        <v>1</v>
      </c>
      <c r="M187" s="118">
        <v>173000</v>
      </c>
      <c r="N187" s="118">
        <f t="shared" si="7"/>
        <v>173000</v>
      </c>
      <c r="O187" s="111" t="s">
        <v>21</v>
      </c>
      <c r="P187" s="111">
        <f t="shared" si="8"/>
        <v>184</v>
      </c>
    </row>
    <row r="188" spans="1:16" ht="15" customHeight="1" x14ac:dyDescent="0.25">
      <c r="A188" s="111" t="s">
        <v>18</v>
      </c>
      <c r="B188" s="120">
        <v>45993</v>
      </c>
      <c r="C188" s="111">
        <f t="shared" si="6"/>
        <v>804</v>
      </c>
      <c r="D188" s="111">
        <v>1</v>
      </c>
      <c r="E188" s="116"/>
      <c r="G188" s="116" t="s">
        <v>120</v>
      </c>
      <c r="H188" s="111" t="s">
        <v>1292</v>
      </c>
      <c r="I188" s="111">
        <v>64276</v>
      </c>
      <c r="J188" s="111">
        <v>331</v>
      </c>
      <c r="K188" s="111" t="s">
        <v>20</v>
      </c>
      <c r="L188" s="111">
        <v>1</v>
      </c>
      <c r="M188" s="118">
        <v>1072740</v>
      </c>
      <c r="N188" s="118">
        <f t="shared" si="7"/>
        <v>1072740</v>
      </c>
      <c r="O188" s="111" t="s">
        <v>21</v>
      </c>
      <c r="P188" s="111">
        <f t="shared" si="8"/>
        <v>185</v>
      </c>
    </row>
    <row r="189" spans="1:16" ht="15" customHeight="1" x14ac:dyDescent="0.25">
      <c r="A189" s="111" t="s">
        <v>18</v>
      </c>
      <c r="B189" s="120">
        <v>45994</v>
      </c>
      <c r="C189" s="111">
        <f t="shared" si="6"/>
        <v>805</v>
      </c>
      <c r="D189" s="111">
        <v>1</v>
      </c>
      <c r="E189" s="116"/>
      <c r="G189" s="116" t="s">
        <v>48</v>
      </c>
      <c r="H189" s="111" t="s">
        <v>979</v>
      </c>
      <c r="I189" s="111">
        <v>64277</v>
      </c>
      <c r="J189" s="111">
        <v>331</v>
      </c>
      <c r="K189" s="111" t="s">
        <v>20</v>
      </c>
      <c r="L189" s="111">
        <v>1</v>
      </c>
      <c r="M189" s="118">
        <v>927059</v>
      </c>
      <c r="N189" s="118">
        <f t="shared" si="7"/>
        <v>927059</v>
      </c>
      <c r="O189" s="111" t="s">
        <v>21</v>
      </c>
      <c r="P189" s="111">
        <f t="shared" si="8"/>
        <v>186</v>
      </c>
    </row>
    <row r="190" spans="1:16" ht="15" customHeight="1" x14ac:dyDescent="0.25">
      <c r="A190" s="111" t="s">
        <v>18</v>
      </c>
      <c r="B190" s="120">
        <v>45994</v>
      </c>
      <c r="C190" s="111">
        <f t="shared" si="6"/>
        <v>806</v>
      </c>
      <c r="D190" s="111">
        <v>1</v>
      </c>
      <c r="E190" s="116"/>
      <c r="G190" s="116" t="s">
        <v>23</v>
      </c>
      <c r="H190" s="111" t="s">
        <v>1293</v>
      </c>
      <c r="I190" s="111">
        <v>64277</v>
      </c>
      <c r="J190" s="111">
        <v>331</v>
      </c>
      <c r="K190" s="111" t="s">
        <v>20</v>
      </c>
      <c r="L190" s="111">
        <v>1</v>
      </c>
      <c r="M190" s="118">
        <v>263000</v>
      </c>
      <c r="N190" s="118">
        <f t="shared" si="7"/>
        <v>263000</v>
      </c>
      <c r="O190" s="111" t="s">
        <v>21</v>
      </c>
      <c r="P190" s="111">
        <f t="shared" si="8"/>
        <v>187</v>
      </c>
    </row>
    <row r="191" spans="1:16" ht="15" customHeight="1" x14ac:dyDescent="0.25">
      <c r="A191" s="111" t="s">
        <v>18</v>
      </c>
      <c r="B191" s="120">
        <v>45994</v>
      </c>
      <c r="C191" s="111">
        <f t="shared" si="6"/>
        <v>807</v>
      </c>
      <c r="D191" s="111">
        <v>1</v>
      </c>
      <c r="E191" s="116"/>
      <c r="G191" s="116" t="s">
        <v>23</v>
      </c>
      <c r="H191" s="111" t="s">
        <v>1294</v>
      </c>
      <c r="I191" s="111">
        <v>64277</v>
      </c>
      <c r="J191" s="111">
        <v>331</v>
      </c>
      <c r="K191" s="111" t="s">
        <v>20</v>
      </c>
      <c r="L191" s="111">
        <v>1</v>
      </c>
      <c r="M191" s="118">
        <v>173000</v>
      </c>
      <c r="N191" s="118">
        <f t="shared" si="7"/>
        <v>173000</v>
      </c>
      <c r="O191" s="111" t="s">
        <v>21</v>
      </c>
      <c r="P191" s="111">
        <f t="shared" si="8"/>
        <v>188</v>
      </c>
    </row>
    <row r="192" spans="1:16" ht="15" customHeight="1" x14ac:dyDescent="0.25">
      <c r="A192" s="111" t="s">
        <v>18</v>
      </c>
      <c r="B192" s="120">
        <v>45994</v>
      </c>
      <c r="C192" s="111">
        <f t="shared" si="6"/>
        <v>808</v>
      </c>
      <c r="D192" s="111">
        <v>1</v>
      </c>
      <c r="E192" s="116"/>
      <c r="G192" s="116" t="s">
        <v>19</v>
      </c>
      <c r="H192" s="111" t="s">
        <v>1117</v>
      </c>
      <c r="I192" s="111">
        <v>64277</v>
      </c>
      <c r="J192" s="111">
        <v>331</v>
      </c>
      <c r="K192" s="111" t="s">
        <v>20</v>
      </c>
      <c r="L192" s="111">
        <v>1</v>
      </c>
      <c r="M192" s="118">
        <v>139000</v>
      </c>
      <c r="N192" s="118">
        <f t="shared" si="7"/>
        <v>139000</v>
      </c>
      <c r="O192" s="111" t="s">
        <v>21</v>
      </c>
      <c r="P192" s="111">
        <f t="shared" si="8"/>
        <v>189</v>
      </c>
    </row>
    <row r="193" spans="1:16" ht="15" customHeight="1" x14ac:dyDescent="0.25">
      <c r="A193" s="111" t="s">
        <v>18</v>
      </c>
      <c r="B193" s="120">
        <v>45994</v>
      </c>
      <c r="C193" s="111">
        <f t="shared" si="6"/>
        <v>809</v>
      </c>
      <c r="D193" s="111">
        <v>1</v>
      </c>
      <c r="E193" s="116"/>
      <c r="G193" s="116" t="s">
        <v>19</v>
      </c>
      <c r="H193" s="111" t="s">
        <v>1118</v>
      </c>
      <c r="I193" s="111">
        <v>64277</v>
      </c>
      <c r="J193" s="111">
        <v>331</v>
      </c>
      <c r="K193" s="111" t="s">
        <v>20</v>
      </c>
      <c r="L193" s="111">
        <v>1</v>
      </c>
      <c r="M193" s="118">
        <v>59000</v>
      </c>
      <c r="N193" s="118">
        <f t="shared" si="7"/>
        <v>59000</v>
      </c>
      <c r="O193" s="111" t="s">
        <v>21</v>
      </c>
      <c r="P193" s="111">
        <f t="shared" si="8"/>
        <v>190</v>
      </c>
    </row>
    <row r="194" spans="1:16" ht="15" customHeight="1" x14ac:dyDescent="0.25">
      <c r="A194" s="111" t="s">
        <v>18</v>
      </c>
      <c r="B194" s="120">
        <v>45994</v>
      </c>
      <c r="C194" s="111">
        <f t="shared" si="6"/>
        <v>810</v>
      </c>
      <c r="D194" s="111">
        <v>1</v>
      </c>
      <c r="E194" s="116"/>
      <c r="G194" s="116" t="s">
        <v>19</v>
      </c>
      <c r="H194" s="111" t="s">
        <v>1119</v>
      </c>
      <c r="I194" s="111">
        <v>64277</v>
      </c>
      <c r="J194" s="111">
        <v>331</v>
      </c>
      <c r="K194" s="111" t="s">
        <v>20</v>
      </c>
      <c r="L194" s="111">
        <v>1</v>
      </c>
      <c r="M194" s="118">
        <v>182000</v>
      </c>
      <c r="N194" s="118">
        <f t="shared" si="7"/>
        <v>182000</v>
      </c>
      <c r="O194" s="111" t="s">
        <v>21</v>
      </c>
      <c r="P194" s="111">
        <f t="shared" si="8"/>
        <v>191</v>
      </c>
    </row>
    <row r="195" spans="1:16" ht="15" customHeight="1" x14ac:dyDescent="0.25">
      <c r="A195" s="111" t="s">
        <v>18</v>
      </c>
      <c r="B195" s="120">
        <v>45995</v>
      </c>
      <c r="C195" s="111">
        <f t="shared" si="6"/>
        <v>811</v>
      </c>
      <c r="D195" s="111">
        <v>1</v>
      </c>
      <c r="E195" s="116"/>
      <c r="G195" s="116" t="s">
        <v>988</v>
      </c>
      <c r="H195" s="111" t="s">
        <v>1295</v>
      </c>
      <c r="I195" s="111">
        <v>64277</v>
      </c>
      <c r="J195" s="111">
        <v>331</v>
      </c>
      <c r="K195" s="111" t="s">
        <v>20</v>
      </c>
      <c r="L195" s="111">
        <v>1</v>
      </c>
      <c r="M195" s="118">
        <v>220000</v>
      </c>
      <c r="N195" s="118">
        <f t="shared" si="7"/>
        <v>220000</v>
      </c>
      <c r="O195" s="111" t="s">
        <v>21</v>
      </c>
      <c r="P195" s="111">
        <f t="shared" si="8"/>
        <v>192</v>
      </c>
    </row>
    <row r="196" spans="1:16" ht="15" customHeight="1" x14ac:dyDescent="0.25">
      <c r="A196" s="111" t="s">
        <v>18</v>
      </c>
      <c r="B196" s="120">
        <v>45995</v>
      </c>
      <c r="C196" s="111">
        <f t="shared" ref="C196:C259" si="9">C195+D196</f>
        <v>812</v>
      </c>
      <c r="D196" s="111">
        <v>1</v>
      </c>
      <c r="E196" s="116"/>
      <c r="G196" s="116" t="s">
        <v>24</v>
      </c>
      <c r="H196" s="111" t="s">
        <v>1120</v>
      </c>
      <c r="I196" s="111">
        <v>64277</v>
      </c>
      <c r="J196" s="111">
        <v>331</v>
      </c>
      <c r="K196" s="111" t="s">
        <v>20</v>
      </c>
      <c r="L196" s="111">
        <v>1</v>
      </c>
      <c r="M196" s="118">
        <v>1007000</v>
      </c>
      <c r="N196" s="118">
        <f t="shared" ref="N196:N259" si="10">M196*L196</f>
        <v>1007000</v>
      </c>
      <c r="O196" s="111" t="s">
        <v>21</v>
      </c>
      <c r="P196" s="111">
        <f t="shared" si="8"/>
        <v>193</v>
      </c>
    </row>
    <row r="197" spans="1:16" ht="15" customHeight="1" x14ac:dyDescent="0.25">
      <c r="A197" s="111" t="s">
        <v>18</v>
      </c>
      <c r="B197" s="120">
        <v>45995</v>
      </c>
      <c r="C197" s="111">
        <f t="shared" si="9"/>
        <v>813</v>
      </c>
      <c r="D197" s="111">
        <v>1</v>
      </c>
      <c r="E197" s="116"/>
      <c r="G197" s="116" t="s">
        <v>19</v>
      </c>
      <c r="H197" s="111" t="s">
        <v>1121</v>
      </c>
      <c r="I197" s="111">
        <v>64277</v>
      </c>
      <c r="J197" s="111">
        <v>331</v>
      </c>
      <c r="K197" s="111" t="s">
        <v>20</v>
      </c>
      <c r="L197" s="111">
        <v>1</v>
      </c>
      <c r="M197" s="118">
        <v>126000</v>
      </c>
      <c r="N197" s="118">
        <f t="shared" si="10"/>
        <v>126000</v>
      </c>
      <c r="O197" s="111" t="s">
        <v>21</v>
      </c>
      <c r="P197" s="111">
        <f t="shared" ref="P197:P260" si="11">P196+D197</f>
        <v>194</v>
      </c>
    </row>
    <row r="198" spans="1:16" ht="15" customHeight="1" x14ac:dyDescent="0.25">
      <c r="A198" s="111" t="s">
        <v>18</v>
      </c>
      <c r="B198" s="120">
        <v>45996</v>
      </c>
      <c r="C198" s="111">
        <f t="shared" si="9"/>
        <v>814</v>
      </c>
      <c r="D198" s="111">
        <v>1</v>
      </c>
      <c r="E198" s="116"/>
      <c r="G198" s="116" t="s">
        <v>23</v>
      </c>
      <c r="H198" s="111" t="s">
        <v>1296</v>
      </c>
      <c r="I198" s="111">
        <v>64277</v>
      </c>
      <c r="J198" s="111">
        <v>331</v>
      </c>
      <c r="K198" s="111" t="s">
        <v>20</v>
      </c>
      <c r="L198" s="111">
        <v>1</v>
      </c>
      <c r="M198" s="118">
        <v>94000</v>
      </c>
      <c r="N198" s="118">
        <f t="shared" si="10"/>
        <v>94000</v>
      </c>
      <c r="O198" s="111" t="s">
        <v>21</v>
      </c>
      <c r="P198" s="111">
        <f t="shared" si="11"/>
        <v>195</v>
      </c>
    </row>
    <row r="199" spans="1:16" ht="15" customHeight="1" x14ac:dyDescent="0.25">
      <c r="A199" s="111" t="s">
        <v>18</v>
      </c>
      <c r="B199" s="120">
        <v>45996</v>
      </c>
      <c r="C199" s="111">
        <f t="shared" si="9"/>
        <v>815</v>
      </c>
      <c r="D199" s="111">
        <v>1</v>
      </c>
      <c r="E199" s="116"/>
      <c r="G199" s="116" t="s">
        <v>41</v>
      </c>
      <c r="H199" s="111" t="s">
        <v>1297</v>
      </c>
      <c r="I199" s="111">
        <v>64277</v>
      </c>
      <c r="J199" s="111">
        <v>331</v>
      </c>
      <c r="K199" s="111" t="s">
        <v>20</v>
      </c>
      <c r="L199" s="111">
        <v>1</v>
      </c>
      <c r="M199" s="118">
        <v>1139400</v>
      </c>
      <c r="N199" s="118">
        <f t="shared" si="10"/>
        <v>1139400</v>
      </c>
      <c r="O199" s="111" t="s">
        <v>21</v>
      </c>
      <c r="P199" s="111">
        <f t="shared" si="11"/>
        <v>196</v>
      </c>
    </row>
    <row r="200" spans="1:16" ht="15" customHeight="1" x14ac:dyDescent="0.25">
      <c r="A200" s="111" t="s">
        <v>18</v>
      </c>
      <c r="B200" s="120">
        <v>45996</v>
      </c>
      <c r="C200" s="111">
        <f t="shared" si="9"/>
        <v>816</v>
      </c>
      <c r="D200" s="111">
        <v>1</v>
      </c>
      <c r="E200" s="116"/>
      <c r="G200" s="116" t="s">
        <v>19</v>
      </c>
      <c r="H200" s="111" t="s">
        <v>1122</v>
      </c>
      <c r="I200" s="111">
        <v>64277</v>
      </c>
      <c r="J200" s="111">
        <v>331</v>
      </c>
      <c r="K200" s="111" t="s">
        <v>20</v>
      </c>
      <c r="L200" s="111">
        <v>1</v>
      </c>
      <c r="M200" s="118">
        <v>189000</v>
      </c>
      <c r="N200" s="118">
        <f t="shared" si="10"/>
        <v>189000</v>
      </c>
      <c r="O200" s="111" t="s">
        <v>21</v>
      </c>
      <c r="P200" s="111">
        <f t="shared" si="11"/>
        <v>197</v>
      </c>
    </row>
    <row r="201" spans="1:16" ht="15" customHeight="1" x14ac:dyDescent="0.25">
      <c r="A201" s="111" t="s">
        <v>18</v>
      </c>
      <c r="B201" s="120">
        <v>45997</v>
      </c>
      <c r="C201" s="111">
        <f t="shared" si="9"/>
        <v>817</v>
      </c>
      <c r="D201" s="111">
        <v>1</v>
      </c>
      <c r="E201" s="116"/>
      <c r="G201" s="116" t="s">
        <v>1029</v>
      </c>
      <c r="H201" s="111" t="s">
        <v>1298</v>
      </c>
      <c r="I201" s="111">
        <v>64277</v>
      </c>
      <c r="J201" s="111">
        <v>331</v>
      </c>
      <c r="K201" s="111" t="s">
        <v>20</v>
      </c>
      <c r="L201" s="111">
        <v>1</v>
      </c>
      <c r="M201" s="118">
        <v>104000</v>
      </c>
      <c r="N201" s="118">
        <f t="shared" si="10"/>
        <v>104000</v>
      </c>
      <c r="O201" s="111" t="s">
        <v>21</v>
      </c>
      <c r="P201" s="111">
        <f t="shared" si="11"/>
        <v>198</v>
      </c>
    </row>
    <row r="202" spans="1:16" ht="15" customHeight="1" x14ac:dyDescent="0.25">
      <c r="A202" s="111" t="s">
        <v>18</v>
      </c>
      <c r="B202" s="120">
        <v>45997</v>
      </c>
      <c r="C202" s="111">
        <f t="shared" si="9"/>
        <v>818</v>
      </c>
      <c r="D202" s="111">
        <v>1</v>
      </c>
      <c r="E202" s="116"/>
      <c r="G202" s="116" t="s">
        <v>1030</v>
      </c>
      <c r="H202" s="111" t="s">
        <v>1299</v>
      </c>
      <c r="I202" s="111">
        <v>64277</v>
      </c>
      <c r="J202" s="111">
        <v>331</v>
      </c>
      <c r="K202" s="111" t="s">
        <v>20</v>
      </c>
      <c r="L202" s="111">
        <v>1</v>
      </c>
      <c r="M202" s="118">
        <v>137000</v>
      </c>
      <c r="N202" s="118">
        <f t="shared" si="10"/>
        <v>137000</v>
      </c>
      <c r="O202" s="111" t="s">
        <v>21</v>
      </c>
      <c r="P202" s="111">
        <f t="shared" si="11"/>
        <v>199</v>
      </c>
    </row>
    <row r="203" spans="1:16" ht="15" customHeight="1" x14ac:dyDescent="0.25">
      <c r="A203" s="111" t="s">
        <v>18</v>
      </c>
      <c r="B203" s="120">
        <v>45997</v>
      </c>
      <c r="C203" s="111">
        <f t="shared" si="9"/>
        <v>819</v>
      </c>
      <c r="D203" s="111">
        <v>1</v>
      </c>
      <c r="E203" s="116"/>
      <c r="G203" s="116" t="s">
        <v>24</v>
      </c>
      <c r="H203" s="111" t="s">
        <v>1123</v>
      </c>
      <c r="I203" s="111">
        <v>64277</v>
      </c>
      <c r="J203" s="111">
        <v>331</v>
      </c>
      <c r="K203" s="111" t="s">
        <v>20</v>
      </c>
      <c r="L203" s="111">
        <v>1</v>
      </c>
      <c r="M203" s="118">
        <v>95000</v>
      </c>
      <c r="N203" s="118">
        <f t="shared" si="10"/>
        <v>95000</v>
      </c>
      <c r="O203" s="111" t="s">
        <v>21</v>
      </c>
      <c r="P203" s="111">
        <f t="shared" si="11"/>
        <v>200</v>
      </c>
    </row>
    <row r="204" spans="1:16" ht="15" customHeight="1" x14ac:dyDescent="0.25">
      <c r="A204" s="111" t="s">
        <v>18</v>
      </c>
      <c r="B204" s="120">
        <v>45997</v>
      </c>
      <c r="C204" s="111">
        <f t="shared" si="9"/>
        <v>820</v>
      </c>
      <c r="D204" s="111">
        <v>1</v>
      </c>
      <c r="E204" s="116"/>
      <c r="G204" s="116" t="s">
        <v>24</v>
      </c>
      <c r="H204" s="111" t="s">
        <v>1124</v>
      </c>
      <c r="I204" s="111">
        <v>64277</v>
      </c>
      <c r="J204" s="111">
        <v>331</v>
      </c>
      <c r="K204" s="111" t="s">
        <v>20</v>
      </c>
      <c r="L204" s="111">
        <v>1</v>
      </c>
      <c r="M204" s="118">
        <v>125000</v>
      </c>
      <c r="N204" s="118">
        <f t="shared" si="10"/>
        <v>125000</v>
      </c>
      <c r="O204" s="111" t="s">
        <v>21</v>
      </c>
      <c r="P204" s="111">
        <f t="shared" si="11"/>
        <v>201</v>
      </c>
    </row>
    <row r="205" spans="1:16" ht="15" customHeight="1" x14ac:dyDescent="0.25">
      <c r="A205" s="111" t="s">
        <v>18</v>
      </c>
      <c r="B205" s="120">
        <v>45998</v>
      </c>
      <c r="C205" s="111">
        <f t="shared" si="9"/>
        <v>821</v>
      </c>
      <c r="D205" s="111">
        <v>1</v>
      </c>
      <c r="E205" s="116"/>
      <c r="G205" s="116" t="s">
        <v>37</v>
      </c>
      <c r="H205" s="111" t="s">
        <v>980</v>
      </c>
      <c r="I205" s="111">
        <v>64277</v>
      </c>
      <c r="J205" s="111">
        <v>331</v>
      </c>
      <c r="K205" s="111" t="s">
        <v>20</v>
      </c>
      <c r="L205" s="111">
        <v>1</v>
      </c>
      <c r="M205" s="118">
        <v>3240000</v>
      </c>
      <c r="N205" s="118">
        <f t="shared" si="10"/>
        <v>3240000</v>
      </c>
      <c r="O205" s="111" t="s">
        <v>21</v>
      </c>
      <c r="P205" s="111">
        <f t="shared" si="11"/>
        <v>202</v>
      </c>
    </row>
    <row r="206" spans="1:16" ht="15" customHeight="1" x14ac:dyDescent="0.25">
      <c r="A206" s="111" t="s">
        <v>18</v>
      </c>
      <c r="B206" s="120">
        <v>45998</v>
      </c>
      <c r="C206" s="111">
        <f t="shared" si="9"/>
        <v>822</v>
      </c>
      <c r="D206" s="111">
        <v>1</v>
      </c>
      <c r="E206" s="116"/>
      <c r="G206" s="116" t="s">
        <v>1022</v>
      </c>
      <c r="H206" s="111" t="s">
        <v>1300</v>
      </c>
      <c r="I206" s="111">
        <v>64277</v>
      </c>
      <c r="J206" s="111">
        <v>331</v>
      </c>
      <c r="K206" s="111" t="s">
        <v>20</v>
      </c>
      <c r="L206" s="111">
        <v>1</v>
      </c>
      <c r="M206" s="118">
        <v>232000</v>
      </c>
      <c r="N206" s="118">
        <f t="shared" si="10"/>
        <v>232000</v>
      </c>
      <c r="O206" s="111" t="s">
        <v>21</v>
      </c>
      <c r="P206" s="111">
        <f t="shared" si="11"/>
        <v>203</v>
      </c>
    </row>
    <row r="207" spans="1:16" ht="15" customHeight="1" x14ac:dyDescent="0.25">
      <c r="A207" s="111" t="s">
        <v>18</v>
      </c>
      <c r="B207" s="120">
        <v>45999</v>
      </c>
      <c r="C207" s="111">
        <f t="shared" si="9"/>
        <v>823</v>
      </c>
      <c r="D207" s="111">
        <v>1</v>
      </c>
      <c r="E207" s="116"/>
      <c r="G207" s="116" t="s">
        <v>52</v>
      </c>
      <c r="H207" s="111" t="s">
        <v>1301</v>
      </c>
      <c r="I207" s="111">
        <v>64277</v>
      </c>
      <c r="J207" s="111">
        <v>331</v>
      </c>
      <c r="K207" s="111" t="s">
        <v>20</v>
      </c>
      <c r="L207" s="111">
        <v>1</v>
      </c>
      <c r="M207" s="118">
        <v>1036800</v>
      </c>
      <c r="N207" s="118">
        <f t="shared" si="10"/>
        <v>1036800</v>
      </c>
      <c r="O207" s="111" t="s">
        <v>21</v>
      </c>
      <c r="P207" s="111">
        <f t="shared" si="11"/>
        <v>204</v>
      </c>
    </row>
    <row r="208" spans="1:16" ht="15" customHeight="1" x14ac:dyDescent="0.25">
      <c r="A208" s="111" t="s">
        <v>18</v>
      </c>
      <c r="B208" s="120">
        <v>45999</v>
      </c>
      <c r="C208" s="111">
        <f t="shared" si="9"/>
        <v>824</v>
      </c>
      <c r="D208" s="111">
        <v>1</v>
      </c>
      <c r="E208" s="116"/>
      <c r="G208" s="116" t="s">
        <v>49</v>
      </c>
      <c r="H208" s="111" t="s">
        <v>1302</v>
      </c>
      <c r="I208" s="111">
        <v>64277</v>
      </c>
      <c r="J208" s="111">
        <v>331</v>
      </c>
      <c r="K208" s="111" t="s">
        <v>20</v>
      </c>
      <c r="L208" s="111">
        <v>1</v>
      </c>
      <c r="M208" s="118">
        <v>66000</v>
      </c>
      <c r="N208" s="118">
        <f t="shared" si="10"/>
        <v>66000</v>
      </c>
      <c r="O208" s="111" t="s">
        <v>21</v>
      </c>
      <c r="P208" s="111">
        <f t="shared" si="11"/>
        <v>205</v>
      </c>
    </row>
    <row r="209" spans="1:16" ht="15" customHeight="1" x14ac:dyDescent="0.25">
      <c r="A209" s="111" t="s">
        <v>18</v>
      </c>
      <c r="B209" s="120">
        <v>45999</v>
      </c>
      <c r="C209" s="111">
        <f t="shared" si="9"/>
        <v>825</v>
      </c>
      <c r="D209" s="111">
        <v>1</v>
      </c>
      <c r="E209" s="116"/>
      <c r="G209" s="116" t="s">
        <v>23</v>
      </c>
      <c r="H209" s="111" t="s">
        <v>1303</v>
      </c>
      <c r="I209" s="111">
        <v>64277</v>
      </c>
      <c r="J209" s="111">
        <v>331</v>
      </c>
      <c r="K209" s="111" t="s">
        <v>20</v>
      </c>
      <c r="L209" s="111">
        <v>1</v>
      </c>
      <c r="M209" s="118">
        <v>243000</v>
      </c>
      <c r="N209" s="118">
        <f t="shared" si="10"/>
        <v>243000</v>
      </c>
      <c r="O209" s="111" t="s">
        <v>21</v>
      </c>
      <c r="P209" s="111">
        <f t="shared" si="11"/>
        <v>206</v>
      </c>
    </row>
    <row r="210" spans="1:16" ht="15" customHeight="1" x14ac:dyDescent="0.25">
      <c r="A210" s="111" t="s">
        <v>18</v>
      </c>
      <c r="B210" s="120">
        <v>45999</v>
      </c>
      <c r="C210" s="111">
        <f t="shared" si="9"/>
        <v>826</v>
      </c>
      <c r="D210" s="111">
        <v>1</v>
      </c>
      <c r="E210" s="116"/>
      <c r="G210" s="116" t="s">
        <v>24</v>
      </c>
      <c r="H210" s="111" t="s">
        <v>1125</v>
      </c>
      <c r="I210" s="111">
        <v>64277</v>
      </c>
      <c r="J210" s="111">
        <v>331</v>
      </c>
      <c r="K210" s="111" t="s">
        <v>20</v>
      </c>
      <c r="L210" s="111">
        <v>1</v>
      </c>
      <c r="M210" s="118">
        <v>102000</v>
      </c>
      <c r="N210" s="118">
        <f t="shared" si="10"/>
        <v>102000</v>
      </c>
      <c r="O210" s="111" t="s">
        <v>21</v>
      </c>
      <c r="P210" s="111">
        <f t="shared" si="11"/>
        <v>207</v>
      </c>
    </row>
    <row r="211" spans="1:16" ht="15" customHeight="1" x14ac:dyDescent="0.25">
      <c r="A211" s="111" t="s">
        <v>18</v>
      </c>
      <c r="B211" s="120">
        <v>45999</v>
      </c>
      <c r="C211" s="111">
        <f t="shared" si="9"/>
        <v>827</v>
      </c>
      <c r="D211" s="111">
        <v>1</v>
      </c>
      <c r="E211" s="116"/>
      <c r="G211" s="116" t="s">
        <v>19</v>
      </c>
      <c r="H211" s="111" t="s">
        <v>1126</v>
      </c>
      <c r="I211" s="111">
        <v>64277</v>
      </c>
      <c r="J211" s="111">
        <v>331</v>
      </c>
      <c r="K211" s="111" t="s">
        <v>20</v>
      </c>
      <c r="L211" s="111">
        <v>1</v>
      </c>
      <c r="M211" s="118">
        <v>55000</v>
      </c>
      <c r="N211" s="118">
        <f t="shared" si="10"/>
        <v>55000</v>
      </c>
      <c r="O211" s="111" t="s">
        <v>21</v>
      </c>
      <c r="P211" s="111">
        <f t="shared" si="11"/>
        <v>208</v>
      </c>
    </row>
    <row r="212" spans="1:16" ht="15" customHeight="1" x14ac:dyDescent="0.25">
      <c r="A212" s="111" t="s">
        <v>18</v>
      </c>
      <c r="B212" s="120">
        <v>45999</v>
      </c>
      <c r="C212" s="111">
        <f t="shared" si="9"/>
        <v>828</v>
      </c>
      <c r="D212" s="111">
        <v>1</v>
      </c>
      <c r="E212" s="116"/>
      <c r="G212" s="116" t="s">
        <v>19</v>
      </c>
      <c r="H212" s="111" t="s">
        <v>1127</v>
      </c>
      <c r="I212" s="111">
        <v>64277</v>
      </c>
      <c r="J212" s="111">
        <v>331</v>
      </c>
      <c r="K212" s="111" t="s">
        <v>20</v>
      </c>
      <c r="L212" s="111">
        <v>1</v>
      </c>
      <c r="M212" s="118">
        <v>32000</v>
      </c>
      <c r="N212" s="118">
        <f t="shared" si="10"/>
        <v>32000</v>
      </c>
      <c r="O212" s="111" t="s">
        <v>21</v>
      </c>
      <c r="P212" s="111">
        <f t="shared" si="11"/>
        <v>209</v>
      </c>
    </row>
    <row r="213" spans="1:16" ht="15" customHeight="1" x14ac:dyDescent="0.25">
      <c r="A213" s="111" t="s">
        <v>18</v>
      </c>
      <c r="B213" s="120">
        <v>45999</v>
      </c>
      <c r="C213" s="111">
        <f t="shared" si="9"/>
        <v>829</v>
      </c>
      <c r="D213" s="111">
        <v>1</v>
      </c>
      <c r="E213" s="116"/>
      <c r="G213" s="116" t="s">
        <v>19</v>
      </c>
      <c r="H213" s="111" t="s">
        <v>1128</v>
      </c>
      <c r="I213" s="111">
        <v>64277</v>
      </c>
      <c r="J213" s="111">
        <v>331</v>
      </c>
      <c r="K213" s="111" t="s">
        <v>20</v>
      </c>
      <c r="L213" s="111">
        <v>1</v>
      </c>
      <c r="M213" s="118">
        <v>29000</v>
      </c>
      <c r="N213" s="118">
        <f t="shared" si="10"/>
        <v>29000</v>
      </c>
      <c r="O213" s="111" t="s">
        <v>21</v>
      </c>
      <c r="P213" s="111">
        <f t="shared" si="11"/>
        <v>210</v>
      </c>
    </row>
    <row r="214" spans="1:16" ht="15" customHeight="1" x14ac:dyDescent="0.25">
      <c r="A214" s="111" t="s">
        <v>18</v>
      </c>
      <c r="B214" s="120">
        <v>45999</v>
      </c>
      <c r="C214" s="111">
        <f t="shared" si="9"/>
        <v>830</v>
      </c>
      <c r="D214" s="111">
        <v>1</v>
      </c>
      <c r="E214" s="116"/>
      <c r="G214" s="116" t="s">
        <v>19</v>
      </c>
      <c r="H214" s="111" t="s">
        <v>1129</v>
      </c>
      <c r="I214" s="111">
        <v>64277</v>
      </c>
      <c r="J214" s="111">
        <v>331</v>
      </c>
      <c r="K214" s="111" t="s">
        <v>20</v>
      </c>
      <c r="L214" s="111">
        <v>1</v>
      </c>
      <c r="M214" s="118">
        <v>136000</v>
      </c>
      <c r="N214" s="118">
        <f t="shared" si="10"/>
        <v>136000</v>
      </c>
      <c r="O214" s="111" t="s">
        <v>21</v>
      </c>
      <c r="P214" s="111">
        <f t="shared" si="11"/>
        <v>211</v>
      </c>
    </row>
    <row r="215" spans="1:16" ht="15" customHeight="1" x14ac:dyDescent="0.25">
      <c r="A215" s="111" t="s">
        <v>18</v>
      </c>
      <c r="B215" s="120">
        <v>46000</v>
      </c>
      <c r="C215" s="111">
        <f t="shared" si="9"/>
        <v>831</v>
      </c>
      <c r="D215" s="111">
        <v>1</v>
      </c>
      <c r="E215" s="116"/>
      <c r="G215" s="116" t="s">
        <v>1031</v>
      </c>
      <c r="H215" s="111" t="s">
        <v>1304</v>
      </c>
      <c r="I215" s="111">
        <v>64277</v>
      </c>
      <c r="J215" s="111">
        <v>331</v>
      </c>
      <c r="K215" s="111" t="s">
        <v>20</v>
      </c>
      <c r="L215" s="111">
        <v>1</v>
      </c>
      <c r="M215" s="118">
        <v>351000</v>
      </c>
      <c r="N215" s="118">
        <f t="shared" si="10"/>
        <v>351000</v>
      </c>
      <c r="O215" s="111" t="s">
        <v>21</v>
      </c>
      <c r="P215" s="111">
        <f t="shared" si="11"/>
        <v>212</v>
      </c>
    </row>
    <row r="216" spans="1:16" ht="15" customHeight="1" x14ac:dyDescent="0.25">
      <c r="A216" s="111" t="s">
        <v>18</v>
      </c>
      <c r="B216" s="120">
        <v>46000</v>
      </c>
      <c r="C216" s="111">
        <f t="shared" si="9"/>
        <v>832</v>
      </c>
      <c r="D216" s="111">
        <v>1</v>
      </c>
      <c r="E216" s="116"/>
      <c r="G216" s="116" t="s">
        <v>19</v>
      </c>
      <c r="H216" s="111" t="s">
        <v>1130</v>
      </c>
      <c r="I216" s="111">
        <v>64277</v>
      </c>
      <c r="J216" s="111">
        <v>331</v>
      </c>
      <c r="K216" s="111" t="s">
        <v>20</v>
      </c>
      <c r="L216" s="111">
        <v>1</v>
      </c>
      <c r="M216" s="118">
        <v>40000</v>
      </c>
      <c r="N216" s="118">
        <f t="shared" si="10"/>
        <v>40000</v>
      </c>
      <c r="O216" s="111" t="s">
        <v>21</v>
      </c>
      <c r="P216" s="111">
        <f t="shared" si="11"/>
        <v>213</v>
      </c>
    </row>
    <row r="217" spans="1:16" ht="15" customHeight="1" x14ac:dyDescent="0.25">
      <c r="A217" s="111" t="s">
        <v>18</v>
      </c>
      <c r="B217" s="120">
        <v>46000</v>
      </c>
      <c r="C217" s="111">
        <f t="shared" si="9"/>
        <v>833</v>
      </c>
      <c r="D217" s="111">
        <v>1</v>
      </c>
      <c r="E217" s="116"/>
      <c r="G217" s="116" t="s">
        <v>19</v>
      </c>
      <c r="H217" s="111" t="s">
        <v>1131</v>
      </c>
      <c r="I217" s="111">
        <v>64277</v>
      </c>
      <c r="J217" s="111">
        <v>331</v>
      </c>
      <c r="K217" s="111" t="s">
        <v>20</v>
      </c>
      <c r="L217" s="111">
        <v>1</v>
      </c>
      <c r="M217" s="118">
        <v>92000</v>
      </c>
      <c r="N217" s="118">
        <f t="shared" si="10"/>
        <v>92000</v>
      </c>
      <c r="O217" s="111" t="s">
        <v>21</v>
      </c>
      <c r="P217" s="111">
        <f t="shared" si="11"/>
        <v>214</v>
      </c>
    </row>
    <row r="218" spans="1:16" ht="15" customHeight="1" x14ac:dyDescent="0.25">
      <c r="A218" s="111" t="s">
        <v>18</v>
      </c>
      <c r="B218" s="120">
        <v>46000</v>
      </c>
      <c r="C218" s="111">
        <f t="shared" si="9"/>
        <v>834</v>
      </c>
      <c r="D218" s="111">
        <v>1</v>
      </c>
      <c r="E218" s="116"/>
      <c r="G218" s="116" t="s">
        <v>19</v>
      </c>
      <c r="H218" s="111" t="s">
        <v>1132</v>
      </c>
      <c r="I218" s="111">
        <v>64277</v>
      </c>
      <c r="J218" s="111">
        <v>331</v>
      </c>
      <c r="K218" s="111" t="s">
        <v>20</v>
      </c>
      <c r="L218" s="111">
        <v>1</v>
      </c>
      <c r="M218" s="118">
        <v>140000</v>
      </c>
      <c r="N218" s="118">
        <f t="shared" si="10"/>
        <v>140000</v>
      </c>
      <c r="O218" s="111" t="s">
        <v>21</v>
      </c>
      <c r="P218" s="111">
        <f t="shared" si="11"/>
        <v>215</v>
      </c>
    </row>
    <row r="219" spans="1:16" ht="15" customHeight="1" x14ac:dyDescent="0.25">
      <c r="A219" s="111" t="s">
        <v>18</v>
      </c>
      <c r="B219" s="120">
        <v>46001</v>
      </c>
      <c r="C219" s="111">
        <f t="shared" si="9"/>
        <v>835</v>
      </c>
      <c r="D219" s="111">
        <v>1</v>
      </c>
      <c r="E219" s="116"/>
      <c r="G219" s="116" t="s">
        <v>24</v>
      </c>
      <c r="H219" s="111" t="s">
        <v>1133</v>
      </c>
      <c r="I219" s="111">
        <v>64277</v>
      </c>
      <c r="J219" s="111">
        <v>331</v>
      </c>
      <c r="K219" s="111" t="s">
        <v>20</v>
      </c>
      <c r="L219" s="111">
        <v>1</v>
      </c>
      <c r="M219" s="118">
        <v>82000</v>
      </c>
      <c r="N219" s="118">
        <f t="shared" si="10"/>
        <v>82000</v>
      </c>
      <c r="O219" s="111" t="s">
        <v>21</v>
      </c>
      <c r="P219" s="111">
        <f t="shared" si="11"/>
        <v>216</v>
      </c>
    </row>
    <row r="220" spans="1:16" ht="15" customHeight="1" x14ac:dyDescent="0.25">
      <c r="A220" s="111" t="s">
        <v>18</v>
      </c>
      <c r="B220" s="120">
        <v>46001</v>
      </c>
      <c r="C220" s="111">
        <f t="shared" si="9"/>
        <v>836</v>
      </c>
      <c r="D220" s="111">
        <v>1</v>
      </c>
      <c r="E220" s="116"/>
      <c r="G220" s="116" t="s">
        <v>24</v>
      </c>
      <c r="H220" s="111" t="s">
        <v>1134</v>
      </c>
      <c r="I220" s="111">
        <v>64277</v>
      </c>
      <c r="J220" s="111">
        <v>331</v>
      </c>
      <c r="K220" s="111" t="s">
        <v>20</v>
      </c>
      <c r="L220" s="111">
        <v>1</v>
      </c>
      <c r="M220" s="118">
        <v>87000</v>
      </c>
      <c r="N220" s="118">
        <f t="shared" si="10"/>
        <v>87000</v>
      </c>
      <c r="O220" s="111" t="s">
        <v>21</v>
      </c>
      <c r="P220" s="111">
        <f t="shared" si="11"/>
        <v>217</v>
      </c>
    </row>
    <row r="221" spans="1:16" ht="15" customHeight="1" x14ac:dyDescent="0.25">
      <c r="A221" s="111" t="s">
        <v>18</v>
      </c>
      <c r="B221" s="120">
        <v>46001</v>
      </c>
      <c r="C221" s="111">
        <f t="shared" si="9"/>
        <v>837</v>
      </c>
      <c r="D221" s="111">
        <v>1</v>
      </c>
      <c r="E221" s="116"/>
      <c r="G221" s="116" t="s">
        <v>24</v>
      </c>
      <c r="H221" s="111" t="s">
        <v>1135</v>
      </c>
      <c r="I221" s="111">
        <v>64277</v>
      </c>
      <c r="J221" s="111">
        <v>331</v>
      </c>
      <c r="K221" s="111" t="s">
        <v>20</v>
      </c>
      <c r="L221" s="111">
        <v>1</v>
      </c>
      <c r="M221" s="118">
        <v>174000</v>
      </c>
      <c r="N221" s="118">
        <f t="shared" si="10"/>
        <v>174000</v>
      </c>
      <c r="O221" s="111" t="s">
        <v>21</v>
      </c>
      <c r="P221" s="111">
        <f t="shared" si="11"/>
        <v>218</v>
      </c>
    </row>
    <row r="222" spans="1:16" ht="15" customHeight="1" x14ac:dyDescent="0.25">
      <c r="A222" s="111" t="s">
        <v>18</v>
      </c>
      <c r="B222" s="120">
        <v>46001</v>
      </c>
      <c r="C222" s="111">
        <f t="shared" si="9"/>
        <v>838</v>
      </c>
      <c r="D222" s="111">
        <v>1</v>
      </c>
      <c r="E222" s="116"/>
      <c r="G222" s="116" t="s">
        <v>19</v>
      </c>
      <c r="H222" s="111" t="s">
        <v>1136</v>
      </c>
      <c r="I222" s="111">
        <v>64277</v>
      </c>
      <c r="J222" s="111">
        <v>331</v>
      </c>
      <c r="K222" s="111" t="s">
        <v>20</v>
      </c>
      <c r="L222" s="111">
        <v>1</v>
      </c>
      <c r="M222" s="118">
        <v>28000</v>
      </c>
      <c r="N222" s="118">
        <f t="shared" si="10"/>
        <v>28000</v>
      </c>
      <c r="O222" s="111" t="s">
        <v>21</v>
      </c>
      <c r="P222" s="111">
        <f t="shared" si="11"/>
        <v>219</v>
      </c>
    </row>
    <row r="223" spans="1:16" ht="15" customHeight="1" x14ac:dyDescent="0.25">
      <c r="A223" s="111" t="s">
        <v>18</v>
      </c>
      <c r="B223" s="120">
        <v>46002</v>
      </c>
      <c r="C223" s="111">
        <f t="shared" si="9"/>
        <v>839</v>
      </c>
      <c r="D223" s="111">
        <v>1</v>
      </c>
      <c r="E223" s="116"/>
      <c r="G223" s="116" t="s">
        <v>1032</v>
      </c>
      <c r="H223" s="111" t="s">
        <v>1305</v>
      </c>
      <c r="I223" s="111">
        <v>64277</v>
      </c>
      <c r="J223" s="111">
        <v>331</v>
      </c>
      <c r="K223" s="111" t="s">
        <v>20</v>
      </c>
      <c r="L223" s="111">
        <v>1</v>
      </c>
      <c r="M223" s="118">
        <v>756000</v>
      </c>
      <c r="N223" s="118">
        <f t="shared" si="10"/>
        <v>756000</v>
      </c>
      <c r="O223" s="111" t="s">
        <v>21</v>
      </c>
      <c r="P223" s="111">
        <f t="shared" si="11"/>
        <v>220</v>
      </c>
    </row>
    <row r="224" spans="1:16" ht="15" customHeight="1" x14ac:dyDescent="0.25">
      <c r="A224" s="111" t="s">
        <v>18</v>
      </c>
      <c r="B224" s="120">
        <v>46002</v>
      </c>
      <c r="C224" s="111">
        <f t="shared" si="9"/>
        <v>840</v>
      </c>
      <c r="D224" s="111">
        <v>1</v>
      </c>
      <c r="E224" s="116"/>
      <c r="G224" s="116" t="s">
        <v>1033</v>
      </c>
      <c r="H224" s="111" t="s">
        <v>1306</v>
      </c>
      <c r="I224" s="111">
        <v>64277</v>
      </c>
      <c r="J224" s="111">
        <v>331</v>
      </c>
      <c r="K224" s="111" t="s">
        <v>20</v>
      </c>
      <c r="L224" s="111">
        <v>1</v>
      </c>
      <c r="M224" s="118">
        <v>2898504</v>
      </c>
      <c r="N224" s="118">
        <f t="shared" si="10"/>
        <v>2898504</v>
      </c>
      <c r="O224" s="111" t="s">
        <v>21</v>
      </c>
      <c r="P224" s="111">
        <f t="shared" si="11"/>
        <v>221</v>
      </c>
    </row>
    <row r="225" spans="1:16" ht="15" customHeight="1" x14ac:dyDescent="0.25">
      <c r="A225" s="111" t="s">
        <v>18</v>
      </c>
      <c r="B225" s="120">
        <v>46002</v>
      </c>
      <c r="C225" s="111">
        <f t="shared" si="9"/>
        <v>841</v>
      </c>
      <c r="D225" s="111">
        <v>1</v>
      </c>
      <c r="E225" s="116"/>
      <c r="G225" s="116" t="s">
        <v>23</v>
      </c>
      <c r="H225" s="111" t="s">
        <v>1307</v>
      </c>
      <c r="I225" s="111">
        <v>64277</v>
      </c>
      <c r="J225" s="111">
        <v>331</v>
      </c>
      <c r="K225" s="111" t="s">
        <v>20</v>
      </c>
      <c r="L225" s="111">
        <v>1</v>
      </c>
      <c r="M225" s="118">
        <v>161000</v>
      </c>
      <c r="N225" s="118">
        <f t="shared" si="10"/>
        <v>161000</v>
      </c>
      <c r="O225" s="111" t="s">
        <v>21</v>
      </c>
      <c r="P225" s="111">
        <f t="shared" si="11"/>
        <v>222</v>
      </c>
    </row>
    <row r="226" spans="1:16" ht="15" customHeight="1" x14ac:dyDescent="0.25">
      <c r="A226" s="111" t="s">
        <v>18</v>
      </c>
      <c r="B226" s="120">
        <v>46002</v>
      </c>
      <c r="C226" s="111">
        <f t="shared" si="9"/>
        <v>842</v>
      </c>
      <c r="D226" s="111">
        <v>1</v>
      </c>
      <c r="E226" s="116"/>
      <c r="G226" s="116" t="s">
        <v>19</v>
      </c>
      <c r="H226" s="111" t="s">
        <v>1137</v>
      </c>
      <c r="I226" s="111">
        <v>64277</v>
      </c>
      <c r="J226" s="111">
        <v>331</v>
      </c>
      <c r="K226" s="111" t="s">
        <v>20</v>
      </c>
      <c r="L226" s="111">
        <v>1</v>
      </c>
      <c r="M226" s="118">
        <v>56000</v>
      </c>
      <c r="N226" s="118">
        <f t="shared" si="10"/>
        <v>56000</v>
      </c>
      <c r="O226" s="111" t="s">
        <v>21</v>
      </c>
      <c r="P226" s="111">
        <f t="shared" si="11"/>
        <v>223</v>
      </c>
    </row>
    <row r="227" spans="1:16" ht="15" customHeight="1" x14ac:dyDescent="0.25">
      <c r="A227" s="111" t="s">
        <v>18</v>
      </c>
      <c r="B227" s="120">
        <v>46002</v>
      </c>
      <c r="C227" s="111">
        <f t="shared" si="9"/>
        <v>843</v>
      </c>
      <c r="D227" s="111">
        <v>1</v>
      </c>
      <c r="E227" s="116"/>
      <c r="G227" s="116" t="s">
        <v>19</v>
      </c>
      <c r="H227" s="111" t="s">
        <v>1138</v>
      </c>
      <c r="I227" s="111">
        <v>64277</v>
      </c>
      <c r="J227" s="111">
        <v>331</v>
      </c>
      <c r="K227" s="111" t="s">
        <v>20</v>
      </c>
      <c r="L227" s="111">
        <v>1</v>
      </c>
      <c r="M227" s="118">
        <v>190000</v>
      </c>
      <c r="N227" s="118">
        <f t="shared" si="10"/>
        <v>190000</v>
      </c>
      <c r="O227" s="111" t="s">
        <v>21</v>
      </c>
      <c r="P227" s="111">
        <f t="shared" si="11"/>
        <v>224</v>
      </c>
    </row>
    <row r="228" spans="1:16" ht="15" customHeight="1" x14ac:dyDescent="0.25">
      <c r="A228" s="111" t="s">
        <v>18</v>
      </c>
      <c r="B228" s="120">
        <v>46003</v>
      </c>
      <c r="C228" s="111">
        <f t="shared" si="9"/>
        <v>844</v>
      </c>
      <c r="D228" s="111">
        <v>1</v>
      </c>
      <c r="E228" s="116"/>
      <c r="G228" s="116" t="s">
        <v>19</v>
      </c>
      <c r="H228" s="111" t="s">
        <v>1139</v>
      </c>
      <c r="I228" s="111">
        <v>64277</v>
      </c>
      <c r="J228" s="111">
        <v>331</v>
      </c>
      <c r="K228" s="111" t="s">
        <v>20</v>
      </c>
      <c r="L228" s="111">
        <v>1</v>
      </c>
      <c r="M228" s="118">
        <v>41000</v>
      </c>
      <c r="N228" s="118">
        <f t="shared" si="10"/>
        <v>41000</v>
      </c>
      <c r="O228" s="111" t="s">
        <v>21</v>
      </c>
      <c r="P228" s="111">
        <f t="shared" si="11"/>
        <v>225</v>
      </c>
    </row>
    <row r="229" spans="1:16" ht="15" customHeight="1" x14ac:dyDescent="0.25">
      <c r="A229" s="111" t="s">
        <v>18</v>
      </c>
      <c r="B229" s="120">
        <v>46003</v>
      </c>
      <c r="C229" s="111">
        <f t="shared" si="9"/>
        <v>845</v>
      </c>
      <c r="D229" s="111">
        <v>1</v>
      </c>
      <c r="E229" s="116"/>
      <c r="G229" s="116" t="s">
        <v>19</v>
      </c>
      <c r="H229" s="111" t="s">
        <v>1140</v>
      </c>
      <c r="I229" s="111">
        <v>64277</v>
      </c>
      <c r="J229" s="111">
        <v>331</v>
      </c>
      <c r="K229" s="111" t="s">
        <v>20</v>
      </c>
      <c r="L229" s="111">
        <v>1</v>
      </c>
      <c r="M229" s="118">
        <v>161000</v>
      </c>
      <c r="N229" s="118">
        <f t="shared" si="10"/>
        <v>161000</v>
      </c>
      <c r="O229" s="111" t="s">
        <v>21</v>
      </c>
      <c r="P229" s="111">
        <f t="shared" si="11"/>
        <v>226</v>
      </c>
    </row>
    <row r="230" spans="1:16" ht="15" customHeight="1" x14ac:dyDescent="0.25">
      <c r="A230" s="111" t="s">
        <v>18</v>
      </c>
      <c r="B230" s="120">
        <v>46005</v>
      </c>
      <c r="C230" s="111">
        <f t="shared" si="9"/>
        <v>846</v>
      </c>
      <c r="D230" s="111">
        <v>1</v>
      </c>
      <c r="E230" s="116"/>
      <c r="G230" s="116" t="s">
        <v>27</v>
      </c>
      <c r="H230" s="111" t="s">
        <v>1181</v>
      </c>
      <c r="I230" s="111">
        <v>64277</v>
      </c>
      <c r="J230" s="111">
        <v>331</v>
      </c>
      <c r="K230" s="111" t="s">
        <v>20</v>
      </c>
      <c r="L230" s="111">
        <v>1</v>
      </c>
      <c r="M230" s="118">
        <v>395280</v>
      </c>
      <c r="N230" s="118">
        <f t="shared" si="10"/>
        <v>395280</v>
      </c>
      <c r="O230" s="111" t="s">
        <v>21</v>
      </c>
      <c r="P230" s="111">
        <f t="shared" si="11"/>
        <v>227</v>
      </c>
    </row>
    <row r="231" spans="1:16" ht="15" customHeight="1" x14ac:dyDescent="0.25">
      <c r="A231" s="111" t="s">
        <v>18</v>
      </c>
      <c r="B231" s="120">
        <v>46005</v>
      </c>
      <c r="C231" s="111">
        <f t="shared" si="9"/>
        <v>847</v>
      </c>
      <c r="D231" s="111">
        <v>1</v>
      </c>
      <c r="E231" s="116"/>
      <c r="G231" s="116" t="s">
        <v>24</v>
      </c>
      <c r="H231" s="111" t="s">
        <v>1141</v>
      </c>
      <c r="I231" s="111">
        <v>64277</v>
      </c>
      <c r="J231" s="111">
        <v>331</v>
      </c>
      <c r="K231" s="111" t="s">
        <v>20</v>
      </c>
      <c r="L231" s="111">
        <v>1</v>
      </c>
      <c r="M231" s="118">
        <v>36000</v>
      </c>
      <c r="N231" s="118">
        <f t="shared" si="10"/>
        <v>36000</v>
      </c>
      <c r="O231" s="111" t="s">
        <v>21</v>
      </c>
      <c r="P231" s="111">
        <f t="shared" si="11"/>
        <v>228</v>
      </c>
    </row>
    <row r="232" spans="1:16" ht="15" customHeight="1" x14ac:dyDescent="0.25">
      <c r="A232" s="111" t="s">
        <v>18</v>
      </c>
      <c r="B232" s="120">
        <v>46005</v>
      </c>
      <c r="C232" s="111">
        <f t="shared" si="9"/>
        <v>848</v>
      </c>
      <c r="D232" s="111">
        <v>1</v>
      </c>
      <c r="E232" s="116"/>
      <c r="G232" s="116" t="s">
        <v>19</v>
      </c>
      <c r="H232" s="111" t="s">
        <v>1142</v>
      </c>
      <c r="I232" s="111">
        <v>64277</v>
      </c>
      <c r="J232" s="111">
        <v>331</v>
      </c>
      <c r="K232" s="111" t="s">
        <v>20</v>
      </c>
      <c r="L232" s="111">
        <v>1</v>
      </c>
      <c r="M232" s="118">
        <v>36000</v>
      </c>
      <c r="N232" s="118">
        <f t="shared" si="10"/>
        <v>36000</v>
      </c>
      <c r="O232" s="111" t="s">
        <v>21</v>
      </c>
      <c r="P232" s="111">
        <f t="shared" si="11"/>
        <v>229</v>
      </c>
    </row>
    <row r="233" spans="1:16" ht="15" customHeight="1" x14ac:dyDescent="0.25">
      <c r="A233" s="111" t="s">
        <v>18</v>
      </c>
      <c r="B233" s="120">
        <v>46006</v>
      </c>
      <c r="C233" s="111">
        <f t="shared" si="9"/>
        <v>849</v>
      </c>
      <c r="D233" s="111">
        <v>1</v>
      </c>
      <c r="E233" s="116"/>
      <c r="G233" s="116" t="s">
        <v>1034</v>
      </c>
      <c r="H233" s="111" t="s">
        <v>1308</v>
      </c>
      <c r="I233" s="111">
        <v>64277</v>
      </c>
      <c r="J233" s="111">
        <v>331</v>
      </c>
      <c r="K233" s="111" t="s">
        <v>20</v>
      </c>
      <c r="L233" s="111">
        <v>1</v>
      </c>
      <c r="M233" s="118">
        <v>717120</v>
      </c>
      <c r="N233" s="118">
        <f t="shared" si="10"/>
        <v>717120</v>
      </c>
      <c r="O233" s="111" t="s">
        <v>21</v>
      </c>
      <c r="P233" s="111">
        <f t="shared" si="11"/>
        <v>230</v>
      </c>
    </row>
    <row r="234" spans="1:16" ht="15" customHeight="1" x14ac:dyDescent="0.25">
      <c r="A234" s="111" t="s">
        <v>18</v>
      </c>
      <c r="B234" s="120">
        <v>46006</v>
      </c>
      <c r="C234" s="111">
        <f t="shared" si="9"/>
        <v>850</v>
      </c>
      <c r="D234" s="111">
        <v>1</v>
      </c>
      <c r="E234" s="116"/>
      <c r="G234" s="116" t="s">
        <v>19</v>
      </c>
      <c r="H234" s="111" t="s">
        <v>1143</v>
      </c>
      <c r="I234" s="111">
        <v>64277</v>
      </c>
      <c r="J234" s="111">
        <v>331</v>
      </c>
      <c r="K234" s="111" t="s">
        <v>20</v>
      </c>
      <c r="L234" s="111">
        <v>1</v>
      </c>
      <c r="M234" s="118">
        <v>61000</v>
      </c>
      <c r="N234" s="118">
        <f t="shared" si="10"/>
        <v>61000</v>
      </c>
      <c r="O234" s="111" t="s">
        <v>21</v>
      </c>
      <c r="P234" s="111">
        <f t="shared" si="11"/>
        <v>231</v>
      </c>
    </row>
    <row r="235" spans="1:16" ht="15" customHeight="1" x14ac:dyDescent="0.25">
      <c r="A235" s="111" t="s">
        <v>18</v>
      </c>
      <c r="B235" s="120">
        <v>46006</v>
      </c>
      <c r="C235" s="111">
        <f t="shared" si="9"/>
        <v>851</v>
      </c>
      <c r="D235" s="111">
        <v>1</v>
      </c>
      <c r="E235" s="116"/>
      <c r="G235" s="116" t="s">
        <v>19</v>
      </c>
      <c r="H235" s="111" t="s">
        <v>1144</v>
      </c>
      <c r="I235" s="111">
        <v>64277</v>
      </c>
      <c r="J235" s="111">
        <v>331</v>
      </c>
      <c r="K235" s="111" t="s">
        <v>20</v>
      </c>
      <c r="L235" s="111">
        <v>1</v>
      </c>
      <c r="M235" s="118">
        <v>98000</v>
      </c>
      <c r="N235" s="118">
        <f t="shared" si="10"/>
        <v>98000</v>
      </c>
      <c r="O235" s="111" t="s">
        <v>21</v>
      </c>
      <c r="P235" s="111">
        <f t="shared" si="11"/>
        <v>232</v>
      </c>
    </row>
    <row r="236" spans="1:16" ht="15" customHeight="1" x14ac:dyDescent="0.25">
      <c r="A236" s="111" t="s">
        <v>18</v>
      </c>
      <c r="B236" s="120">
        <v>46006</v>
      </c>
      <c r="C236" s="111">
        <f t="shared" si="9"/>
        <v>852</v>
      </c>
      <c r="D236" s="111">
        <v>1</v>
      </c>
      <c r="E236" s="116"/>
      <c r="G236" s="116" t="s">
        <v>19</v>
      </c>
      <c r="H236" s="111" t="s">
        <v>1145</v>
      </c>
      <c r="I236" s="111">
        <v>64277</v>
      </c>
      <c r="J236" s="111">
        <v>331</v>
      </c>
      <c r="K236" s="111" t="s">
        <v>20</v>
      </c>
      <c r="L236" s="111">
        <v>1</v>
      </c>
      <c r="M236" s="118">
        <v>112000</v>
      </c>
      <c r="N236" s="118">
        <f t="shared" si="10"/>
        <v>112000</v>
      </c>
      <c r="O236" s="111" t="s">
        <v>21</v>
      </c>
      <c r="P236" s="111">
        <f t="shared" si="11"/>
        <v>233</v>
      </c>
    </row>
    <row r="237" spans="1:16" ht="15" customHeight="1" x14ac:dyDescent="0.25">
      <c r="A237" s="111" t="s">
        <v>18</v>
      </c>
      <c r="B237" s="120">
        <v>46007</v>
      </c>
      <c r="C237" s="111">
        <f t="shared" si="9"/>
        <v>853</v>
      </c>
      <c r="D237" s="111">
        <v>1</v>
      </c>
      <c r="E237" s="116"/>
      <c r="G237" s="116" t="s">
        <v>24</v>
      </c>
      <c r="H237" s="111" t="s">
        <v>1146</v>
      </c>
      <c r="I237" s="111">
        <v>64277</v>
      </c>
      <c r="J237" s="111">
        <v>331</v>
      </c>
      <c r="K237" s="111" t="s">
        <v>20</v>
      </c>
      <c r="L237" s="111">
        <v>1</v>
      </c>
      <c r="M237" s="118">
        <v>68000</v>
      </c>
      <c r="N237" s="118">
        <f t="shared" si="10"/>
        <v>68000</v>
      </c>
      <c r="O237" s="111" t="s">
        <v>21</v>
      </c>
      <c r="P237" s="111">
        <f t="shared" si="11"/>
        <v>234</v>
      </c>
    </row>
    <row r="238" spans="1:16" ht="15" customHeight="1" x14ac:dyDescent="0.25">
      <c r="A238" s="111" t="s">
        <v>18</v>
      </c>
      <c r="B238" s="120">
        <v>46007</v>
      </c>
      <c r="C238" s="111">
        <f t="shared" si="9"/>
        <v>854</v>
      </c>
      <c r="D238" s="111">
        <v>1</v>
      </c>
      <c r="E238" s="116"/>
      <c r="G238" s="116" t="s">
        <v>19</v>
      </c>
      <c r="H238" s="111" t="s">
        <v>1147</v>
      </c>
      <c r="I238" s="111">
        <v>64277</v>
      </c>
      <c r="J238" s="111">
        <v>331</v>
      </c>
      <c r="K238" s="111" t="s">
        <v>20</v>
      </c>
      <c r="L238" s="111">
        <v>1</v>
      </c>
      <c r="M238" s="118">
        <v>69000</v>
      </c>
      <c r="N238" s="118">
        <f t="shared" si="10"/>
        <v>69000</v>
      </c>
      <c r="O238" s="111" t="s">
        <v>21</v>
      </c>
      <c r="P238" s="111">
        <f t="shared" si="11"/>
        <v>235</v>
      </c>
    </row>
    <row r="239" spans="1:16" ht="15" customHeight="1" x14ac:dyDescent="0.25">
      <c r="A239" s="111" t="s">
        <v>18</v>
      </c>
      <c r="B239" s="120">
        <v>46008</v>
      </c>
      <c r="C239" s="111">
        <f t="shared" si="9"/>
        <v>855</v>
      </c>
      <c r="D239" s="111">
        <v>1</v>
      </c>
      <c r="E239" s="116"/>
      <c r="G239" s="116" t="s">
        <v>1007</v>
      </c>
      <c r="H239" s="111" t="s">
        <v>1309</v>
      </c>
      <c r="I239" s="111">
        <v>64277</v>
      </c>
      <c r="J239" s="111">
        <v>331</v>
      </c>
      <c r="K239" s="111" t="s">
        <v>20</v>
      </c>
      <c r="L239" s="111">
        <v>1</v>
      </c>
      <c r="M239" s="118">
        <v>860000</v>
      </c>
      <c r="N239" s="118">
        <f t="shared" si="10"/>
        <v>860000</v>
      </c>
      <c r="O239" s="111" t="s">
        <v>21</v>
      </c>
      <c r="P239" s="111">
        <f t="shared" si="11"/>
        <v>236</v>
      </c>
    </row>
    <row r="240" spans="1:16" ht="15" customHeight="1" x14ac:dyDescent="0.25">
      <c r="A240" s="111" t="s">
        <v>18</v>
      </c>
      <c r="B240" s="120">
        <v>46008</v>
      </c>
      <c r="C240" s="111">
        <f t="shared" si="9"/>
        <v>856</v>
      </c>
      <c r="D240" s="111">
        <v>1</v>
      </c>
      <c r="E240" s="116"/>
      <c r="G240" s="116" t="s">
        <v>988</v>
      </c>
      <c r="H240" s="111" t="s">
        <v>1310</v>
      </c>
      <c r="I240" s="111">
        <v>64277</v>
      </c>
      <c r="J240" s="111">
        <v>331</v>
      </c>
      <c r="K240" s="111" t="s">
        <v>20</v>
      </c>
      <c r="L240" s="111">
        <v>1</v>
      </c>
      <c r="M240" s="118">
        <v>155000</v>
      </c>
      <c r="N240" s="118">
        <f t="shared" si="10"/>
        <v>155000</v>
      </c>
      <c r="O240" s="111" t="s">
        <v>21</v>
      </c>
      <c r="P240" s="111">
        <f t="shared" si="11"/>
        <v>237</v>
      </c>
    </row>
    <row r="241" spans="1:16" ht="15" customHeight="1" x14ac:dyDescent="0.25">
      <c r="A241" s="111" t="s">
        <v>18</v>
      </c>
      <c r="B241" s="120">
        <v>46008</v>
      </c>
      <c r="C241" s="111">
        <f t="shared" si="9"/>
        <v>857</v>
      </c>
      <c r="D241" s="111">
        <v>1</v>
      </c>
      <c r="E241" s="116"/>
      <c r="G241" s="116" t="s">
        <v>984</v>
      </c>
      <c r="H241" s="111" t="s">
        <v>1311</v>
      </c>
      <c r="I241" s="111">
        <v>64277</v>
      </c>
      <c r="J241" s="111">
        <v>331</v>
      </c>
      <c r="K241" s="111" t="s">
        <v>20</v>
      </c>
      <c r="L241" s="111">
        <v>1</v>
      </c>
      <c r="M241" s="118">
        <v>199500</v>
      </c>
      <c r="N241" s="118">
        <f t="shared" si="10"/>
        <v>199500</v>
      </c>
      <c r="O241" s="111" t="s">
        <v>21</v>
      </c>
      <c r="P241" s="111">
        <f t="shared" si="11"/>
        <v>238</v>
      </c>
    </row>
    <row r="242" spans="1:16" ht="15" customHeight="1" x14ac:dyDescent="0.25">
      <c r="A242" s="111" t="s">
        <v>18</v>
      </c>
      <c r="B242" s="120">
        <v>46008</v>
      </c>
      <c r="C242" s="111">
        <f t="shared" si="9"/>
        <v>858</v>
      </c>
      <c r="D242" s="111">
        <v>1</v>
      </c>
      <c r="E242" s="116"/>
      <c r="G242" s="116" t="s">
        <v>31</v>
      </c>
      <c r="H242" s="111" t="s">
        <v>1312</v>
      </c>
      <c r="I242" s="111">
        <v>64277</v>
      </c>
      <c r="J242" s="111">
        <v>331</v>
      </c>
      <c r="K242" s="111" t="s">
        <v>20</v>
      </c>
      <c r="L242" s="111">
        <v>1</v>
      </c>
      <c r="M242" s="118">
        <v>728500</v>
      </c>
      <c r="N242" s="118">
        <f t="shared" si="10"/>
        <v>728500</v>
      </c>
      <c r="O242" s="111" t="s">
        <v>21</v>
      </c>
      <c r="P242" s="111">
        <f t="shared" si="11"/>
        <v>239</v>
      </c>
    </row>
    <row r="243" spans="1:16" ht="15" customHeight="1" x14ac:dyDescent="0.25">
      <c r="A243" s="111" t="s">
        <v>18</v>
      </c>
      <c r="B243" s="120">
        <v>46008</v>
      </c>
      <c r="C243" s="111">
        <f t="shared" si="9"/>
        <v>859</v>
      </c>
      <c r="D243" s="111">
        <v>1</v>
      </c>
      <c r="E243" s="116"/>
      <c r="G243" s="116" t="s">
        <v>19</v>
      </c>
      <c r="H243" s="111" t="s">
        <v>1148</v>
      </c>
      <c r="I243" s="111">
        <v>64277</v>
      </c>
      <c r="J243" s="111">
        <v>331</v>
      </c>
      <c r="K243" s="111" t="s">
        <v>20</v>
      </c>
      <c r="L243" s="111">
        <v>1</v>
      </c>
      <c r="M243" s="118">
        <v>19000</v>
      </c>
      <c r="N243" s="118">
        <f t="shared" si="10"/>
        <v>19000</v>
      </c>
      <c r="O243" s="111" t="s">
        <v>21</v>
      </c>
      <c r="P243" s="111">
        <f t="shared" si="11"/>
        <v>240</v>
      </c>
    </row>
    <row r="244" spans="1:16" ht="15" customHeight="1" x14ac:dyDescent="0.25">
      <c r="A244" s="111" t="s">
        <v>18</v>
      </c>
      <c r="B244" s="120">
        <v>46008</v>
      </c>
      <c r="C244" s="111">
        <f t="shared" si="9"/>
        <v>860</v>
      </c>
      <c r="D244" s="111">
        <v>1</v>
      </c>
      <c r="E244" s="116"/>
      <c r="G244" s="116" t="s">
        <v>19</v>
      </c>
      <c r="H244" s="111" t="s">
        <v>1149</v>
      </c>
      <c r="I244" s="111">
        <v>64277</v>
      </c>
      <c r="J244" s="111">
        <v>331</v>
      </c>
      <c r="K244" s="111" t="s">
        <v>20</v>
      </c>
      <c r="L244" s="111">
        <v>1</v>
      </c>
      <c r="M244" s="118">
        <v>22000</v>
      </c>
      <c r="N244" s="118">
        <f t="shared" si="10"/>
        <v>22000</v>
      </c>
      <c r="O244" s="111" t="s">
        <v>21</v>
      </c>
      <c r="P244" s="111">
        <f t="shared" si="11"/>
        <v>241</v>
      </c>
    </row>
    <row r="245" spans="1:16" ht="15" customHeight="1" x14ac:dyDescent="0.25">
      <c r="A245" s="111" t="s">
        <v>18</v>
      </c>
      <c r="B245" s="120">
        <v>46008</v>
      </c>
      <c r="C245" s="111">
        <f t="shared" si="9"/>
        <v>861</v>
      </c>
      <c r="D245" s="111">
        <v>1</v>
      </c>
      <c r="E245" s="116"/>
      <c r="G245" s="116" t="s">
        <v>19</v>
      </c>
      <c r="H245" s="111" t="s">
        <v>1150</v>
      </c>
      <c r="I245" s="111">
        <v>64277</v>
      </c>
      <c r="J245" s="111">
        <v>331</v>
      </c>
      <c r="K245" s="111" t="s">
        <v>20</v>
      </c>
      <c r="L245" s="111">
        <v>1</v>
      </c>
      <c r="M245" s="118">
        <v>23000</v>
      </c>
      <c r="N245" s="118">
        <f t="shared" si="10"/>
        <v>23000</v>
      </c>
      <c r="O245" s="111" t="s">
        <v>21</v>
      </c>
      <c r="P245" s="111">
        <f t="shared" si="11"/>
        <v>242</v>
      </c>
    </row>
    <row r="246" spans="1:16" ht="15" customHeight="1" x14ac:dyDescent="0.25">
      <c r="A246" s="111" t="s">
        <v>18</v>
      </c>
      <c r="B246" s="120">
        <v>46009</v>
      </c>
      <c r="C246" s="111">
        <f t="shared" si="9"/>
        <v>862</v>
      </c>
      <c r="D246" s="111">
        <v>1</v>
      </c>
      <c r="E246" s="116"/>
      <c r="G246" s="116" t="s">
        <v>30</v>
      </c>
      <c r="H246" s="111" t="s">
        <v>1313</v>
      </c>
      <c r="I246" s="111">
        <v>64276</v>
      </c>
      <c r="J246" s="111">
        <v>331</v>
      </c>
      <c r="K246" s="111" t="s">
        <v>20</v>
      </c>
      <c r="L246" s="111">
        <v>1</v>
      </c>
      <c r="M246" s="118">
        <v>4896000</v>
      </c>
      <c r="N246" s="118">
        <f t="shared" si="10"/>
        <v>4896000</v>
      </c>
      <c r="O246" s="111" t="s">
        <v>21</v>
      </c>
      <c r="P246" s="111">
        <f t="shared" si="11"/>
        <v>243</v>
      </c>
    </row>
    <row r="247" spans="1:16" ht="15" customHeight="1" x14ac:dyDescent="0.25">
      <c r="A247" s="111" t="s">
        <v>18</v>
      </c>
      <c r="B247" s="120">
        <v>46009</v>
      </c>
      <c r="C247" s="111">
        <f t="shared" si="9"/>
        <v>863</v>
      </c>
      <c r="D247" s="111">
        <v>1</v>
      </c>
      <c r="E247" s="116"/>
      <c r="G247" s="116" t="s">
        <v>24</v>
      </c>
      <c r="H247" s="111" t="s">
        <v>1151</v>
      </c>
      <c r="I247" s="111">
        <v>64277</v>
      </c>
      <c r="J247" s="111">
        <v>331</v>
      </c>
      <c r="K247" s="111" t="s">
        <v>20</v>
      </c>
      <c r="L247" s="111">
        <v>1</v>
      </c>
      <c r="M247" s="118">
        <v>54000</v>
      </c>
      <c r="N247" s="118">
        <f t="shared" si="10"/>
        <v>54000</v>
      </c>
      <c r="O247" s="111" t="s">
        <v>21</v>
      </c>
      <c r="P247" s="111">
        <f t="shared" si="11"/>
        <v>244</v>
      </c>
    </row>
    <row r="248" spans="1:16" ht="15" customHeight="1" x14ac:dyDescent="0.25">
      <c r="A248" s="111" t="s">
        <v>18</v>
      </c>
      <c r="B248" s="120">
        <v>46010</v>
      </c>
      <c r="C248" s="111">
        <f t="shared" si="9"/>
        <v>864</v>
      </c>
      <c r="D248" s="111">
        <v>1</v>
      </c>
      <c r="E248" s="116"/>
      <c r="G248" s="116" t="s">
        <v>1035</v>
      </c>
      <c r="H248" s="111" t="s">
        <v>1314</v>
      </c>
      <c r="I248" s="111">
        <v>64277</v>
      </c>
      <c r="J248" s="111">
        <v>331</v>
      </c>
      <c r="K248" s="111" t="s">
        <v>20</v>
      </c>
      <c r="L248" s="111">
        <v>1</v>
      </c>
      <c r="M248" s="118">
        <v>1248048</v>
      </c>
      <c r="N248" s="118">
        <f t="shared" si="10"/>
        <v>1248048</v>
      </c>
      <c r="O248" s="111" t="s">
        <v>21</v>
      </c>
      <c r="P248" s="111">
        <f t="shared" si="11"/>
        <v>245</v>
      </c>
    </row>
    <row r="249" spans="1:16" ht="15" customHeight="1" x14ac:dyDescent="0.25">
      <c r="A249" s="111" t="s">
        <v>18</v>
      </c>
      <c r="B249" s="120">
        <v>46011</v>
      </c>
      <c r="C249" s="111">
        <f t="shared" si="9"/>
        <v>865</v>
      </c>
      <c r="D249" s="111">
        <v>1</v>
      </c>
      <c r="E249" s="116"/>
      <c r="G249" s="116" t="s">
        <v>23</v>
      </c>
      <c r="H249" s="111" t="s">
        <v>1315</v>
      </c>
      <c r="I249" s="111">
        <v>64277</v>
      </c>
      <c r="J249" s="111">
        <v>331</v>
      </c>
      <c r="K249" s="111" t="s">
        <v>20</v>
      </c>
      <c r="L249" s="111">
        <v>1</v>
      </c>
      <c r="M249" s="118">
        <v>173000</v>
      </c>
      <c r="N249" s="118">
        <f t="shared" si="10"/>
        <v>173000</v>
      </c>
      <c r="O249" s="111" t="s">
        <v>21</v>
      </c>
      <c r="P249" s="111">
        <f t="shared" si="11"/>
        <v>246</v>
      </c>
    </row>
    <row r="250" spans="1:16" ht="15" customHeight="1" x14ac:dyDescent="0.25">
      <c r="A250" s="111" t="s">
        <v>18</v>
      </c>
      <c r="B250" s="120">
        <v>46011</v>
      </c>
      <c r="C250" s="111">
        <f t="shared" si="9"/>
        <v>866</v>
      </c>
      <c r="D250" s="111">
        <v>1</v>
      </c>
      <c r="E250" s="116"/>
      <c r="G250" s="116" t="s">
        <v>23</v>
      </c>
      <c r="H250" s="111" t="s">
        <v>1316</v>
      </c>
      <c r="I250" s="111">
        <v>64277</v>
      </c>
      <c r="J250" s="111">
        <v>331</v>
      </c>
      <c r="K250" s="111" t="s">
        <v>20</v>
      </c>
      <c r="L250" s="111">
        <v>1</v>
      </c>
      <c r="M250" s="118">
        <v>153000</v>
      </c>
      <c r="N250" s="118">
        <f t="shared" si="10"/>
        <v>153000</v>
      </c>
      <c r="O250" s="111" t="s">
        <v>21</v>
      </c>
      <c r="P250" s="111">
        <f t="shared" si="11"/>
        <v>247</v>
      </c>
    </row>
    <row r="251" spans="1:16" ht="15" customHeight="1" x14ac:dyDescent="0.25">
      <c r="A251" s="111" t="s">
        <v>18</v>
      </c>
      <c r="B251" s="120">
        <v>46011</v>
      </c>
      <c r="C251" s="111">
        <f t="shared" si="9"/>
        <v>867</v>
      </c>
      <c r="D251" s="111">
        <v>1</v>
      </c>
      <c r="E251" s="116"/>
      <c r="G251" s="116" t="s">
        <v>24</v>
      </c>
      <c r="H251" s="111" t="s">
        <v>1152</v>
      </c>
      <c r="I251" s="111">
        <v>64277</v>
      </c>
      <c r="J251" s="111">
        <v>331</v>
      </c>
      <c r="K251" s="111" t="s">
        <v>20</v>
      </c>
      <c r="L251" s="111">
        <v>1</v>
      </c>
      <c r="M251" s="118">
        <v>29000</v>
      </c>
      <c r="N251" s="118">
        <f t="shared" si="10"/>
        <v>29000</v>
      </c>
      <c r="O251" s="111" t="s">
        <v>21</v>
      </c>
      <c r="P251" s="111">
        <f t="shared" si="11"/>
        <v>248</v>
      </c>
    </row>
    <row r="252" spans="1:16" ht="15" customHeight="1" x14ac:dyDescent="0.25">
      <c r="A252" s="111" t="s">
        <v>18</v>
      </c>
      <c r="B252" s="120">
        <v>46011</v>
      </c>
      <c r="C252" s="111">
        <f t="shared" si="9"/>
        <v>868</v>
      </c>
      <c r="D252" s="111">
        <v>1</v>
      </c>
      <c r="E252" s="116"/>
      <c r="G252" s="116" t="s">
        <v>19</v>
      </c>
      <c r="H252" s="111" t="s">
        <v>1153</v>
      </c>
      <c r="I252" s="111">
        <v>64277</v>
      </c>
      <c r="J252" s="111">
        <v>331</v>
      </c>
      <c r="K252" s="111" t="s">
        <v>20</v>
      </c>
      <c r="L252" s="111">
        <v>1</v>
      </c>
      <c r="M252" s="118">
        <v>57000</v>
      </c>
      <c r="N252" s="118">
        <f t="shared" si="10"/>
        <v>57000</v>
      </c>
      <c r="O252" s="111" t="s">
        <v>21</v>
      </c>
      <c r="P252" s="111">
        <f t="shared" si="11"/>
        <v>249</v>
      </c>
    </row>
    <row r="253" spans="1:16" ht="15" customHeight="1" x14ac:dyDescent="0.25">
      <c r="A253" s="111" t="s">
        <v>18</v>
      </c>
      <c r="B253" s="120">
        <v>46012</v>
      </c>
      <c r="C253" s="111">
        <f t="shared" si="9"/>
        <v>869</v>
      </c>
      <c r="D253" s="111">
        <v>1</v>
      </c>
      <c r="E253" s="116"/>
      <c r="G253" s="116" t="s">
        <v>34</v>
      </c>
      <c r="H253" s="111" t="s">
        <v>1317</v>
      </c>
      <c r="I253" s="111">
        <v>64277</v>
      </c>
      <c r="J253" s="111">
        <v>331</v>
      </c>
      <c r="K253" s="111" t="s">
        <v>20</v>
      </c>
      <c r="L253" s="111">
        <v>1</v>
      </c>
      <c r="M253" s="118">
        <v>975000</v>
      </c>
      <c r="N253" s="118">
        <f t="shared" si="10"/>
        <v>975000</v>
      </c>
      <c r="O253" s="111" t="s">
        <v>21</v>
      </c>
      <c r="P253" s="111">
        <f t="shared" si="11"/>
        <v>250</v>
      </c>
    </row>
    <row r="254" spans="1:16" ht="15" customHeight="1" x14ac:dyDescent="0.25">
      <c r="A254" s="111" t="s">
        <v>18</v>
      </c>
      <c r="B254" s="120">
        <v>46012</v>
      </c>
      <c r="C254" s="111">
        <f t="shared" si="9"/>
        <v>870</v>
      </c>
      <c r="D254" s="111">
        <v>1</v>
      </c>
      <c r="E254" s="116"/>
      <c r="G254" s="116" t="s">
        <v>23</v>
      </c>
      <c r="H254" s="111" t="s">
        <v>1318</v>
      </c>
      <c r="I254" s="111">
        <v>64277</v>
      </c>
      <c r="J254" s="111">
        <v>331</v>
      </c>
      <c r="K254" s="111" t="s">
        <v>20</v>
      </c>
      <c r="L254" s="111">
        <v>1</v>
      </c>
      <c r="M254" s="118">
        <v>94000</v>
      </c>
      <c r="N254" s="118">
        <f t="shared" si="10"/>
        <v>94000</v>
      </c>
      <c r="O254" s="111" t="s">
        <v>21</v>
      </c>
      <c r="P254" s="111">
        <f t="shared" si="11"/>
        <v>251</v>
      </c>
    </row>
    <row r="255" spans="1:16" ht="15" customHeight="1" x14ac:dyDescent="0.25">
      <c r="A255" s="111" t="s">
        <v>18</v>
      </c>
      <c r="B255" s="120">
        <v>46012</v>
      </c>
      <c r="C255" s="111">
        <f t="shared" si="9"/>
        <v>871</v>
      </c>
      <c r="D255" s="111">
        <v>1</v>
      </c>
      <c r="E255" s="116"/>
      <c r="G255" s="116" t="s">
        <v>24</v>
      </c>
      <c r="H255" s="111" t="s">
        <v>1154</v>
      </c>
      <c r="I255" s="111">
        <v>64277</v>
      </c>
      <c r="J255" s="111">
        <v>331</v>
      </c>
      <c r="K255" s="111" t="s">
        <v>20</v>
      </c>
      <c r="L255" s="111">
        <v>1</v>
      </c>
      <c r="M255" s="118">
        <v>62000</v>
      </c>
      <c r="N255" s="118">
        <f t="shared" si="10"/>
        <v>62000</v>
      </c>
      <c r="O255" s="111" t="s">
        <v>21</v>
      </c>
      <c r="P255" s="111">
        <f t="shared" si="11"/>
        <v>252</v>
      </c>
    </row>
    <row r="256" spans="1:16" ht="15" customHeight="1" x14ac:dyDescent="0.25">
      <c r="A256" s="111" t="s">
        <v>18</v>
      </c>
      <c r="B256" s="120">
        <v>46012</v>
      </c>
      <c r="C256" s="111">
        <f t="shared" si="9"/>
        <v>872</v>
      </c>
      <c r="D256" s="111">
        <v>1</v>
      </c>
      <c r="E256" s="116"/>
      <c r="G256" s="116" t="s">
        <v>19</v>
      </c>
      <c r="H256" s="111" t="s">
        <v>1155</v>
      </c>
      <c r="I256" s="111">
        <v>64277</v>
      </c>
      <c r="J256" s="111">
        <v>331</v>
      </c>
      <c r="K256" s="111" t="s">
        <v>20</v>
      </c>
      <c r="L256" s="111">
        <v>1</v>
      </c>
      <c r="M256" s="118">
        <v>42000</v>
      </c>
      <c r="N256" s="118">
        <f t="shared" si="10"/>
        <v>42000</v>
      </c>
      <c r="O256" s="111" t="s">
        <v>21</v>
      </c>
      <c r="P256" s="111">
        <f t="shared" si="11"/>
        <v>253</v>
      </c>
    </row>
    <row r="257" spans="1:16" ht="15" customHeight="1" x14ac:dyDescent="0.25">
      <c r="A257" s="111" t="s">
        <v>18</v>
      </c>
      <c r="B257" s="120">
        <v>46012</v>
      </c>
      <c r="C257" s="111">
        <f t="shared" si="9"/>
        <v>873</v>
      </c>
      <c r="D257" s="111">
        <v>1</v>
      </c>
      <c r="E257" s="116"/>
      <c r="G257" s="116" t="s">
        <v>19</v>
      </c>
      <c r="H257" s="111" t="s">
        <v>1156</v>
      </c>
      <c r="I257" s="111">
        <v>64277</v>
      </c>
      <c r="J257" s="111">
        <v>331</v>
      </c>
      <c r="K257" s="111" t="s">
        <v>20</v>
      </c>
      <c r="L257" s="111">
        <v>1</v>
      </c>
      <c r="M257" s="118">
        <v>34000</v>
      </c>
      <c r="N257" s="118">
        <f t="shared" si="10"/>
        <v>34000</v>
      </c>
      <c r="O257" s="111" t="s">
        <v>21</v>
      </c>
      <c r="P257" s="111">
        <f t="shared" si="11"/>
        <v>254</v>
      </c>
    </row>
    <row r="258" spans="1:16" ht="15" customHeight="1" x14ac:dyDescent="0.25">
      <c r="A258" s="111" t="s">
        <v>18</v>
      </c>
      <c r="B258" s="120">
        <v>46012</v>
      </c>
      <c r="C258" s="111">
        <f t="shared" si="9"/>
        <v>874</v>
      </c>
      <c r="D258" s="111">
        <v>1</v>
      </c>
      <c r="E258" s="116"/>
      <c r="G258" s="116" t="s">
        <v>19</v>
      </c>
      <c r="H258" s="111" t="s">
        <v>1157</v>
      </c>
      <c r="I258" s="111">
        <v>64277</v>
      </c>
      <c r="J258" s="111">
        <v>331</v>
      </c>
      <c r="K258" s="111" t="s">
        <v>20</v>
      </c>
      <c r="L258" s="111">
        <v>1</v>
      </c>
      <c r="M258" s="118">
        <v>52000</v>
      </c>
      <c r="N258" s="118">
        <f t="shared" si="10"/>
        <v>52000</v>
      </c>
      <c r="O258" s="111" t="s">
        <v>21</v>
      </c>
      <c r="P258" s="111">
        <f t="shared" si="11"/>
        <v>255</v>
      </c>
    </row>
    <row r="259" spans="1:16" ht="15" customHeight="1" x14ac:dyDescent="0.25">
      <c r="A259" s="111" t="s">
        <v>18</v>
      </c>
      <c r="B259" s="120">
        <v>46013</v>
      </c>
      <c r="C259" s="111">
        <f t="shared" si="9"/>
        <v>875</v>
      </c>
      <c r="D259" s="111">
        <v>1</v>
      </c>
      <c r="E259" s="116"/>
      <c r="G259" s="116" t="s">
        <v>1028</v>
      </c>
      <c r="H259" s="111" t="s">
        <v>1319</v>
      </c>
      <c r="I259" s="111">
        <v>64277</v>
      </c>
      <c r="J259" s="111">
        <v>331</v>
      </c>
      <c r="K259" s="111" t="s">
        <v>20</v>
      </c>
      <c r="L259" s="111">
        <v>1</v>
      </c>
      <c r="M259" s="118">
        <v>4972023</v>
      </c>
      <c r="N259" s="118">
        <f t="shared" si="10"/>
        <v>4972023</v>
      </c>
      <c r="O259" s="111" t="s">
        <v>21</v>
      </c>
      <c r="P259" s="111">
        <f t="shared" si="11"/>
        <v>256</v>
      </c>
    </row>
    <row r="260" spans="1:16" ht="15" customHeight="1" x14ac:dyDescent="0.25">
      <c r="A260" s="111" t="s">
        <v>18</v>
      </c>
      <c r="B260" s="120">
        <v>46013</v>
      </c>
      <c r="C260" s="111">
        <f t="shared" ref="C260:C323" si="12">C259+D260</f>
        <v>876</v>
      </c>
      <c r="D260" s="111">
        <v>1</v>
      </c>
      <c r="E260" s="116"/>
      <c r="G260" s="116" t="s">
        <v>33</v>
      </c>
      <c r="H260" s="111" t="s">
        <v>1320</v>
      </c>
      <c r="I260" s="111">
        <v>64277</v>
      </c>
      <c r="J260" s="111">
        <v>331</v>
      </c>
      <c r="K260" s="111" t="s">
        <v>20</v>
      </c>
      <c r="L260" s="111">
        <v>1</v>
      </c>
      <c r="M260" s="118">
        <v>2957332</v>
      </c>
      <c r="N260" s="118">
        <f t="shared" ref="N260:N323" si="13">M260*L260</f>
        <v>2957332</v>
      </c>
      <c r="O260" s="111" t="s">
        <v>21</v>
      </c>
      <c r="P260" s="111">
        <f t="shared" si="11"/>
        <v>257</v>
      </c>
    </row>
    <row r="261" spans="1:16" ht="15" customHeight="1" x14ac:dyDescent="0.25">
      <c r="A261" s="111" t="s">
        <v>18</v>
      </c>
      <c r="B261" s="120">
        <v>46013</v>
      </c>
      <c r="C261" s="111">
        <f t="shared" si="12"/>
        <v>877</v>
      </c>
      <c r="D261" s="111">
        <v>1</v>
      </c>
      <c r="E261" s="116"/>
      <c r="G261" s="116" t="s">
        <v>24</v>
      </c>
      <c r="H261" s="111" t="s">
        <v>1158</v>
      </c>
      <c r="I261" s="111">
        <v>64277</v>
      </c>
      <c r="J261" s="111">
        <v>331</v>
      </c>
      <c r="K261" s="111" t="s">
        <v>20</v>
      </c>
      <c r="L261" s="111">
        <v>1</v>
      </c>
      <c r="M261" s="118">
        <v>51000</v>
      </c>
      <c r="N261" s="118">
        <f t="shared" si="13"/>
        <v>51000</v>
      </c>
      <c r="O261" s="111" t="s">
        <v>21</v>
      </c>
      <c r="P261" s="111">
        <f t="shared" ref="P261:P324" si="14">P260+D261</f>
        <v>258</v>
      </c>
    </row>
    <row r="262" spans="1:16" ht="15" customHeight="1" x14ac:dyDescent="0.25">
      <c r="A262" s="111" t="s">
        <v>18</v>
      </c>
      <c r="B262" s="120">
        <v>46014</v>
      </c>
      <c r="C262" s="111">
        <f t="shared" si="12"/>
        <v>878</v>
      </c>
      <c r="D262" s="111">
        <v>1</v>
      </c>
      <c r="E262" s="116"/>
      <c r="G262" s="116" t="s">
        <v>1016</v>
      </c>
      <c r="H262" s="111" t="s">
        <v>1321</v>
      </c>
      <c r="I262" s="111">
        <v>64277</v>
      </c>
      <c r="J262" s="111">
        <v>331</v>
      </c>
      <c r="K262" s="111" t="s">
        <v>20</v>
      </c>
      <c r="L262" s="111">
        <v>1</v>
      </c>
      <c r="M262" s="118">
        <v>204000</v>
      </c>
      <c r="N262" s="118">
        <f t="shared" si="13"/>
        <v>204000</v>
      </c>
      <c r="O262" s="111" t="s">
        <v>21</v>
      </c>
      <c r="P262" s="111">
        <f t="shared" si="14"/>
        <v>259</v>
      </c>
    </row>
    <row r="263" spans="1:16" ht="15" customHeight="1" x14ac:dyDescent="0.25">
      <c r="A263" s="111" t="s">
        <v>18</v>
      </c>
      <c r="B263" s="120">
        <v>46014</v>
      </c>
      <c r="C263" s="111">
        <f t="shared" si="12"/>
        <v>879</v>
      </c>
      <c r="D263" s="111">
        <v>1</v>
      </c>
      <c r="E263" s="116"/>
      <c r="G263" s="116" t="s">
        <v>23</v>
      </c>
      <c r="H263" s="111" t="s">
        <v>1322</v>
      </c>
      <c r="I263" s="111">
        <v>64277</v>
      </c>
      <c r="J263" s="111">
        <v>331</v>
      </c>
      <c r="K263" s="111" t="s">
        <v>20</v>
      </c>
      <c r="L263" s="111">
        <v>1</v>
      </c>
      <c r="M263" s="118">
        <v>163000</v>
      </c>
      <c r="N263" s="118">
        <f t="shared" si="13"/>
        <v>163000</v>
      </c>
      <c r="O263" s="111" t="s">
        <v>21</v>
      </c>
      <c r="P263" s="111">
        <f t="shared" si="14"/>
        <v>260</v>
      </c>
    </row>
    <row r="264" spans="1:16" ht="15" customHeight="1" x14ac:dyDescent="0.25">
      <c r="A264" s="111" t="s">
        <v>18</v>
      </c>
      <c r="B264" s="120">
        <v>46014</v>
      </c>
      <c r="C264" s="111">
        <f t="shared" si="12"/>
        <v>880</v>
      </c>
      <c r="D264" s="111">
        <v>1</v>
      </c>
      <c r="E264" s="116"/>
      <c r="G264" s="116" t="s">
        <v>19</v>
      </c>
      <c r="H264" s="111" t="s">
        <v>1159</v>
      </c>
      <c r="I264" s="111">
        <v>64277</v>
      </c>
      <c r="J264" s="111">
        <v>331</v>
      </c>
      <c r="K264" s="111" t="s">
        <v>20</v>
      </c>
      <c r="L264" s="111">
        <v>1</v>
      </c>
      <c r="M264" s="118">
        <v>21000</v>
      </c>
      <c r="N264" s="118">
        <f t="shared" si="13"/>
        <v>21000</v>
      </c>
      <c r="O264" s="111" t="s">
        <v>21</v>
      </c>
      <c r="P264" s="111">
        <f t="shared" si="14"/>
        <v>261</v>
      </c>
    </row>
    <row r="265" spans="1:16" ht="15" customHeight="1" x14ac:dyDescent="0.25">
      <c r="A265" s="111" t="s">
        <v>18</v>
      </c>
      <c r="B265" s="120">
        <v>46014</v>
      </c>
      <c r="C265" s="111">
        <f t="shared" si="12"/>
        <v>881</v>
      </c>
      <c r="D265" s="111">
        <v>1</v>
      </c>
      <c r="E265" s="116"/>
      <c r="G265" s="116" t="s">
        <v>19</v>
      </c>
      <c r="H265" s="111" t="s">
        <v>1160</v>
      </c>
      <c r="I265" s="111">
        <v>64277</v>
      </c>
      <c r="J265" s="111">
        <v>331</v>
      </c>
      <c r="K265" s="111" t="s">
        <v>20</v>
      </c>
      <c r="L265" s="111">
        <v>1</v>
      </c>
      <c r="M265" s="118">
        <v>37000</v>
      </c>
      <c r="N265" s="118">
        <f t="shared" si="13"/>
        <v>37000</v>
      </c>
      <c r="O265" s="111" t="s">
        <v>21</v>
      </c>
      <c r="P265" s="111">
        <f t="shared" si="14"/>
        <v>262</v>
      </c>
    </row>
    <row r="266" spans="1:16" ht="15" customHeight="1" x14ac:dyDescent="0.25">
      <c r="A266" s="111" t="s">
        <v>18</v>
      </c>
      <c r="B266" s="120">
        <v>46015</v>
      </c>
      <c r="C266" s="111">
        <f t="shared" si="12"/>
        <v>882</v>
      </c>
      <c r="D266" s="111">
        <v>1</v>
      </c>
      <c r="E266" s="116"/>
      <c r="G266" s="116" t="s">
        <v>1021</v>
      </c>
      <c r="H266" s="111" t="s">
        <v>1323</v>
      </c>
      <c r="I266" s="111">
        <v>64277</v>
      </c>
      <c r="J266" s="111">
        <v>331</v>
      </c>
      <c r="K266" s="111" t="s">
        <v>20</v>
      </c>
      <c r="L266" s="111">
        <v>1</v>
      </c>
      <c r="M266" s="118">
        <v>330000</v>
      </c>
      <c r="N266" s="118">
        <f t="shared" si="13"/>
        <v>330000</v>
      </c>
      <c r="O266" s="111" t="s">
        <v>21</v>
      </c>
      <c r="P266" s="111">
        <f t="shared" si="14"/>
        <v>263</v>
      </c>
    </row>
    <row r="267" spans="1:16" ht="15" customHeight="1" x14ac:dyDescent="0.25">
      <c r="A267" s="111" t="s">
        <v>18</v>
      </c>
      <c r="B267" s="120">
        <v>46016</v>
      </c>
      <c r="C267" s="111">
        <f t="shared" si="12"/>
        <v>883</v>
      </c>
      <c r="D267" s="111">
        <v>1</v>
      </c>
      <c r="E267" s="116"/>
      <c r="G267" s="116" t="s">
        <v>41</v>
      </c>
      <c r="H267" s="111" t="s">
        <v>1324</v>
      </c>
      <c r="I267" s="111">
        <v>64277</v>
      </c>
      <c r="J267" s="111">
        <v>331</v>
      </c>
      <c r="K267" s="111" t="s">
        <v>20</v>
      </c>
      <c r="L267" s="111">
        <v>1</v>
      </c>
      <c r="M267" s="118">
        <v>1269000</v>
      </c>
      <c r="N267" s="118">
        <f t="shared" si="13"/>
        <v>1269000</v>
      </c>
      <c r="O267" s="111" t="s">
        <v>21</v>
      </c>
      <c r="P267" s="111">
        <f t="shared" si="14"/>
        <v>264</v>
      </c>
    </row>
    <row r="268" spans="1:16" ht="15" customHeight="1" x14ac:dyDescent="0.25">
      <c r="A268" s="111" t="s">
        <v>18</v>
      </c>
      <c r="B268" s="120">
        <v>46016</v>
      </c>
      <c r="C268" s="111">
        <f t="shared" si="12"/>
        <v>884</v>
      </c>
      <c r="D268" s="111">
        <v>1</v>
      </c>
      <c r="E268" s="116"/>
      <c r="G268" s="116" t="s">
        <v>24</v>
      </c>
      <c r="H268" s="111" t="s">
        <v>1161</v>
      </c>
      <c r="I268" s="111">
        <v>64277</v>
      </c>
      <c r="J268" s="111">
        <v>331</v>
      </c>
      <c r="K268" s="111" t="s">
        <v>20</v>
      </c>
      <c r="L268" s="111">
        <v>1</v>
      </c>
      <c r="M268" s="118">
        <v>145000</v>
      </c>
      <c r="N268" s="118">
        <f t="shared" si="13"/>
        <v>145000</v>
      </c>
      <c r="O268" s="111" t="s">
        <v>21</v>
      </c>
      <c r="P268" s="111">
        <f t="shared" si="14"/>
        <v>265</v>
      </c>
    </row>
    <row r="269" spans="1:16" ht="15" customHeight="1" x14ac:dyDescent="0.25">
      <c r="A269" s="111" t="s">
        <v>18</v>
      </c>
      <c r="B269" s="120">
        <v>46016</v>
      </c>
      <c r="C269" s="111">
        <f t="shared" si="12"/>
        <v>885</v>
      </c>
      <c r="D269" s="111">
        <v>1</v>
      </c>
      <c r="E269" s="116"/>
      <c r="G269" s="116" t="s">
        <v>19</v>
      </c>
      <c r="H269" s="111" t="s">
        <v>1162</v>
      </c>
      <c r="I269" s="111">
        <v>64277</v>
      </c>
      <c r="J269" s="111">
        <v>331</v>
      </c>
      <c r="K269" s="111" t="s">
        <v>20</v>
      </c>
      <c r="L269" s="111">
        <v>1</v>
      </c>
      <c r="M269" s="118">
        <v>44000</v>
      </c>
      <c r="N269" s="118">
        <f t="shared" si="13"/>
        <v>44000</v>
      </c>
      <c r="O269" s="111" t="s">
        <v>21</v>
      </c>
      <c r="P269" s="111">
        <f t="shared" si="14"/>
        <v>266</v>
      </c>
    </row>
    <row r="270" spans="1:16" ht="15" customHeight="1" x14ac:dyDescent="0.25">
      <c r="A270" s="111" t="s">
        <v>18</v>
      </c>
      <c r="B270" s="120" t="s">
        <v>1930</v>
      </c>
      <c r="C270" s="111">
        <f t="shared" si="12"/>
        <v>886</v>
      </c>
      <c r="D270" s="111">
        <v>1</v>
      </c>
      <c r="E270" s="116"/>
      <c r="G270" s="116" t="s">
        <v>2593</v>
      </c>
      <c r="H270" s="111" t="s">
        <v>2601</v>
      </c>
      <c r="I270" s="111">
        <v>64277</v>
      </c>
      <c r="J270" s="111">
        <v>331</v>
      </c>
      <c r="K270" s="111" t="s">
        <v>20</v>
      </c>
      <c r="L270" s="111">
        <v>1</v>
      </c>
      <c r="M270" s="118">
        <v>47000</v>
      </c>
      <c r="N270" s="118">
        <f t="shared" si="13"/>
        <v>47000</v>
      </c>
      <c r="O270" s="111" t="s">
        <v>21</v>
      </c>
      <c r="P270" s="111">
        <f t="shared" si="14"/>
        <v>267</v>
      </c>
    </row>
    <row r="271" spans="1:16" ht="15" customHeight="1" x14ac:dyDescent="0.25">
      <c r="A271" s="111" t="s">
        <v>18</v>
      </c>
      <c r="B271" s="120" t="s">
        <v>1930</v>
      </c>
      <c r="C271" s="111">
        <f t="shared" si="12"/>
        <v>887</v>
      </c>
      <c r="D271" s="111">
        <v>1</v>
      </c>
      <c r="E271" s="116"/>
      <c r="G271" s="116" t="s">
        <v>2593</v>
      </c>
      <c r="H271" s="111" t="s">
        <v>2602</v>
      </c>
      <c r="I271" s="111">
        <v>64277</v>
      </c>
      <c r="J271" s="111">
        <v>331</v>
      </c>
      <c r="K271" s="111" t="s">
        <v>20</v>
      </c>
      <c r="L271" s="111">
        <v>1</v>
      </c>
      <c r="M271" s="118">
        <v>61000</v>
      </c>
      <c r="N271" s="118">
        <f t="shared" si="13"/>
        <v>61000</v>
      </c>
      <c r="O271" s="111" t="s">
        <v>21</v>
      </c>
      <c r="P271" s="111">
        <f t="shared" si="14"/>
        <v>268</v>
      </c>
    </row>
    <row r="272" spans="1:16" ht="15" customHeight="1" x14ac:dyDescent="0.25">
      <c r="A272" s="111" t="s">
        <v>18</v>
      </c>
      <c r="B272" s="120" t="s">
        <v>1930</v>
      </c>
      <c r="C272" s="111">
        <f t="shared" si="12"/>
        <v>888</v>
      </c>
      <c r="D272" s="111">
        <v>1</v>
      </c>
      <c r="E272" s="116"/>
      <c r="G272" s="116" t="s">
        <v>41</v>
      </c>
      <c r="H272" s="111" t="s">
        <v>2608</v>
      </c>
      <c r="I272" s="111">
        <v>64277</v>
      </c>
      <c r="J272" s="111">
        <v>331</v>
      </c>
      <c r="K272" s="111" t="s">
        <v>20</v>
      </c>
      <c r="L272" s="111">
        <v>1</v>
      </c>
      <c r="M272" s="118">
        <v>4745520</v>
      </c>
      <c r="N272" s="118">
        <f t="shared" si="13"/>
        <v>4745520</v>
      </c>
      <c r="O272" s="111" t="s">
        <v>21</v>
      </c>
      <c r="P272" s="111">
        <f t="shared" si="14"/>
        <v>269</v>
      </c>
    </row>
    <row r="273" spans="1:16" ht="15" customHeight="1" x14ac:dyDescent="0.25">
      <c r="A273" s="111" t="s">
        <v>18</v>
      </c>
      <c r="B273" s="120" t="s">
        <v>1930</v>
      </c>
      <c r="C273" s="111">
        <f t="shared" si="12"/>
        <v>889</v>
      </c>
      <c r="D273" s="111">
        <v>1</v>
      </c>
      <c r="E273" s="116"/>
      <c r="G273" s="116" t="s">
        <v>24</v>
      </c>
      <c r="H273" s="111" t="s">
        <v>2613</v>
      </c>
      <c r="I273" s="111">
        <v>64277</v>
      </c>
      <c r="J273" s="111">
        <v>331</v>
      </c>
      <c r="K273" s="111" t="s">
        <v>20</v>
      </c>
      <c r="L273" s="111">
        <v>1</v>
      </c>
      <c r="M273" s="118">
        <v>193000</v>
      </c>
      <c r="N273" s="118">
        <f t="shared" si="13"/>
        <v>193000</v>
      </c>
      <c r="O273" s="111" t="s">
        <v>21</v>
      </c>
      <c r="P273" s="111">
        <f t="shared" si="14"/>
        <v>270</v>
      </c>
    </row>
    <row r="274" spans="1:16" ht="15" customHeight="1" x14ac:dyDescent="0.25">
      <c r="A274" s="111" t="s">
        <v>18</v>
      </c>
      <c r="B274" s="120" t="s">
        <v>2561</v>
      </c>
      <c r="C274" s="111">
        <f t="shared" si="12"/>
        <v>890</v>
      </c>
      <c r="D274" s="111">
        <v>1</v>
      </c>
      <c r="E274" s="116"/>
      <c r="G274" s="116" t="s">
        <v>2594</v>
      </c>
      <c r="H274" s="111" t="s">
        <v>2609</v>
      </c>
      <c r="I274" s="111">
        <v>64277</v>
      </c>
      <c r="J274" s="111">
        <v>331</v>
      </c>
      <c r="K274" s="111" t="s">
        <v>20</v>
      </c>
      <c r="L274" s="111">
        <v>1</v>
      </c>
      <c r="M274" s="118">
        <v>735480</v>
      </c>
      <c r="N274" s="118">
        <f t="shared" si="13"/>
        <v>735480</v>
      </c>
      <c r="O274" s="111" t="s">
        <v>21</v>
      </c>
      <c r="P274" s="111">
        <f t="shared" si="14"/>
        <v>271</v>
      </c>
    </row>
    <row r="275" spans="1:16" ht="15" customHeight="1" x14ac:dyDescent="0.25">
      <c r="A275" s="111" t="s">
        <v>18</v>
      </c>
      <c r="B275" s="120" t="s">
        <v>2561</v>
      </c>
      <c r="C275" s="111">
        <f t="shared" si="12"/>
        <v>891</v>
      </c>
      <c r="D275" s="111">
        <v>1</v>
      </c>
      <c r="E275" s="116"/>
      <c r="G275" s="116" t="s">
        <v>2593</v>
      </c>
      <c r="H275" s="111" t="s">
        <v>2603</v>
      </c>
      <c r="I275" s="111">
        <v>64277</v>
      </c>
      <c r="J275" s="111">
        <v>331</v>
      </c>
      <c r="K275" s="111" t="s">
        <v>20</v>
      </c>
      <c r="L275" s="111">
        <v>1</v>
      </c>
      <c r="M275" s="118">
        <v>32000</v>
      </c>
      <c r="N275" s="118">
        <f t="shared" si="13"/>
        <v>32000</v>
      </c>
      <c r="O275" s="111" t="s">
        <v>21</v>
      </c>
      <c r="P275" s="111">
        <f t="shared" si="14"/>
        <v>272</v>
      </c>
    </row>
    <row r="276" spans="1:16" ht="15" customHeight="1" x14ac:dyDescent="0.25">
      <c r="A276" s="111" t="s">
        <v>18</v>
      </c>
      <c r="B276" s="120" t="s">
        <v>2382</v>
      </c>
      <c r="C276" s="111">
        <f t="shared" si="12"/>
        <v>892</v>
      </c>
      <c r="D276" s="111">
        <v>1</v>
      </c>
      <c r="E276" s="116"/>
      <c r="G276" s="116" t="s">
        <v>2595</v>
      </c>
      <c r="H276" s="111" t="s">
        <v>2614</v>
      </c>
      <c r="I276" s="111">
        <v>64277</v>
      </c>
      <c r="J276" s="111">
        <v>331</v>
      </c>
      <c r="K276" s="111" t="s">
        <v>20</v>
      </c>
      <c r="L276" s="111">
        <v>1</v>
      </c>
      <c r="M276" s="118">
        <v>92000</v>
      </c>
      <c r="N276" s="118">
        <f t="shared" si="13"/>
        <v>92000</v>
      </c>
      <c r="O276" s="111" t="s">
        <v>21</v>
      </c>
      <c r="P276" s="111">
        <f t="shared" si="14"/>
        <v>273</v>
      </c>
    </row>
    <row r="277" spans="1:16" ht="15" customHeight="1" x14ac:dyDescent="0.25">
      <c r="A277" s="111" t="s">
        <v>18</v>
      </c>
      <c r="B277" s="120" t="s">
        <v>2382</v>
      </c>
      <c r="C277" s="111">
        <f t="shared" si="12"/>
        <v>893</v>
      </c>
      <c r="D277" s="111">
        <v>1</v>
      </c>
      <c r="E277" s="116"/>
      <c r="G277" s="116" t="s">
        <v>2595</v>
      </c>
      <c r="H277" s="111" t="s">
        <v>2615</v>
      </c>
      <c r="I277" s="111">
        <v>64277</v>
      </c>
      <c r="J277" s="111">
        <v>331</v>
      </c>
      <c r="K277" s="111" t="s">
        <v>20</v>
      </c>
      <c r="L277" s="111">
        <v>1</v>
      </c>
      <c r="M277" s="118">
        <v>177000</v>
      </c>
      <c r="N277" s="118">
        <f t="shared" si="13"/>
        <v>177000</v>
      </c>
      <c r="O277" s="111" t="s">
        <v>21</v>
      </c>
      <c r="P277" s="111">
        <f t="shared" si="14"/>
        <v>274</v>
      </c>
    </row>
    <row r="278" spans="1:16" ht="15" customHeight="1" x14ac:dyDescent="0.25">
      <c r="A278" s="111" t="s">
        <v>18</v>
      </c>
      <c r="B278" s="120" t="s">
        <v>2382</v>
      </c>
      <c r="C278" s="111">
        <f t="shared" si="12"/>
        <v>894</v>
      </c>
      <c r="D278" s="111">
        <v>1</v>
      </c>
      <c r="E278" s="116"/>
      <c r="G278" s="116" t="s">
        <v>2596</v>
      </c>
      <c r="H278" s="111" t="s">
        <v>2610</v>
      </c>
      <c r="I278" s="111">
        <v>64277</v>
      </c>
      <c r="J278" s="111">
        <v>331</v>
      </c>
      <c r="K278" s="111" t="s">
        <v>20</v>
      </c>
      <c r="L278" s="111">
        <v>1</v>
      </c>
      <c r="M278" s="118">
        <v>130000</v>
      </c>
      <c r="N278" s="118">
        <f t="shared" si="13"/>
        <v>130000</v>
      </c>
      <c r="O278" s="111" t="s">
        <v>21</v>
      </c>
      <c r="P278" s="111">
        <f t="shared" si="14"/>
        <v>275</v>
      </c>
    </row>
    <row r="279" spans="1:16" ht="15" customHeight="1" x14ac:dyDescent="0.25">
      <c r="A279" s="111" t="s">
        <v>18</v>
      </c>
      <c r="B279" s="120" t="s">
        <v>2382</v>
      </c>
      <c r="C279" s="111">
        <f t="shared" si="12"/>
        <v>895</v>
      </c>
      <c r="D279" s="111">
        <v>1</v>
      </c>
      <c r="E279" s="116"/>
      <c r="G279" s="116" t="s">
        <v>2593</v>
      </c>
      <c r="H279" s="111" t="s">
        <v>2604</v>
      </c>
      <c r="I279" s="111">
        <v>64277</v>
      </c>
      <c r="J279" s="111">
        <v>331</v>
      </c>
      <c r="K279" s="111" t="s">
        <v>20</v>
      </c>
      <c r="L279" s="111">
        <v>1</v>
      </c>
      <c r="M279" s="118">
        <v>44000</v>
      </c>
      <c r="N279" s="118">
        <f t="shared" si="13"/>
        <v>44000</v>
      </c>
      <c r="O279" s="111" t="s">
        <v>21</v>
      </c>
      <c r="P279" s="111">
        <f t="shared" si="14"/>
        <v>276</v>
      </c>
    </row>
    <row r="280" spans="1:16" ht="15" customHeight="1" x14ac:dyDescent="0.25">
      <c r="A280" s="111" t="s">
        <v>18</v>
      </c>
      <c r="B280" s="120" t="s">
        <v>2382</v>
      </c>
      <c r="C280" s="111">
        <f t="shared" si="12"/>
        <v>896</v>
      </c>
      <c r="D280" s="111">
        <v>1</v>
      </c>
      <c r="E280" s="116"/>
      <c r="G280" s="116" t="s">
        <v>2593</v>
      </c>
      <c r="H280" s="111" t="s">
        <v>2605</v>
      </c>
      <c r="I280" s="111">
        <v>64277</v>
      </c>
      <c r="J280" s="111">
        <v>331</v>
      </c>
      <c r="K280" s="111" t="s">
        <v>20</v>
      </c>
      <c r="L280" s="111">
        <v>1</v>
      </c>
      <c r="M280" s="118">
        <v>62000</v>
      </c>
      <c r="N280" s="118">
        <f t="shared" si="13"/>
        <v>62000</v>
      </c>
      <c r="O280" s="111" t="s">
        <v>21</v>
      </c>
      <c r="P280" s="111">
        <f t="shared" si="14"/>
        <v>277</v>
      </c>
    </row>
    <row r="281" spans="1:16" ht="15" customHeight="1" x14ac:dyDescent="0.25">
      <c r="A281" s="111" t="s">
        <v>18</v>
      </c>
      <c r="B281" s="120" t="s">
        <v>2382</v>
      </c>
      <c r="C281" s="111">
        <f t="shared" si="12"/>
        <v>897</v>
      </c>
      <c r="D281" s="111">
        <v>1</v>
      </c>
      <c r="E281" s="116"/>
      <c r="G281" s="116" t="s">
        <v>2593</v>
      </c>
      <c r="H281" s="111" t="s">
        <v>2606</v>
      </c>
      <c r="I281" s="111">
        <v>64277</v>
      </c>
      <c r="J281" s="111">
        <v>331</v>
      </c>
      <c r="K281" s="111" t="s">
        <v>20</v>
      </c>
      <c r="L281" s="111">
        <v>1</v>
      </c>
      <c r="M281" s="118">
        <v>41000</v>
      </c>
      <c r="N281" s="118">
        <f t="shared" si="13"/>
        <v>41000</v>
      </c>
      <c r="O281" s="111" t="s">
        <v>21</v>
      </c>
      <c r="P281" s="111">
        <f t="shared" si="14"/>
        <v>278</v>
      </c>
    </row>
    <row r="282" spans="1:16" ht="15" customHeight="1" x14ac:dyDescent="0.25">
      <c r="A282" s="111" t="s">
        <v>18</v>
      </c>
      <c r="B282" s="120" t="s">
        <v>2504</v>
      </c>
      <c r="C282" s="111">
        <f t="shared" si="12"/>
        <v>898</v>
      </c>
      <c r="D282" s="111">
        <v>1</v>
      </c>
      <c r="E282" s="116"/>
      <c r="G282" s="116" t="s">
        <v>2597</v>
      </c>
      <c r="H282" s="111" t="s">
        <v>2611</v>
      </c>
      <c r="I282" s="111">
        <v>64277</v>
      </c>
      <c r="J282" s="111">
        <v>331</v>
      </c>
      <c r="K282" s="111" t="s">
        <v>20</v>
      </c>
      <c r="L282" s="111">
        <v>1</v>
      </c>
      <c r="M282" s="118">
        <v>174000</v>
      </c>
      <c r="N282" s="118">
        <f t="shared" si="13"/>
        <v>174000</v>
      </c>
      <c r="O282" s="111" t="s">
        <v>21</v>
      </c>
      <c r="P282" s="111">
        <f t="shared" si="14"/>
        <v>279</v>
      </c>
    </row>
    <row r="283" spans="1:16" ht="15" customHeight="1" x14ac:dyDescent="0.25">
      <c r="A283" s="111" t="s">
        <v>18</v>
      </c>
      <c r="B283" s="120" t="s">
        <v>2504</v>
      </c>
      <c r="C283" s="111">
        <f t="shared" si="12"/>
        <v>899</v>
      </c>
      <c r="D283" s="111">
        <v>1</v>
      </c>
      <c r="E283" s="116"/>
      <c r="G283" s="116" t="s">
        <v>19</v>
      </c>
      <c r="H283" s="111" t="s">
        <v>2598</v>
      </c>
      <c r="I283" s="111">
        <v>64277</v>
      </c>
      <c r="J283" s="111">
        <v>331</v>
      </c>
      <c r="K283" s="111" t="s">
        <v>20</v>
      </c>
      <c r="L283" s="111">
        <v>1</v>
      </c>
      <c r="M283" s="118">
        <v>240000</v>
      </c>
      <c r="N283" s="118">
        <f t="shared" si="13"/>
        <v>240000</v>
      </c>
      <c r="O283" s="111" t="s">
        <v>21</v>
      </c>
      <c r="P283" s="111">
        <f t="shared" si="14"/>
        <v>280</v>
      </c>
    </row>
    <row r="284" spans="1:16" ht="15" customHeight="1" x14ac:dyDescent="0.25">
      <c r="A284" s="111" t="s">
        <v>18</v>
      </c>
      <c r="B284" s="120" t="s">
        <v>2513</v>
      </c>
      <c r="C284" s="111">
        <f t="shared" si="12"/>
        <v>900</v>
      </c>
      <c r="D284" s="111">
        <v>1</v>
      </c>
      <c r="E284" s="116"/>
      <c r="G284" s="116" t="s">
        <v>27</v>
      </c>
      <c r="H284" s="111" t="s">
        <v>2616</v>
      </c>
      <c r="I284" s="111">
        <v>64277</v>
      </c>
      <c r="J284" s="111">
        <v>331</v>
      </c>
      <c r="K284" s="111" t="s">
        <v>20</v>
      </c>
      <c r="L284" s="111">
        <v>1</v>
      </c>
      <c r="M284" s="118">
        <v>583200</v>
      </c>
      <c r="N284" s="118">
        <f t="shared" si="13"/>
        <v>583200</v>
      </c>
      <c r="O284" s="111" t="s">
        <v>21</v>
      </c>
      <c r="P284" s="111">
        <f t="shared" si="14"/>
        <v>281</v>
      </c>
    </row>
    <row r="285" spans="1:16" ht="15" customHeight="1" x14ac:dyDescent="0.25">
      <c r="A285" s="111" t="s">
        <v>18</v>
      </c>
      <c r="B285" s="120" t="s">
        <v>2513</v>
      </c>
      <c r="C285" s="111">
        <f t="shared" si="12"/>
        <v>901</v>
      </c>
      <c r="D285" s="111">
        <v>1</v>
      </c>
      <c r="E285" s="116"/>
      <c r="G285" s="116" t="s">
        <v>2593</v>
      </c>
      <c r="H285" s="111" t="s">
        <v>2607</v>
      </c>
      <c r="I285" s="111">
        <v>64277</v>
      </c>
      <c r="J285" s="111">
        <v>331</v>
      </c>
      <c r="K285" s="111" t="s">
        <v>20</v>
      </c>
      <c r="L285" s="111">
        <v>1</v>
      </c>
      <c r="M285" s="118">
        <v>72000</v>
      </c>
      <c r="N285" s="118">
        <f t="shared" si="13"/>
        <v>72000</v>
      </c>
      <c r="O285" s="111" t="s">
        <v>21</v>
      </c>
      <c r="P285" s="111">
        <f t="shared" si="14"/>
        <v>282</v>
      </c>
    </row>
    <row r="286" spans="1:16" ht="15" customHeight="1" x14ac:dyDescent="0.25">
      <c r="A286" s="111" t="s">
        <v>18</v>
      </c>
      <c r="B286" s="120" t="s">
        <v>2513</v>
      </c>
      <c r="C286" s="111">
        <f t="shared" si="12"/>
        <v>902</v>
      </c>
      <c r="D286" s="111">
        <v>1</v>
      </c>
      <c r="E286" s="116"/>
      <c r="G286" s="116" t="s">
        <v>41</v>
      </c>
      <c r="H286" s="111" t="s">
        <v>2612</v>
      </c>
      <c r="I286" s="111">
        <v>64277</v>
      </c>
      <c r="J286" s="111">
        <v>331</v>
      </c>
      <c r="K286" s="111" t="s">
        <v>20</v>
      </c>
      <c r="L286" s="111">
        <v>1</v>
      </c>
      <c r="M286" s="118">
        <v>2373200</v>
      </c>
      <c r="N286" s="118">
        <f t="shared" si="13"/>
        <v>2373200</v>
      </c>
      <c r="O286" s="111" t="s">
        <v>21</v>
      </c>
      <c r="P286" s="111">
        <f t="shared" si="14"/>
        <v>283</v>
      </c>
    </row>
    <row r="287" spans="1:16" ht="15" customHeight="1" x14ac:dyDescent="0.25">
      <c r="A287" s="111" t="s">
        <v>18</v>
      </c>
      <c r="B287" s="120" t="s">
        <v>2513</v>
      </c>
      <c r="C287" s="111">
        <f t="shared" si="12"/>
        <v>903</v>
      </c>
      <c r="D287" s="111">
        <v>1</v>
      </c>
      <c r="E287" s="116"/>
      <c r="G287" s="116" t="s">
        <v>19</v>
      </c>
      <c r="H287" s="111" t="s">
        <v>2599</v>
      </c>
      <c r="I287" s="111">
        <v>64277</v>
      </c>
      <c r="J287" s="111">
        <v>331</v>
      </c>
      <c r="K287" s="111" t="s">
        <v>20</v>
      </c>
      <c r="L287" s="111">
        <v>1</v>
      </c>
      <c r="M287" s="118">
        <v>112000</v>
      </c>
      <c r="N287" s="118">
        <f t="shared" si="13"/>
        <v>112000</v>
      </c>
      <c r="O287" s="111" t="s">
        <v>21</v>
      </c>
      <c r="P287" s="111">
        <f t="shared" si="14"/>
        <v>284</v>
      </c>
    </row>
    <row r="288" spans="1:16" ht="15" customHeight="1" x14ac:dyDescent="0.25">
      <c r="A288" s="111" t="s">
        <v>18</v>
      </c>
      <c r="B288" s="120" t="s">
        <v>2513</v>
      </c>
      <c r="C288" s="111">
        <f t="shared" si="12"/>
        <v>904</v>
      </c>
      <c r="D288" s="111">
        <v>1</v>
      </c>
      <c r="E288" s="116"/>
      <c r="G288" s="116" t="s">
        <v>19</v>
      </c>
      <c r="H288" s="111" t="s">
        <v>2600</v>
      </c>
      <c r="I288" s="111">
        <v>64277</v>
      </c>
      <c r="J288" s="111">
        <v>331</v>
      </c>
      <c r="K288" s="111" t="s">
        <v>20</v>
      </c>
      <c r="L288" s="111">
        <v>1</v>
      </c>
      <c r="M288" s="118">
        <v>180000</v>
      </c>
      <c r="N288" s="118">
        <f t="shared" si="13"/>
        <v>180000</v>
      </c>
      <c r="O288" s="111" t="s">
        <v>21</v>
      </c>
      <c r="P288" s="111">
        <f t="shared" si="14"/>
        <v>285</v>
      </c>
    </row>
    <row r="289" spans="1:16" ht="15" customHeight="1" x14ac:dyDescent="0.25">
      <c r="A289" s="111" t="s">
        <v>18</v>
      </c>
      <c r="B289" s="120">
        <v>45931</v>
      </c>
      <c r="C289" s="111">
        <f t="shared" si="12"/>
        <v>905</v>
      </c>
      <c r="D289" s="111">
        <v>1</v>
      </c>
      <c r="E289" s="116"/>
      <c r="G289" s="116" t="s">
        <v>110</v>
      </c>
      <c r="H289" s="111" t="s">
        <v>1037</v>
      </c>
      <c r="I289" s="111">
        <v>131</v>
      </c>
      <c r="J289" s="111">
        <v>5113</v>
      </c>
      <c r="K289" s="111" t="s">
        <v>20</v>
      </c>
      <c r="L289" s="111">
        <v>1</v>
      </c>
      <c r="M289" s="118">
        <v>16129032</v>
      </c>
      <c r="N289" s="118">
        <f t="shared" si="13"/>
        <v>16129032</v>
      </c>
      <c r="O289" s="111" t="s">
        <v>21</v>
      </c>
      <c r="P289" s="111">
        <f t="shared" si="14"/>
        <v>286</v>
      </c>
    </row>
    <row r="290" spans="1:16" ht="15" customHeight="1" x14ac:dyDescent="0.25">
      <c r="A290" s="111" t="s">
        <v>18</v>
      </c>
      <c r="B290" s="120">
        <v>45931</v>
      </c>
      <c r="C290" s="111">
        <f t="shared" si="12"/>
        <v>905</v>
      </c>
      <c r="D290" s="111">
        <v>0</v>
      </c>
      <c r="E290" s="116"/>
      <c r="G290" s="116" t="s">
        <v>110</v>
      </c>
      <c r="H290" s="111" t="s">
        <v>1163</v>
      </c>
      <c r="I290" s="111">
        <v>333821</v>
      </c>
      <c r="J290" s="111">
        <v>131</v>
      </c>
      <c r="K290" s="111" t="s">
        <v>20</v>
      </c>
      <c r="L290" s="111">
        <v>1</v>
      </c>
      <c r="M290" s="118">
        <v>161290</v>
      </c>
      <c r="N290" s="118">
        <f t="shared" si="13"/>
        <v>161290</v>
      </c>
      <c r="O290" s="111" t="s">
        <v>21</v>
      </c>
      <c r="P290" s="111">
        <f t="shared" si="14"/>
        <v>286</v>
      </c>
    </row>
    <row r="291" spans="1:16" ht="15" customHeight="1" x14ac:dyDescent="0.25">
      <c r="A291" s="111" t="s">
        <v>18</v>
      </c>
      <c r="B291" s="120">
        <v>45933</v>
      </c>
      <c r="C291" s="111">
        <f t="shared" si="12"/>
        <v>906</v>
      </c>
      <c r="D291" s="111">
        <v>1</v>
      </c>
      <c r="E291" s="116"/>
      <c r="G291" s="116" t="s">
        <v>1036</v>
      </c>
      <c r="H291" s="111" t="s">
        <v>1038</v>
      </c>
      <c r="I291" s="111">
        <v>131</v>
      </c>
      <c r="J291" s="111">
        <v>5113</v>
      </c>
      <c r="K291" s="111" t="s">
        <v>20</v>
      </c>
      <c r="L291" s="111">
        <v>1</v>
      </c>
      <c r="M291" s="118">
        <v>26881720</v>
      </c>
      <c r="N291" s="118">
        <f t="shared" si="13"/>
        <v>26881720</v>
      </c>
      <c r="O291" s="111" t="s">
        <v>21</v>
      </c>
      <c r="P291" s="111">
        <f t="shared" si="14"/>
        <v>287</v>
      </c>
    </row>
    <row r="292" spans="1:16" ht="15" customHeight="1" x14ac:dyDescent="0.25">
      <c r="A292" s="111" t="s">
        <v>18</v>
      </c>
      <c r="B292" s="120">
        <v>45933</v>
      </c>
      <c r="C292" s="111">
        <f t="shared" si="12"/>
        <v>906</v>
      </c>
      <c r="D292" s="111">
        <v>0</v>
      </c>
      <c r="E292" s="116"/>
      <c r="G292" s="116" t="s">
        <v>1036</v>
      </c>
      <c r="H292" s="111" t="s">
        <v>1164</v>
      </c>
      <c r="I292" s="111">
        <v>333821</v>
      </c>
      <c r="J292" s="111">
        <v>131</v>
      </c>
      <c r="K292" s="111" t="s">
        <v>20</v>
      </c>
      <c r="L292" s="111">
        <v>1</v>
      </c>
      <c r="M292" s="118">
        <v>268817</v>
      </c>
      <c r="N292" s="118">
        <f t="shared" si="13"/>
        <v>268817</v>
      </c>
      <c r="O292" s="111" t="s">
        <v>21</v>
      </c>
      <c r="P292" s="111">
        <f t="shared" si="14"/>
        <v>287</v>
      </c>
    </row>
    <row r="293" spans="1:16" ht="15" customHeight="1" x14ac:dyDescent="0.25">
      <c r="A293" s="111" t="s">
        <v>18</v>
      </c>
      <c r="B293" s="120">
        <v>45936</v>
      </c>
      <c r="C293" s="111">
        <f t="shared" si="12"/>
        <v>907</v>
      </c>
      <c r="D293" s="111">
        <v>1</v>
      </c>
      <c r="E293" s="116"/>
      <c r="G293" s="116" t="s">
        <v>40</v>
      </c>
      <c r="H293" s="111" t="s">
        <v>1039</v>
      </c>
      <c r="I293" s="111">
        <v>131</v>
      </c>
      <c r="J293" s="111">
        <v>5113</v>
      </c>
      <c r="K293" s="111" t="s">
        <v>20</v>
      </c>
      <c r="L293" s="111">
        <v>1</v>
      </c>
      <c r="M293" s="118">
        <v>55913979</v>
      </c>
      <c r="N293" s="118">
        <f t="shared" si="13"/>
        <v>55913979</v>
      </c>
      <c r="O293" s="111" t="s">
        <v>21</v>
      </c>
      <c r="P293" s="111">
        <f t="shared" si="14"/>
        <v>288</v>
      </c>
    </row>
    <row r="294" spans="1:16" ht="15" customHeight="1" x14ac:dyDescent="0.25">
      <c r="A294" s="111" t="s">
        <v>18</v>
      </c>
      <c r="B294" s="120">
        <v>45936</v>
      </c>
      <c r="C294" s="111">
        <f t="shared" si="12"/>
        <v>907</v>
      </c>
      <c r="D294" s="111">
        <v>0</v>
      </c>
      <c r="E294" s="116"/>
      <c r="G294" s="116" t="s">
        <v>40</v>
      </c>
      <c r="H294" s="111" t="s">
        <v>1165</v>
      </c>
      <c r="I294" s="111">
        <v>333821</v>
      </c>
      <c r="J294" s="111">
        <v>131</v>
      </c>
      <c r="K294" s="111" t="s">
        <v>20</v>
      </c>
      <c r="L294" s="111">
        <v>1</v>
      </c>
      <c r="M294" s="118">
        <v>559140</v>
      </c>
      <c r="N294" s="118">
        <f t="shared" si="13"/>
        <v>559140</v>
      </c>
      <c r="O294" s="111" t="s">
        <v>21</v>
      </c>
      <c r="P294" s="111">
        <f t="shared" si="14"/>
        <v>288</v>
      </c>
    </row>
    <row r="295" spans="1:16" ht="15" customHeight="1" x14ac:dyDescent="0.25">
      <c r="A295" s="111" t="s">
        <v>18</v>
      </c>
      <c r="B295" s="120">
        <v>45937</v>
      </c>
      <c r="C295" s="111">
        <f t="shared" si="12"/>
        <v>908</v>
      </c>
      <c r="D295" s="111">
        <v>1</v>
      </c>
      <c r="E295" s="116"/>
      <c r="G295" s="116" t="s">
        <v>42</v>
      </c>
      <c r="H295" s="111" t="s">
        <v>1040</v>
      </c>
      <c r="I295" s="111">
        <v>131</v>
      </c>
      <c r="J295" s="111">
        <v>5113</v>
      </c>
      <c r="K295" s="111" t="s">
        <v>20</v>
      </c>
      <c r="L295" s="111">
        <v>1</v>
      </c>
      <c r="M295" s="118">
        <v>24193548</v>
      </c>
      <c r="N295" s="118">
        <f t="shared" si="13"/>
        <v>24193548</v>
      </c>
      <c r="O295" s="111" t="s">
        <v>21</v>
      </c>
      <c r="P295" s="111">
        <f t="shared" si="14"/>
        <v>289</v>
      </c>
    </row>
    <row r="296" spans="1:16" ht="15" customHeight="1" x14ac:dyDescent="0.25">
      <c r="A296" s="111" t="s">
        <v>18</v>
      </c>
      <c r="B296" s="120">
        <v>45937</v>
      </c>
      <c r="C296" s="111">
        <f t="shared" si="12"/>
        <v>908</v>
      </c>
      <c r="D296" s="111">
        <v>0</v>
      </c>
      <c r="E296" s="116"/>
      <c r="G296" s="116" t="s">
        <v>42</v>
      </c>
      <c r="H296" s="111" t="s">
        <v>1166</v>
      </c>
      <c r="I296" s="111">
        <v>333821</v>
      </c>
      <c r="J296" s="111">
        <v>131</v>
      </c>
      <c r="K296" s="111" t="s">
        <v>20</v>
      </c>
      <c r="L296" s="111">
        <v>1</v>
      </c>
      <c r="M296" s="118">
        <v>241935</v>
      </c>
      <c r="N296" s="118">
        <f t="shared" si="13"/>
        <v>241935</v>
      </c>
      <c r="O296" s="111" t="s">
        <v>21</v>
      </c>
      <c r="P296" s="111">
        <f t="shared" si="14"/>
        <v>289</v>
      </c>
    </row>
    <row r="297" spans="1:16" ht="15" customHeight="1" x14ac:dyDescent="0.25">
      <c r="A297" s="111" t="s">
        <v>18</v>
      </c>
      <c r="B297" s="120">
        <v>45938</v>
      </c>
      <c r="C297" s="111">
        <f t="shared" si="12"/>
        <v>909</v>
      </c>
      <c r="D297" s="111">
        <v>1</v>
      </c>
      <c r="E297" s="116"/>
      <c r="G297" s="116" t="s">
        <v>82</v>
      </c>
      <c r="H297" s="111" t="s">
        <v>1041</v>
      </c>
      <c r="I297" s="111">
        <v>131</v>
      </c>
      <c r="J297" s="111">
        <v>5113</v>
      </c>
      <c r="K297" s="111" t="s">
        <v>20</v>
      </c>
      <c r="L297" s="111">
        <v>1</v>
      </c>
      <c r="M297" s="118">
        <v>16129032</v>
      </c>
      <c r="N297" s="118">
        <f t="shared" si="13"/>
        <v>16129032</v>
      </c>
      <c r="O297" s="111" t="s">
        <v>21</v>
      </c>
      <c r="P297" s="111">
        <f t="shared" si="14"/>
        <v>290</v>
      </c>
    </row>
    <row r="298" spans="1:16" ht="15" customHeight="1" x14ac:dyDescent="0.25">
      <c r="A298" s="111" t="s">
        <v>18</v>
      </c>
      <c r="B298" s="120">
        <v>45938</v>
      </c>
      <c r="C298" s="111">
        <f t="shared" si="12"/>
        <v>909</v>
      </c>
      <c r="D298" s="111">
        <v>0</v>
      </c>
      <c r="E298" s="116"/>
      <c r="G298" s="116" t="s">
        <v>82</v>
      </c>
      <c r="H298" s="111" t="s">
        <v>1167</v>
      </c>
      <c r="I298" s="111">
        <v>333821</v>
      </c>
      <c r="J298" s="111">
        <v>131</v>
      </c>
      <c r="K298" s="111" t="s">
        <v>20</v>
      </c>
      <c r="L298" s="111">
        <v>1</v>
      </c>
      <c r="M298" s="118">
        <v>161290</v>
      </c>
      <c r="N298" s="118">
        <f t="shared" si="13"/>
        <v>161290</v>
      </c>
      <c r="O298" s="111" t="s">
        <v>21</v>
      </c>
      <c r="P298" s="111">
        <f t="shared" si="14"/>
        <v>290</v>
      </c>
    </row>
    <row r="299" spans="1:16" ht="15" customHeight="1" x14ac:dyDescent="0.25">
      <c r="A299" s="111" t="s">
        <v>18</v>
      </c>
      <c r="B299" s="120">
        <v>45945</v>
      </c>
      <c r="C299" s="111">
        <f t="shared" si="12"/>
        <v>910</v>
      </c>
      <c r="D299" s="111">
        <v>1</v>
      </c>
      <c r="E299" s="116"/>
      <c r="G299" s="116" t="s">
        <v>150</v>
      </c>
      <c r="H299" s="111" t="s">
        <v>1042</v>
      </c>
      <c r="I299" s="111">
        <v>131</v>
      </c>
      <c r="J299" s="111">
        <v>5113</v>
      </c>
      <c r="K299" s="111" t="s">
        <v>20</v>
      </c>
      <c r="L299" s="111">
        <v>1</v>
      </c>
      <c r="M299" s="118">
        <v>161290323</v>
      </c>
      <c r="N299" s="118">
        <f t="shared" si="13"/>
        <v>161290323</v>
      </c>
      <c r="O299" s="111" t="s">
        <v>21</v>
      </c>
      <c r="P299" s="111">
        <f t="shared" si="14"/>
        <v>291</v>
      </c>
    </row>
    <row r="300" spans="1:16" ht="15" customHeight="1" x14ac:dyDescent="0.25">
      <c r="A300" s="111" t="s">
        <v>18</v>
      </c>
      <c r="B300" s="120">
        <v>45945</v>
      </c>
      <c r="C300" s="111">
        <f t="shared" si="12"/>
        <v>910</v>
      </c>
      <c r="D300" s="111">
        <v>0</v>
      </c>
      <c r="E300" s="116"/>
      <c r="G300" s="116" t="s">
        <v>150</v>
      </c>
      <c r="H300" s="111" t="s">
        <v>1168</v>
      </c>
      <c r="I300" s="111">
        <v>333821</v>
      </c>
      <c r="J300" s="111">
        <v>131</v>
      </c>
      <c r="K300" s="111" t="s">
        <v>20</v>
      </c>
      <c r="L300" s="111">
        <v>1</v>
      </c>
      <c r="M300" s="118">
        <v>1612903</v>
      </c>
      <c r="N300" s="118">
        <f t="shared" si="13"/>
        <v>1612903</v>
      </c>
      <c r="O300" s="111" t="s">
        <v>21</v>
      </c>
      <c r="P300" s="111">
        <f t="shared" si="14"/>
        <v>291</v>
      </c>
    </row>
    <row r="301" spans="1:16" ht="15" customHeight="1" x14ac:dyDescent="0.25">
      <c r="A301" s="111" t="s">
        <v>18</v>
      </c>
      <c r="B301" s="120">
        <v>45945</v>
      </c>
      <c r="C301" s="111">
        <f t="shared" si="12"/>
        <v>911</v>
      </c>
      <c r="D301" s="111">
        <v>1</v>
      </c>
      <c r="E301" s="116"/>
      <c r="G301" s="116" t="s">
        <v>50</v>
      </c>
      <c r="H301" s="111" t="s">
        <v>1043</v>
      </c>
      <c r="I301" s="111">
        <v>131</v>
      </c>
      <c r="J301" s="111">
        <v>5113</v>
      </c>
      <c r="K301" s="111" t="s">
        <v>20</v>
      </c>
      <c r="L301" s="111">
        <v>1</v>
      </c>
      <c r="M301" s="118">
        <v>19354839</v>
      </c>
      <c r="N301" s="118">
        <f t="shared" si="13"/>
        <v>19354839</v>
      </c>
      <c r="O301" s="111" t="s">
        <v>21</v>
      </c>
      <c r="P301" s="111">
        <f t="shared" si="14"/>
        <v>292</v>
      </c>
    </row>
    <row r="302" spans="1:16" ht="15" customHeight="1" x14ac:dyDescent="0.25">
      <c r="A302" s="111" t="s">
        <v>18</v>
      </c>
      <c r="B302" s="120">
        <v>45945</v>
      </c>
      <c r="C302" s="111">
        <f t="shared" si="12"/>
        <v>911</v>
      </c>
      <c r="D302" s="111">
        <v>0</v>
      </c>
      <c r="E302" s="116"/>
      <c r="G302" s="116" t="s">
        <v>50</v>
      </c>
      <c r="H302" s="111" t="s">
        <v>1169</v>
      </c>
      <c r="I302" s="111">
        <v>333821</v>
      </c>
      <c r="J302" s="111">
        <v>131</v>
      </c>
      <c r="K302" s="111" t="s">
        <v>20</v>
      </c>
      <c r="L302" s="111">
        <v>1</v>
      </c>
      <c r="M302" s="118">
        <v>193548</v>
      </c>
      <c r="N302" s="118">
        <f t="shared" si="13"/>
        <v>193548</v>
      </c>
      <c r="O302" s="111" t="s">
        <v>21</v>
      </c>
      <c r="P302" s="111">
        <f t="shared" si="14"/>
        <v>292</v>
      </c>
    </row>
    <row r="303" spans="1:16" ht="15" customHeight="1" x14ac:dyDescent="0.25">
      <c r="A303" s="111" t="s">
        <v>18</v>
      </c>
      <c r="B303" s="120">
        <v>45951</v>
      </c>
      <c r="C303" s="111">
        <f t="shared" si="12"/>
        <v>912</v>
      </c>
      <c r="D303" s="111">
        <v>1</v>
      </c>
      <c r="E303" s="116"/>
      <c r="G303" s="116" t="s">
        <v>40</v>
      </c>
      <c r="H303" s="111" t="s">
        <v>1044</v>
      </c>
      <c r="I303" s="111">
        <v>131</v>
      </c>
      <c r="J303" s="111">
        <v>5113</v>
      </c>
      <c r="K303" s="111" t="s">
        <v>20</v>
      </c>
      <c r="L303" s="111">
        <v>1</v>
      </c>
      <c r="M303" s="118">
        <v>53763440</v>
      </c>
      <c r="N303" s="118">
        <f t="shared" si="13"/>
        <v>53763440</v>
      </c>
      <c r="O303" s="111" t="s">
        <v>21</v>
      </c>
      <c r="P303" s="111">
        <f t="shared" si="14"/>
        <v>293</v>
      </c>
    </row>
    <row r="304" spans="1:16" ht="15" customHeight="1" x14ac:dyDescent="0.25">
      <c r="A304" s="111" t="s">
        <v>18</v>
      </c>
      <c r="B304" s="120">
        <v>45951</v>
      </c>
      <c r="C304" s="111">
        <f t="shared" si="12"/>
        <v>912</v>
      </c>
      <c r="D304" s="111">
        <v>0</v>
      </c>
      <c r="E304" s="116"/>
      <c r="G304" s="116" t="s">
        <v>40</v>
      </c>
      <c r="H304" s="111" t="s">
        <v>1170</v>
      </c>
      <c r="I304" s="111">
        <v>333821</v>
      </c>
      <c r="J304" s="111">
        <v>131</v>
      </c>
      <c r="K304" s="111" t="s">
        <v>20</v>
      </c>
      <c r="L304" s="111">
        <v>1</v>
      </c>
      <c r="M304" s="118">
        <v>537634</v>
      </c>
      <c r="N304" s="118">
        <f t="shared" si="13"/>
        <v>537634</v>
      </c>
      <c r="O304" s="111" t="s">
        <v>21</v>
      </c>
      <c r="P304" s="111">
        <f t="shared" si="14"/>
        <v>293</v>
      </c>
    </row>
    <row r="305" spans="1:16" ht="15" customHeight="1" x14ac:dyDescent="0.25">
      <c r="A305" s="111" t="s">
        <v>18</v>
      </c>
      <c r="B305" s="120">
        <v>45960</v>
      </c>
      <c r="C305" s="111">
        <f t="shared" si="12"/>
        <v>913</v>
      </c>
      <c r="D305" s="111">
        <v>1</v>
      </c>
      <c r="E305" s="116"/>
      <c r="G305" s="116" t="s">
        <v>29</v>
      </c>
      <c r="H305" s="111" t="s">
        <v>1045</v>
      </c>
      <c r="I305" s="111">
        <v>131</v>
      </c>
      <c r="J305" s="111">
        <v>5113</v>
      </c>
      <c r="K305" s="111" t="s">
        <v>20</v>
      </c>
      <c r="L305" s="111">
        <v>1</v>
      </c>
      <c r="M305" s="118">
        <v>69892473</v>
      </c>
      <c r="N305" s="118">
        <f t="shared" si="13"/>
        <v>69892473</v>
      </c>
      <c r="O305" s="111" t="s">
        <v>21</v>
      </c>
      <c r="P305" s="111">
        <f t="shared" si="14"/>
        <v>294</v>
      </c>
    </row>
    <row r="306" spans="1:16" ht="15" customHeight="1" x14ac:dyDescent="0.25">
      <c r="A306" s="111" t="s">
        <v>18</v>
      </c>
      <c r="B306" s="120">
        <v>45960</v>
      </c>
      <c r="C306" s="111">
        <f t="shared" si="12"/>
        <v>913</v>
      </c>
      <c r="D306" s="111">
        <v>0</v>
      </c>
      <c r="E306" s="116"/>
      <c r="G306" s="116" t="s">
        <v>29</v>
      </c>
      <c r="H306" s="111" t="s">
        <v>1171</v>
      </c>
      <c r="I306" s="111">
        <v>333821</v>
      </c>
      <c r="J306" s="111">
        <v>131</v>
      </c>
      <c r="K306" s="111" t="s">
        <v>20</v>
      </c>
      <c r="L306" s="111">
        <v>1</v>
      </c>
      <c r="M306" s="118">
        <v>698925</v>
      </c>
      <c r="N306" s="118">
        <f t="shared" si="13"/>
        <v>698925</v>
      </c>
      <c r="O306" s="111" t="s">
        <v>21</v>
      </c>
      <c r="P306" s="111">
        <f t="shared" si="14"/>
        <v>294</v>
      </c>
    </row>
    <row r="307" spans="1:16" ht="15" customHeight="1" x14ac:dyDescent="0.25">
      <c r="A307" s="111" t="s">
        <v>18</v>
      </c>
      <c r="B307" s="120" t="s">
        <v>292</v>
      </c>
      <c r="C307" s="111">
        <f t="shared" si="12"/>
        <v>914</v>
      </c>
      <c r="D307" s="111">
        <v>1</v>
      </c>
      <c r="E307" s="116"/>
      <c r="G307" s="116" t="s">
        <v>46</v>
      </c>
      <c r="H307" s="111" t="s">
        <v>2694</v>
      </c>
      <c r="I307" s="111">
        <v>131</v>
      </c>
      <c r="J307" s="111">
        <v>5113</v>
      </c>
      <c r="K307" s="111" t="s">
        <v>20</v>
      </c>
      <c r="L307" s="111">
        <v>1</v>
      </c>
      <c r="M307" s="118">
        <v>26881720</v>
      </c>
      <c r="N307" s="118">
        <f t="shared" si="13"/>
        <v>26881720</v>
      </c>
      <c r="O307" s="111" t="s">
        <v>21</v>
      </c>
      <c r="P307" s="111">
        <f t="shared" si="14"/>
        <v>295</v>
      </c>
    </row>
    <row r="308" spans="1:16" ht="15" customHeight="1" x14ac:dyDescent="0.25">
      <c r="A308" s="111" t="s">
        <v>18</v>
      </c>
      <c r="B308" s="120" t="s">
        <v>292</v>
      </c>
      <c r="C308" s="111">
        <f t="shared" si="12"/>
        <v>914</v>
      </c>
      <c r="D308" s="111">
        <v>0</v>
      </c>
      <c r="E308" s="116"/>
      <c r="G308" s="116" t="s">
        <v>46</v>
      </c>
      <c r="H308" s="111" t="s">
        <v>2702</v>
      </c>
      <c r="I308" s="111">
        <v>333821</v>
      </c>
      <c r="J308" s="111">
        <v>131</v>
      </c>
      <c r="K308" s="111" t="s">
        <v>20</v>
      </c>
      <c r="L308" s="111">
        <v>1</v>
      </c>
      <c r="M308" s="118">
        <v>268817</v>
      </c>
      <c r="N308" s="118">
        <f t="shared" si="13"/>
        <v>268817</v>
      </c>
      <c r="O308" s="111" t="s">
        <v>21</v>
      </c>
      <c r="P308" s="111">
        <f t="shared" si="14"/>
        <v>295</v>
      </c>
    </row>
    <row r="309" spans="1:16" ht="15" customHeight="1" x14ac:dyDescent="0.25">
      <c r="A309" s="111" t="s">
        <v>18</v>
      </c>
      <c r="B309" s="120" t="s">
        <v>314</v>
      </c>
      <c r="C309" s="111">
        <f t="shared" si="12"/>
        <v>915</v>
      </c>
      <c r="D309" s="111">
        <v>1</v>
      </c>
      <c r="E309" s="116"/>
      <c r="G309" s="116" t="s">
        <v>534</v>
      </c>
      <c r="H309" s="111" t="s">
        <v>2695</v>
      </c>
      <c r="I309" s="111">
        <v>131</v>
      </c>
      <c r="J309" s="111">
        <v>5113</v>
      </c>
      <c r="K309" s="111" t="s">
        <v>20</v>
      </c>
      <c r="L309" s="111">
        <v>1</v>
      </c>
      <c r="M309" s="118">
        <v>10752688</v>
      </c>
      <c r="N309" s="118">
        <f t="shared" si="13"/>
        <v>10752688</v>
      </c>
      <c r="O309" s="111" t="s">
        <v>21</v>
      </c>
      <c r="P309" s="111">
        <f t="shared" si="14"/>
        <v>296</v>
      </c>
    </row>
    <row r="310" spans="1:16" ht="15" customHeight="1" x14ac:dyDescent="0.25">
      <c r="A310" s="111" t="s">
        <v>18</v>
      </c>
      <c r="B310" s="120" t="s">
        <v>314</v>
      </c>
      <c r="C310" s="111">
        <f t="shared" si="12"/>
        <v>915</v>
      </c>
      <c r="D310" s="111">
        <v>0</v>
      </c>
      <c r="E310" s="116"/>
      <c r="G310" s="116" t="s">
        <v>534</v>
      </c>
      <c r="H310" s="111" t="s">
        <v>2703</v>
      </c>
      <c r="I310" s="111">
        <v>333821</v>
      </c>
      <c r="J310" s="111">
        <v>131</v>
      </c>
      <c r="K310" s="111" t="s">
        <v>20</v>
      </c>
      <c r="L310" s="111">
        <v>1</v>
      </c>
      <c r="M310" s="118">
        <v>107527</v>
      </c>
      <c r="N310" s="118">
        <f t="shared" si="13"/>
        <v>107527</v>
      </c>
      <c r="O310" s="111" t="s">
        <v>21</v>
      </c>
      <c r="P310" s="111">
        <f t="shared" si="14"/>
        <v>296</v>
      </c>
    </row>
    <row r="311" spans="1:16" ht="15" customHeight="1" x14ac:dyDescent="0.25">
      <c r="A311" s="111" t="s">
        <v>18</v>
      </c>
      <c r="B311" s="120" t="s">
        <v>470</v>
      </c>
      <c r="C311" s="111">
        <f t="shared" si="12"/>
        <v>916</v>
      </c>
      <c r="D311" s="111">
        <v>1</v>
      </c>
      <c r="E311" s="116"/>
      <c r="G311" s="116" t="s">
        <v>82</v>
      </c>
      <c r="H311" s="111" t="s">
        <v>2696</v>
      </c>
      <c r="I311" s="111">
        <v>131</v>
      </c>
      <c r="J311" s="111">
        <v>5113</v>
      </c>
      <c r="K311" s="111" t="s">
        <v>20</v>
      </c>
      <c r="L311" s="111">
        <v>1</v>
      </c>
      <c r="M311" s="118">
        <v>16129032</v>
      </c>
      <c r="N311" s="118">
        <f t="shared" si="13"/>
        <v>16129032</v>
      </c>
      <c r="O311" s="111" t="s">
        <v>21</v>
      </c>
      <c r="P311" s="111">
        <f t="shared" si="14"/>
        <v>297</v>
      </c>
    </row>
    <row r="312" spans="1:16" ht="15" customHeight="1" x14ac:dyDescent="0.25">
      <c r="A312" s="111" t="s">
        <v>18</v>
      </c>
      <c r="B312" s="120" t="s">
        <v>470</v>
      </c>
      <c r="C312" s="111">
        <f t="shared" si="12"/>
        <v>916</v>
      </c>
      <c r="D312" s="111">
        <v>0</v>
      </c>
      <c r="E312" s="116"/>
      <c r="G312" s="116" t="s">
        <v>82</v>
      </c>
      <c r="H312" s="111" t="s">
        <v>2704</v>
      </c>
      <c r="I312" s="111">
        <v>333821</v>
      </c>
      <c r="J312" s="111">
        <v>131</v>
      </c>
      <c r="K312" s="111" t="s">
        <v>20</v>
      </c>
      <c r="L312" s="111">
        <v>1</v>
      </c>
      <c r="M312" s="118">
        <v>161290</v>
      </c>
      <c r="N312" s="118">
        <f t="shared" si="13"/>
        <v>161290</v>
      </c>
      <c r="O312" s="111" t="s">
        <v>21</v>
      </c>
      <c r="P312" s="111">
        <f t="shared" si="14"/>
        <v>297</v>
      </c>
    </row>
    <row r="313" spans="1:16" ht="15" customHeight="1" x14ac:dyDescent="0.25">
      <c r="A313" s="111" t="s">
        <v>18</v>
      </c>
      <c r="B313" s="120" t="s">
        <v>470</v>
      </c>
      <c r="C313" s="111">
        <f t="shared" si="12"/>
        <v>917</v>
      </c>
      <c r="D313" s="111">
        <v>1</v>
      </c>
      <c r="E313" s="116"/>
      <c r="G313" s="116" t="s">
        <v>1036</v>
      </c>
      <c r="H313" s="111" t="s">
        <v>2697</v>
      </c>
      <c r="I313" s="111">
        <v>131</v>
      </c>
      <c r="J313" s="111">
        <v>5113</v>
      </c>
      <c r="K313" s="111" t="s">
        <v>20</v>
      </c>
      <c r="L313" s="111">
        <v>1</v>
      </c>
      <c r="M313" s="118">
        <v>21505377</v>
      </c>
      <c r="N313" s="118">
        <f t="shared" si="13"/>
        <v>21505377</v>
      </c>
      <c r="O313" s="111" t="s">
        <v>21</v>
      </c>
      <c r="P313" s="111">
        <f t="shared" si="14"/>
        <v>298</v>
      </c>
    </row>
    <row r="314" spans="1:16" ht="15" customHeight="1" x14ac:dyDescent="0.25">
      <c r="A314" s="111" t="s">
        <v>18</v>
      </c>
      <c r="B314" s="120" t="s">
        <v>470</v>
      </c>
      <c r="C314" s="111">
        <f t="shared" si="12"/>
        <v>917</v>
      </c>
      <c r="D314" s="111">
        <v>0</v>
      </c>
      <c r="E314" s="116"/>
      <c r="G314" s="116" t="s">
        <v>1036</v>
      </c>
      <c r="H314" s="111" t="s">
        <v>2705</v>
      </c>
      <c r="I314" s="111">
        <v>333821</v>
      </c>
      <c r="J314" s="111">
        <v>131</v>
      </c>
      <c r="K314" s="111" t="s">
        <v>20</v>
      </c>
      <c r="L314" s="111">
        <v>1</v>
      </c>
      <c r="M314" s="118">
        <v>215054</v>
      </c>
      <c r="N314" s="118">
        <f t="shared" si="13"/>
        <v>215054</v>
      </c>
      <c r="O314" s="111" t="s">
        <v>21</v>
      </c>
      <c r="P314" s="111">
        <f t="shared" si="14"/>
        <v>298</v>
      </c>
    </row>
    <row r="315" spans="1:16" ht="15" customHeight="1" x14ac:dyDescent="0.25">
      <c r="A315" s="111" t="s">
        <v>18</v>
      </c>
      <c r="B315" s="120" t="s">
        <v>470</v>
      </c>
      <c r="C315" s="111">
        <f t="shared" si="12"/>
        <v>918</v>
      </c>
      <c r="D315" s="111">
        <v>1</v>
      </c>
      <c r="E315" s="116"/>
      <c r="G315" s="116" t="s">
        <v>29</v>
      </c>
      <c r="H315" s="111" t="s">
        <v>2698</v>
      </c>
      <c r="I315" s="111">
        <v>131</v>
      </c>
      <c r="J315" s="111">
        <v>5113</v>
      </c>
      <c r="K315" s="111" t="s">
        <v>20</v>
      </c>
      <c r="L315" s="111">
        <v>1</v>
      </c>
      <c r="M315" s="118">
        <v>16129032</v>
      </c>
      <c r="N315" s="118">
        <f t="shared" si="13"/>
        <v>16129032</v>
      </c>
      <c r="O315" s="111" t="s">
        <v>21</v>
      </c>
      <c r="P315" s="111">
        <f t="shared" si="14"/>
        <v>299</v>
      </c>
    </row>
    <row r="316" spans="1:16" ht="15" customHeight="1" x14ac:dyDescent="0.25">
      <c r="A316" s="111" t="s">
        <v>18</v>
      </c>
      <c r="B316" s="120" t="s">
        <v>470</v>
      </c>
      <c r="C316" s="111">
        <f t="shared" si="12"/>
        <v>918</v>
      </c>
      <c r="D316" s="111">
        <v>0</v>
      </c>
      <c r="E316" s="116"/>
      <c r="G316" s="116" t="s">
        <v>29</v>
      </c>
      <c r="H316" s="111" t="s">
        <v>2706</v>
      </c>
      <c r="I316" s="111">
        <v>333821</v>
      </c>
      <c r="J316" s="111">
        <v>131</v>
      </c>
      <c r="K316" s="111" t="s">
        <v>20</v>
      </c>
      <c r="L316" s="111">
        <v>1</v>
      </c>
      <c r="M316" s="118">
        <v>0</v>
      </c>
      <c r="N316" s="118">
        <f t="shared" si="13"/>
        <v>0</v>
      </c>
      <c r="O316" s="111" t="s">
        <v>21</v>
      </c>
      <c r="P316" s="111">
        <f t="shared" si="14"/>
        <v>299</v>
      </c>
    </row>
    <row r="317" spans="1:16" ht="15" customHeight="1" x14ac:dyDescent="0.25">
      <c r="A317" s="111" t="s">
        <v>18</v>
      </c>
      <c r="B317" s="120" t="s">
        <v>316</v>
      </c>
      <c r="C317" s="111">
        <f t="shared" si="12"/>
        <v>919</v>
      </c>
      <c r="D317" s="111">
        <v>1</v>
      </c>
      <c r="E317" s="116"/>
      <c r="G317" s="116" t="s">
        <v>534</v>
      </c>
      <c r="H317" s="111" t="s">
        <v>2699</v>
      </c>
      <c r="I317" s="111">
        <v>131</v>
      </c>
      <c r="J317" s="111">
        <v>5113</v>
      </c>
      <c r="K317" s="111" t="s">
        <v>20</v>
      </c>
      <c r="L317" s="111">
        <v>1</v>
      </c>
      <c r="M317" s="118">
        <v>10752689</v>
      </c>
      <c r="N317" s="118">
        <f t="shared" si="13"/>
        <v>10752689</v>
      </c>
      <c r="O317" s="111" t="s">
        <v>21</v>
      </c>
      <c r="P317" s="111">
        <f t="shared" si="14"/>
        <v>300</v>
      </c>
    </row>
    <row r="318" spans="1:16" ht="15" customHeight="1" x14ac:dyDescent="0.25">
      <c r="A318" s="111" t="s">
        <v>18</v>
      </c>
      <c r="B318" s="120" t="s">
        <v>316</v>
      </c>
      <c r="C318" s="111">
        <f t="shared" si="12"/>
        <v>919</v>
      </c>
      <c r="D318" s="111">
        <v>0</v>
      </c>
      <c r="E318" s="116"/>
      <c r="G318" s="116" t="s">
        <v>534</v>
      </c>
      <c r="H318" s="111" t="s">
        <v>2707</v>
      </c>
      <c r="I318" s="111">
        <v>333821</v>
      </c>
      <c r="J318" s="111">
        <v>131</v>
      </c>
      <c r="K318" s="111" t="s">
        <v>20</v>
      </c>
      <c r="L318" s="111">
        <v>1</v>
      </c>
      <c r="M318" s="118">
        <v>107527</v>
      </c>
      <c r="N318" s="118">
        <f t="shared" si="13"/>
        <v>107527</v>
      </c>
      <c r="O318" s="111" t="s">
        <v>21</v>
      </c>
      <c r="P318" s="111">
        <f t="shared" si="14"/>
        <v>300</v>
      </c>
    </row>
    <row r="319" spans="1:16" ht="15" customHeight="1" x14ac:dyDescent="0.25">
      <c r="A319" s="111" t="s">
        <v>18</v>
      </c>
      <c r="B319" s="120" t="s">
        <v>317</v>
      </c>
      <c r="C319" s="111">
        <f t="shared" si="12"/>
        <v>920</v>
      </c>
      <c r="D319" s="111">
        <v>1</v>
      </c>
      <c r="E319" s="116"/>
      <c r="G319" s="116" t="s">
        <v>110</v>
      </c>
      <c r="H319" s="111" t="s">
        <v>2700</v>
      </c>
      <c r="I319" s="111">
        <v>131</v>
      </c>
      <c r="J319" s="111">
        <v>5113</v>
      </c>
      <c r="K319" s="111" t="s">
        <v>20</v>
      </c>
      <c r="L319" s="111">
        <v>1</v>
      </c>
      <c r="M319" s="118">
        <v>45142366</v>
      </c>
      <c r="N319" s="118">
        <f t="shared" si="13"/>
        <v>45142366</v>
      </c>
      <c r="O319" s="111" t="s">
        <v>21</v>
      </c>
      <c r="P319" s="111">
        <f t="shared" si="14"/>
        <v>301</v>
      </c>
    </row>
    <row r="320" spans="1:16" ht="15" customHeight="1" x14ac:dyDescent="0.25">
      <c r="A320" s="111" t="s">
        <v>18</v>
      </c>
      <c r="B320" s="120" t="s">
        <v>317</v>
      </c>
      <c r="C320" s="111">
        <f t="shared" si="12"/>
        <v>920</v>
      </c>
      <c r="D320" s="111">
        <v>0</v>
      </c>
      <c r="E320" s="116"/>
      <c r="G320" s="116" t="s">
        <v>110</v>
      </c>
      <c r="H320" s="111" t="s">
        <v>2708</v>
      </c>
      <c r="I320" s="111">
        <v>333821</v>
      </c>
      <c r="J320" s="111">
        <v>131</v>
      </c>
      <c r="K320" s="111" t="s">
        <v>20</v>
      </c>
      <c r="L320" s="111">
        <v>1</v>
      </c>
      <c r="M320" s="118">
        <v>451424</v>
      </c>
      <c r="N320" s="118">
        <f t="shared" si="13"/>
        <v>451424</v>
      </c>
      <c r="O320" s="111" t="s">
        <v>21</v>
      </c>
      <c r="P320" s="111">
        <f t="shared" si="14"/>
        <v>301</v>
      </c>
    </row>
    <row r="321" spans="1:18" ht="15" customHeight="1" x14ac:dyDescent="0.25">
      <c r="A321" s="111" t="s">
        <v>18</v>
      </c>
      <c r="B321" s="120" t="s">
        <v>318</v>
      </c>
      <c r="C321" s="111">
        <f t="shared" si="12"/>
        <v>921</v>
      </c>
      <c r="D321" s="111">
        <v>1</v>
      </c>
      <c r="E321" s="116"/>
      <c r="G321" s="116" t="s">
        <v>150</v>
      </c>
      <c r="H321" s="111" t="s">
        <v>2701</v>
      </c>
      <c r="I321" s="111">
        <v>131</v>
      </c>
      <c r="J321" s="111">
        <v>5113</v>
      </c>
      <c r="K321" s="111" t="s">
        <v>20</v>
      </c>
      <c r="L321" s="111">
        <v>1</v>
      </c>
      <c r="M321" s="118">
        <v>161290322</v>
      </c>
      <c r="N321" s="118">
        <f t="shared" si="13"/>
        <v>161290322</v>
      </c>
      <c r="O321" s="111" t="s">
        <v>21</v>
      </c>
      <c r="P321" s="111">
        <f t="shared" si="14"/>
        <v>302</v>
      </c>
    </row>
    <row r="322" spans="1:18" ht="15" customHeight="1" x14ac:dyDescent="0.25">
      <c r="A322" s="111" t="s">
        <v>18</v>
      </c>
      <c r="B322" s="120" t="s">
        <v>318</v>
      </c>
      <c r="C322" s="111">
        <f t="shared" si="12"/>
        <v>921</v>
      </c>
      <c r="D322" s="111">
        <v>0</v>
      </c>
      <c r="E322" s="116"/>
      <c r="G322" s="116" t="s">
        <v>150</v>
      </c>
      <c r="H322" s="111" t="s">
        <v>2709</v>
      </c>
      <c r="I322" s="111">
        <v>333821</v>
      </c>
      <c r="J322" s="111">
        <v>131</v>
      </c>
      <c r="K322" s="111" t="s">
        <v>20</v>
      </c>
      <c r="L322" s="111">
        <v>1</v>
      </c>
      <c r="M322" s="118">
        <v>1612903</v>
      </c>
      <c r="N322" s="118">
        <f t="shared" si="13"/>
        <v>1612903</v>
      </c>
      <c r="O322" s="111" t="s">
        <v>21</v>
      </c>
      <c r="P322" s="111">
        <f t="shared" si="14"/>
        <v>302</v>
      </c>
    </row>
    <row r="323" spans="1:18" ht="15" customHeight="1" x14ac:dyDescent="0.25">
      <c r="A323" s="111" t="s">
        <v>18</v>
      </c>
      <c r="B323" s="120">
        <v>46000</v>
      </c>
      <c r="C323" s="111">
        <f t="shared" si="12"/>
        <v>922</v>
      </c>
      <c r="D323" s="111">
        <v>1</v>
      </c>
      <c r="E323" s="116"/>
      <c r="G323" s="116" t="s">
        <v>40</v>
      </c>
      <c r="H323" s="111" t="s">
        <v>1046</v>
      </c>
      <c r="I323" s="111">
        <v>131</v>
      </c>
      <c r="J323" s="111">
        <v>5113</v>
      </c>
      <c r="K323" s="111" t="s">
        <v>20</v>
      </c>
      <c r="L323" s="111">
        <v>1</v>
      </c>
      <c r="M323" s="118">
        <v>15053764</v>
      </c>
      <c r="N323" s="118">
        <f t="shared" si="13"/>
        <v>15053764</v>
      </c>
      <c r="O323" s="111" t="s">
        <v>21</v>
      </c>
      <c r="P323" s="111">
        <f t="shared" si="14"/>
        <v>303</v>
      </c>
    </row>
    <row r="324" spans="1:18" ht="15" customHeight="1" x14ac:dyDescent="0.25">
      <c r="A324" s="111" t="s">
        <v>18</v>
      </c>
      <c r="B324" s="120">
        <v>46000</v>
      </c>
      <c r="C324" s="111">
        <f t="shared" ref="C324:C387" si="15">C323+D324</f>
        <v>922</v>
      </c>
      <c r="D324" s="111">
        <v>0</v>
      </c>
      <c r="E324" s="116"/>
      <c r="G324" s="116" t="s">
        <v>40</v>
      </c>
      <c r="H324" s="111" t="s">
        <v>1172</v>
      </c>
      <c r="I324" s="111">
        <v>333821</v>
      </c>
      <c r="J324" s="111">
        <v>131</v>
      </c>
      <c r="K324" s="111" t="s">
        <v>20</v>
      </c>
      <c r="L324" s="111">
        <v>1</v>
      </c>
      <c r="M324" s="118">
        <v>150538</v>
      </c>
      <c r="N324" s="118">
        <f t="shared" ref="N324:N387" si="16">M324*L324</f>
        <v>150538</v>
      </c>
      <c r="O324" s="111" t="s">
        <v>21</v>
      </c>
      <c r="P324" s="111">
        <f t="shared" si="14"/>
        <v>303</v>
      </c>
    </row>
    <row r="325" spans="1:18" ht="15" customHeight="1" x14ac:dyDescent="0.25">
      <c r="A325" s="111" t="s">
        <v>18</v>
      </c>
      <c r="B325" s="120">
        <v>46001</v>
      </c>
      <c r="C325" s="111">
        <f t="shared" si="15"/>
        <v>923</v>
      </c>
      <c r="D325" s="111">
        <v>1</v>
      </c>
      <c r="E325" s="116"/>
      <c r="G325" s="116" t="s">
        <v>46</v>
      </c>
      <c r="H325" s="111" t="s">
        <v>1047</v>
      </c>
      <c r="I325" s="111">
        <v>131</v>
      </c>
      <c r="J325" s="111">
        <v>5113</v>
      </c>
      <c r="K325" s="111" t="s">
        <v>20</v>
      </c>
      <c r="L325" s="111">
        <v>1</v>
      </c>
      <c r="M325" s="118">
        <v>26881720</v>
      </c>
      <c r="N325" s="118">
        <f t="shared" si="16"/>
        <v>26881720</v>
      </c>
      <c r="O325" s="111" t="s">
        <v>21</v>
      </c>
      <c r="P325" s="111">
        <f t="shared" ref="P325:P388" si="17">P324+D325</f>
        <v>304</v>
      </c>
    </row>
    <row r="326" spans="1:18" ht="15" customHeight="1" x14ac:dyDescent="0.25">
      <c r="A326" s="111" t="s">
        <v>18</v>
      </c>
      <c r="B326" s="120">
        <v>46001</v>
      </c>
      <c r="C326" s="111">
        <f t="shared" si="15"/>
        <v>923</v>
      </c>
      <c r="D326" s="111">
        <v>0</v>
      </c>
      <c r="E326" s="116"/>
      <c r="G326" s="116" t="s">
        <v>46</v>
      </c>
      <c r="H326" s="111" t="s">
        <v>1173</v>
      </c>
      <c r="I326" s="111">
        <v>333821</v>
      </c>
      <c r="J326" s="111">
        <v>131</v>
      </c>
      <c r="K326" s="111" t="s">
        <v>20</v>
      </c>
      <c r="L326" s="111">
        <v>1</v>
      </c>
      <c r="M326" s="118">
        <v>268817</v>
      </c>
      <c r="N326" s="118">
        <f t="shared" si="16"/>
        <v>268817</v>
      </c>
      <c r="O326" s="111" t="s">
        <v>21</v>
      </c>
      <c r="P326" s="111">
        <f t="shared" si="17"/>
        <v>304</v>
      </c>
    </row>
    <row r="327" spans="1:18" ht="15" customHeight="1" x14ac:dyDescent="0.25">
      <c r="A327" s="111" t="s">
        <v>18</v>
      </c>
      <c r="B327" s="120">
        <v>46003</v>
      </c>
      <c r="C327" s="111">
        <f t="shared" si="15"/>
        <v>924</v>
      </c>
      <c r="D327" s="111">
        <v>1</v>
      </c>
      <c r="E327" s="116"/>
      <c r="G327" s="116" t="s">
        <v>1036</v>
      </c>
      <c r="H327" s="111" t="s">
        <v>1048</v>
      </c>
      <c r="I327" s="111">
        <v>131</v>
      </c>
      <c r="J327" s="111">
        <v>5113</v>
      </c>
      <c r="K327" s="111" t="s">
        <v>20</v>
      </c>
      <c r="L327" s="111">
        <v>1</v>
      </c>
      <c r="M327" s="118">
        <v>21505376</v>
      </c>
      <c r="N327" s="118">
        <f t="shared" si="16"/>
        <v>21505376</v>
      </c>
      <c r="O327" s="111" t="s">
        <v>21</v>
      </c>
      <c r="P327" s="111">
        <f t="shared" si="17"/>
        <v>305</v>
      </c>
    </row>
    <row r="328" spans="1:18" ht="15" customHeight="1" x14ac:dyDescent="0.25">
      <c r="A328" s="111" t="s">
        <v>18</v>
      </c>
      <c r="B328" s="120">
        <v>46003</v>
      </c>
      <c r="C328" s="111">
        <f t="shared" si="15"/>
        <v>924</v>
      </c>
      <c r="D328" s="111">
        <v>0</v>
      </c>
      <c r="E328" s="116"/>
      <c r="G328" s="116" t="s">
        <v>1036</v>
      </c>
      <c r="H328" s="111" t="s">
        <v>1174</v>
      </c>
      <c r="I328" s="111">
        <v>333821</v>
      </c>
      <c r="J328" s="111">
        <v>131</v>
      </c>
      <c r="K328" s="111" t="s">
        <v>20</v>
      </c>
      <c r="L328" s="111">
        <v>1</v>
      </c>
      <c r="M328" s="118">
        <v>215054</v>
      </c>
      <c r="N328" s="118">
        <f t="shared" si="16"/>
        <v>215054</v>
      </c>
      <c r="O328" s="111" t="s">
        <v>21</v>
      </c>
      <c r="P328" s="111">
        <f t="shared" si="17"/>
        <v>305</v>
      </c>
    </row>
    <row r="329" spans="1:18" ht="15" customHeight="1" x14ac:dyDescent="0.25">
      <c r="A329" s="111" t="s">
        <v>18</v>
      </c>
      <c r="B329" s="120">
        <v>46008</v>
      </c>
      <c r="C329" s="111">
        <f t="shared" si="15"/>
        <v>925</v>
      </c>
      <c r="D329" s="111">
        <v>1</v>
      </c>
      <c r="E329" s="116"/>
      <c r="G329" s="116" t="s">
        <v>113</v>
      </c>
      <c r="H329" s="111" t="s">
        <v>1049</v>
      </c>
      <c r="I329" s="111">
        <v>131</v>
      </c>
      <c r="J329" s="111">
        <v>5113</v>
      </c>
      <c r="K329" s="111" t="s">
        <v>20</v>
      </c>
      <c r="L329" s="111">
        <v>1</v>
      </c>
      <c r="M329" s="118">
        <v>10752688</v>
      </c>
      <c r="N329" s="118">
        <f t="shared" si="16"/>
        <v>10752688</v>
      </c>
      <c r="O329" s="111" t="s">
        <v>21</v>
      </c>
      <c r="P329" s="111">
        <f t="shared" si="17"/>
        <v>306</v>
      </c>
    </row>
    <row r="330" spans="1:18" ht="15" customHeight="1" x14ac:dyDescent="0.25">
      <c r="A330" s="111" t="s">
        <v>18</v>
      </c>
      <c r="B330" s="120">
        <v>46008</v>
      </c>
      <c r="C330" s="111">
        <f t="shared" si="15"/>
        <v>925</v>
      </c>
      <c r="D330" s="111">
        <v>0</v>
      </c>
      <c r="E330" s="116"/>
      <c r="G330" s="116" t="s">
        <v>113</v>
      </c>
      <c r="H330" s="111" t="s">
        <v>1175</v>
      </c>
      <c r="I330" s="111">
        <v>333821</v>
      </c>
      <c r="J330" s="111">
        <v>131</v>
      </c>
      <c r="K330" s="111" t="s">
        <v>20</v>
      </c>
      <c r="L330" s="111">
        <v>1</v>
      </c>
      <c r="M330" s="118">
        <v>107527</v>
      </c>
      <c r="N330" s="118">
        <f t="shared" si="16"/>
        <v>107527</v>
      </c>
      <c r="O330" s="111" t="s">
        <v>21</v>
      </c>
      <c r="P330" s="111">
        <f t="shared" si="17"/>
        <v>306</v>
      </c>
      <c r="Q330" s="139"/>
      <c r="R330" s="139"/>
    </row>
    <row r="331" spans="1:18" ht="15" customHeight="1" x14ac:dyDescent="0.25">
      <c r="A331" s="111" t="s">
        <v>18</v>
      </c>
      <c r="B331" s="120">
        <v>46014</v>
      </c>
      <c r="C331" s="111">
        <f t="shared" si="15"/>
        <v>926</v>
      </c>
      <c r="D331" s="111">
        <v>1</v>
      </c>
      <c r="E331" s="116"/>
      <c r="G331" s="116" t="s">
        <v>38</v>
      </c>
      <c r="H331" s="111" t="s">
        <v>1050</v>
      </c>
      <c r="I331" s="111">
        <v>131</v>
      </c>
      <c r="J331" s="111">
        <v>5113</v>
      </c>
      <c r="K331" s="111" t="s">
        <v>20</v>
      </c>
      <c r="L331" s="111">
        <v>1</v>
      </c>
      <c r="M331" s="118">
        <v>26881720</v>
      </c>
      <c r="N331" s="118">
        <f t="shared" si="16"/>
        <v>26881720</v>
      </c>
      <c r="O331" s="111" t="s">
        <v>21</v>
      </c>
      <c r="P331" s="111">
        <f t="shared" si="17"/>
        <v>307</v>
      </c>
    </row>
    <row r="332" spans="1:18" ht="15" customHeight="1" x14ac:dyDescent="0.25">
      <c r="A332" s="111" t="s">
        <v>18</v>
      </c>
      <c r="B332" s="120">
        <v>46014</v>
      </c>
      <c r="C332" s="111">
        <f t="shared" si="15"/>
        <v>926</v>
      </c>
      <c r="D332" s="111">
        <v>0</v>
      </c>
      <c r="E332" s="116"/>
      <c r="G332" s="116" t="s">
        <v>38</v>
      </c>
      <c r="H332" s="111" t="s">
        <v>1176</v>
      </c>
      <c r="I332" s="111">
        <v>333821</v>
      </c>
      <c r="J332" s="111">
        <v>131</v>
      </c>
      <c r="K332" s="111" t="s">
        <v>20</v>
      </c>
      <c r="L332" s="111">
        <v>1</v>
      </c>
      <c r="M332" s="118">
        <v>268817</v>
      </c>
      <c r="N332" s="118">
        <f t="shared" si="16"/>
        <v>268817</v>
      </c>
      <c r="O332" s="111" t="s">
        <v>21</v>
      </c>
      <c r="P332" s="111">
        <f t="shared" si="17"/>
        <v>307</v>
      </c>
    </row>
    <row r="333" spans="1:18" ht="15" customHeight="1" x14ac:dyDescent="0.25">
      <c r="A333" s="111" t="s">
        <v>18</v>
      </c>
      <c r="B333" s="120" t="s">
        <v>2382</v>
      </c>
      <c r="C333" s="111">
        <f t="shared" si="15"/>
        <v>927</v>
      </c>
      <c r="D333" s="111">
        <v>1</v>
      </c>
      <c r="E333" s="116"/>
      <c r="G333" s="116" t="s">
        <v>29</v>
      </c>
      <c r="H333" s="111" t="s">
        <v>2617</v>
      </c>
      <c r="I333" s="111">
        <v>131</v>
      </c>
      <c r="J333" s="111">
        <v>5113</v>
      </c>
      <c r="K333" s="111" t="s">
        <v>20</v>
      </c>
      <c r="L333" s="111">
        <v>1</v>
      </c>
      <c r="M333" s="118">
        <v>10752688</v>
      </c>
      <c r="N333" s="118">
        <f t="shared" si="16"/>
        <v>10752688</v>
      </c>
      <c r="O333" s="111" t="s">
        <v>21</v>
      </c>
      <c r="P333" s="111">
        <f t="shared" si="17"/>
        <v>308</v>
      </c>
    </row>
    <row r="334" spans="1:18" ht="15" customHeight="1" x14ac:dyDescent="0.25">
      <c r="A334" s="111" t="s">
        <v>18</v>
      </c>
      <c r="B334" s="120" t="s">
        <v>2382</v>
      </c>
      <c r="C334" s="111">
        <f t="shared" si="15"/>
        <v>927</v>
      </c>
      <c r="D334" s="111">
        <v>0</v>
      </c>
      <c r="E334" s="116"/>
      <c r="G334" s="116" t="s">
        <v>29</v>
      </c>
      <c r="H334" s="111" t="s">
        <v>2620</v>
      </c>
      <c r="I334" s="111">
        <v>333821</v>
      </c>
      <c r="J334" s="111">
        <v>131</v>
      </c>
      <c r="K334" s="111" t="s">
        <v>20</v>
      </c>
      <c r="L334" s="111">
        <v>1</v>
      </c>
      <c r="M334" s="118">
        <v>0</v>
      </c>
      <c r="N334" s="118">
        <f t="shared" si="16"/>
        <v>0</v>
      </c>
      <c r="O334" s="111" t="s">
        <v>21</v>
      </c>
      <c r="P334" s="111">
        <f t="shared" si="17"/>
        <v>308</v>
      </c>
    </row>
    <row r="335" spans="1:18" ht="15" customHeight="1" x14ac:dyDescent="0.25">
      <c r="A335" s="111" t="s">
        <v>18</v>
      </c>
      <c r="B335" s="120" t="s">
        <v>2504</v>
      </c>
      <c r="C335" s="111">
        <f t="shared" si="15"/>
        <v>928</v>
      </c>
      <c r="D335" s="111">
        <v>1</v>
      </c>
      <c r="E335" s="116"/>
      <c r="G335" s="116" t="s">
        <v>40</v>
      </c>
      <c r="H335" s="111" t="s">
        <v>2618</v>
      </c>
      <c r="I335" s="111">
        <v>131</v>
      </c>
      <c r="J335" s="111">
        <v>5113</v>
      </c>
      <c r="K335" s="111" t="s">
        <v>20</v>
      </c>
      <c r="L335" s="111">
        <v>1</v>
      </c>
      <c r="M335" s="118">
        <v>43010753</v>
      </c>
      <c r="N335" s="118">
        <f t="shared" si="16"/>
        <v>43010753</v>
      </c>
      <c r="O335" s="111" t="s">
        <v>21</v>
      </c>
      <c r="P335" s="111">
        <f t="shared" si="17"/>
        <v>309</v>
      </c>
    </row>
    <row r="336" spans="1:18" ht="15" customHeight="1" x14ac:dyDescent="0.25">
      <c r="A336" s="111" t="s">
        <v>18</v>
      </c>
      <c r="B336" s="120" t="s">
        <v>2504</v>
      </c>
      <c r="C336" s="111">
        <f t="shared" si="15"/>
        <v>928</v>
      </c>
      <c r="D336" s="111">
        <v>0</v>
      </c>
      <c r="E336" s="116"/>
      <c r="G336" s="116" t="s">
        <v>40</v>
      </c>
      <c r="H336" s="111" t="s">
        <v>2621</v>
      </c>
      <c r="I336" s="111">
        <v>333821</v>
      </c>
      <c r="J336" s="111">
        <v>131</v>
      </c>
      <c r="K336" s="111" t="s">
        <v>20</v>
      </c>
      <c r="L336" s="111">
        <v>1</v>
      </c>
      <c r="M336" s="118">
        <v>430108</v>
      </c>
      <c r="N336" s="118">
        <f t="shared" si="16"/>
        <v>430108</v>
      </c>
      <c r="O336" s="111" t="s">
        <v>21</v>
      </c>
      <c r="P336" s="111">
        <f t="shared" si="17"/>
        <v>309</v>
      </c>
    </row>
    <row r="337" spans="1:16" ht="15" customHeight="1" x14ac:dyDescent="0.25">
      <c r="A337" s="111" t="s">
        <v>18</v>
      </c>
      <c r="B337" s="120" t="s">
        <v>2504</v>
      </c>
      <c r="C337" s="111">
        <f t="shared" si="15"/>
        <v>929</v>
      </c>
      <c r="D337" s="111">
        <v>1</v>
      </c>
      <c r="E337" s="116"/>
      <c r="G337" s="116" t="s">
        <v>29</v>
      </c>
      <c r="H337" s="111" t="s">
        <v>2619</v>
      </c>
      <c r="I337" s="111">
        <v>131</v>
      </c>
      <c r="J337" s="111">
        <v>5113</v>
      </c>
      <c r="K337" s="111" t="s">
        <v>20</v>
      </c>
      <c r="L337" s="111">
        <v>1</v>
      </c>
      <c r="M337" s="118">
        <v>37634409</v>
      </c>
      <c r="N337" s="118">
        <f t="shared" si="16"/>
        <v>37634409</v>
      </c>
      <c r="O337" s="111" t="s">
        <v>21</v>
      </c>
      <c r="P337" s="111">
        <f t="shared" si="17"/>
        <v>310</v>
      </c>
    </row>
    <row r="338" spans="1:16" ht="15" customHeight="1" x14ac:dyDescent="0.25">
      <c r="A338" s="111" t="s">
        <v>18</v>
      </c>
      <c r="B338" s="120" t="s">
        <v>2504</v>
      </c>
      <c r="C338" s="111">
        <f t="shared" si="15"/>
        <v>929</v>
      </c>
      <c r="D338" s="111">
        <v>0</v>
      </c>
      <c r="E338" s="116"/>
      <c r="G338" s="116" t="s">
        <v>29</v>
      </c>
      <c r="H338" s="111" t="s">
        <v>2622</v>
      </c>
      <c r="I338" s="111">
        <v>333821</v>
      </c>
      <c r="J338" s="111">
        <v>131</v>
      </c>
      <c r="K338" s="111" t="s">
        <v>20</v>
      </c>
      <c r="L338" s="111">
        <v>1</v>
      </c>
      <c r="M338" s="118">
        <v>376344</v>
      </c>
      <c r="N338" s="118">
        <f t="shared" si="16"/>
        <v>376344</v>
      </c>
      <c r="O338" s="111" t="s">
        <v>21</v>
      </c>
      <c r="P338" s="111">
        <f t="shared" si="17"/>
        <v>310</v>
      </c>
    </row>
    <row r="339" spans="1:16" ht="15" customHeight="1" x14ac:dyDescent="0.25">
      <c r="A339" s="111" t="s">
        <v>18</v>
      </c>
      <c r="B339" s="120">
        <v>45961</v>
      </c>
      <c r="C339" s="111">
        <f t="shared" si="15"/>
        <v>930</v>
      </c>
      <c r="D339" s="111">
        <v>1</v>
      </c>
      <c r="E339" s="116"/>
      <c r="G339" s="116" t="s">
        <v>3011</v>
      </c>
      <c r="H339" s="111" t="s">
        <v>371</v>
      </c>
      <c r="I339" s="111">
        <v>64271</v>
      </c>
      <c r="J339" s="111">
        <v>3383</v>
      </c>
      <c r="K339" s="111" t="s">
        <v>20</v>
      </c>
      <c r="L339" s="111">
        <v>1</v>
      </c>
      <c r="M339" s="118">
        <v>690300</v>
      </c>
      <c r="N339" s="118">
        <f t="shared" si="16"/>
        <v>690300</v>
      </c>
      <c r="O339" s="111" t="s">
        <v>21</v>
      </c>
      <c r="P339" s="111">
        <f t="shared" si="17"/>
        <v>311</v>
      </c>
    </row>
    <row r="340" spans="1:16" ht="15" customHeight="1" x14ac:dyDescent="0.25">
      <c r="A340" s="111" t="s">
        <v>18</v>
      </c>
      <c r="B340" s="120">
        <v>45991</v>
      </c>
      <c r="C340" s="111">
        <f t="shared" si="15"/>
        <v>931</v>
      </c>
      <c r="D340" s="111">
        <v>1</v>
      </c>
      <c r="E340" s="116"/>
      <c r="G340" s="116" t="s">
        <v>3011</v>
      </c>
      <c r="H340" s="111" t="s">
        <v>372</v>
      </c>
      <c r="I340" s="111">
        <v>64271</v>
      </c>
      <c r="J340" s="111">
        <v>3383</v>
      </c>
      <c r="K340" s="111" t="s">
        <v>20</v>
      </c>
      <c r="L340" s="111">
        <v>1</v>
      </c>
      <c r="M340" s="118">
        <v>690300</v>
      </c>
      <c r="N340" s="118">
        <f t="shared" si="16"/>
        <v>690300</v>
      </c>
      <c r="O340" s="111" t="s">
        <v>21</v>
      </c>
      <c r="P340" s="111">
        <f t="shared" si="17"/>
        <v>312</v>
      </c>
    </row>
    <row r="341" spans="1:16" ht="15" customHeight="1" x14ac:dyDescent="0.25">
      <c r="A341" s="111" t="s">
        <v>18</v>
      </c>
      <c r="B341" s="120">
        <v>46022</v>
      </c>
      <c r="C341" s="111">
        <f t="shared" si="15"/>
        <v>932</v>
      </c>
      <c r="D341" s="111">
        <v>1</v>
      </c>
      <c r="E341" s="116"/>
      <c r="G341" s="116" t="s">
        <v>3011</v>
      </c>
      <c r="H341" s="111" t="s">
        <v>373</v>
      </c>
      <c r="I341" s="111">
        <v>64271</v>
      </c>
      <c r="J341" s="111">
        <v>3383</v>
      </c>
      <c r="K341" s="111" t="s">
        <v>20</v>
      </c>
      <c r="L341" s="111">
        <v>1</v>
      </c>
      <c r="M341" s="118">
        <v>690300</v>
      </c>
      <c r="N341" s="118">
        <f t="shared" si="16"/>
        <v>690300</v>
      </c>
      <c r="O341" s="111" t="s">
        <v>21</v>
      </c>
      <c r="P341" s="111">
        <f t="shared" si="17"/>
        <v>313</v>
      </c>
    </row>
    <row r="342" spans="1:16" ht="15" customHeight="1" x14ac:dyDescent="0.25">
      <c r="A342" s="111" t="s">
        <v>2679</v>
      </c>
      <c r="B342" s="120">
        <v>45931</v>
      </c>
      <c r="C342" s="111">
        <f t="shared" si="15"/>
        <v>933</v>
      </c>
      <c r="D342" s="111">
        <v>1</v>
      </c>
      <c r="E342" s="116"/>
      <c r="G342" s="116" t="s">
        <v>50</v>
      </c>
      <c r="H342" s="111" t="s">
        <v>3007</v>
      </c>
      <c r="I342" s="111">
        <v>112111</v>
      </c>
      <c r="J342" s="111">
        <v>131</v>
      </c>
      <c r="K342" s="111" t="s">
        <v>20</v>
      </c>
      <c r="L342" s="111">
        <v>1</v>
      </c>
      <c r="M342" s="118">
        <v>19161290</v>
      </c>
      <c r="N342" s="118">
        <f t="shared" si="16"/>
        <v>19161290</v>
      </c>
      <c r="O342" s="111" t="s">
        <v>21</v>
      </c>
      <c r="P342" s="111">
        <f t="shared" si="17"/>
        <v>314</v>
      </c>
    </row>
    <row r="343" spans="1:16" ht="15" customHeight="1" x14ac:dyDescent="0.25">
      <c r="A343" s="111" t="s">
        <v>2679</v>
      </c>
      <c r="B343" s="120">
        <v>45931</v>
      </c>
      <c r="C343" s="111">
        <f t="shared" si="15"/>
        <v>934</v>
      </c>
      <c r="D343" s="111">
        <v>1</v>
      </c>
      <c r="E343" s="116"/>
      <c r="G343" s="116" t="s">
        <v>110</v>
      </c>
      <c r="H343" s="111" t="s">
        <v>3006</v>
      </c>
      <c r="I343" s="111">
        <v>112111</v>
      </c>
      <c r="J343" s="111">
        <v>131</v>
      </c>
      <c r="K343" s="111" t="s">
        <v>20</v>
      </c>
      <c r="L343" s="111">
        <v>1</v>
      </c>
      <c r="M343" s="118">
        <v>15967742</v>
      </c>
      <c r="N343" s="118">
        <f t="shared" si="16"/>
        <v>15967742</v>
      </c>
      <c r="O343" s="111" t="s">
        <v>21</v>
      </c>
      <c r="P343" s="111">
        <f t="shared" si="17"/>
        <v>315</v>
      </c>
    </row>
    <row r="344" spans="1:16" ht="15" customHeight="1" x14ac:dyDescent="0.25">
      <c r="A344" s="111" t="s">
        <v>18</v>
      </c>
      <c r="B344" s="120">
        <v>45932</v>
      </c>
      <c r="C344" s="111">
        <f t="shared" si="15"/>
        <v>935</v>
      </c>
      <c r="D344" s="111">
        <v>1</v>
      </c>
      <c r="E344" s="116"/>
      <c r="G344" s="116" t="s">
        <v>3003</v>
      </c>
      <c r="H344" s="111" t="s">
        <v>3004</v>
      </c>
      <c r="I344" s="111">
        <v>131</v>
      </c>
      <c r="J344" s="111">
        <v>5118</v>
      </c>
      <c r="K344" s="111" t="s">
        <v>20</v>
      </c>
      <c r="L344" s="111">
        <v>1</v>
      </c>
      <c r="M344" s="118">
        <v>45525315</v>
      </c>
      <c r="N344" s="118">
        <f t="shared" si="16"/>
        <v>45525315</v>
      </c>
      <c r="O344" s="111" t="s">
        <v>21</v>
      </c>
      <c r="P344" s="111">
        <f t="shared" si="17"/>
        <v>316</v>
      </c>
    </row>
    <row r="345" spans="1:16" ht="15" customHeight="1" x14ac:dyDescent="0.25">
      <c r="A345" s="111" t="s">
        <v>2679</v>
      </c>
      <c r="B345" s="120">
        <v>45932</v>
      </c>
      <c r="C345" s="111">
        <f t="shared" si="15"/>
        <v>936</v>
      </c>
      <c r="D345" s="111">
        <v>1</v>
      </c>
      <c r="E345" s="116"/>
      <c r="G345" s="116" t="s">
        <v>3003</v>
      </c>
      <c r="H345" s="111" t="s">
        <v>3005</v>
      </c>
      <c r="I345" s="111">
        <v>112111</v>
      </c>
      <c r="J345" s="111">
        <v>131</v>
      </c>
      <c r="K345" s="111" t="s">
        <v>20</v>
      </c>
      <c r="L345" s="111">
        <v>1</v>
      </c>
      <c r="M345" s="118">
        <v>45525315</v>
      </c>
      <c r="N345" s="118">
        <f t="shared" si="16"/>
        <v>45525315</v>
      </c>
      <c r="O345" s="111" t="s">
        <v>21</v>
      </c>
      <c r="P345" s="111">
        <f t="shared" si="17"/>
        <v>317</v>
      </c>
    </row>
    <row r="346" spans="1:16" ht="15" customHeight="1" x14ac:dyDescent="0.25">
      <c r="A346" s="111" t="s">
        <v>2678</v>
      </c>
      <c r="B346" s="120">
        <v>45935</v>
      </c>
      <c r="C346" s="111">
        <f t="shared" si="15"/>
        <v>937</v>
      </c>
      <c r="D346" s="111">
        <v>1</v>
      </c>
      <c r="E346" s="116"/>
      <c r="G346" s="116" t="s">
        <v>37</v>
      </c>
      <c r="H346" s="111" t="s">
        <v>3002</v>
      </c>
      <c r="I346" s="111">
        <v>331</v>
      </c>
      <c r="J346" s="111">
        <v>112111</v>
      </c>
      <c r="K346" s="111" t="s">
        <v>20</v>
      </c>
      <c r="L346" s="111">
        <v>1</v>
      </c>
      <c r="M346" s="118">
        <v>3240000</v>
      </c>
      <c r="N346" s="118">
        <f t="shared" si="16"/>
        <v>3240000</v>
      </c>
      <c r="O346" s="111" t="s">
        <v>21</v>
      </c>
      <c r="P346" s="111">
        <f t="shared" si="17"/>
        <v>318</v>
      </c>
    </row>
    <row r="347" spans="1:16" ht="15" customHeight="1" x14ac:dyDescent="0.25">
      <c r="A347" s="111" t="s">
        <v>18</v>
      </c>
      <c r="B347" s="120">
        <v>45938</v>
      </c>
      <c r="C347" s="111">
        <f t="shared" si="15"/>
        <v>938</v>
      </c>
      <c r="D347" s="111">
        <v>1</v>
      </c>
      <c r="E347" s="116"/>
      <c r="G347" s="116" t="s">
        <v>2717</v>
      </c>
      <c r="H347" s="111" t="s">
        <v>3008</v>
      </c>
      <c r="I347" s="111">
        <v>6425</v>
      </c>
      <c r="J347" s="111">
        <v>333822</v>
      </c>
      <c r="K347" s="111" t="s">
        <v>20</v>
      </c>
      <c r="L347" s="111">
        <v>1</v>
      </c>
      <c r="M347" s="118">
        <v>2762160</v>
      </c>
      <c r="N347" s="118">
        <f t="shared" si="16"/>
        <v>2762160</v>
      </c>
      <c r="O347" s="111" t="s">
        <v>21</v>
      </c>
      <c r="P347" s="111">
        <f t="shared" si="17"/>
        <v>319</v>
      </c>
    </row>
    <row r="348" spans="1:16" ht="15" customHeight="1" x14ac:dyDescent="0.25">
      <c r="A348" s="111" t="s">
        <v>2678</v>
      </c>
      <c r="B348" s="120">
        <v>45938</v>
      </c>
      <c r="C348" s="111">
        <f t="shared" si="15"/>
        <v>939</v>
      </c>
      <c r="D348" s="111">
        <v>1</v>
      </c>
      <c r="E348" s="116"/>
      <c r="G348" s="116" t="s">
        <v>2717</v>
      </c>
      <c r="H348" s="111" t="s">
        <v>3009</v>
      </c>
      <c r="I348" s="111">
        <v>8118</v>
      </c>
      <c r="J348" s="111">
        <v>112111</v>
      </c>
      <c r="K348" s="111" t="s">
        <v>20</v>
      </c>
      <c r="L348" s="111">
        <v>1</v>
      </c>
      <c r="M348" s="118">
        <v>11794</v>
      </c>
      <c r="N348" s="118">
        <f t="shared" si="16"/>
        <v>11794</v>
      </c>
      <c r="O348" s="111" t="s">
        <v>21</v>
      </c>
      <c r="P348" s="111">
        <f t="shared" si="17"/>
        <v>320</v>
      </c>
    </row>
    <row r="349" spans="1:16" ht="15" customHeight="1" x14ac:dyDescent="0.25">
      <c r="A349" s="111" t="s">
        <v>2678</v>
      </c>
      <c r="B349" s="120">
        <v>45938</v>
      </c>
      <c r="C349" s="111">
        <f t="shared" si="15"/>
        <v>940</v>
      </c>
      <c r="D349" s="111">
        <v>1</v>
      </c>
      <c r="E349" s="116"/>
      <c r="G349" s="116" t="s">
        <v>2717</v>
      </c>
      <c r="H349" s="111" t="s">
        <v>3010</v>
      </c>
      <c r="I349" s="111">
        <v>333822</v>
      </c>
      <c r="J349" s="111">
        <v>112111</v>
      </c>
      <c r="K349" s="111" t="s">
        <v>20</v>
      </c>
      <c r="L349" s="111">
        <v>1</v>
      </c>
      <c r="M349" s="118">
        <v>2762160</v>
      </c>
      <c r="N349" s="118">
        <f t="shared" si="16"/>
        <v>2762160</v>
      </c>
      <c r="O349" s="111" t="s">
        <v>21</v>
      </c>
      <c r="P349" s="111">
        <f t="shared" si="17"/>
        <v>321</v>
      </c>
    </row>
    <row r="350" spans="1:16" ht="15" customHeight="1" x14ac:dyDescent="0.25">
      <c r="A350" s="111" t="s">
        <v>2678</v>
      </c>
      <c r="B350" s="120">
        <v>45943</v>
      </c>
      <c r="C350" s="111">
        <f t="shared" si="15"/>
        <v>941</v>
      </c>
      <c r="D350" s="111">
        <v>1</v>
      </c>
      <c r="E350" s="116"/>
      <c r="G350" s="116" t="s">
        <v>2717</v>
      </c>
      <c r="H350" s="111" t="s">
        <v>2718</v>
      </c>
      <c r="I350" s="111">
        <v>333821</v>
      </c>
      <c r="J350" s="111">
        <v>112111</v>
      </c>
      <c r="K350" s="111" t="s">
        <v>20</v>
      </c>
      <c r="L350" s="111">
        <v>1</v>
      </c>
      <c r="M350" s="118">
        <v>30775442</v>
      </c>
      <c r="N350" s="118">
        <f t="shared" si="16"/>
        <v>30775442</v>
      </c>
      <c r="O350" s="111" t="s">
        <v>21</v>
      </c>
      <c r="P350" s="111">
        <f t="shared" si="17"/>
        <v>322</v>
      </c>
    </row>
    <row r="351" spans="1:16" ht="15" customHeight="1" x14ac:dyDescent="0.25">
      <c r="A351" s="111" t="s">
        <v>2679</v>
      </c>
      <c r="B351" s="120">
        <v>45943</v>
      </c>
      <c r="C351" s="111">
        <f t="shared" si="15"/>
        <v>942</v>
      </c>
      <c r="D351" s="111">
        <v>1</v>
      </c>
      <c r="E351" s="116"/>
      <c r="G351" s="116" t="s">
        <v>82</v>
      </c>
      <c r="H351" s="111" t="s">
        <v>2686</v>
      </c>
      <c r="I351" s="111">
        <v>112111</v>
      </c>
      <c r="J351" s="111">
        <v>131</v>
      </c>
      <c r="K351" s="111" t="s">
        <v>20</v>
      </c>
      <c r="L351" s="111">
        <v>1</v>
      </c>
      <c r="M351" s="118">
        <v>15967742</v>
      </c>
      <c r="N351" s="118">
        <f t="shared" si="16"/>
        <v>15967742</v>
      </c>
      <c r="O351" s="111" t="s">
        <v>21</v>
      </c>
      <c r="P351" s="111">
        <f t="shared" si="17"/>
        <v>323</v>
      </c>
    </row>
    <row r="352" spans="1:16" ht="15" customHeight="1" x14ac:dyDescent="0.25">
      <c r="A352" s="111" t="s">
        <v>2679</v>
      </c>
      <c r="B352" s="120">
        <v>45946</v>
      </c>
      <c r="C352" s="111">
        <f t="shared" si="15"/>
        <v>943</v>
      </c>
      <c r="D352" s="111">
        <v>1</v>
      </c>
      <c r="E352" s="116"/>
      <c r="G352" s="116" t="s">
        <v>150</v>
      </c>
      <c r="H352" s="111" t="s">
        <v>2688</v>
      </c>
      <c r="I352" s="111">
        <v>112111</v>
      </c>
      <c r="J352" s="111">
        <v>131</v>
      </c>
      <c r="K352" s="111" t="s">
        <v>20</v>
      </c>
      <c r="L352" s="111">
        <v>1</v>
      </c>
      <c r="M352" s="118">
        <v>159677420</v>
      </c>
      <c r="N352" s="118">
        <f t="shared" si="16"/>
        <v>159677420</v>
      </c>
      <c r="O352" s="111" t="s">
        <v>21</v>
      </c>
      <c r="P352" s="111">
        <f t="shared" si="17"/>
        <v>324</v>
      </c>
    </row>
    <row r="353" spans="1:17" ht="15" customHeight="1" x14ac:dyDescent="0.25">
      <c r="A353" s="111" t="s">
        <v>2679</v>
      </c>
      <c r="B353" s="120">
        <v>45947</v>
      </c>
      <c r="C353" s="111">
        <f t="shared" si="15"/>
        <v>944</v>
      </c>
      <c r="D353" s="111">
        <v>1</v>
      </c>
      <c r="E353" s="116"/>
      <c r="G353" s="116" t="s">
        <v>1036</v>
      </c>
      <c r="H353" s="111" t="s">
        <v>2689</v>
      </c>
      <c r="I353" s="111">
        <v>112111</v>
      </c>
      <c r="J353" s="111">
        <v>131</v>
      </c>
      <c r="K353" s="111" t="s">
        <v>20</v>
      </c>
      <c r="L353" s="111">
        <v>1</v>
      </c>
      <c r="M353" s="118">
        <v>26612903</v>
      </c>
      <c r="N353" s="118">
        <f t="shared" si="16"/>
        <v>26612903</v>
      </c>
      <c r="O353" s="111" t="s">
        <v>21</v>
      </c>
      <c r="P353" s="111">
        <f t="shared" si="17"/>
        <v>325</v>
      </c>
    </row>
    <row r="354" spans="1:17" ht="15" customHeight="1" x14ac:dyDescent="0.25">
      <c r="A354" s="111" t="s">
        <v>2679</v>
      </c>
      <c r="B354" s="120">
        <v>45953</v>
      </c>
      <c r="C354" s="111">
        <f t="shared" si="15"/>
        <v>945</v>
      </c>
      <c r="D354" s="111">
        <v>1</v>
      </c>
      <c r="E354" s="116"/>
      <c r="G354" s="116" t="s">
        <v>40</v>
      </c>
      <c r="H354" s="111" t="s">
        <v>2690</v>
      </c>
      <c r="I354" s="111">
        <v>112111</v>
      </c>
      <c r="J354" s="111">
        <v>131</v>
      </c>
      <c r="K354" s="111" t="s">
        <v>20</v>
      </c>
      <c r="L354" s="111">
        <v>1</v>
      </c>
      <c r="M354" s="118">
        <v>55354839</v>
      </c>
      <c r="N354" s="118">
        <f t="shared" si="16"/>
        <v>55354839</v>
      </c>
      <c r="O354" s="111" t="s">
        <v>21</v>
      </c>
      <c r="P354" s="111">
        <f t="shared" si="17"/>
        <v>326</v>
      </c>
    </row>
    <row r="355" spans="1:17" ht="15" customHeight="1" x14ac:dyDescent="0.25">
      <c r="A355" s="111" t="s">
        <v>2679</v>
      </c>
      <c r="B355" s="120">
        <v>45955</v>
      </c>
      <c r="C355" s="111">
        <f t="shared" si="15"/>
        <v>946</v>
      </c>
      <c r="D355" s="111">
        <v>1</v>
      </c>
      <c r="E355" s="116"/>
      <c r="G355" s="116" t="s">
        <v>2680</v>
      </c>
      <c r="H355" s="111" t="s">
        <v>2687</v>
      </c>
      <c r="I355" s="111">
        <v>112111</v>
      </c>
      <c r="J355" s="111">
        <v>5154</v>
      </c>
      <c r="K355" s="111" t="s">
        <v>20</v>
      </c>
      <c r="L355" s="111">
        <v>1</v>
      </c>
      <c r="M355" s="118">
        <v>23802</v>
      </c>
      <c r="N355" s="118">
        <f t="shared" si="16"/>
        <v>23802</v>
      </c>
      <c r="O355" s="111" t="s">
        <v>21</v>
      </c>
      <c r="P355" s="111">
        <f t="shared" si="17"/>
        <v>327</v>
      </c>
    </row>
    <row r="356" spans="1:17" ht="15" customHeight="1" x14ac:dyDescent="0.25">
      <c r="A356" s="111" t="s">
        <v>2679</v>
      </c>
      <c r="B356" s="120">
        <v>45958</v>
      </c>
      <c r="C356" s="111">
        <f t="shared" si="15"/>
        <v>947</v>
      </c>
      <c r="D356" s="111">
        <v>1</v>
      </c>
      <c r="E356" s="116"/>
      <c r="G356" s="116" t="s">
        <v>42</v>
      </c>
      <c r="H356" s="111" t="s">
        <v>2691</v>
      </c>
      <c r="I356" s="111">
        <v>112111</v>
      </c>
      <c r="J356" s="111">
        <v>131</v>
      </c>
      <c r="K356" s="111" t="s">
        <v>20</v>
      </c>
      <c r="L356" s="111">
        <v>1</v>
      </c>
      <c r="M356" s="118">
        <v>23951613</v>
      </c>
      <c r="N356" s="118">
        <f t="shared" si="16"/>
        <v>23951613</v>
      </c>
      <c r="O356" s="111" t="s">
        <v>21</v>
      </c>
      <c r="P356" s="111">
        <f t="shared" si="17"/>
        <v>328</v>
      </c>
    </row>
    <row r="357" spans="1:17" ht="15" customHeight="1" x14ac:dyDescent="0.25">
      <c r="A357" s="111" t="s">
        <v>2679</v>
      </c>
      <c r="B357" s="120">
        <v>45958</v>
      </c>
      <c r="C357" s="111">
        <f t="shared" si="15"/>
        <v>948</v>
      </c>
      <c r="D357" s="111">
        <v>1</v>
      </c>
      <c r="E357" s="116"/>
      <c r="G357" s="116" t="s">
        <v>40</v>
      </c>
      <c r="H357" s="111" t="s">
        <v>2692</v>
      </c>
      <c r="I357" s="111">
        <v>112111</v>
      </c>
      <c r="J357" s="111">
        <v>131</v>
      </c>
      <c r="K357" s="111" t="s">
        <v>20</v>
      </c>
      <c r="L357" s="111">
        <v>1</v>
      </c>
      <c r="M357" s="118">
        <v>53225806</v>
      </c>
      <c r="N357" s="118">
        <f t="shared" si="16"/>
        <v>53225806</v>
      </c>
      <c r="O357" s="111" t="s">
        <v>21</v>
      </c>
      <c r="P357" s="111">
        <f t="shared" si="17"/>
        <v>329</v>
      </c>
    </row>
    <row r="358" spans="1:17" ht="15" customHeight="1" x14ac:dyDescent="0.25">
      <c r="A358" s="111" t="s">
        <v>2678</v>
      </c>
      <c r="B358" s="120">
        <v>45959</v>
      </c>
      <c r="C358" s="111">
        <f t="shared" si="15"/>
        <v>949</v>
      </c>
      <c r="D358" s="111">
        <v>1</v>
      </c>
      <c r="E358" s="116"/>
      <c r="G358" s="116" t="s">
        <v>36</v>
      </c>
      <c r="H358" s="111" t="s">
        <v>2684</v>
      </c>
      <c r="I358" s="111">
        <v>3383</v>
      </c>
      <c r="J358" s="111">
        <v>112111</v>
      </c>
      <c r="K358" s="111" t="s">
        <v>20</v>
      </c>
      <c r="L358" s="111">
        <v>1</v>
      </c>
      <c r="M358" s="118">
        <v>690300</v>
      </c>
      <c r="N358" s="118">
        <f t="shared" si="16"/>
        <v>690300</v>
      </c>
      <c r="O358" s="111" t="s">
        <v>21</v>
      </c>
      <c r="P358" s="111">
        <f t="shared" si="17"/>
        <v>330</v>
      </c>
    </row>
    <row r="359" spans="1:17" ht="15" customHeight="1" x14ac:dyDescent="0.25">
      <c r="A359" s="111" t="s">
        <v>2679</v>
      </c>
      <c r="B359" s="120">
        <v>45964</v>
      </c>
      <c r="C359" s="111">
        <f t="shared" si="15"/>
        <v>950</v>
      </c>
      <c r="D359" s="111">
        <v>1</v>
      </c>
      <c r="E359" s="116"/>
      <c r="G359" s="116" t="s">
        <v>46</v>
      </c>
      <c r="H359" s="111" t="s">
        <v>2693</v>
      </c>
      <c r="I359" s="111">
        <v>112111</v>
      </c>
      <c r="J359" s="111">
        <v>131</v>
      </c>
      <c r="K359" s="111" t="s">
        <v>20</v>
      </c>
      <c r="L359" s="111">
        <v>1</v>
      </c>
      <c r="M359" s="118">
        <v>26612903</v>
      </c>
      <c r="N359" s="118">
        <f t="shared" si="16"/>
        <v>26612903</v>
      </c>
      <c r="O359" s="111" t="s">
        <v>21</v>
      </c>
      <c r="P359" s="111">
        <f t="shared" si="17"/>
        <v>331</v>
      </c>
    </row>
    <row r="360" spans="1:17" ht="15" customHeight="1" x14ac:dyDescent="0.25">
      <c r="A360" s="111" t="s">
        <v>2678</v>
      </c>
      <c r="B360" s="120">
        <v>45965</v>
      </c>
      <c r="C360" s="111">
        <f t="shared" si="15"/>
        <v>951</v>
      </c>
      <c r="D360" s="111">
        <v>1</v>
      </c>
      <c r="E360" s="116"/>
      <c r="G360" s="116" t="s">
        <v>37</v>
      </c>
      <c r="H360" s="111" t="s">
        <v>2682</v>
      </c>
      <c r="I360" s="111">
        <v>331</v>
      </c>
      <c r="J360" s="111">
        <v>112111</v>
      </c>
      <c r="K360" s="111" t="s">
        <v>20</v>
      </c>
      <c r="L360" s="111">
        <v>1</v>
      </c>
      <c r="M360" s="118">
        <v>3240000</v>
      </c>
      <c r="N360" s="118">
        <f t="shared" si="16"/>
        <v>3240000</v>
      </c>
      <c r="O360" s="111" t="s">
        <v>21</v>
      </c>
      <c r="P360" s="111">
        <f t="shared" si="17"/>
        <v>332</v>
      </c>
    </row>
    <row r="361" spans="1:17" ht="15" customHeight="1" x14ac:dyDescent="0.25">
      <c r="A361" s="111" t="s">
        <v>2678</v>
      </c>
      <c r="B361" s="120">
        <v>45966</v>
      </c>
      <c r="C361" s="111">
        <f t="shared" si="15"/>
        <v>952</v>
      </c>
      <c r="D361" s="111">
        <v>1</v>
      </c>
      <c r="E361" s="116"/>
      <c r="G361" s="116" t="s">
        <v>2680</v>
      </c>
      <c r="H361" s="111" t="s">
        <v>2681</v>
      </c>
      <c r="I361" s="111">
        <v>1111</v>
      </c>
      <c r="J361" s="111">
        <v>112111</v>
      </c>
      <c r="K361" s="111" t="s">
        <v>20</v>
      </c>
      <c r="L361" s="111">
        <v>1</v>
      </c>
      <c r="M361" s="118">
        <v>200000000</v>
      </c>
      <c r="N361" s="118">
        <f t="shared" si="16"/>
        <v>200000000</v>
      </c>
      <c r="O361" s="111" t="s">
        <v>21</v>
      </c>
      <c r="P361" s="111">
        <f t="shared" si="17"/>
        <v>333</v>
      </c>
    </row>
    <row r="362" spans="1:17" ht="15" customHeight="1" x14ac:dyDescent="0.25">
      <c r="A362" s="111" t="s">
        <v>2679</v>
      </c>
      <c r="B362" s="120">
        <v>45966</v>
      </c>
      <c r="C362" s="111">
        <f t="shared" si="15"/>
        <v>953</v>
      </c>
      <c r="D362" s="111">
        <v>1</v>
      </c>
      <c r="E362" s="116"/>
      <c r="G362" s="116" t="s">
        <v>534</v>
      </c>
      <c r="H362" s="111" t="s">
        <v>2710</v>
      </c>
      <c r="I362" s="111">
        <v>112111</v>
      </c>
      <c r="J362" s="111">
        <v>131</v>
      </c>
      <c r="K362" s="111" t="s">
        <v>20</v>
      </c>
      <c r="L362" s="111">
        <v>1</v>
      </c>
      <c r="M362" s="118">
        <v>10645161</v>
      </c>
      <c r="N362" s="118">
        <f t="shared" si="16"/>
        <v>10645161</v>
      </c>
      <c r="O362" s="111" t="s">
        <v>21</v>
      </c>
      <c r="P362" s="111">
        <f t="shared" si="17"/>
        <v>334</v>
      </c>
    </row>
    <row r="363" spans="1:17" ht="15" customHeight="1" x14ac:dyDescent="0.25">
      <c r="A363" s="111" t="s">
        <v>2679</v>
      </c>
      <c r="B363" s="120">
        <v>45968</v>
      </c>
      <c r="C363" s="111">
        <f t="shared" si="15"/>
        <v>954</v>
      </c>
      <c r="D363" s="111">
        <v>1</v>
      </c>
      <c r="E363" s="116"/>
      <c r="G363" s="116" t="s">
        <v>1036</v>
      </c>
      <c r="H363" s="111" t="s">
        <v>2711</v>
      </c>
      <c r="I363" s="111">
        <v>112111</v>
      </c>
      <c r="J363" s="111">
        <v>131</v>
      </c>
      <c r="K363" s="111" t="s">
        <v>20</v>
      </c>
      <c r="L363" s="111">
        <v>1</v>
      </c>
      <c r="M363" s="118">
        <v>21290323</v>
      </c>
      <c r="N363" s="118">
        <f t="shared" si="16"/>
        <v>21290323</v>
      </c>
      <c r="O363" s="111" t="s">
        <v>21</v>
      </c>
      <c r="P363" s="111">
        <f t="shared" si="17"/>
        <v>335</v>
      </c>
    </row>
    <row r="364" spans="1:17" ht="15" customHeight="1" x14ac:dyDescent="0.25">
      <c r="A364" s="111" t="s">
        <v>2679</v>
      </c>
      <c r="B364" s="120">
        <v>45978</v>
      </c>
      <c r="C364" s="111">
        <f t="shared" si="15"/>
        <v>955</v>
      </c>
      <c r="D364" s="111">
        <v>1</v>
      </c>
      <c r="E364" s="116"/>
      <c r="G364" s="116" t="s">
        <v>50</v>
      </c>
      <c r="H364" s="111" t="s">
        <v>2712</v>
      </c>
      <c r="I364" s="111">
        <v>112111</v>
      </c>
      <c r="J364" s="111">
        <v>131</v>
      </c>
      <c r="K364" s="111" t="s">
        <v>20</v>
      </c>
      <c r="L364" s="111">
        <v>1</v>
      </c>
      <c r="M364" s="118">
        <v>19161291</v>
      </c>
      <c r="N364" s="118">
        <f t="shared" si="16"/>
        <v>19161291</v>
      </c>
      <c r="O364" s="111" t="s">
        <v>21</v>
      </c>
      <c r="P364" s="111">
        <f t="shared" si="17"/>
        <v>336</v>
      </c>
    </row>
    <row r="365" spans="1:17" ht="15" customHeight="1" x14ac:dyDescent="0.25">
      <c r="A365" s="111" t="s">
        <v>2678</v>
      </c>
      <c r="B365" s="120">
        <v>45979</v>
      </c>
      <c r="C365" s="111">
        <f t="shared" si="15"/>
        <v>956</v>
      </c>
      <c r="D365" s="111">
        <v>1</v>
      </c>
      <c r="E365" s="116"/>
      <c r="G365" s="116" t="s">
        <v>2680</v>
      </c>
      <c r="H365" s="111" t="s">
        <v>2681</v>
      </c>
      <c r="I365" s="111">
        <v>1111</v>
      </c>
      <c r="J365" s="111">
        <v>112111</v>
      </c>
      <c r="K365" s="111" t="s">
        <v>20</v>
      </c>
      <c r="L365" s="111">
        <v>1</v>
      </c>
      <c r="M365" s="118">
        <v>200000000</v>
      </c>
      <c r="N365" s="118">
        <f t="shared" si="16"/>
        <v>200000000</v>
      </c>
      <c r="O365" s="111" t="s">
        <v>21</v>
      </c>
      <c r="P365" s="111">
        <f t="shared" si="17"/>
        <v>337</v>
      </c>
    </row>
    <row r="366" spans="1:17" ht="15" customHeight="1" x14ac:dyDescent="0.25">
      <c r="A366" s="111" t="s">
        <v>2679</v>
      </c>
      <c r="B366" s="120">
        <v>45982</v>
      </c>
      <c r="C366" s="111">
        <f t="shared" si="15"/>
        <v>957</v>
      </c>
      <c r="D366" s="111">
        <v>1</v>
      </c>
      <c r="E366" s="116"/>
      <c r="G366" s="116" t="s">
        <v>110</v>
      </c>
      <c r="H366" s="111" t="s">
        <v>2713</v>
      </c>
      <c r="I366" s="111">
        <v>112111</v>
      </c>
      <c r="J366" s="111">
        <v>131</v>
      </c>
      <c r="K366" s="111" t="s">
        <v>20</v>
      </c>
      <c r="L366" s="111">
        <v>1</v>
      </c>
      <c r="M366" s="118">
        <v>60658684</v>
      </c>
      <c r="N366" s="118">
        <f t="shared" si="16"/>
        <v>60658684</v>
      </c>
      <c r="O366" s="111" t="s">
        <v>21</v>
      </c>
      <c r="P366" s="111">
        <f t="shared" si="17"/>
        <v>338</v>
      </c>
      <c r="Q366" s="139"/>
    </row>
    <row r="367" spans="1:17" ht="15" customHeight="1" x14ac:dyDescent="0.25">
      <c r="A367" s="111" t="s">
        <v>2678</v>
      </c>
      <c r="B367" s="120">
        <v>45982</v>
      </c>
      <c r="C367" s="111">
        <f t="shared" si="15"/>
        <v>958</v>
      </c>
      <c r="D367" s="111">
        <v>1</v>
      </c>
      <c r="E367" s="116"/>
      <c r="G367" s="116" t="s">
        <v>110</v>
      </c>
      <c r="H367" s="111" t="s">
        <v>2714</v>
      </c>
      <c r="I367" s="111">
        <v>131</v>
      </c>
      <c r="J367" s="111">
        <v>112111</v>
      </c>
      <c r="K367" s="111" t="s">
        <v>20</v>
      </c>
      <c r="L367" s="111">
        <v>1</v>
      </c>
      <c r="M367" s="118">
        <v>15967742</v>
      </c>
      <c r="N367" s="118">
        <f t="shared" si="16"/>
        <v>15967742</v>
      </c>
      <c r="O367" s="111" t="s">
        <v>21</v>
      </c>
      <c r="P367" s="111">
        <f t="shared" si="17"/>
        <v>339</v>
      </c>
    </row>
    <row r="368" spans="1:17" ht="15" customHeight="1" x14ac:dyDescent="0.25">
      <c r="A368" s="111" t="s">
        <v>2678</v>
      </c>
      <c r="B368" s="120">
        <v>45990</v>
      </c>
      <c r="C368" s="111">
        <f t="shared" si="15"/>
        <v>959</v>
      </c>
      <c r="D368" s="111">
        <v>1</v>
      </c>
      <c r="E368" s="116"/>
      <c r="G368" s="116" t="s">
        <v>36</v>
      </c>
      <c r="H368" s="111" t="s">
        <v>2685</v>
      </c>
      <c r="I368" s="111">
        <v>3383</v>
      </c>
      <c r="J368" s="111">
        <v>112111</v>
      </c>
      <c r="K368" s="111" t="s">
        <v>20</v>
      </c>
      <c r="L368" s="111">
        <v>1</v>
      </c>
      <c r="M368" s="118">
        <v>690300</v>
      </c>
      <c r="N368" s="118">
        <f t="shared" si="16"/>
        <v>690300</v>
      </c>
      <c r="O368" s="111" t="s">
        <v>21</v>
      </c>
      <c r="P368" s="111">
        <f t="shared" si="17"/>
        <v>340</v>
      </c>
    </row>
    <row r="369" spans="1:16" ht="15" customHeight="1" x14ac:dyDescent="0.25">
      <c r="A369" s="111" t="s">
        <v>2679</v>
      </c>
      <c r="B369" s="120">
        <v>45990</v>
      </c>
      <c r="C369" s="111">
        <f t="shared" si="15"/>
        <v>960</v>
      </c>
      <c r="D369" s="111">
        <v>1</v>
      </c>
      <c r="E369" s="116"/>
      <c r="G369" s="116" t="s">
        <v>2680</v>
      </c>
      <c r="H369" s="111" t="s">
        <v>2687</v>
      </c>
      <c r="I369" s="111">
        <v>112111</v>
      </c>
      <c r="J369" s="111">
        <v>5154</v>
      </c>
      <c r="K369" s="111" t="s">
        <v>20</v>
      </c>
      <c r="L369" s="111">
        <v>1</v>
      </c>
      <c r="M369" s="118">
        <v>34047</v>
      </c>
      <c r="N369" s="118">
        <f t="shared" si="16"/>
        <v>34047</v>
      </c>
      <c r="O369" s="111" t="s">
        <v>21</v>
      </c>
      <c r="P369" s="111">
        <f t="shared" si="17"/>
        <v>341</v>
      </c>
    </row>
    <row r="370" spans="1:16" ht="15" customHeight="1" x14ac:dyDescent="0.25">
      <c r="A370" s="111" t="s">
        <v>2679</v>
      </c>
      <c r="B370" s="120">
        <v>45992</v>
      </c>
      <c r="C370" s="111">
        <f t="shared" si="15"/>
        <v>961</v>
      </c>
      <c r="D370" s="111">
        <v>1</v>
      </c>
      <c r="E370" s="116"/>
      <c r="G370" s="116" t="s">
        <v>534</v>
      </c>
      <c r="H370" s="111" t="s">
        <v>2715</v>
      </c>
      <c r="I370" s="111">
        <v>112111</v>
      </c>
      <c r="J370" s="111">
        <v>131</v>
      </c>
      <c r="K370" s="111" t="s">
        <v>20</v>
      </c>
      <c r="L370" s="111">
        <v>1</v>
      </c>
      <c r="M370" s="118">
        <v>10645162</v>
      </c>
      <c r="N370" s="118">
        <f t="shared" si="16"/>
        <v>10645162</v>
      </c>
      <c r="O370" s="111" t="s">
        <v>21</v>
      </c>
      <c r="P370" s="111">
        <f t="shared" si="17"/>
        <v>342</v>
      </c>
    </row>
    <row r="371" spans="1:16" ht="15" customHeight="1" x14ac:dyDescent="0.25">
      <c r="A371" s="111" t="s">
        <v>2678</v>
      </c>
      <c r="B371" s="120">
        <v>45997</v>
      </c>
      <c r="C371" s="111">
        <f t="shared" si="15"/>
        <v>962</v>
      </c>
      <c r="D371" s="111">
        <v>1</v>
      </c>
      <c r="E371" s="116"/>
      <c r="G371" s="116" t="s">
        <v>37</v>
      </c>
      <c r="H371" s="111" t="s">
        <v>2683</v>
      </c>
      <c r="I371" s="111">
        <v>331</v>
      </c>
      <c r="J371" s="111">
        <v>112111</v>
      </c>
      <c r="K371" s="111" t="s">
        <v>20</v>
      </c>
      <c r="L371" s="111">
        <v>1</v>
      </c>
      <c r="M371" s="118">
        <v>3240000</v>
      </c>
      <c r="N371" s="118">
        <f t="shared" si="16"/>
        <v>3240000</v>
      </c>
      <c r="O371" s="111" t="s">
        <v>21</v>
      </c>
      <c r="P371" s="111">
        <f t="shared" si="17"/>
        <v>343</v>
      </c>
    </row>
    <row r="372" spans="1:16" ht="15" customHeight="1" x14ac:dyDescent="0.25">
      <c r="A372" s="111" t="s">
        <v>2679</v>
      </c>
      <c r="B372" s="120">
        <v>46001</v>
      </c>
      <c r="C372" s="111">
        <f t="shared" si="15"/>
        <v>963</v>
      </c>
      <c r="D372" s="111">
        <v>1</v>
      </c>
      <c r="E372" s="116"/>
      <c r="G372" s="116" t="s">
        <v>150</v>
      </c>
      <c r="H372" s="111" t="s">
        <v>2716</v>
      </c>
      <c r="I372" s="111">
        <v>112111</v>
      </c>
      <c r="J372" s="111">
        <v>131</v>
      </c>
      <c r="K372" s="111" t="s">
        <v>20</v>
      </c>
      <c r="L372" s="111">
        <v>1</v>
      </c>
      <c r="M372" s="118">
        <v>159677419</v>
      </c>
      <c r="N372" s="118">
        <f t="shared" si="16"/>
        <v>159677419</v>
      </c>
      <c r="O372" s="111" t="s">
        <v>21</v>
      </c>
      <c r="P372" s="111">
        <f t="shared" si="17"/>
        <v>344</v>
      </c>
    </row>
    <row r="373" spans="1:16" ht="15" customHeight="1" x14ac:dyDescent="0.25">
      <c r="A373" s="111" t="s">
        <v>2679</v>
      </c>
      <c r="B373" s="120">
        <v>46018</v>
      </c>
      <c r="C373" s="111">
        <f t="shared" si="15"/>
        <v>964</v>
      </c>
      <c r="D373" s="111">
        <v>1</v>
      </c>
      <c r="E373" s="116"/>
      <c r="G373" s="116" t="s">
        <v>2680</v>
      </c>
      <c r="H373" s="111" t="s">
        <v>2687</v>
      </c>
      <c r="I373" s="111">
        <v>112111</v>
      </c>
      <c r="J373" s="111">
        <v>5154</v>
      </c>
      <c r="K373" s="111" t="s">
        <v>20</v>
      </c>
      <c r="L373" s="111">
        <v>1</v>
      </c>
      <c r="M373" s="118">
        <v>26714</v>
      </c>
      <c r="N373" s="118">
        <f t="shared" si="16"/>
        <v>26714</v>
      </c>
      <c r="O373" s="111" t="s">
        <v>21</v>
      </c>
      <c r="P373" s="111">
        <f t="shared" si="17"/>
        <v>345</v>
      </c>
    </row>
    <row r="374" spans="1:16" ht="15" customHeight="1" x14ac:dyDescent="0.25">
      <c r="A374" s="111" t="s">
        <v>2719</v>
      </c>
      <c r="B374" s="120">
        <v>45931</v>
      </c>
      <c r="C374" s="111">
        <f t="shared" si="15"/>
        <v>965</v>
      </c>
      <c r="D374" s="111">
        <v>1</v>
      </c>
      <c r="G374" s="116" t="s">
        <v>51</v>
      </c>
      <c r="H374" s="111" t="s">
        <v>2720</v>
      </c>
      <c r="I374" s="111">
        <v>331</v>
      </c>
      <c r="J374" s="111">
        <v>1111</v>
      </c>
      <c r="K374" s="111" t="s">
        <v>20</v>
      </c>
      <c r="L374" s="111">
        <v>1</v>
      </c>
      <c r="M374" s="118">
        <v>480600</v>
      </c>
      <c r="N374" s="118">
        <f t="shared" si="16"/>
        <v>480600</v>
      </c>
      <c r="O374" s="111" t="s">
        <v>21</v>
      </c>
      <c r="P374" s="111">
        <f t="shared" si="17"/>
        <v>346</v>
      </c>
    </row>
    <row r="375" spans="1:16" ht="15" customHeight="1" x14ac:dyDescent="0.25">
      <c r="A375" s="111" t="s">
        <v>2719</v>
      </c>
      <c r="B375" s="120">
        <v>45931</v>
      </c>
      <c r="C375" s="111">
        <f t="shared" si="15"/>
        <v>966</v>
      </c>
      <c r="D375" s="111">
        <v>1</v>
      </c>
      <c r="G375" s="116" t="s">
        <v>981</v>
      </c>
      <c r="H375" s="111" t="s">
        <v>2721</v>
      </c>
      <c r="I375" s="111">
        <v>331</v>
      </c>
      <c r="J375" s="111">
        <v>1111</v>
      </c>
      <c r="K375" s="111" t="s">
        <v>20</v>
      </c>
      <c r="L375" s="111">
        <v>1</v>
      </c>
      <c r="M375" s="118">
        <v>401000</v>
      </c>
      <c r="N375" s="118">
        <f t="shared" si="16"/>
        <v>401000</v>
      </c>
      <c r="O375" s="111" t="s">
        <v>21</v>
      </c>
      <c r="P375" s="111">
        <f t="shared" si="17"/>
        <v>347</v>
      </c>
    </row>
    <row r="376" spans="1:16" ht="15" customHeight="1" x14ac:dyDescent="0.25">
      <c r="A376" s="111" t="s">
        <v>2719</v>
      </c>
      <c r="B376" s="120">
        <v>45934</v>
      </c>
      <c r="C376" s="111">
        <f t="shared" si="15"/>
        <v>967</v>
      </c>
      <c r="D376" s="111">
        <v>1</v>
      </c>
      <c r="G376" s="116" t="s">
        <v>48</v>
      </c>
      <c r="H376" s="111" t="s">
        <v>2722</v>
      </c>
      <c r="I376" s="111">
        <v>331</v>
      </c>
      <c r="J376" s="111">
        <v>1111</v>
      </c>
      <c r="K376" s="111" t="s">
        <v>20</v>
      </c>
      <c r="L376" s="111">
        <v>1</v>
      </c>
      <c r="M376" s="118">
        <v>317101</v>
      </c>
      <c r="N376" s="118">
        <f t="shared" si="16"/>
        <v>317101</v>
      </c>
      <c r="O376" s="111" t="s">
        <v>21</v>
      </c>
      <c r="P376" s="111">
        <f t="shared" si="17"/>
        <v>348</v>
      </c>
    </row>
    <row r="377" spans="1:16" ht="15" customHeight="1" x14ac:dyDescent="0.25">
      <c r="A377" s="111" t="s">
        <v>2719</v>
      </c>
      <c r="B377" s="120">
        <v>45934</v>
      </c>
      <c r="C377" s="111">
        <f t="shared" si="15"/>
        <v>968</v>
      </c>
      <c r="D377" s="111">
        <v>1</v>
      </c>
      <c r="G377" s="116" t="s">
        <v>982</v>
      </c>
      <c r="H377" s="111" t="s">
        <v>2723</v>
      </c>
      <c r="I377" s="111">
        <v>331</v>
      </c>
      <c r="J377" s="111">
        <v>1111</v>
      </c>
      <c r="K377" s="111" t="s">
        <v>20</v>
      </c>
      <c r="L377" s="111">
        <v>1</v>
      </c>
      <c r="M377" s="118">
        <v>280000</v>
      </c>
      <c r="N377" s="118">
        <f t="shared" si="16"/>
        <v>280000</v>
      </c>
      <c r="O377" s="111" t="s">
        <v>21</v>
      </c>
      <c r="P377" s="111">
        <f t="shared" si="17"/>
        <v>349</v>
      </c>
    </row>
    <row r="378" spans="1:16" ht="15" customHeight="1" x14ac:dyDescent="0.25">
      <c r="A378" s="111" t="s">
        <v>2719</v>
      </c>
      <c r="B378" s="120">
        <v>45934</v>
      </c>
      <c r="C378" s="111">
        <f t="shared" si="15"/>
        <v>969</v>
      </c>
      <c r="D378" s="111">
        <v>1</v>
      </c>
      <c r="G378" s="116" t="s">
        <v>25</v>
      </c>
      <c r="H378" s="111" t="s">
        <v>2724</v>
      </c>
      <c r="I378" s="111">
        <v>331</v>
      </c>
      <c r="J378" s="111">
        <v>1111</v>
      </c>
      <c r="K378" s="111" t="s">
        <v>20</v>
      </c>
      <c r="L378" s="111">
        <v>1</v>
      </c>
      <c r="M378" s="118">
        <v>3731399</v>
      </c>
      <c r="N378" s="118">
        <f t="shared" si="16"/>
        <v>3731399</v>
      </c>
      <c r="O378" s="111" t="s">
        <v>21</v>
      </c>
      <c r="P378" s="111">
        <f t="shared" si="17"/>
        <v>350</v>
      </c>
    </row>
    <row r="379" spans="1:16" ht="15" customHeight="1" x14ac:dyDescent="0.25">
      <c r="A379" s="111" t="s">
        <v>2719</v>
      </c>
      <c r="B379" s="120">
        <v>45935</v>
      </c>
      <c r="C379" s="111">
        <f t="shared" si="15"/>
        <v>970</v>
      </c>
      <c r="D379" s="111">
        <v>1</v>
      </c>
      <c r="G379" s="116" t="s">
        <v>23</v>
      </c>
      <c r="H379" s="111" t="s">
        <v>2725</v>
      </c>
      <c r="I379" s="111">
        <v>331</v>
      </c>
      <c r="J379" s="111">
        <v>1111</v>
      </c>
      <c r="K379" s="111" t="s">
        <v>20</v>
      </c>
      <c r="L379" s="111">
        <v>1</v>
      </c>
      <c r="M379" s="118">
        <v>78600</v>
      </c>
      <c r="N379" s="118">
        <f t="shared" si="16"/>
        <v>78600</v>
      </c>
      <c r="O379" s="111" t="s">
        <v>21</v>
      </c>
      <c r="P379" s="111">
        <f t="shared" si="17"/>
        <v>351</v>
      </c>
    </row>
    <row r="380" spans="1:16" ht="15" customHeight="1" x14ac:dyDescent="0.25">
      <c r="A380" s="111" t="s">
        <v>2719</v>
      </c>
      <c r="B380" s="120">
        <v>45936</v>
      </c>
      <c r="C380" s="111">
        <f t="shared" si="15"/>
        <v>971</v>
      </c>
      <c r="D380" s="111">
        <v>1</v>
      </c>
      <c r="G380" s="116" t="s">
        <v>23</v>
      </c>
      <c r="H380" s="111" t="s">
        <v>2726</v>
      </c>
      <c r="I380" s="111">
        <v>331</v>
      </c>
      <c r="J380" s="111">
        <v>1111</v>
      </c>
      <c r="K380" s="111" t="s">
        <v>20</v>
      </c>
      <c r="L380" s="111">
        <v>1</v>
      </c>
      <c r="M380" s="118">
        <v>178000</v>
      </c>
      <c r="N380" s="118">
        <f t="shared" si="16"/>
        <v>178000</v>
      </c>
      <c r="O380" s="111" t="s">
        <v>21</v>
      </c>
      <c r="P380" s="111">
        <f t="shared" si="17"/>
        <v>352</v>
      </c>
    </row>
    <row r="381" spans="1:16" ht="15" customHeight="1" x14ac:dyDescent="0.25">
      <c r="A381" s="111" t="s">
        <v>2719</v>
      </c>
      <c r="B381" s="120">
        <v>45937</v>
      </c>
      <c r="C381" s="111">
        <f t="shared" si="15"/>
        <v>972</v>
      </c>
      <c r="D381" s="111">
        <v>1</v>
      </c>
      <c r="G381" s="116" t="s">
        <v>31</v>
      </c>
      <c r="H381" s="111" t="s">
        <v>2727</v>
      </c>
      <c r="I381" s="111">
        <v>331</v>
      </c>
      <c r="J381" s="111">
        <v>1111</v>
      </c>
      <c r="K381" s="111" t="s">
        <v>20</v>
      </c>
      <c r="L381" s="111">
        <v>1</v>
      </c>
      <c r="M381" s="118">
        <v>1945264</v>
      </c>
      <c r="N381" s="118">
        <f t="shared" si="16"/>
        <v>1945264</v>
      </c>
      <c r="O381" s="111" t="s">
        <v>21</v>
      </c>
      <c r="P381" s="111">
        <f t="shared" si="17"/>
        <v>353</v>
      </c>
    </row>
    <row r="382" spans="1:16" ht="15" customHeight="1" x14ac:dyDescent="0.25">
      <c r="A382" s="111" t="s">
        <v>2719</v>
      </c>
      <c r="B382" s="120">
        <v>45938</v>
      </c>
      <c r="C382" s="111">
        <f t="shared" si="15"/>
        <v>973</v>
      </c>
      <c r="D382" s="111">
        <v>1</v>
      </c>
      <c r="G382" s="116" t="s">
        <v>23</v>
      </c>
      <c r="H382" s="111" t="s">
        <v>2728</v>
      </c>
      <c r="I382" s="111">
        <v>331</v>
      </c>
      <c r="J382" s="111">
        <v>1111</v>
      </c>
      <c r="K382" s="111" t="s">
        <v>20</v>
      </c>
      <c r="L382" s="111">
        <v>1</v>
      </c>
      <c r="M382" s="118">
        <v>107000</v>
      </c>
      <c r="N382" s="118">
        <f t="shared" si="16"/>
        <v>107000</v>
      </c>
      <c r="O382" s="111" t="s">
        <v>21</v>
      </c>
      <c r="P382" s="111">
        <f t="shared" si="17"/>
        <v>354</v>
      </c>
    </row>
    <row r="383" spans="1:16" ht="15" customHeight="1" x14ac:dyDescent="0.25">
      <c r="A383" s="111" t="s">
        <v>2719</v>
      </c>
      <c r="B383" s="120">
        <v>45939</v>
      </c>
      <c r="C383" s="111">
        <f t="shared" si="15"/>
        <v>974</v>
      </c>
      <c r="D383" s="111">
        <v>1</v>
      </c>
      <c r="G383" s="116" t="s">
        <v>28</v>
      </c>
      <c r="H383" s="111" t="s">
        <v>2729</v>
      </c>
      <c r="I383" s="111">
        <v>331</v>
      </c>
      <c r="J383" s="111">
        <v>1111</v>
      </c>
      <c r="K383" s="111" t="s">
        <v>20</v>
      </c>
      <c r="L383" s="111">
        <v>1</v>
      </c>
      <c r="M383" s="118">
        <v>943920</v>
      </c>
      <c r="N383" s="118">
        <f t="shared" si="16"/>
        <v>943920</v>
      </c>
      <c r="O383" s="111" t="s">
        <v>21</v>
      </c>
      <c r="P383" s="111">
        <f t="shared" si="17"/>
        <v>355</v>
      </c>
    </row>
    <row r="384" spans="1:16" ht="15" customHeight="1" x14ac:dyDescent="0.25">
      <c r="A384" s="111" t="s">
        <v>2719</v>
      </c>
      <c r="B384" s="120">
        <v>45939</v>
      </c>
      <c r="C384" s="111">
        <f t="shared" si="15"/>
        <v>975</v>
      </c>
      <c r="D384" s="111">
        <v>1</v>
      </c>
      <c r="G384" s="116" t="s">
        <v>24</v>
      </c>
      <c r="H384" s="111" t="s">
        <v>2730</v>
      </c>
      <c r="I384" s="111">
        <v>331</v>
      </c>
      <c r="J384" s="111">
        <v>1111</v>
      </c>
      <c r="K384" s="111" t="s">
        <v>20</v>
      </c>
      <c r="L384" s="111">
        <v>1</v>
      </c>
      <c r="M384" s="118">
        <v>53000</v>
      </c>
      <c r="N384" s="118">
        <f t="shared" si="16"/>
        <v>53000</v>
      </c>
      <c r="O384" s="111" t="s">
        <v>21</v>
      </c>
      <c r="P384" s="111">
        <f t="shared" si="17"/>
        <v>356</v>
      </c>
    </row>
    <row r="385" spans="1:16" ht="15" customHeight="1" x14ac:dyDescent="0.25">
      <c r="A385" s="111" t="s">
        <v>2719</v>
      </c>
      <c r="B385" s="120">
        <v>45939</v>
      </c>
      <c r="C385" s="111">
        <f t="shared" si="15"/>
        <v>976</v>
      </c>
      <c r="D385" s="111">
        <v>1</v>
      </c>
      <c r="G385" s="116" t="s">
        <v>19</v>
      </c>
      <c r="H385" s="111" t="s">
        <v>2731</v>
      </c>
      <c r="I385" s="111">
        <v>331</v>
      </c>
      <c r="J385" s="111">
        <v>1111</v>
      </c>
      <c r="K385" s="111" t="s">
        <v>20</v>
      </c>
      <c r="L385" s="111">
        <v>1</v>
      </c>
      <c r="M385" s="118">
        <v>46000</v>
      </c>
      <c r="N385" s="118">
        <f t="shared" si="16"/>
        <v>46000</v>
      </c>
      <c r="O385" s="111" t="s">
        <v>21</v>
      </c>
      <c r="P385" s="111">
        <f t="shared" si="17"/>
        <v>357</v>
      </c>
    </row>
    <row r="386" spans="1:16" ht="15" customHeight="1" x14ac:dyDescent="0.25">
      <c r="A386" s="111" t="s">
        <v>2719</v>
      </c>
      <c r="B386" s="120">
        <v>45940</v>
      </c>
      <c r="C386" s="111">
        <f t="shared" si="15"/>
        <v>977</v>
      </c>
      <c r="D386" s="111">
        <v>1</v>
      </c>
      <c r="G386" s="116" t="s">
        <v>23</v>
      </c>
      <c r="H386" s="111" t="s">
        <v>2732</v>
      </c>
      <c r="I386" s="111">
        <v>331</v>
      </c>
      <c r="J386" s="111">
        <v>1111</v>
      </c>
      <c r="K386" s="111" t="s">
        <v>20</v>
      </c>
      <c r="L386" s="111">
        <v>1</v>
      </c>
      <c r="M386" s="118">
        <v>1287000</v>
      </c>
      <c r="N386" s="118">
        <f t="shared" si="16"/>
        <v>1287000</v>
      </c>
      <c r="O386" s="111" t="s">
        <v>21</v>
      </c>
      <c r="P386" s="111">
        <f t="shared" si="17"/>
        <v>358</v>
      </c>
    </row>
    <row r="387" spans="1:16" ht="15" customHeight="1" x14ac:dyDescent="0.25">
      <c r="A387" s="111" t="s">
        <v>2719</v>
      </c>
      <c r="B387" s="120">
        <v>45941</v>
      </c>
      <c r="C387" s="111">
        <f t="shared" si="15"/>
        <v>978</v>
      </c>
      <c r="D387" s="111">
        <v>1</v>
      </c>
      <c r="G387" s="116" t="s">
        <v>983</v>
      </c>
      <c r="H387" s="111" t="s">
        <v>2733</v>
      </c>
      <c r="I387" s="111">
        <v>331</v>
      </c>
      <c r="J387" s="111">
        <v>1111</v>
      </c>
      <c r="K387" s="111" t="s">
        <v>20</v>
      </c>
      <c r="L387" s="111">
        <v>1</v>
      </c>
      <c r="M387" s="118">
        <v>1126062</v>
      </c>
      <c r="N387" s="118">
        <f t="shared" si="16"/>
        <v>1126062</v>
      </c>
      <c r="O387" s="111" t="s">
        <v>21</v>
      </c>
      <c r="P387" s="111">
        <f t="shared" si="17"/>
        <v>359</v>
      </c>
    </row>
    <row r="388" spans="1:16" ht="15" customHeight="1" x14ac:dyDescent="0.25">
      <c r="A388" s="111" t="s">
        <v>2719</v>
      </c>
      <c r="B388" s="120">
        <v>45941</v>
      </c>
      <c r="C388" s="111">
        <f t="shared" ref="C388:C451" si="18">C387+D388</f>
        <v>979</v>
      </c>
      <c r="D388" s="111">
        <v>1</v>
      </c>
      <c r="G388" s="116" t="s">
        <v>984</v>
      </c>
      <c r="H388" s="111" t="s">
        <v>2734</v>
      </c>
      <c r="I388" s="111">
        <v>331</v>
      </c>
      <c r="J388" s="111">
        <v>1111</v>
      </c>
      <c r="K388" s="111" t="s">
        <v>20</v>
      </c>
      <c r="L388" s="111">
        <v>1</v>
      </c>
      <c r="M388" s="118">
        <v>329000</v>
      </c>
      <c r="N388" s="118">
        <f t="shared" ref="N388:N451" si="19">M388*L388</f>
        <v>329000</v>
      </c>
      <c r="O388" s="111" t="s">
        <v>21</v>
      </c>
      <c r="P388" s="111">
        <f t="shared" si="17"/>
        <v>360</v>
      </c>
    </row>
    <row r="389" spans="1:16" ht="15" customHeight="1" x14ac:dyDescent="0.25">
      <c r="A389" s="111" t="s">
        <v>2719</v>
      </c>
      <c r="B389" s="120">
        <v>45941</v>
      </c>
      <c r="C389" s="111">
        <f t="shared" si="18"/>
        <v>980</v>
      </c>
      <c r="D389" s="111">
        <v>1</v>
      </c>
      <c r="G389" s="116" t="s">
        <v>985</v>
      </c>
      <c r="H389" s="111" t="s">
        <v>2735</v>
      </c>
      <c r="I389" s="111">
        <v>331</v>
      </c>
      <c r="J389" s="111">
        <v>1111</v>
      </c>
      <c r="K389" s="111" t="s">
        <v>20</v>
      </c>
      <c r="L389" s="111">
        <v>1</v>
      </c>
      <c r="M389" s="118">
        <v>4580000</v>
      </c>
      <c r="N389" s="118">
        <f t="shared" si="19"/>
        <v>4580000</v>
      </c>
      <c r="O389" s="111" t="s">
        <v>21</v>
      </c>
      <c r="P389" s="111">
        <f t="shared" ref="P389:P452" si="20">P388+D389</f>
        <v>361</v>
      </c>
    </row>
    <row r="390" spans="1:16" ht="15" customHeight="1" x14ac:dyDescent="0.25">
      <c r="A390" s="111" t="s">
        <v>2719</v>
      </c>
      <c r="B390" s="120">
        <v>45941</v>
      </c>
      <c r="C390" s="111">
        <f t="shared" si="18"/>
        <v>981</v>
      </c>
      <c r="D390" s="111">
        <v>1</v>
      </c>
      <c r="G390" s="116" t="s">
        <v>19</v>
      </c>
      <c r="H390" s="111" t="s">
        <v>2736</v>
      </c>
      <c r="I390" s="111">
        <v>331</v>
      </c>
      <c r="J390" s="111">
        <v>1111</v>
      </c>
      <c r="K390" s="111" t="s">
        <v>20</v>
      </c>
      <c r="L390" s="111">
        <v>1</v>
      </c>
      <c r="M390" s="118">
        <v>26000</v>
      </c>
      <c r="N390" s="118">
        <f t="shared" si="19"/>
        <v>26000</v>
      </c>
      <c r="O390" s="111" t="s">
        <v>21</v>
      </c>
      <c r="P390" s="111">
        <f t="shared" si="20"/>
        <v>362</v>
      </c>
    </row>
    <row r="391" spans="1:16" ht="15" customHeight="1" x14ac:dyDescent="0.25">
      <c r="A391" s="111" t="s">
        <v>2719</v>
      </c>
      <c r="B391" s="120">
        <v>45942</v>
      </c>
      <c r="C391" s="111">
        <f t="shared" si="18"/>
        <v>982</v>
      </c>
      <c r="D391" s="111">
        <v>1</v>
      </c>
      <c r="G391" s="116" t="s">
        <v>51</v>
      </c>
      <c r="H391" s="111" t="s">
        <v>2737</v>
      </c>
      <c r="I391" s="111">
        <v>331</v>
      </c>
      <c r="J391" s="111">
        <v>1111</v>
      </c>
      <c r="K391" s="111" t="s">
        <v>20</v>
      </c>
      <c r="L391" s="111">
        <v>1</v>
      </c>
      <c r="M391" s="118">
        <v>615600</v>
      </c>
      <c r="N391" s="118">
        <f t="shared" si="19"/>
        <v>615600</v>
      </c>
      <c r="O391" s="111" t="s">
        <v>21</v>
      </c>
      <c r="P391" s="111">
        <f t="shared" si="20"/>
        <v>363</v>
      </c>
    </row>
    <row r="392" spans="1:16" ht="15" customHeight="1" x14ac:dyDescent="0.25">
      <c r="A392" s="111" t="s">
        <v>2719</v>
      </c>
      <c r="B392" s="120">
        <v>45944</v>
      </c>
      <c r="C392" s="111">
        <f t="shared" si="18"/>
        <v>983</v>
      </c>
      <c r="D392" s="111">
        <v>1</v>
      </c>
      <c r="G392" s="116" t="s">
        <v>986</v>
      </c>
      <c r="H392" s="111" t="s">
        <v>2738</v>
      </c>
      <c r="I392" s="111">
        <v>331</v>
      </c>
      <c r="J392" s="111">
        <v>1111</v>
      </c>
      <c r="K392" s="111" t="s">
        <v>20</v>
      </c>
      <c r="L392" s="111">
        <v>1</v>
      </c>
      <c r="M392" s="118">
        <v>2971080</v>
      </c>
      <c r="N392" s="118">
        <f t="shared" si="19"/>
        <v>2971080</v>
      </c>
      <c r="O392" s="111" t="s">
        <v>21</v>
      </c>
      <c r="P392" s="111">
        <f t="shared" si="20"/>
        <v>364</v>
      </c>
    </row>
    <row r="393" spans="1:16" ht="15" customHeight="1" x14ac:dyDescent="0.25">
      <c r="A393" s="111" t="s">
        <v>2719</v>
      </c>
      <c r="B393" s="120">
        <v>45944</v>
      </c>
      <c r="C393" s="111">
        <f t="shared" si="18"/>
        <v>984</v>
      </c>
      <c r="D393" s="111">
        <v>1</v>
      </c>
      <c r="G393" s="116" t="s">
        <v>987</v>
      </c>
      <c r="H393" s="111" t="s">
        <v>2739</v>
      </c>
      <c r="I393" s="111">
        <v>331</v>
      </c>
      <c r="J393" s="111">
        <v>1111</v>
      </c>
      <c r="K393" s="111" t="s">
        <v>20</v>
      </c>
      <c r="L393" s="111">
        <v>1</v>
      </c>
      <c r="M393" s="118">
        <v>355000</v>
      </c>
      <c r="N393" s="118">
        <f t="shared" si="19"/>
        <v>355000</v>
      </c>
      <c r="O393" s="111" t="s">
        <v>21</v>
      </c>
      <c r="P393" s="111">
        <f t="shared" si="20"/>
        <v>365</v>
      </c>
    </row>
    <row r="394" spans="1:16" ht="15" customHeight="1" x14ac:dyDescent="0.25">
      <c r="A394" s="111" t="s">
        <v>2719</v>
      </c>
      <c r="B394" s="120">
        <v>45944</v>
      </c>
      <c r="C394" s="111">
        <f t="shared" si="18"/>
        <v>985</v>
      </c>
      <c r="D394" s="111">
        <v>1</v>
      </c>
      <c r="G394" s="116" t="s">
        <v>23</v>
      </c>
      <c r="H394" s="111" t="s">
        <v>2740</v>
      </c>
      <c r="I394" s="111">
        <v>331</v>
      </c>
      <c r="J394" s="111">
        <v>1111</v>
      </c>
      <c r="K394" s="111" t="s">
        <v>20</v>
      </c>
      <c r="L394" s="111">
        <v>1</v>
      </c>
      <c r="M394" s="118">
        <v>89000</v>
      </c>
      <c r="N394" s="118">
        <f t="shared" si="19"/>
        <v>89000</v>
      </c>
      <c r="O394" s="111" t="s">
        <v>21</v>
      </c>
      <c r="P394" s="111">
        <f t="shared" si="20"/>
        <v>366</v>
      </c>
    </row>
    <row r="395" spans="1:16" ht="15" customHeight="1" x14ac:dyDescent="0.25">
      <c r="A395" s="111" t="s">
        <v>2719</v>
      </c>
      <c r="B395" s="120">
        <v>45944</v>
      </c>
      <c r="C395" s="111">
        <f t="shared" si="18"/>
        <v>986</v>
      </c>
      <c r="D395" s="111">
        <v>1</v>
      </c>
      <c r="G395" s="116" t="s">
        <v>24</v>
      </c>
      <c r="H395" s="111" t="s">
        <v>2741</v>
      </c>
      <c r="I395" s="111">
        <v>331</v>
      </c>
      <c r="J395" s="111">
        <v>1111</v>
      </c>
      <c r="K395" s="111" t="s">
        <v>20</v>
      </c>
      <c r="L395" s="111">
        <v>1</v>
      </c>
      <c r="M395" s="118">
        <v>15000</v>
      </c>
      <c r="N395" s="118">
        <f t="shared" si="19"/>
        <v>15000</v>
      </c>
      <c r="O395" s="111" t="s">
        <v>21</v>
      </c>
      <c r="P395" s="111">
        <f t="shared" si="20"/>
        <v>367</v>
      </c>
    </row>
    <row r="396" spans="1:16" ht="15" customHeight="1" x14ac:dyDescent="0.25">
      <c r="A396" s="111" t="s">
        <v>2719</v>
      </c>
      <c r="B396" s="120">
        <v>45944</v>
      </c>
      <c r="C396" s="111">
        <f t="shared" si="18"/>
        <v>987</v>
      </c>
      <c r="D396" s="111">
        <v>1</v>
      </c>
      <c r="G396" s="116" t="s">
        <v>19</v>
      </c>
      <c r="H396" s="111" t="s">
        <v>2742</v>
      </c>
      <c r="I396" s="111">
        <v>331</v>
      </c>
      <c r="J396" s="111">
        <v>1111</v>
      </c>
      <c r="K396" s="111" t="s">
        <v>20</v>
      </c>
      <c r="L396" s="111">
        <v>1</v>
      </c>
      <c r="M396" s="118">
        <v>45000</v>
      </c>
      <c r="N396" s="118">
        <f t="shared" si="19"/>
        <v>45000</v>
      </c>
      <c r="O396" s="111" t="s">
        <v>21</v>
      </c>
      <c r="P396" s="111">
        <f t="shared" si="20"/>
        <v>368</v>
      </c>
    </row>
    <row r="397" spans="1:16" ht="15" customHeight="1" x14ac:dyDescent="0.25">
      <c r="A397" s="111" t="s">
        <v>2719</v>
      </c>
      <c r="B397" s="120">
        <v>45945</v>
      </c>
      <c r="C397" s="111">
        <f t="shared" si="18"/>
        <v>988</v>
      </c>
      <c r="D397" s="111">
        <v>1</v>
      </c>
      <c r="G397" s="116" t="s">
        <v>27</v>
      </c>
      <c r="H397" s="111" t="s">
        <v>2743</v>
      </c>
      <c r="I397" s="111">
        <v>331</v>
      </c>
      <c r="J397" s="111">
        <v>1111</v>
      </c>
      <c r="K397" s="111" t="s">
        <v>20</v>
      </c>
      <c r="L397" s="111">
        <v>1</v>
      </c>
      <c r="M397" s="118">
        <v>159840</v>
      </c>
      <c r="N397" s="118">
        <f t="shared" si="19"/>
        <v>159840</v>
      </c>
      <c r="O397" s="111" t="s">
        <v>21</v>
      </c>
      <c r="P397" s="111">
        <f t="shared" si="20"/>
        <v>369</v>
      </c>
    </row>
    <row r="398" spans="1:16" ht="15" customHeight="1" x14ac:dyDescent="0.25">
      <c r="A398" s="111" t="s">
        <v>2719</v>
      </c>
      <c r="B398" s="120">
        <v>45945</v>
      </c>
      <c r="C398" s="111">
        <f t="shared" si="18"/>
        <v>989</v>
      </c>
      <c r="D398" s="111">
        <v>1</v>
      </c>
      <c r="G398" s="116" t="s">
        <v>988</v>
      </c>
      <c r="H398" s="111" t="s">
        <v>2744</v>
      </c>
      <c r="I398" s="111">
        <v>331</v>
      </c>
      <c r="J398" s="111">
        <v>1111</v>
      </c>
      <c r="K398" s="111" t="s">
        <v>20</v>
      </c>
      <c r="L398" s="111">
        <v>1</v>
      </c>
      <c r="M398" s="118">
        <v>150000</v>
      </c>
      <c r="N398" s="118">
        <f t="shared" si="19"/>
        <v>150000</v>
      </c>
      <c r="O398" s="111" t="s">
        <v>21</v>
      </c>
      <c r="P398" s="111">
        <f t="shared" si="20"/>
        <v>370</v>
      </c>
    </row>
    <row r="399" spans="1:16" ht="15" customHeight="1" x14ac:dyDescent="0.25">
      <c r="A399" s="111" t="s">
        <v>2719</v>
      </c>
      <c r="B399" s="120">
        <v>45945</v>
      </c>
      <c r="C399" s="111">
        <f t="shared" si="18"/>
        <v>990</v>
      </c>
      <c r="D399" s="111">
        <v>1</v>
      </c>
      <c r="G399" s="116" t="s">
        <v>989</v>
      </c>
      <c r="H399" s="111" t="s">
        <v>2745</v>
      </c>
      <c r="I399" s="111">
        <v>331</v>
      </c>
      <c r="J399" s="111">
        <v>1111</v>
      </c>
      <c r="K399" s="111" t="s">
        <v>20</v>
      </c>
      <c r="L399" s="111">
        <v>1</v>
      </c>
      <c r="M399" s="118">
        <v>216000</v>
      </c>
      <c r="N399" s="118">
        <f t="shared" si="19"/>
        <v>216000</v>
      </c>
      <c r="O399" s="111" t="s">
        <v>21</v>
      </c>
      <c r="P399" s="111">
        <f t="shared" si="20"/>
        <v>371</v>
      </c>
    </row>
    <row r="400" spans="1:16" ht="15" customHeight="1" x14ac:dyDescent="0.25">
      <c r="A400" s="111" t="s">
        <v>2719</v>
      </c>
      <c r="B400" s="120">
        <v>45945</v>
      </c>
      <c r="C400" s="111">
        <f t="shared" si="18"/>
        <v>991</v>
      </c>
      <c r="D400" s="111">
        <v>1</v>
      </c>
      <c r="G400" s="116" t="s">
        <v>19</v>
      </c>
      <c r="H400" s="111" t="s">
        <v>2746</v>
      </c>
      <c r="I400" s="111">
        <v>331</v>
      </c>
      <c r="J400" s="111">
        <v>1111</v>
      </c>
      <c r="K400" s="111" t="s">
        <v>20</v>
      </c>
      <c r="L400" s="111">
        <v>1</v>
      </c>
      <c r="M400" s="118">
        <v>29000</v>
      </c>
      <c r="N400" s="118">
        <f t="shared" si="19"/>
        <v>29000</v>
      </c>
      <c r="O400" s="111" t="s">
        <v>21</v>
      </c>
      <c r="P400" s="111">
        <f t="shared" si="20"/>
        <v>372</v>
      </c>
    </row>
    <row r="401" spans="1:16" ht="15" customHeight="1" x14ac:dyDescent="0.25">
      <c r="A401" s="111" t="s">
        <v>2719</v>
      </c>
      <c r="B401" s="120">
        <v>45946</v>
      </c>
      <c r="C401" s="111">
        <f t="shared" si="18"/>
        <v>992</v>
      </c>
      <c r="D401" s="111">
        <v>1</v>
      </c>
      <c r="G401" s="116" t="s">
        <v>33</v>
      </c>
      <c r="H401" s="111" t="s">
        <v>2747</v>
      </c>
      <c r="I401" s="111">
        <v>331</v>
      </c>
      <c r="J401" s="111">
        <v>1111</v>
      </c>
      <c r="K401" s="111" t="s">
        <v>20</v>
      </c>
      <c r="L401" s="111">
        <v>1</v>
      </c>
      <c r="M401" s="118">
        <v>1291498</v>
      </c>
      <c r="N401" s="118">
        <f t="shared" si="19"/>
        <v>1291498</v>
      </c>
      <c r="O401" s="111" t="s">
        <v>21</v>
      </c>
      <c r="P401" s="111">
        <f t="shared" si="20"/>
        <v>373</v>
      </c>
    </row>
    <row r="402" spans="1:16" ht="15" customHeight="1" x14ac:dyDescent="0.25">
      <c r="A402" s="111" t="s">
        <v>2719</v>
      </c>
      <c r="B402" s="120">
        <v>45946</v>
      </c>
      <c r="C402" s="111">
        <f t="shared" si="18"/>
        <v>993</v>
      </c>
      <c r="D402" s="111">
        <v>1</v>
      </c>
      <c r="G402" s="116" t="s">
        <v>23</v>
      </c>
      <c r="H402" s="111" t="s">
        <v>2748</v>
      </c>
      <c r="I402" s="111">
        <v>331</v>
      </c>
      <c r="J402" s="111">
        <v>1111</v>
      </c>
      <c r="K402" s="111" t="s">
        <v>20</v>
      </c>
      <c r="L402" s="111">
        <v>1</v>
      </c>
      <c r="M402" s="118">
        <v>452000</v>
      </c>
      <c r="N402" s="118">
        <f t="shared" si="19"/>
        <v>452000</v>
      </c>
      <c r="O402" s="111" t="s">
        <v>21</v>
      </c>
      <c r="P402" s="111">
        <f t="shared" si="20"/>
        <v>374</v>
      </c>
    </row>
    <row r="403" spans="1:16" ht="15" customHeight="1" x14ac:dyDescent="0.25">
      <c r="A403" s="111" t="s">
        <v>2719</v>
      </c>
      <c r="B403" s="120">
        <v>45946</v>
      </c>
      <c r="C403" s="111">
        <f t="shared" si="18"/>
        <v>994</v>
      </c>
      <c r="D403" s="111">
        <v>1</v>
      </c>
      <c r="G403" s="116" t="s">
        <v>19</v>
      </c>
      <c r="H403" s="111" t="s">
        <v>2749</v>
      </c>
      <c r="I403" s="111">
        <v>331</v>
      </c>
      <c r="J403" s="111">
        <v>1111</v>
      </c>
      <c r="K403" s="111" t="s">
        <v>20</v>
      </c>
      <c r="L403" s="111">
        <v>1</v>
      </c>
      <c r="M403" s="118">
        <v>103000</v>
      </c>
      <c r="N403" s="118">
        <f t="shared" si="19"/>
        <v>103000</v>
      </c>
      <c r="O403" s="111" t="s">
        <v>21</v>
      </c>
      <c r="P403" s="111">
        <f t="shared" si="20"/>
        <v>375</v>
      </c>
    </row>
    <row r="404" spans="1:16" ht="15" customHeight="1" x14ac:dyDescent="0.25">
      <c r="A404" s="111" t="s">
        <v>2719</v>
      </c>
      <c r="B404" s="120">
        <v>45946</v>
      </c>
      <c r="C404" s="111">
        <f t="shared" si="18"/>
        <v>995</v>
      </c>
      <c r="D404" s="111">
        <v>1</v>
      </c>
      <c r="G404" s="116" t="s">
        <v>19</v>
      </c>
      <c r="H404" s="111" t="s">
        <v>2750</v>
      </c>
      <c r="I404" s="111">
        <v>331</v>
      </c>
      <c r="J404" s="111">
        <v>1111</v>
      </c>
      <c r="K404" s="111" t="s">
        <v>20</v>
      </c>
      <c r="L404" s="111">
        <v>1</v>
      </c>
      <c r="M404" s="118">
        <v>125000</v>
      </c>
      <c r="N404" s="118">
        <f t="shared" si="19"/>
        <v>125000</v>
      </c>
      <c r="O404" s="111" t="s">
        <v>21</v>
      </c>
      <c r="P404" s="111">
        <f t="shared" si="20"/>
        <v>376</v>
      </c>
    </row>
    <row r="405" spans="1:16" ht="15" customHeight="1" x14ac:dyDescent="0.25">
      <c r="A405" s="111" t="s">
        <v>2719</v>
      </c>
      <c r="B405" s="120">
        <v>45947</v>
      </c>
      <c r="C405" s="111">
        <f t="shared" si="18"/>
        <v>996</v>
      </c>
      <c r="D405" s="111">
        <v>1</v>
      </c>
      <c r="G405" s="116" t="s">
        <v>989</v>
      </c>
      <c r="H405" s="111" t="s">
        <v>2751</v>
      </c>
      <c r="I405" s="111">
        <v>331</v>
      </c>
      <c r="J405" s="111">
        <v>1111</v>
      </c>
      <c r="K405" s="111" t="s">
        <v>20</v>
      </c>
      <c r="L405" s="111">
        <v>1</v>
      </c>
      <c r="M405" s="118">
        <v>216000</v>
      </c>
      <c r="N405" s="118">
        <f t="shared" si="19"/>
        <v>216000</v>
      </c>
      <c r="O405" s="111" t="s">
        <v>21</v>
      </c>
      <c r="P405" s="111">
        <f t="shared" si="20"/>
        <v>377</v>
      </c>
    </row>
    <row r="406" spans="1:16" ht="15" customHeight="1" x14ac:dyDescent="0.25">
      <c r="A406" s="111" t="s">
        <v>2719</v>
      </c>
      <c r="B406" s="120">
        <v>45947</v>
      </c>
      <c r="C406" s="111">
        <f t="shared" si="18"/>
        <v>997</v>
      </c>
      <c r="D406" s="111">
        <v>1</v>
      </c>
      <c r="G406" s="116" t="s">
        <v>121</v>
      </c>
      <c r="H406" s="111" t="s">
        <v>2752</v>
      </c>
      <c r="I406" s="111">
        <v>331</v>
      </c>
      <c r="J406" s="111">
        <v>1111</v>
      </c>
      <c r="K406" s="111" t="s">
        <v>20</v>
      </c>
      <c r="L406" s="111">
        <v>1</v>
      </c>
      <c r="M406" s="118">
        <v>1400760</v>
      </c>
      <c r="N406" s="118">
        <f t="shared" si="19"/>
        <v>1400760</v>
      </c>
      <c r="O406" s="111" t="s">
        <v>21</v>
      </c>
      <c r="P406" s="111">
        <f t="shared" si="20"/>
        <v>378</v>
      </c>
    </row>
    <row r="407" spans="1:16" ht="15" customHeight="1" x14ac:dyDescent="0.25">
      <c r="A407" s="111" t="s">
        <v>2719</v>
      </c>
      <c r="B407" s="120">
        <v>45947</v>
      </c>
      <c r="C407" s="111">
        <f t="shared" si="18"/>
        <v>998</v>
      </c>
      <c r="D407" s="111">
        <v>1</v>
      </c>
      <c r="G407" s="116" t="s">
        <v>990</v>
      </c>
      <c r="H407" s="111" t="s">
        <v>2753</v>
      </c>
      <c r="I407" s="111">
        <v>331</v>
      </c>
      <c r="J407" s="111">
        <v>1111</v>
      </c>
      <c r="K407" s="111" t="s">
        <v>20</v>
      </c>
      <c r="L407" s="111">
        <v>1</v>
      </c>
      <c r="M407" s="118">
        <v>334530</v>
      </c>
      <c r="N407" s="118">
        <f t="shared" si="19"/>
        <v>334530</v>
      </c>
      <c r="O407" s="111" t="s">
        <v>21</v>
      </c>
      <c r="P407" s="111">
        <f t="shared" si="20"/>
        <v>379</v>
      </c>
    </row>
    <row r="408" spans="1:16" ht="15" customHeight="1" x14ac:dyDescent="0.25">
      <c r="A408" s="111" t="s">
        <v>2719</v>
      </c>
      <c r="B408" s="120">
        <v>45947</v>
      </c>
      <c r="C408" s="111">
        <f t="shared" si="18"/>
        <v>999</v>
      </c>
      <c r="D408" s="111">
        <v>1</v>
      </c>
      <c r="G408" s="116" t="s">
        <v>24</v>
      </c>
      <c r="H408" s="111" t="s">
        <v>2754</v>
      </c>
      <c r="I408" s="111">
        <v>331</v>
      </c>
      <c r="J408" s="111">
        <v>1111</v>
      </c>
      <c r="K408" s="111" t="s">
        <v>20</v>
      </c>
      <c r="L408" s="111">
        <v>1</v>
      </c>
      <c r="M408" s="118">
        <v>136000</v>
      </c>
      <c r="N408" s="118">
        <f t="shared" si="19"/>
        <v>136000</v>
      </c>
      <c r="O408" s="111" t="s">
        <v>21</v>
      </c>
      <c r="P408" s="111">
        <f t="shared" si="20"/>
        <v>380</v>
      </c>
    </row>
    <row r="409" spans="1:16" ht="15" customHeight="1" x14ac:dyDescent="0.25">
      <c r="A409" s="111" t="s">
        <v>2719</v>
      </c>
      <c r="B409" s="120">
        <v>45947</v>
      </c>
      <c r="C409" s="111">
        <f t="shared" si="18"/>
        <v>1000</v>
      </c>
      <c r="D409" s="111">
        <v>1</v>
      </c>
      <c r="G409" s="116" t="s">
        <v>19</v>
      </c>
      <c r="H409" s="111" t="s">
        <v>2755</v>
      </c>
      <c r="I409" s="111">
        <v>331</v>
      </c>
      <c r="J409" s="111">
        <v>1111</v>
      </c>
      <c r="K409" s="111" t="s">
        <v>20</v>
      </c>
      <c r="L409" s="111">
        <v>1</v>
      </c>
      <c r="M409" s="118">
        <v>61000</v>
      </c>
      <c r="N409" s="118">
        <f t="shared" si="19"/>
        <v>61000</v>
      </c>
      <c r="O409" s="111" t="s">
        <v>21</v>
      </c>
      <c r="P409" s="111">
        <f t="shared" si="20"/>
        <v>381</v>
      </c>
    </row>
    <row r="410" spans="1:16" ht="15" customHeight="1" x14ac:dyDescent="0.25">
      <c r="A410" s="111" t="s">
        <v>2719</v>
      </c>
      <c r="B410" s="120">
        <v>45948</v>
      </c>
      <c r="C410" s="111">
        <f t="shared" si="18"/>
        <v>1001</v>
      </c>
      <c r="D410" s="111">
        <v>1</v>
      </c>
      <c r="G410" s="116" t="s">
        <v>22</v>
      </c>
      <c r="H410" s="111" t="s">
        <v>2756</v>
      </c>
      <c r="I410" s="111">
        <v>331</v>
      </c>
      <c r="J410" s="111">
        <v>1111</v>
      </c>
      <c r="K410" s="111" t="s">
        <v>20</v>
      </c>
      <c r="L410" s="111">
        <v>1</v>
      </c>
      <c r="M410" s="118">
        <v>750600</v>
      </c>
      <c r="N410" s="118">
        <f t="shared" si="19"/>
        <v>750600</v>
      </c>
      <c r="O410" s="111" t="s">
        <v>21</v>
      </c>
      <c r="P410" s="111">
        <f t="shared" si="20"/>
        <v>382</v>
      </c>
    </row>
    <row r="411" spans="1:16" ht="15" customHeight="1" x14ac:dyDescent="0.25">
      <c r="A411" s="111" t="s">
        <v>2719</v>
      </c>
      <c r="B411" s="120">
        <v>45948</v>
      </c>
      <c r="C411" s="111">
        <f t="shared" si="18"/>
        <v>1002</v>
      </c>
      <c r="D411" s="111">
        <v>1</v>
      </c>
      <c r="G411" s="116" t="s">
        <v>19</v>
      </c>
      <c r="H411" s="111" t="s">
        <v>2757</v>
      </c>
      <c r="I411" s="111">
        <v>331</v>
      </c>
      <c r="J411" s="111">
        <v>1111</v>
      </c>
      <c r="K411" s="111" t="s">
        <v>20</v>
      </c>
      <c r="L411" s="111">
        <v>1</v>
      </c>
      <c r="M411" s="118">
        <v>169000</v>
      </c>
      <c r="N411" s="118">
        <f t="shared" si="19"/>
        <v>169000</v>
      </c>
      <c r="O411" s="111" t="s">
        <v>21</v>
      </c>
      <c r="P411" s="111">
        <f t="shared" si="20"/>
        <v>383</v>
      </c>
    </row>
    <row r="412" spans="1:16" ht="15" customHeight="1" x14ac:dyDescent="0.25">
      <c r="A412" s="111" t="s">
        <v>2719</v>
      </c>
      <c r="B412" s="120">
        <v>45948</v>
      </c>
      <c r="C412" s="111">
        <f t="shared" si="18"/>
        <v>1003</v>
      </c>
      <c r="D412" s="111">
        <v>1</v>
      </c>
      <c r="G412" s="116" t="s">
        <v>19</v>
      </c>
      <c r="H412" s="111" t="s">
        <v>2758</v>
      </c>
      <c r="I412" s="111">
        <v>331</v>
      </c>
      <c r="J412" s="111">
        <v>1111</v>
      </c>
      <c r="K412" s="111" t="s">
        <v>20</v>
      </c>
      <c r="L412" s="111">
        <v>1</v>
      </c>
      <c r="M412" s="118">
        <v>174000</v>
      </c>
      <c r="N412" s="118">
        <f t="shared" si="19"/>
        <v>174000</v>
      </c>
      <c r="O412" s="111" t="s">
        <v>21</v>
      </c>
      <c r="P412" s="111">
        <f t="shared" si="20"/>
        <v>384</v>
      </c>
    </row>
    <row r="413" spans="1:16" ht="15" customHeight="1" x14ac:dyDescent="0.25">
      <c r="A413" s="111" t="s">
        <v>2719</v>
      </c>
      <c r="B413" s="120">
        <v>45948</v>
      </c>
      <c r="C413" s="111">
        <f t="shared" si="18"/>
        <v>1004</v>
      </c>
      <c r="D413" s="111">
        <v>1</v>
      </c>
      <c r="G413" s="116" t="s">
        <v>19</v>
      </c>
      <c r="H413" s="111" t="s">
        <v>2759</v>
      </c>
      <c r="I413" s="111">
        <v>331</v>
      </c>
      <c r="J413" s="111">
        <v>1111</v>
      </c>
      <c r="K413" s="111" t="s">
        <v>20</v>
      </c>
      <c r="L413" s="111">
        <v>1</v>
      </c>
      <c r="M413" s="118">
        <v>19000</v>
      </c>
      <c r="N413" s="118">
        <f t="shared" si="19"/>
        <v>19000</v>
      </c>
      <c r="O413" s="111" t="s">
        <v>21</v>
      </c>
      <c r="P413" s="111">
        <f t="shared" si="20"/>
        <v>385</v>
      </c>
    </row>
    <row r="414" spans="1:16" ht="15" customHeight="1" x14ac:dyDescent="0.25">
      <c r="A414" s="111" t="s">
        <v>2719</v>
      </c>
      <c r="B414" s="120">
        <v>45948</v>
      </c>
      <c r="C414" s="111">
        <f t="shared" si="18"/>
        <v>1005</v>
      </c>
      <c r="D414" s="111">
        <v>1</v>
      </c>
      <c r="G414" s="116" t="s">
        <v>19</v>
      </c>
      <c r="H414" s="111" t="s">
        <v>2760</v>
      </c>
      <c r="I414" s="111">
        <v>331</v>
      </c>
      <c r="J414" s="111">
        <v>1111</v>
      </c>
      <c r="K414" s="111" t="s">
        <v>20</v>
      </c>
      <c r="L414" s="111">
        <v>1</v>
      </c>
      <c r="M414" s="118">
        <v>19000</v>
      </c>
      <c r="N414" s="118">
        <f t="shared" si="19"/>
        <v>19000</v>
      </c>
      <c r="O414" s="111" t="s">
        <v>21</v>
      </c>
      <c r="P414" s="111">
        <f t="shared" si="20"/>
        <v>386</v>
      </c>
    </row>
    <row r="415" spans="1:16" ht="15" customHeight="1" x14ac:dyDescent="0.25">
      <c r="A415" s="111" t="s">
        <v>2719</v>
      </c>
      <c r="B415" s="120">
        <v>45949</v>
      </c>
      <c r="C415" s="111">
        <f t="shared" si="18"/>
        <v>1006</v>
      </c>
      <c r="D415" s="111">
        <v>1</v>
      </c>
      <c r="G415" s="116" t="s">
        <v>24</v>
      </c>
      <c r="H415" s="111" t="s">
        <v>2761</v>
      </c>
      <c r="I415" s="111">
        <v>331</v>
      </c>
      <c r="J415" s="111">
        <v>1111</v>
      </c>
      <c r="K415" s="111" t="s">
        <v>20</v>
      </c>
      <c r="L415" s="111">
        <v>1</v>
      </c>
      <c r="M415" s="118">
        <v>116000</v>
      </c>
      <c r="N415" s="118">
        <f t="shared" si="19"/>
        <v>116000</v>
      </c>
      <c r="O415" s="111" t="s">
        <v>21</v>
      </c>
      <c r="P415" s="111">
        <f t="shared" si="20"/>
        <v>387</v>
      </c>
    </row>
    <row r="416" spans="1:16" ht="15" customHeight="1" x14ac:dyDescent="0.25">
      <c r="A416" s="111" t="s">
        <v>2719</v>
      </c>
      <c r="B416" s="120">
        <v>45949</v>
      </c>
      <c r="C416" s="111">
        <f t="shared" si="18"/>
        <v>1007</v>
      </c>
      <c r="D416" s="111">
        <v>1</v>
      </c>
      <c r="G416" s="116" t="s">
        <v>19</v>
      </c>
      <c r="H416" s="111" t="s">
        <v>2762</v>
      </c>
      <c r="I416" s="111">
        <v>331</v>
      </c>
      <c r="J416" s="111">
        <v>1111</v>
      </c>
      <c r="K416" s="111" t="s">
        <v>20</v>
      </c>
      <c r="L416" s="111">
        <v>1</v>
      </c>
      <c r="M416" s="118">
        <v>251000</v>
      </c>
      <c r="N416" s="118">
        <f t="shared" si="19"/>
        <v>251000</v>
      </c>
      <c r="O416" s="111" t="s">
        <v>21</v>
      </c>
      <c r="P416" s="111">
        <f t="shared" si="20"/>
        <v>388</v>
      </c>
    </row>
    <row r="417" spans="1:16" ht="15" customHeight="1" x14ac:dyDescent="0.25">
      <c r="A417" s="111" t="s">
        <v>2719</v>
      </c>
      <c r="B417" s="120">
        <v>45950</v>
      </c>
      <c r="C417" s="111">
        <f t="shared" si="18"/>
        <v>1008</v>
      </c>
      <c r="D417" s="111">
        <v>1</v>
      </c>
      <c r="G417" s="116" t="s">
        <v>991</v>
      </c>
      <c r="H417" s="111" t="s">
        <v>2763</v>
      </c>
      <c r="I417" s="111">
        <v>331</v>
      </c>
      <c r="J417" s="111">
        <v>1111</v>
      </c>
      <c r="K417" s="111" t="s">
        <v>20</v>
      </c>
      <c r="L417" s="111">
        <v>1</v>
      </c>
      <c r="M417" s="118">
        <v>230000</v>
      </c>
      <c r="N417" s="118">
        <f t="shared" si="19"/>
        <v>230000</v>
      </c>
      <c r="O417" s="111" t="s">
        <v>21</v>
      </c>
      <c r="P417" s="111">
        <f t="shared" si="20"/>
        <v>389</v>
      </c>
    </row>
    <row r="418" spans="1:16" ht="15" customHeight="1" x14ac:dyDescent="0.25">
      <c r="A418" s="111" t="s">
        <v>2719</v>
      </c>
      <c r="B418" s="120">
        <v>45951</v>
      </c>
      <c r="C418" s="111">
        <f t="shared" si="18"/>
        <v>1009</v>
      </c>
      <c r="D418" s="111">
        <v>1</v>
      </c>
      <c r="G418" s="116" t="s">
        <v>992</v>
      </c>
      <c r="H418" s="111" t="s">
        <v>2764</v>
      </c>
      <c r="I418" s="111">
        <v>331</v>
      </c>
      <c r="J418" s="111">
        <v>1111</v>
      </c>
      <c r="K418" s="111" t="s">
        <v>20</v>
      </c>
      <c r="L418" s="111">
        <v>1</v>
      </c>
      <c r="M418" s="118">
        <v>514080</v>
      </c>
      <c r="N418" s="118">
        <f t="shared" si="19"/>
        <v>514080</v>
      </c>
      <c r="O418" s="111" t="s">
        <v>21</v>
      </c>
      <c r="P418" s="111">
        <f t="shared" si="20"/>
        <v>390</v>
      </c>
    </row>
    <row r="419" spans="1:16" ht="15" customHeight="1" x14ac:dyDescent="0.25">
      <c r="A419" s="111" t="s">
        <v>2719</v>
      </c>
      <c r="B419" s="120">
        <v>45951</v>
      </c>
      <c r="C419" s="111">
        <f t="shared" si="18"/>
        <v>1010</v>
      </c>
      <c r="D419" s="111">
        <v>1</v>
      </c>
      <c r="G419" s="116" t="s">
        <v>992</v>
      </c>
      <c r="H419" s="111" t="s">
        <v>2765</v>
      </c>
      <c r="I419" s="111">
        <v>331</v>
      </c>
      <c r="J419" s="111">
        <v>1111</v>
      </c>
      <c r="K419" s="111" t="s">
        <v>20</v>
      </c>
      <c r="L419" s="111">
        <v>1</v>
      </c>
      <c r="M419" s="118">
        <v>250800</v>
      </c>
      <c r="N419" s="118">
        <f t="shared" si="19"/>
        <v>250800</v>
      </c>
      <c r="O419" s="111" t="s">
        <v>21</v>
      </c>
      <c r="P419" s="111">
        <f t="shared" si="20"/>
        <v>391</v>
      </c>
    </row>
    <row r="420" spans="1:16" ht="15" customHeight="1" x14ac:dyDescent="0.25">
      <c r="A420" s="111" t="s">
        <v>2719</v>
      </c>
      <c r="B420" s="120">
        <v>45952</v>
      </c>
      <c r="C420" s="111">
        <f t="shared" si="18"/>
        <v>1011</v>
      </c>
      <c r="D420" s="111">
        <v>1</v>
      </c>
      <c r="G420" s="116" t="s">
        <v>27</v>
      </c>
      <c r="H420" s="111" t="s">
        <v>2766</v>
      </c>
      <c r="I420" s="111">
        <v>331</v>
      </c>
      <c r="J420" s="111">
        <v>1111</v>
      </c>
      <c r="K420" s="111" t="s">
        <v>20</v>
      </c>
      <c r="L420" s="111">
        <v>1</v>
      </c>
      <c r="M420" s="118">
        <v>317520</v>
      </c>
      <c r="N420" s="118">
        <f t="shared" si="19"/>
        <v>317520</v>
      </c>
      <c r="O420" s="111" t="s">
        <v>21</v>
      </c>
      <c r="P420" s="111">
        <f t="shared" si="20"/>
        <v>392</v>
      </c>
    </row>
    <row r="421" spans="1:16" ht="15" customHeight="1" x14ac:dyDescent="0.25">
      <c r="A421" s="111" t="s">
        <v>2719</v>
      </c>
      <c r="B421" s="120">
        <v>45952</v>
      </c>
      <c r="C421" s="111">
        <f t="shared" si="18"/>
        <v>1012</v>
      </c>
      <c r="D421" s="111">
        <v>1</v>
      </c>
      <c r="G421" s="116" t="s">
        <v>993</v>
      </c>
      <c r="H421" s="111" t="s">
        <v>2767</v>
      </c>
      <c r="I421" s="111">
        <v>331</v>
      </c>
      <c r="J421" s="111">
        <v>1111</v>
      </c>
      <c r="K421" s="111" t="s">
        <v>20</v>
      </c>
      <c r="L421" s="111">
        <v>1</v>
      </c>
      <c r="M421" s="118">
        <v>1015200</v>
      </c>
      <c r="N421" s="118">
        <f t="shared" si="19"/>
        <v>1015200</v>
      </c>
      <c r="O421" s="111" t="s">
        <v>21</v>
      </c>
      <c r="P421" s="111">
        <f t="shared" si="20"/>
        <v>393</v>
      </c>
    </row>
    <row r="422" spans="1:16" ht="15" customHeight="1" x14ac:dyDescent="0.25">
      <c r="A422" s="111" t="s">
        <v>2719</v>
      </c>
      <c r="B422" s="120">
        <v>45952</v>
      </c>
      <c r="C422" s="111">
        <f t="shared" si="18"/>
        <v>1013</v>
      </c>
      <c r="D422" s="111">
        <v>1</v>
      </c>
      <c r="G422" s="116" t="s">
        <v>23</v>
      </c>
      <c r="H422" s="111" t="s">
        <v>2768</v>
      </c>
      <c r="I422" s="111">
        <v>331</v>
      </c>
      <c r="J422" s="111">
        <v>1111</v>
      </c>
      <c r="K422" s="111" t="s">
        <v>20</v>
      </c>
      <c r="L422" s="111">
        <v>1</v>
      </c>
      <c r="M422" s="118">
        <v>158000</v>
      </c>
      <c r="N422" s="118">
        <f t="shared" si="19"/>
        <v>158000</v>
      </c>
      <c r="O422" s="111" t="s">
        <v>21</v>
      </c>
      <c r="P422" s="111">
        <f t="shared" si="20"/>
        <v>394</v>
      </c>
    </row>
    <row r="423" spans="1:16" ht="15" customHeight="1" x14ac:dyDescent="0.25">
      <c r="A423" s="111" t="s">
        <v>2719</v>
      </c>
      <c r="B423" s="120">
        <v>45952</v>
      </c>
      <c r="C423" s="111">
        <f t="shared" si="18"/>
        <v>1014</v>
      </c>
      <c r="D423" s="111">
        <v>1</v>
      </c>
      <c r="G423" s="116" t="s">
        <v>994</v>
      </c>
      <c r="H423" s="111" t="s">
        <v>2769</v>
      </c>
      <c r="I423" s="111">
        <v>331</v>
      </c>
      <c r="J423" s="111">
        <v>1111</v>
      </c>
      <c r="K423" s="111" t="s">
        <v>20</v>
      </c>
      <c r="L423" s="111">
        <v>1</v>
      </c>
      <c r="M423" s="118">
        <v>1067000</v>
      </c>
      <c r="N423" s="118">
        <f t="shared" si="19"/>
        <v>1067000</v>
      </c>
      <c r="O423" s="111" t="s">
        <v>21</v>
      </c>
      <c r="P423" s="111">
        <f t="shared" si="20"/>
        <v>395</v>
      </c>
    </row>
    <row r="424" spans="1:16" ht="15" customHeight="1" x14ac:dyDescent="0.25">
      <c r="A424" s="111" t="s">
        <v>2719</v>
      </c>
      <c r="B424" s="120">
        <v>45952</v>
      </c>
      <c r="C424" s="111">
        <f t="shared" si="18"/>
        <v>1015</v>
      </c>
      <c r="D424" s="111">
        <v>1</v>
      </c>
      <c r="G424" s="116" t="s">
        <v>19</v>
      </c>
      <c r="H424" s="111" t="s">
        <v>2770</v>
      </c>
      <c r="I424" s="111">
        <v>331</v>
      </c>
      <c r="J424" s="111">
        <v>1111</v>
      </c>
      <c r="K424" s="111" t="s">
        <v>20</v>
      </c>
      <c r="L424" s="111">
        <v>1</v>
      </c>
      <c r="M424" s="118">
        <v>88000</v>
      </c>
      <c r="N424" s="118">
        <f t="shared" si="19"/>
        <v>88000</v>
      </c>
      <c r="O424" s="111" t="s">
        <v>21</v>
      </c>
      <c r="P424" s="111">
        <f t="shared" si="20"/>
        <v>396</v>
      </c>
    </row>
    <row r="425" spans="1:16" ht="15" customHeight="1" x14ac:dyDescent="0.25">
      <c r="A425" s="111" t="s">
        <v>2719</v>
      </c>
      <c r="B425" s="120">
        <v>45952</v>
      </c>
      <c r="C425" s="111">
        <f t="shared" si="18"/>
        <v>1016</v>
      </c>
      <c r="D425" s="111">
        <v>1</v>
      </c>
      <c r="G425" s="116" t="s">
        <v>19</v>
      </c>
      <c r="H425" s="111" t="s">
        <v>2771</v>
      </c>
      <c r="I425" s="111">
        <v>331</v>
      </c>
      <c r="J425" s="111">
        <v>1111</v>
      </c>
      <c r="K425" s="111" t="s">
        <v>20</v>
      </c>
      <c r="L425" s="111">
        <v>1</v>
      </c>
      <c r="M425" s="118">
        <v>17000</v>
      </c>
      <c r="N425" s="118">
        <f t="shared" si="19"/>
        <v>17000</v>
      </c>
      <c r="O425" s="111" t="s">
        <v>21</v>
      </c>
      <c r="P425" s="111">
        <f t="shared" si="20"/>
        <v>397</v>
      </c>
    </row>
    <row r="426" spans="1:16" ht="15" customHeight="1" x14ac:dyDescent="0.25">
      <c r="A426" s="111" t="s">
        <v>2719</v>
      </c>
      <c r="B426" s="120">
        <v>45952</v>
      </c>
      <c r="C426" s="111">
        <f t="shared" si="18"/>
        <v>1017</v>
      </c>
      <c r="D426" s="111">
        <v>1</v>
      </c>
      <c r="G426" s="116" t="s">
        <v>19</v>
      </c>
      <c r="H426" s="111" t="s">
        <v>2772</v>
      </c>
      <c r="I426" s="111">
        <v>331</v>
      </c>
      <c r="J426" s="111">
        <v>1111</v>
      </c>
      <c r="K426" s="111" t="s">
        <v>20</v>
      </c>
      <c r="L426" s="111">
        <v>1</v>
      </c>
      <c r="M426" s="118">
        <v>30000</v>
      </c>
      <c r="N426" s="118">
        <f t="shared" si="19"/>
        <v>30000</v>
      </c>
      <c r="O426" s="111" t="s">
        <v>21</v>
      </c>
      <c r="P426" s="111">
        <f t="shared" si="20"/>
        <v>398</v>
      </c>
    </row>
    <row r="427" spans="1:16" ht="15" customHeight="1" x14ac:dyDescent="0.25">
      <c r="A427" s="111" t="s">
        <v>2719</v>
      </c>
      <c r="B427" s="120">
        <v>45953</v>
      </c>
      <c r="C427" s="111">
        <f t="shared" si="18"/>
        <v>1018</v>
      </c>
      <c r="D427" s="111">
        <v>1</v>
      </c>
      <c r="G427" s="116" t="s">
        <v>988</v>
      </c>
      <c r="H427" s="111" t="s">
        <v>2773</v>
      </c>
      <c r="I427" s="111">
        <v>331</v>
      </c>
      <c r="J427" s="111">
        <v>1111</v>
      </c>
      <c r="K427" s="111" t="s">
        <v>20</v>
      </c>
      <c r="L427" s="111">
        <v>1</v>
      </c>
      <c r="M427" s="118">
        <v>155000</v>
      </c>
      <c r="N427" s="118">
        <f t="shared" si="19"/>
        <v>155000</v>
      </c>
      <c r="O427" s="111" t="s">
        <v>21</v>
      </c>
      <c r="P427" s="111">
        <f t="shared" si="20"/>
        <v>399</v>
      </c>
    </row>
    <row r="428" spans="1:16" ht="15" customHeight="1" x14ac:dyDescent="0.25">
      <c r="A428" s="111" t="s">
        <v>2719</v>
      </c>
      <c r="B428" s="120">
        <v>45953</v>
      </c>
      <c r="C428" s="111">
        <f t="shared" si="18"/>
        <v>1019</v>
      </c>
      <c r="D428" s="111">
        <v>1</v>
      </c>
      <c r="G428" s="116" t="s">
        <v>995</v>
      </c>
      <c r="H428" s="111" t="s">
        <v>2774</v>
      </c>
      <c r="I428" s="111">
        <v>331</v>
      </c>
      <c r="J428" s="111">
        <v>1111</v>
      </c>
      <c r="K428" s="111" t="s">
        <v>20</v>
      </c>
      <c r="L428" s="111">
        <v>1</v>
      </c>
      <c r="M428" s="118">
        <v>135000</v>
      </c>
      <c r="N428" s="118">
        <f t="shared" si="19"/>
        <v>135000</v>
      </c>
      <c r="O428" s="111" t="s">
        <v>21</v>
      </c>
      <c r="P428" s="111">
        <f t="shared" si="20"/>
        <v>400</v>
      </c>
    </row>
    <row r="429" spans="1:16" ht="15" customHeight="1" x14ac:dyDescent="0.25">
      <c r="A429" s="111" t="s">
        <v>2719</v>
      </c>
      <c r="B429" s="120">
        <v>45953</v>
      </c>
      <c r="C429" s="111">
        <f t="shared" si="18"/>
        <v>1020</v>
      </c>
      <c r="D429" s="111">
        <v>1</v>
      </c>
      <c r="G429" s="116" t="s">
        <v>19</v>
      </c>
      <c r="H429" s="111" t="s">
        <v>2775</v>
      </c>
      <c r="I429" s="111">
        <v>331</v>
      </c>
      <c r="J429" s="111">
        <v>1111</v>
      </c>
      <c r="K429" s="111" t="s">
        <v>20</v>
      </c>
      <c r="L429" s="111">
        <v>1</v>
      </c>
      <c r="M429" s="118">
        <v>17000</v>
      </c>
      <c r="N429" s="118">
        <f t="shared" si="19"/>
        <v>17000</v>
      </c>
      <c r="O429" s="111" t="s">
        <v>21</v>
      </c>
      <c r="P429" s="111">
        <f t="shared" si="20"/>
        <v>401</v>
      </c>
    </row>
    <row r="430" spans="1:16" ht="15" customHeight="1" x14ac:dyDescent="0.25">
      <c r="A430" s="111" t="s">
        <v>2719</v>
      </c>
      <c r="B430" s="120">
        <v>45954</v>
      </c>
      <c r="C430" s="111">
        <f t="shared" si="18"/>
        <v>1021</v>
      </c>
      <c r="D430" s="111">
        <v>1</v>
      </c>
      <c r="G430" s="116" t="s">
        <v>33</v>
      </c>
      <c r="H430" s="111" t="s">
        <v>2776</v>
      </c>
      <c r="I430" s="111">
        <v>331</v>
      </c>
      <c r="J430" s="111">
        <v>1111</v>
      </c>
      <c r="K430" s="111" t="s">
        <v>20</v>
      </c>
      <c r="L430" s="111">
        <v>1</v>
      </c>
      <c r="M430" s="118">
        <v>924900</v>
      </c>
      <c r="N430" s="118">
        <f t="shared" si="19"/>
        <v>924900</v>
      </c>
      <c r="O430" s="111" t="s">
        <v>21</v>
      </c>
      <c r="P430" s="111">
        <f t="shared" si="20"/>
        <v>402</v>
      </c>
    </row>
    <row r="431" spans="1:16" ht="15" customHeight="1" x14ac:dyDescent="0.25">
      <c r="A431" s="111" t="s">
        <v>2719</v>
      </c>
      <c r="B431" s="120">
        <v>45954</v>
      </c>
      <c r="C431" s="111">
        <f t="shared" si="18"/>
        <v>1022</v>
      </c>
      <c r="D431" s="111">
        <v>1</v>
      </c>
      <c r="G431" s="116" t="s">
        <v>23</v>
      </c>
      <c r="H431" s="111" t="s">
        <v>2777</v>
      </c>
      <c r="I431" s="111">
        <v>331</v>
      </c>
      <c r="J431" s="111">
        <v>1111</v>
      </c>
      <c r="K431" s="111" t="s">
        <v>20</v>
      </c>
      <c r="L431" s="111">
        <v>1</v>
      </c>
      <c r="M431" s="118">
        <v>138000</v>
      </c>
      <c r="N431" s="118">
        <f t="shared" si="19"/>
        <v>138000</v>
      </c>
      <c r="O431" s="111" t="s">
        <v>21</v>
      </c>
      <c r="P431" s="111">
        <f t="shared" si="20"/>
        <v>403</v>
      </c>
    </row>
    <row r="432" spans="1:16" ht="15" customHeight="1" x14ac:dyDescent="0.25">
      <c r="A432" s="111" t="s">
        <v>2719</v>
      </c>
      <c r="B432" s="120">
        <v>45956</v>
      </c>
      <c r="C432" s="111">
        <f t="shared" si="18"/>
        <v>1023</v>
      </c>
      <c r="D432" s="111">
        <v>1</v>
      </c>
      <c r="G432" s="116" t="s">
        <v>996</v>
      </c>
      <c r="H432" s="111" t="s">
        <v>2778</v>
      </c>
      <c r="I432" s="111">
        <v>331</v>
      </c>
      <c r="J432" s="111">
        <v>1111</v>
      </c>
      <c r="K432" s="111" t="s">
        <v>20</v>
      </c>
      <c r="L432" s="111">
        <v>1</v>
      </c>
      <c r="M432" s="118">
        <v>132000</v>
      </c>
      <c r="N432" s="118">
        <f t="shared" si="19"/>
        <v>132000</v>
      </c>
      <c r="O432" s="111" t="s">
        <v>21</v>
      </c>
      <c r="P432" s="111">
        <f t="shared" si="20"/>
        <v>404</v>
      </c>
    </row>
    <row r="433" spans="1:16" ht="15" customHeight="1" x14ac:dyDescent="0.25">
      <c r="A433" s="111" t="s">
        <v>2719</v>
      </c>
      <c r="B433" s="120">
        <v>45956</v>
      </c>
      <c r="C433" s="111">
        <f t="shared" si="18"/>
        <v>1024</v>
      </c>
      <c r="D433" s="111">
        <v>1</v>
      </c>
      <c r="G433" s="116" t="s">
        <v>19</v>
      </c>
      <c r="H433" s="111" t="s">
        <v>2779</v>
      </c>
      <c r="I433" s="111">
        <v>331</v>
      </c>
      <c r="J433" s="111">
        <v>1111</v>
      </c>
      <c r="K433" s="111" t="s">
        <v>20</v>
      </c>
      <c r="L433" s="111">
        <v>1</v>
      </c>
      <c r="M433" s="118">
        <v>14000</v>
      </c>
      <c r="N433" s="118">
        <f t="shared" si="19"/>
        <v>14000</v>
      </c>
      <c r="O433" s="111" t="s">
        <v>21</v>
      </c>
      <c r="P433" s="111">
        <f t="shared" si="20"/>
        <v>405</v>
      </c>
    </row>
    <row r="434" spans="1:16" ht="15" customHeight="1" x14ac:dyDescent="0.25">
      <c r="A434" s="111" t="s">
        <v>2719</v>
      </c>
      <c r="B434" s="120">
        <v>45956</v>
      </c>
      <c r="C434" s="111">
        <f t="shared" si="18"/>
        <v>1025</v>
      </c>
      <c r="D434" s="111">
        <v>1</v>
      </c>
      <c r="G434" s="116" t="s">
        <v>19</v>
      </c>
      <c r="H434" s="111" t="s">
        <v>2780</v>
      </c>
      <c r="I434" s="111">
        <v>331</v>
      </c>
      <c r="J434" s="111">
        <v>1111</v>
      </c>
      <c r="K434" s="111" t="s">
        <v>20</v>
      </c>
      <c r="L434" s="111">
        <v>1</v>
      </c>
      <c r="M434" s="118">
        <v>64000</v>
      </c>
      <c r="N434" s="118">
        <f t="shared" si="19"/>
        <v>64000</v>
      </c>
      <c r="O434" s="111" t="s">
        <v>21</v>
      </c>
      <c r="P434" s="111">
        <f t="shared" si="20"/>
        <v>406</v>
      </c>
    </row>
    <row r="435" spans="1:16" ht="15" customHeight="1" x14ac:dyDescent="0.25">
      <c r="A435" s="111" t="s">
        <v>2719</v>
      </c>
      <c r="B435" s="120">
        <v>45957</v>
      </c>
      <c r="C435" s="111">
        <f t="shared" si="18"/>
        <v>1026</v>
      </c>
      <c r="D435" s="111">
        <v>1</v>
      </c>
      <c r="G435" s="116" t="s">
        <v>997</v>
      </c>
      <c r="H435" s="111" t="s">
        <v>2781</v>
      </c>
      <c r="I435" s="111">
        <v>331</v>
      </c>
      <c r="J435" s="111">
        <v>1111</v>
      </c>
      <c r="K435" s="111" t="s">
        <v>20</v>
      </c>
      <c r="L435" s="111">
        <v>1</v>
      </c>
      <c r="M435" s="118">
        <v>1005480</v>
      </c>
      <c r="N435" s="118">
        <f t="shared" si="19"/>
        <v>1005480</v>
      </c>
      <c r="O435" s="111" t="s">
        <v>21</v>
      </c>
      <c r="P435" s="111">
        <f t="shared" si="20"/>
        <v>407</v>
      </c>
    </row>
    <row r="436" spans="1:16" ht="15" customHeight="1" x14ac:dyDescent="0.25">
      <c r="A436" s="111" t="s">
        <v>2719</v>
      </c>
      <c r="B436" s="120">
        <v>45958</v>
      </c>
      <c r="C436" s="111">
        <f t="shared" si="18"/>
        <v>1027</v>
      </c>
      <c r="D436" s="111">
        <v>1</v>
      </c>
      <c r="G436" s="116" t="s">
        <v>44</v>
      </c>
      <c r="H436" s="111" t="s">
        <v>2782</v>
      </c>
      <c r="I436" s="111">
        <v>331</v>
      </c>
      <c r="J436" s="111">
        <v>1111</v>
      </c>
      <c r="K436" s="111" t="s">
        <v>20</v>
      </c>
      <c r="L436" s="111">
        <v>1</v>
      </c>
      <c r="M436" s="118">
        <v>6502000</v>
      </c>
      <c r="N436" s="118">
        <f t="shared" si="19"/>
        <v>6502000</v>
      </c>
      <c r="O436" s="111" t="s">
        <v>21</v>
      </c>
      <c r="P436" s="111">
        <f t="shared" si="20"/>
        <v>408</v>
      </c>
    </row>
    <row r="437" spans="1:16" ht="15" customHeight="1" x14ac:dyDescent="0.25">
      <c r="A437" s="111" t="s">
        <v>2719</v>
      </c>
      <c r="B437" s="120">
        <v>45958</v>
      </c>
      <c r="C437" s="111">
        <f t="shared" si="18"/>
        <v>1028</v>
      </c>
      <c r="D437" s="111">
        <v>1</v>
      </c>
      <c r="G437" s="116" t="s">
        <v>998</v>
      </c>
      <c r="H437" s="111" t="s">
        <v>2783</v>
      </c>
      <c r="I437" s="111">
        <v>331</v>
      </c>
      <c r="J437" s="111">
        <v>1111</v>
      </c>
      <c r="K437" s="111" t="s">
        <v>20</v>
      </c>
      <c r="L437" s="111">
        <v>1</v>
      </c>
      <c r="M437" s="118">
        <v>1825740</v>
      </c>
      <c r="N437" s="118">
        <f t="shared" si="19"/>
        <v>1825740</v>
      </c>
      <c r="O437" s="111" t="s">
        <v>21</v>
      </c>
      <c r="P437" s="111">
        <f t="shared" si="20"/>
        <v>409</v>
      </c>
    </row>
    <row r="438" spans="1:16" ht="15" customHeight="1" x14ac:dyDescent="0.25">
      <c r="A438" s="111" t="s">
        <v>2719</v>
      </c>
      <c r="B438" s="120">
        <v>45958</v>
      </c>
      <c r="C438" s="111">
        <f t="shared" si="18"/>
        <v>1029</v>
      </c>
      <c r="D438" s="111">
        <v>1</v>
      </c>
      <c r="G438" s="116" t="s">
        <v>999</v>
      </c>
      <c r="H438" s="111" t="s">
        <v>2784</v>
      </c>
      <c r="I438" s="111">
        <v>331</v>
      </c>
      <c r="J438" s="111">
        <v>1111</v>
      </c>
      <c r="K438" s="111" t="s">
        <v>20</v>
      </c>
      <c r="L438" s="111">
        <v>1</v>
      </c>
      <c r="M438" s="118">
        <v>589000</v>
      </c>
      <c r="N438" s="118">
        <f t="shared" si="19"/>
        <v>589000</v>
      </c>
      <c r="O438" s="111" t="s">
        <v>21</v>
      </c>
      <c r="P438" s="111">
        <f t="shared" si="20"/>
        <v>410</v>
      </c>
    </row>
    <row r="439" spans="1:16" ht="15" customHeight="1" x14ac:dyDescent="0.25">
      <c r="A439" s="111" t="s">
        <v>2719</v>
      </c>
      <c r="B439" s="120">
        <v>45959</v>
      </c>
      <c r="C439" s="111">
        <f t="shared" si="18"/>
        <v>1030</v>
      </c>
      <c r="D439" s="111">
        <v>1</v>
      </c>
      <c r="G439" s="116" t="s">
        <v>1000</v>
      </c>
      <c r="H439" s="111" t="s">
        <v>2785</v>
      </c>
      <c r="I439" s="111">
        <v>331</v>
      </c>
      <c r="J439" s="111">
        <v>1111</v>
      </c>
      <c r="K439" s="111" t="s">
        <v>20</v>
      </c>
      <c r="L439" s="111">
        <v>1</v>
      </c>
      <c r="M439" s="118">
        <v>124000</v>
      </c>
      <c r="N439" s="118">
        <f t="shared" si="19"/>
        <v>124000</v>
      </c>
      <c r="O439" s="111" t="s">
        <v>21</v>
      </c>
      <c r="P439" s="111">
        <f t="shared" si="20"/>
        <v>411</v>
      </c>
    </row>
    <row r="440" spans="1:16" ht="15" customHeight="1" x14ac:dyDescent="0.25">
      <c r="A440" s="111" t="s">
        <v>2719</v>
      </c>
      <c r="B440" s="120">
        <v>45959</v>
      </c>
      <c r="C440" s="111">
        <f t="shared" si="18"/>
        <v>1031</v>
      </c>
      <c r="D440" s="111">
        <v>1</v>
      </c>
      <c r="G440" s="116" t="s">
        <v>19</v>
      </c>
      <c r="H440" s="111" t="s">
        <v>2786</v>
      </c>
      <c r="I440" s="111">
        <v>331</v>
      </c>
      <c r="J440" s="111">
        <v>1111</v>
      </c>
      <c r="K440" s="111" t="s">
        <v>20</v>
      </c>
      <c r="L440" s="111">
        <v>1</v>
      </c>
      <c r="M440" s="118">
        <v>117000</v>
      </c>
      <c r="N440" s="118">
        <f t="shared" si="19"/>
        <v>117000</v>
      </c>
      <c r="O440" s="111" t="s">
        <v>21</v>
      </c>
      <c r="P440" s="111">
        <f t="shared" si="20"/>
        <v>412</v>
      </c>
    </row>
    <row r="441" spans="1:16" ht="15" customHeight="1" x14ac:dyDescent="0.25">
      <c r="A441" s="111" t="s">
        <v>2719</v>
      </c>
      <c r="B441" s="120">
        <v>45959</v>
      </c>
      <c r="C441" s="111">
        <f t="shared" si="18"/>
        <v>1032</v>
      </c>
      <c r="D441" s="111">
        <v>1</v>
      </c>
      <c r="G441" s="116" t="s">
        <v>19</v>
      </c>
      <c r="H441" s="111" t="s">
        <v>2787</v>
      </c>
      <c r="I441" s="111">
        <v>331</v>
      </c>
      <c r="J441" s="111">
        <v>1111</v>
      </c>
      <c r="K441" s="111" t="s">
        <v>20</v>
      </c>
      <c r="L441" s="111">
        <v>1</v>
      </c>
      <c r="M441" s="118">
        <v>43000</v>
      </c>
      <c r="N441" s="118">
        <f t="shared" si="19"/>
        <v>43000</v>
      </c>
      <c r="O441" s="111" t="s">
        <v>21</v>
      </c>
      <c r="P441" s="111">
        <f t="shared" si="20"/>
        <v>413</v>
      </c>
    </row>
    <row r="442" spans="1:16" ht="15" customHeight="1" x14ac:dyDescent="0.25">
      <c r="A442" s="111" t="s">
        <v>2719</v>
      </c>
      <c r="B442" s="120">
        <v>45959</v>
      </c>
      <c r="C442" s="111">
        <f t="shared" si="18"/>
        <v>1033</v>
      </c>
      <c r="D442" s="111">
        <v>1</v>
      </c>
      <c r="G442" s="116" t="s">
        <v>19</v>
      </c>
      <c r="H442" s="111" t="s">
        <v>2788</v>
      </c>
      <c r="I442" s="111">
        <v>331</v>
      </c>
      <c r="J442" s="111">
        <v>1111</v>
      </c>
      <c r="K442" s="111" t="s">
        <v>20</v>
      </c>
      <c r="L442" s="111">
        <v>1</v>
      </c>
      <c r="M442" s="118">
        <v>174000</v>
      </c>
      <c r="N442" s="118">
        <f t="shared" si="19"/>
        <v>174000</v>
      </c>
      <c r="O442" s="111" t="s">
        <v>21</v>
      </c>
      <c r="P442" s="111">
        <f t="shared" si="20"/>
        <v>414</v>
      </c>
    </row>
    <row r="443" spans="1:16" ht="15" customHeight="1" x14ac:dyDescent="0.25">
      <c r="A443" s="111" t="s">
        <v>2719</v>
      </c>
      <c r="B443" s="120">
        <v>45960</v>
      </c>
      <c r="C443" s="111">
        <f t="shared" si="18"/>
        <v>1034</v>
      </c>
      <c r="D443" s="111">
        <v>1</v>
      </c>
      <c r="G443" s="116" t="s">
        <v>1001</v>
      </c>
      <c r="H443" s="111" t="s">
        <v>2789</v>
      </c>
      <c r="I443" s="111">
        <v>331</v>
      </c>
      <c r="J443" s="111">
        <v>1111</v>
      </c>
      <c r="K443" s="111" t="s">
        <v>20</v>
      </c>
      <c r="L443" s="111">
        <v>1</v>
      </c>
      <c r="M443" s="118">
        <v>712976</v>
      </c>
      <c r="N443" s="118">
        <f t="shared" si="19"/>
        <v>712976</v>
      </c>
      <c r="O443" s="111" t="s">
        <v>21</v>
      </c>
      <c r="P443" s="111">
        <f t="shared" si="20"/>
        <v>415</v>
      </c>
    </row>
    <row r="444" spans="1:16" ht="15" customHeight="1" x14ac:dyDescent="0.25">
      <c r="A444" s="111" t="s">
        <v>2719</v>
      </c>
      <c r="B444" s="120">
        <v>45960</v>
      </c>
      <c r="C444" s="111">
        <f t="shared" si="18"/>
        <v>1035</v>
      </c>
      <c r="D444" s="111">
        <v>1</v>
      </c>
      <c r="G444" s="116" t="s">
        <v>1002</v>
      </c>
      <c r="H444" s="111" t="s">
        <v>2790</v>
      </c>
      <c r="I444" s="111">
        <v>331</v>
      </c>
      <c r="J444" s="111">
        <v>1111</v>
      </c>
      <c r="K444" s="111" t="s">
        <v>20</v>
      </c>
      <c r="L444" s="111">
        <v>1</v>
      </c>
      <c r="M444" s="118">
        <v>425250</v>
      </c>
      <c r="N444" s="118">
        <f t="shared" si="19"/>
        <v>425250</v>
      </c>
      <c r="O444" s="111" t="s">
        <v>21</v>
      </c>
      <c r="P444" s="111">
        <f t="shared" si="20"/>
        <v>416</v>
      </c>
    </row>
    <row r="445" spans="1:16" ht="15" customHeight="1" x14ac:dyDescent="0.25">
      <c r="A445" s="111" t="s">
        <v>2719</v>
      </c>
      <c r="B445" s="120">
        <v>45960</v>
      </c>
      <c r="C445" s="111">
        <f t="shared" si="18"/>
        <v>1036</v>
      </c>
      <c r="D445" s="111">
        <v>1</v>
      </c>
      <c r="G445" s="116" t="s">
        <v>19</v>
      </c>
      <c r="H445" s="111" t="s">
        <v>2791</v>
      </c>
      <c r="I445" s="111">
        <v>331</v>
      </c>
      <c r="J445" s="111">
        <v>1111</v>
      </c>
      <c r="K445" s="111" t="s">
        <v>20</v>
      </c>
      <c r="L445" s="111">
        <v>1</v>
      </c>
      <c r="M445" s="118">
        <v>71000</v>
      </c>
      <c r="N445" s="118">
        <f t="shared" si="19"/>
        <v>71000</v>
      </c>
      <c r="O445" s="111" t="s">
        <v>21</v>
      </c>
      <c r="P445" s="111">
        <f t="shared" si="20"/>
        <v>417</v>
      </c>
    </row>
    <row r="446" spans="1:16" ht="15" customHeight="1" x14ac:dyDescent="0.25">
      <c r="A446" s="111" t="s">
        <v>2719</v>
      </c>
      <c r="B446" s="120">
        <v>45960</v>
      </c>
      <c r="C446" s="111">
        <f t="shared" si="18"/>
        <v>1037</v>
      </c>
      <c r="D446" s="111">
        <v>1</v>
      </c>
      <c r="G446" s="116" t="s">
        <v>19</v>
      </c>
      <c r="H446" s="111" t="s">
        <v>2792</v>
      </c>
      <c r="I446" s="111">
        <v>331</v>
      </c>
      <c r="J446" s="111">
        <v>1111</v>
      </c>
      <c r="K446" s="111" t="s">
        <v>20</v>
      </c>
      <c r="L446" s="111">
        <v>1</v>
      </c>
      <c r="M446" s="118">
        <v>115000</v>
      </c>
      <c r="N446" s="118">
        <f t="shared" si="19"/>
        <v>115000</v>
      </c>
      <c r="O446" s="111" t="s">
        <v>21</v>
      </c>
      <c r="P446" s="111">
        <f t="shared" si="20"/>
        <v>418</v>
      </c>
    </row>
    <row r="447" spans="1:16" ht="15" customHeight="1" x14ac:dyDescent="0.25">
      <c r="A447" s="111" t="s">
        <v>2719</v>
      </c>
      <c r="B447" s="120">
        <v>45961</v>
      </c>
      <c r="C447" s="111">
        <f t="shared" si="18"/>
        <v>1038</v>
      </c>
      <c r="D447" s="111">
        <v>1</v>
      </c>
      <c r="G447" s="116" t="s">
        <v>1003</v>
      </c>
      <c r="H447" s="111" t="s">
        <v>2793</v>
      </c>
      <c r="I447" s="111">
        <v>331</v>
      </c>
      <c r="J447" s="111">
        <v>1111</v>
      </c>
      <c r="K447" s="111" t="s">
        <v>20</v>
      </c>
      <c r="L447" s="111">
        <v>1</v>
      </c>
      <c r="M447" s="118">
        <v>340000</v>
      </c>
      <c r="N447" s="118">
        <f t="shared" si="19"/>
        <v>340000</v>
      </c>
      <c r="O447" s="111" t="s">
        <v>21</v>
      </c>
      <c r="P447" s="111">
        <f t="shared" si="20"/>
        <v>419</v>
      </c>
    </row>
    <row r="448" spans="1:16" ht="15" customHeight="1" x14ac:dyDescent="0.25">
      <c r="A448" s="111" t="s">
        <v>2719</v>
      </c>
      <c r="B448" s="120">
        <v>45961</v>
      </c>
      <c r="C448" s="111">
        <f t="shared" si="18"/>
        <v>1039</v>
      </c>
      <c r="D448" s="111">
        <v>1</v>
      </c>
      <c r="G448" s="116" t="s">
        <v>998</v>
      </c>
      <c r="H448" s="111" t="s">
        <v>2794</v>
      </c>
      <c r="I448" s="111">
        <v>331</v>
      </c>
      <c r="J448" s="111">
        <v>1111</v>
      </c>
      <c r="K448" s="111" t="s">
        <v>20</v>
      </c>
      <c r="L448" s="111">
        <v>1</v>
      </c>
      <c r="M448" s="118">
        <v>249480</v>
      </c>
      <c r="N448" s="118">
        <f t="shared" si="19"/>
        <v>249480</v>
      </c>
      <c r="O448" s="111" t="s">
        <v>21</v>
      </c>
      <c r="P448" s="111">
        <f t="shared" si="20"/>
        <v>420</v>
      </c>
    </row>
    <row r="449" spans="1:16" ht="15" customHeight="1" x14ac:dyDescent="0.25">
      <c r="A449" s="111" t="s">
        <v>2719</v>
      </c>
      <c r="B449" s="120">
        <v>45961</v>
      </c>
      <c r="C449" s="111">
        <f t="shared" si="18"/>
        <v>1040</v>
      </c>
      <c r="D449" s="111">
        <v>1</v>
      </c>
      <c r="G449" s="116" t="s">
        <v>1004</v>
      </c>
      <c r="H449" s="111" t="s">
        <v>2795</v>
      </c>
      <c r="I449" s="111">
        <v>331</v>
      </c>
      <c r="J449" s="111">
        <v>1111</v>
      </c>
      <c r="K449" s="111" t="s">
        <v>20</v>
      </c>
      <c r="L449" s="111">
        <v>1</v>
      </c>
      <c r="M449" s="118">
        <v>345600</v>
      </c>
      <c r="N449" s="118">
        <f t="shared" si="19"/>
        <v>345600</v>
      </c>
      <c r="O449" s="111" t="s">
        <v>21</v>
      </c>
      <c r="P449" s="111">
        <f t="shared" si="20"/>
        <v>421</v>
      </c>
    </row>
    <row r="450" spans="1:16" ht="15" customHeight="1" x14ac:dyDescent="0.25">
      <c r="A450" s="111" t="s">
        <v>2719</v>
      </c>
      <c r="B450" s="120">
        <v>45961</v>
      </c>
      <c r="C450" s="111">
        <f t="shared" si="18"/>
        <v>1041</v>
      </c>
      <c r="D450" s="111">
        <v>1</v>
      </c>
      <c r="G450" s="116" t="s">
        <v>1005</v>
      </c>
      <c r="H450" s="111" t="s">
        <v>2796</v>
      </c>
      <c r="I450" s="111">
        <v>331</v>
      </c>
      <c r="J450" s="111">
        <v>1111</v>
      </c>
      <c r="K450" s="111" t="s">
        <v>20</v>
      </c>
      <c r="L450" s="111">
        <v>1</v>
      </c>
      <c r="M450" s="118">
        <v>243000</v>
      </c>
      <c r="N450" s="118">
        <f t="shared" si="19"/>
        <v>243000</v>
      </c>
      <c r="O450" s="111" t="s">
        <v>21</v>
      </c>
      <c r="P450" s="111">
        <f t="shared" si="20"/>
        <v>422</v>
      </c>
    </row>
    <row r="451" spans="1:16" ht="15" customHeight="1" x14ac:dyDescent="0.25">
      <c r="A451" s="111" t="s">
        <v>2719</v>
      </c>
      <c r="B451" s="120">
        <v>45961</v>
      </c>
      <c r="C451" s="111">
        <f t="shared" si="18"/>
        <v>1042</v>
      </c>
      <c r="D451" s="111">
        <v>1</v>
      </c>
      <c r="G451" s="116" t="s">
        <v>24</v>
      </c>
      <c r="H451" s="111" t="s">
        <v>2797</v>
      </c>
      <c r="I451" s="111">
        <v>331</v>
      </c>
      <c r="J451" s="111">
        <v>1111</v>
      </c>
      <c r="K451" s="111" t="s">
        <v>20</v>
      </c>
      <c r="L451" s="111">
        <v>1</v>
      </c>
      <c r="M451" s="118">
        <v>106000</v>
      </c>
      <c r="N451" s="118">
        <f t="shared" si="19"/>
        <v>106000</v>
      </c>
      <c r="O451" s="111" t="s">
        <v>21</v>
      </c>
      <c r="P451" s="111">
        <f t="shared" si="20"/>
        <v>423</v>
      </c>
    </row>
    <row r="452" spans="1:16" ht="15" customHeight="1" x14ac:dyDescent="0.25">
      <c r="A452" s="111" t="s">
        <v>2719</v>
      </c>
      <c r="B452" s="120">
        <v>45961</v>
      </c>
      <c r="C452" s="111">
        <f t="shared" ref="C452:C515" si="21">C451+D452</f>
        <v>1043</v>
      </c>
      <c r="D452" s="111">
        <v>1</v>
      </c>
      <c r="G452" s="116" t="s">
        <v>19</v>
      </c>
      <c r="H452" s="111" t="s">
        <v>2798</v>
      </c>
      <c r="I452" s="111">
        <v>331</v>
      </c>
      <c r="J452" s="111">
        <v>1111</v>
      </c>
      <c r="K452" s="111" t="s">
        <v>20</v>
      </c>
      <c r="L452" s="111">
        <v>1</v>
      </c>
      <c r="M452" s="118">
        <v>97000</v>
      </c>
      <c r="N452" s="118">
        <f t="shared" ref="N452:N515" si="22">M452*L452</f>
        <v>97000</v>
      </c>
      <c r="O452" s="111" t="s">
        <v>21</v>
      </c>
      <c r="P452" s="111">
        <f t="shared" si="20"/>
        <v>424</v>
      </c>
    </row>
    <row r="453" spans="1:16" ht="15" customHeight="1" x14ac:dyDescent="0.25">
      <c r="A453" s="111" t="s">
        <v>2719</v>
      </c>
      <c r="B453" s="120">
        <v>45962</v>
      </c>
      <c r="C453" s="111">
        <f t="shared" si="21"/>
        <v>1044</v>
      </c>
      <c r="D453" s="111">
        <v>1</v>
      </c>
      <c r="G453" s="116" t="s">
        <v>1006</v>
      </c>
      <c r="H453" s="111" t="s">
        <v>2799</v>
      </c>
      <c r="I453" s="111">
        <v>331</v>
      </c>
      <c r="J453" s="111">
        <v>1111</v>
      </c>
      <c r="K453" s="111" t="s">
        <v>20</v>
      </c>
      <c r="L453" s="111">
        <v>1</v>
      </c>
      <c r="M453" s="118">
        <v>1900584</v>
      </c>
      <c r="N453" s="118">
        <f t="shared" si="22"/>
        <v>1900584</v>
      </c>
      <c r="O453" s="111" t="s">
        <v>21</v>
      </c>
      <c r="P453" s="111">
        <f t="shared" ref="P453:P516" si="23">P452+D453</f>
        <v>425</v>
      </c>
    </row>
    <row r="454" spans="1:16" ht="15" customHeight="1" x14ac:dyDescent="0.25">
      <c r="A454" s="111" t="s">
        <v>2719</v>
      </c>
      <c r="B454" s="120">
        <v>45963</v>
      </c>
      <c r="C454" s="111">
        <f t="shared" si="21"/>
        <v>1045</v>
      </c>
      <c r="D454" s="111">
        <v>1</v>
      </c>
      <c r="G454" s="116" t="s">
        <v>1005</v>
      </c>
      <c r="H454" s="111" t="s">
        <v>2800</v>
      </c>
      <c r="I454" s="111">
        <v>331</v>
      </c>
      <c r="J454" s="111">
        <v>1111</v>
      </c>
      <c r="K454" s="111" t="s">
        <v>20</v>
      </c>
      <c r="L454" s="111">
        <v>1</v>
      </c>
      <c r="M454" s="118">
        <v>67000</v>
      </c>
      <c r="N454" s="118">
        <f t="shared" si="22"/>
        <v>67000</v>
      </c>
      <c r="O454" s="111" t="s">
        <v>21</v>
      </c>
      <c r="P454" s="111">
        <f t="shared" si="23"/>
        <v>426</v>
      </c>
    </row>
    <row r="455" spans="1:16" ht="15" customHeight="1" x14ac:dyDescent="0.25">
      <c r="A455" s="111" t="s">
        <v>2719</v>
      </c>
      <c r="B455" s="120">
        <v>45963</v>
      </c>
      <c r="C455" s="111">
        <f t="shared" si="21"/>
        <v>1046</v>
      </c>
      <c r="D455" s="111">
        <v>1</v>
      </c>
      <c r="G455" s="116" t="s">
        <v>19</v>
      </c>
      <c r="H455" s="111" t="s">
        <v>2801</v>
      </c>
      <c r="I455" s="111">
        <v>331</v>
      </c>
      <c r="J455" s="111">
        <v>1111</v>
      </c>
      <c r="K455" s="111" t="s">
        <v>20</v>
      </c>
      <c r="L455" s="111">
        <v>1</v>
      </c>
      <c r="M455" s="118">
        <v>33000</v>
      </c>
      <c r="N455" s="118">
        <f t="shared" si="22"/>
        <v>33000</v>
      </c>
      <c r="O455" s="111" t="s">
        <v>21</v>
      </c>
      <c r="P455" s="111">
        <f t="shared" si="23"/>
        <v>427</v>
      </c>
    </row>
    <row r="456" spans="1:16" ht="15" customHeight="1" x14ac:dyDescent="0.25">
      <c r="A456" s="111" t="s">
        <v>2719</v>
      </c>
      <c r="B456" s="120">
        <v>45963</v>
      </c>
      <c r="C456" s="111">
        <f t="shared" si="21"/>
        <v>1047</v>
      </c>
      <c r="D456" s="111">
        <v>1</v>
      </c>
      <c r="G456" s="116" t="s">
        <v>19</v>
      </c>
      <c r="H456" s="111" t="s">
        <v>2802</v>
      </c>
      <c r="I456" s="111">
        <v>331</v>
      </c>
      <c r="J456" s="111">
        <v>1111</v>
      </c>
      <c r="K456" s="111" t="s">
        <v>20</v>
      </c>
      <c r="L456" s="111">
        <v>1</v>
      </c>
      <c r="M456" s="118">
        <v>44000</v>
      </c>
      <c r="N456" s="118">
        <f t="shared" si="22"/>
        <v>44000</v>
      </c>
      <c r="O456" s="111" t="s">
        <v>21</v>
      </c>
      <c r="P456" s="111">
        <f t="shared" si="23"/>
        <v>428</v>
      </c>
    </row>
    <row r="457" spans="1:16" ht="15" customHeight="1" x14ac:dyDescent="0.25">
      <c r="A457" s="111" t="s">
        <v>2719</v>
      </c>
      <c r="B457" s="120">
        <v>45963</v>
      </c>
      <c r="C457" s="111">
        <f t="shared" si="21"/>
        <v>1048</v>
      </c>
      <c r="D457" s="111">
        <v>1</v>
      </c>
      <c r="G457" s="116" t="s">
        <v>19</v>
      </c>
      <c r="H457" s="111" t="s">
        <v>2803</v>
      </c>
      <c r="I457" s="111">
        <v>331</v>
      </c>
      <c r="J457" s="111">
        <v>1111</v>
      </c>
      <c r="K457" s="111" t="s">
        <v>20</v>
      </c>
      <c r="L457" s="111">
        <v>1</v>
      </c>
      <c r="M457" s="118">
        <v>85000</v>
      </c>
      <c r="N457" s="118">
        <f t="shared" si="22"/>
        <v>85000</v>
      </c>
      <c r="O457" s="111" t="s">
        <v>21</v>
      </c>
      <c r="P457" s="111">
        <f t="shared" si="23"/>
        <v>429</v>
      </c>
    </row>
    <row r="458" spans="1:16" ht="15" customHeight="1" x14ac:dyDescent="0.25">
      <c r="A458" s="111" t="s">
        <v>2719</v>
      </c>
      <c r="B458" s="120">
        <v>45964</v>
      </c>
      <c r="C458" s="111">
        <f t="shared" si="21"/>
        <v>1049</v>
      </c>
      <c r="D458" s="111">
        <v>1</v>
      </c>
      <c r="G458" s="116" t="s">
        <v>48</v>
      </c>
      <c r="H458" s="111" t="s">
        <v>2804</v>
      </c>
      <c r="I458" s="111">
        <v>331</v>
      </c>
      <c r="J458" s="111">
        <v>1111</v>
      </c>
      <c r="K458" s="111" t="s">
        <v>20</v>
      </c>
      <c r="L458" s="111">
        <v>1</v>
      </c>
      <c r="M458" s="118">
        <v>202755</v>
      </c>
      <c r="N458" s="118">
        <f t="shared" si="22"/>
        <v>202755</v>
      </c>
      <c r="O458" s="111" t="s">
        <v>21</v>
      </c>
      <c r="P458" s="111">
        <f t="shared" si="23"/>
        <v>430</v>
      </c>
    </row>
    <row r="459" spans="1:16" ht="15" customHeight="1" x14ac:dyDescent="0.25">
      <c r="A459" s="111" t="s">
        <v>2719</v>
      </c>
      <c r="B459" s="120">
        <v>45964</v>
      </c>
      <c r="C459" s="111">
        <f t="shared" si="21"/>
        <v>1050</v>
      </c>
      <c r="D459" s="111">
        <v>1</v>
      </c>
      <c r="G459" s="116" t="s">
        <v>1007</v>
      </c>
      <c r="H459" s="111" t="s">
        <v>2805</v>
      </c>
      <c r="I459" s="111">
        <v>331</v>
      </c>
      <c r="J459" s="111">
        <v>1111</v>
      </c>
      <c r="K459" s="111" t="s">
        <v>20</v>
      </c>
      <c r="L459" s="111">
        <v>1</v>
      </c>
      <c r="M459" s="118">
        <v>1060000</v>
      </c>
      <c r="N459" s="118">
        <f t="shared" si="22"/>
        <v>1060000</v>
      </c>
      <c r="O459" s="111" t="s">
        <v>21</v>
      </c>
      <c r="P459" s="111">
        <f t="shared" si="23"/>
        <v>431</v>
      </c>
    </row>
    <row r="460" spans="1:16" ht="15" customHeight="1" x14ac:dyDescent="0.25">
      <c r="A460" s="111" t="s">
        <v>2719</v>
      </c>
      <c r="B460" s="120">
        <v>45964</v>
      </c>
      <c r="C460" s="111">
        <f t="shared" si="21"/>
        <v>1051</v>
      </c>
      <c r="D460" s="111">
        <v>1</v>
      </c>
      <c r="G460" s="116" t="s">
        <v>19</v>
      </c>
      <c r="H460" s="111" t="s">
        <v>2806</v>
      </c>
      <c r="I460" s="111">
        <v>331</v>
      </c>
      <c r="J460" s="111">
        <v>1111</v>
      </c>
      <c r="K460" s="111" t="s">
        <v>20</v>
      </c>
      <c r="L460" s="111">
        <v>1</v>
      </c>
      <c r="M460" s="118">
        <v>30000</v>
      </c>
      <c r="N460" s="118">
        <f t="shared" si="22"/>
        <v>30000</v>
      </c>
      <c r="O460" s="111" t="s">
        <v>21</v>
      </c>
      <c r="P460" s="111">
        <f t="shared" si="23"/>
        <v>432</v>
      </c>
    </row>
    <row r="461" spans="1:16" ht="15" customHeight="1" x14ac:dyDescent="0.25">
      <c r="A461" s="111" t="s">
        <v>2719</v>
      </c>
      <c r="B461" s="120">
        <v>45964</v>
      </c>
      <c r="C461" s="111">
        <f t="shared" si="21"/>
        <v>1052</v>
      </c>
      <c r="D461" s="111">
        <v>1</v>
      </c>
      <c r="G461" s="116" t="s">
        <v>19</v>
      </c>
      <c r="H461" s="111" t="s">
        <v>2807</v>
      </c>
      <c r="I461" s="111">
        <v>331</v>
      </c>
      <c r="J461" s="111">
        <v>1111</v>
      </c>
      <c r="K461" s="111" t="s">
        <v>20</v>
      </c>
      <c r="L461" s="111">
        <v>1</v>
      </c>
      <c r="M461" s="118">
        <v>25000</v>
      </c>
      <c r="N461" s="118">
        <f t="shared" si="22"/>
        <v>25000</v>
      </c>
      <c r="O461" s="111" t="s">
        <v>21</v>
      </c>
      <c r="P461" s="111">
        <f t="shared" si="23"/>
        <v>433</v>
      </c>
    </row>
    <row r="462" spans="1:16" ht="15" customHeight="1" x14ac:dyDescent="0.25">
      <c r="A462" s="111" t="s">
        <v>2719</v>
      </c>
      <c r="B462" s="120">
        <v>45965</v>
      </c>
      <c r="C462" s="111">
        <f t="shared" si="21"/>
        <v>1053</v>
      </c>
      <c r="D462" s="111">
        <v>1</v>
      </c>
      <c r="G462" s="116" t="s">
        <v>988</v>
      </c>
      <c r="H462" s="111" t="s">
        <v>2808</v>
      </c>
      <c r="I462" s="111">
        <v>331</v>
      </c>
      <c r="J462" s="111">
        <v>1111</v>
      </c>
      <c r="K462" s="111" t="s">
        <v>20</v>
      </c>
      <c r="L462" s="111">
        <v>1</v>
      </c>
      <c r="M462" s="118">
        <v>155000</v>
      </c>
      <c r="N462" s="118">
        <f t="shared" si="22"/>
        <v>155000</v>
      </c>
      <c r="O462" s="111" t="s">
        <v>21</v>
      </c>
      <c r="P462" s="111">
        <f t="shared" si="23"/>
        <v>434</v>
      </c>
    </row>
    <row r="463" spans="1:16" ht="15" customHeight="1" x14ac:dyDescent="0.25">
      <c r="A463" s="111" t="s">
        <v>2719</v>
      </c>
      <c r="B463" s="120">
        <v>45965</v>
      </c>
      <c r="C463" s="111">
        <f t="shared" si="21"/>
        <v>1054</v>
      </c>
      <c r="D463" s="111">
        <v>1</v>
      </c>
      <c r="G463" s="116" t="s">
        <v>22</v>
      </c>
      <c r="H463" s="111" t="s">
        <v>2809</v>
      </c>
      <c r="I463" s="111">
        <v>331</v>
      </c>
      <c r="J463" s="111">
        <v>1111</v>
      </c>
      <c r="K463" s="111" t="s">
        <v>20</v>
      </c>
      <c r="L463" s="111">
        <v>1</v>
      </c>
      <c r="M463" s="118">
        <v>1181520</v>
      </c>
      <c r="N463" s="118">
        <f t="shared" si="22"/>
        <v>1181520</v>
      </c>
      <c r="O463" s="111" t="s">
        <v>21</v>
      </c>
      <c r="P463" s="111">
        <f t="shared" si="23"/>
        <v>435</v>
      </c>
    </row>
    <row r="464" spans="1:16" ht="15" customHeight="1" x14ac:dyDescent="0.25">
      <c r="A464" s="111" t="s">
        <v>2719</v>
      </c>
      <c r="B464" s="120">
        <v>45965</v>
      </c>
      <c r="C464" s="111">
        <f t="shared" si="21"/>
        <v>1055</v>
      </c>
      <c r="D464" s="111">
        <v>1</v>
      </c>
      <c r="G464" s="116" t="s">
        <v>19</v>
      </c>
      <c r="H464" s="111" t="s">
        <v>2810</v>
      </c>
      <c r="I464" s="111">
        <v>331</v>
      </c>
      <c r="J464" s="111">
        <v>1111</v>
      </c>
      <c r="K464" s="111" t="s">
        <v>20</v>
      </c>
      <c r="L464" s="111">
        <v>1</v>
      </c>
      <c r="M464" s="118">
        <v>30000</v>
      </c>
      <c r="N464" s="118">
        <f t="shared" si="22"/>
        <v>30000</v>
      </c>
      <c r="O464" s="111" t="s">
        <v>21</v>
      </c>
      <c r="P464" s="111">
        <f t="shared" si="23"/>
        <v>436</v>
      </c>
    </row>
    <row r="465" spans="1:16" ht="15" customHeight="1" x14ac:dyDescent="0.25">
      <c r="A465" s="111" t="s">
        <v>2719</v>
      </c>
      <c r="B465" s="120">
        <v>45966</v>
      </c>
      <c r="C465" s="111">
        <f t="shared" si="21"/>
        <v>1056</v>
      </c>
      <c r="D465" s="111">
        <v>1</v>
      </c>
      <c r="G465" s="116" t="s">
        <v>1008</v>
      </c>
      <c r="H465" s="111" t="s">
        <v>2811</v>
      </c>
      <c r="I465" s="111">
        <v>331</v>
      </c>
      <c r="J465" s="111">
        <v>1111</v>
      </c>
      <c r="K465" s="111" t="s">
        <v>20</v>
      </c>
      <c r="L465" s="111">
        <v>1</v>
      </c>
      <c r="M465" s="118">
        <v>327000</v>
      </c>
      <c r="N465" s="118">
        <f t="shared" si="22"/>
        <v>327000</v>
      </c>
      <c r="O465" s="111" t="s">
        <v>21</v>
      </c>
      <c r="P465" s="111">
        <f t="shared" si="23"/>
        <v>437</v>
      </c>
    </row>
    <row r="466" spans="1:16" ht="15" customHeight="1" x14ac:dyDescent="0.25">
      <c r="A466" s="111" t="s">
        <v>2719</v>
      </c>
      <c r="B466" s="120">
        <v>45966</v>
      </c>
      <c r="C466" s="111">
        <f t="shared" si="21"/>
        <v>1057</v>
      </c>
      <c r="D466" s="111">
        <v>1</v>
      </c>
      <c r="G466" s="116" t="s">
        <v>22</v>
      </c>
      <c r="H466" s="111" t="s">
        <v>2812</v>
      </c>
      <c r="I466" s="111">
        <v>331</v>
      </c>
      <c r="J466" s="111">
        <v>1111</v>
      </c>
      <c r="K466" s="111" t="s">
        <v>20</v>
      </c>
      <c r="L466" s="111">
        <v>1</v>
      </c>
      <c r="M466" s="118">
        <v>761400</v>
      </c>
      <c r="N466" s="118">
        <f t="shared" si="22"/>
        <v>761400</v>
      </c>
      <c r="O466" s="111" t="s">
        <v>21</v>
      </c>
      <c r="P466" s="111">
        <f t="shared" si="23"/>
        <v>438</v>
      </c>
    </row>
    <row r="467" spans="1:16" ht="15" customHeight="1" x14ac:dyDescent="0.25">
      <c r="A467" s="111" t="s">
        <v>2719</v>
      </c>
      <c r="B467" s="120">
        <v>45966</v>
      </c>
      <c r="C467" s="111">
        <f t="shared" si="21"/>
        <v>1058</v>
      </c>
      <c r="D467" s="111">
        <v>1</v>
      </c>
      <c r="G467" s="116" t="s">
        <v>19</v>
      </c>
      <c r="H467" s="111" t="s">
        <v>2813</v>
      </c>
      <c r="I467" s="111">
        <v>331</v>
      </c>
      <c r="J467" s="111">
        <v>1111</v>
      </c>
      <c r="K467" s="111" t="s">
        <v>20</v>
      </c>
      <c r="L467" s="111">
        <v>1</v>
      </c>
      <c r="M467" s="118">
        <v>82000</v>
      </c>
      <c r="N467" s="118">
        <f t="shared" si="22"/>
        <v>82000</v>
      </c>
      <c r="O467" s="111" t="s">
        <v>21</v>
      </c>
      <c r="P467" s="111">
        <f t="shared" si="23"/>
        <v>439</v>
      </c>
    </row>
    <row r="468" spans="1:16" ht="15" customHeight="1" x14ac:dyDescent="0.25">
      <c r="A468" s="111" t="s">
        <v>2719</v>
      </c>
      <c r="B468" s="120">
        <v>45967</v>
      </c>
      <c r="C468" s="111">
        <f t="shared" si="21"/>
        <v>1059</v>
      </c>
      <c r="D468" s="111">
        <v>1</v>
      </c>
      <c r="G468" s="116" t="s">
        <v>1009</v>
      </c>
      <c r="H468" s="111" t="s">
        <v>2814</v>
      </c>
      <c r="I468" s="111">
        <v>331</v>
      </c>
      <c r="J468" s="111">
        <v>1111</v>
      </c>
      <c r="K468" s="111" t="s">
        <v>20</v>
      </c>
      <c r="L468" s="111">
        <v>1</v>
      </c>
      <c r="M468" s="118">
        <v>510000</v>
      </c>
      <c r="N468" s="118">
        <f t="shared" si="22"/>
        <v>510000</v>
      </c>
      <c r="O468" s="111" t="s">
        <v>21</v>
      </c>
      <c r="P468" s="111">
        <f t="shared" si="23"/>
        <v>440</v>
      </c>
    </row>
    <row r="469" spans="1:16" ht="15" customHeight="1" x14ac:dyDescent="0.25">
      <c r="A469" s="111" t="s">
        <v>2719</v>
      </c>
      <c r="B469" s="120">
        <v>45967</v>
      </c>
      <c r="C469" s="111">
        <f t="shared" si="21"/>
        <v>1060</v>
      </c>
      <c r="D469" s="111">
        <v>1</v>
      </c>
      <c r="G469" s="116" t="s">
        <v>27</v>
      </c>
      <c r="H469" s="111" t="s">
        <v>2815</v>
      </c>
      <c r="I469" s="111">
        <v>331</v>
      </c>
      <c r="J469" s="111">
        <v>1111</v>
      </c>
      <c r="K469" s="111" t="s">
        <v>20</v>
      </c>
      <c r="L469" s="111">
        <v>1</v>
      </c>
      <c r="M469" s="118">
        <v>450360</v>
      </c>
      <c r="N469" s="118">
        <f t="shared" si="22"/>
        <v>450360</v>
      </c>
      <c r="O469" s="111" t="s">
        <v>21</v>
      </c>
      <c r="P469" s="111">
        <f t="shared" si="23"/>
        <v>441</v>
      </c>
    </row>
    <row r="470" spans="1:16" ht="15" customHeight="1" x14ac:dyDescent="0.25">
      <c r="A470" s="111" t="s">
        <v>2719</v>
      </c>
      <c r="B470" s="120">
        <v>45967</v>
      </c>
      <c r="C470" s="111">
        <f t="shared" si="21"/>
        <v>1061</v>
      </c>
      <c r="D470" s="111">
        <v>1</v>
      </c>
      <c r="G470" s="116" t="s">
        <v>1006</v>
      </c>
      <c r="H470" s="111" t="s">
        <v>2816</v>
      </c>
      <c r="I470" s="111">
        <v>331</v>
      </c>
      <c r="J470" s="111">
        <v>1111</v>
      </c>
      <c r="K470" s="111" t="s">
        <v>20</v>
      </c>
      <c r="L470" s="111">
        <v>1</v>
      </c>
      <c r="M470" s="118">
        <v>2557128</v>
      </c>
      <c r="N470" s="118">
        <f t="shared" si="22"/>
        <v>2557128</v>
      </c>
      <c r="O470" s="111" t="s">
        <v>21</v>
      </c>
      <c r="P470" s="111">
        <f t="shared" si="23"/>
        <v>442</v>
      </c>
    </row>
    <row r="471" spans="1:16" ht="15" customHeight="1" x14ac:dyDescent="0.25">
      <c r="A471" s="111" t="s">
        <v>2719</v>
      </c>
      <c r="B471" s="120">
        <v>45967</v>
      </c>
      <c r="C471" s="111">
        <f t="shared" si="21"/>
        <v>1062</v>
      </c>
      <c r="D471" s="111">
        <v>1</v>
      </c>
      <c r="G471" s="116" t="s">
        <v>23</v>
      </c>
      <c r="H471" s="111" t="s">
        <v>2817</v>
      </c>
      <c r="I471" s="111">
        <v>331</v>
      </c>
      <c r="J471" s="111">
        <v>1111</v>
      </c>
      <c r="K471" s="111" t="s">
        <v>20</v>
      </c>
      <c r="L471" s="111">
        <v>1</v>
      </c>
      <c r="M471" s="118">
        <v>367000</v>
      </c>
      <c r="N471" s="118">
        <f t="shared" si="22"/>
        <v>367000</v>
      </c>
      <c r="O471" s="111" t="s">
        <v>21</v>
      </c>
      <c r="P471" s="111">
        <f t="shared" si="23"/>
        <v>443</v>
      </c>
    </row>
    <row r="472" spans="1:16" ht="15" customHeight="1" x14ac:dyDescent="0.25">
      <c r="A472" s="111" t="s">
        <v>2719</v>
      </c>
      <c r="B472" s="120">
        <v>45967</v>
      </c>
      <c r="C472" s="111">
        <f t="shared" si="21"/>
        <v>1063</v>
      </c>
      <c r="D472" s="111">
        <v>1</v>
      </c>
      <c r="G472" s="116" t="s">
        <v>19</v>
      </c>
      <c r="H472" s="111" t="s">
        <v>2818</v>
      </c>
      <c r="I472" s="111">
        <v>331</v>
      </c>
      <c r="J472" s="111">
        <v>1111</v>
      </c>
      <c r="K472" s="111" t="s">
        <v>20</v>
      </c>
      <c r="L472" s="111">
        <v>1</v>
      </c>
      <c r="M472" s="118">
        <v>69000</v>
      </c>
      <c r="N472" s="118">
        <f t="shared" si="22"/>
        <v>69000</v>
      </c>
      <c r="O472" s="111" t="s">
        <v>21</v>
      </c>
      <c r="P472" s="111">
        <f t="shared" si="23"/>
        <v>444</v>
      </c>
    </row>
    <row r="473" spans="1:16" ht="15" customHeight="1" x14ac:dyDescent="0.25">
      <c r="A473" s="111" t="s">
        <v>2719</v>
      </c>
      <c r="B473" s="120">
        <v>45967</v>
      </c>
      <c r="C473" s="111">
        <f t="shared" si="21"/>
        <v>1064</v>
      </c>
      <c r="D473" s="111">
        <v>1</v>
      </c>
      <c r="G473" s="116" t="s">
        <v>19</v>
      </c>
      <c r="H473" s="111" t="s">
        <v>2819</v>
      </c>
      <c r="I473" s="111">
        <v>331</v>
      </c>
      <c r="J473" s="111">
        <v>1111</v>
      </c>
      <c r="K473" s="111" t="s">
        <v>20</v>
      </c>
      <c r="L473" s="111">
        <v>1</v>
      </c>
      <c r="M473" s="118">
        <v>36000</v>
      </c>
      <c r="N473" s="118">
        <f t="shared" si="22"/>
        <v>36000</v>
      </c>
      <c r="O473" s="111" t="s">
        <v>21</v>
      </c>
      <c r="P473" s="111">
        <f t="shared" si="23"/>
        <v>445</v>
      </c>
    </row>
    <row r="474" spans="1:16" ht="15" customHeight="1" x14ac:dyDescent="0.25">
      <c r="A474" s="111" t="s">
        <v>2719</v>
      </c>
      <c r="B474" s="120">
        <v>45967</v>
      </c>
      <c r="C474" s="111">
        <f t="shared" si="21"/>
        <v>1065</v>
      </c>
      <c r="D474" s="111">
        <v>1</v>
      </c>
      <c r="G474" s="116" t="s">
        <v>19</v>
      </c>
      <c r="H474" s="111" t="s">
        <v>2820</v>
      </c>
      <c r="I474" s="111">
        <v>331</v>
      </c>
      <c r="J474" s="111">
        <v>1111</v>
      </c>
      <c r="K474" s="111" t="s">
        <v>20</v>
      </c>
      <c r="L474" s="111">
        <v>1</v>
      </c>
      <c r="M474" s="118">
        <v>81000</v>
      </c>
      <c r="N474" s="118">
        <f t="shared" si="22"/>
        <v>81000</v>
      </c>
      <c r="O474" s="111" t="s">
        <v>21</v>
      </c>
      <c r="P474" s="111">
        <f t="shared" si="23"/>
        <v>446</v>
      </c>
    </row>
    <row r="475" spans="1:16" ht="15" customHeight="1" x14ac:dyDescent="0.25">
      <c r="A475" s="111" t="s">
        <v>2719</v>
      </c>
      <c r="B475" s="120">
        <v>45968</v>
      </c>
      <c r="C475" s="111">
        <f t="shared" si="21"/>
        <v>1066</v>
      </c>
      <c r="D475" s="111">
        <v>1</v>
      </c>
      <c r="G475" s="116" t="s">
        <v>34</v>
      </c>
      <c r="H475" s="111" t="s">
        <v>2821</v>
      </c>
      <c r="I475" s="111">
        <v>331</v>
      </c>
      <c r="J475" s="111">
        <v>1111</v>
      </c>
      <c r="K475" s="111" t="s">
        <v>20</v>
      </c>
      <c r="L475" s="111">
        <v>1</v>
      </c>
      <c r="M475" s="118">
        <v>1640001</v>
      </c>
      <c r="N475" s="118">
        <f t="shared" si="22"/>
        <v>1640001</v>
      </c>
      <c r="O475" s="111" t="s">
        <v>21</v>
      </c>
      <c r="P475" s="111">
        <f t="shared" si="23"/>
        <v>447</v>
      </c>
    </row>
    <row r="476" spans="1:16" ht="15" customHeight="1" x14ac:dyDescent="0.25">
      <c r="A476" s="111" t="s">
        <v>2719</v>
      </c>
      <c r="B476" s="120">
        <v>45968</v>
      </c>
      <c r="C476" s="111">
        <f t="shared" si="21"/>
        <v>1067</v>
      </c>
      <c r="D476" s="111">
        <v>1</v>
      </c>
      <c r="G476" s="116" t="s">
        <v>19</v>
      </c>
      <c r="H476" s="111" t="s">
        <v>2822</v>
      </c>
      <c r="I476" s="111">
        <v>331</v>
      </c>
      <c r="J476" s="111">
        <v>1111</v>
      </c>
      <c r="K476" s="111" t="s">
        <v>20</v>
      </c>
      <c r="L476" s="111">
        <v>1</v>
      </c>
      <c r="M476" s="118">
        <v>39000</v>
      </c>
      <c r="N476" s="118">
        <f t="shared" si="22"/>
        <v>39000</v>
      </c>
      <c r="O476" s="111" t="s">
        <v>21</v>
      </c>
      <c r="P476" s="111">
        <f t="shared" si="23"/>
        <v>448</v>
      </c>
    </row>
    <row r="477" spans="1:16" ht="15" customHeight="1" x14ac:dyDescent="0.25">
      <c r="A477" s="111" t="s">
        <v>2719</v>
      </c>
      <c r="B477" s="120">
        <v>45968</v>
      </c>
      <c r="C477" s="111">
        <f t="shared" si="21"/>
        <v>1068</v>
      </c>
      <c r="D477" s="111">
        <v>1</v>
      </c>
      <c r="G477" s="116" t="s">
        <v>19</v>
      </c>
      <c r="H477" s="111" t="s">
        <v>2823</v>
      </c>
      <c r="I477" s="111">
        <v>331</v>
      </c>
      <c r="J477" s="111">
        <v>1111</v>
      </c>
      <c r="K477" s="111" t="s">
        <v>20</v>
      </c>
      <c r="L477" s="111">
        <v>1</v>
      </c>
      <c r="M477" s="118">
        <v>24000</v>
      </c>
      <c r="N477" s="118">
        <f t="shared" si="22"/>
        <v>24000</v>
      </c>
      <c r="O477" s="111" t="s">
        <v>21</v>
      </c>
      <c r="P477" s="111">
        <f t="shared" si="23"/>
        <v>449</v>
      </c>
    </row>
    <row r="478" spans="1:16" ht="15" customHeight="1" x14ac:dyDescent="0.25">
      <c r="A478" s="111" t="s">
        <v>2719</v>
      </c>
      <c r="B478" s="120">
        <v>45968</v>
      </c>
      <c r="C478" s="111">
        <f t="shared" si="21"/>
        <v>1069</v>
      </c>
      <c r="D478" s="111">
        <v>1</v>
      </c>
      <c r="G478" s="116" t="s">
        <v>19</v>
      </c>
      <c r="H478" s="111" t="s">
        <v>2824</v>
      </c>
      <c r="I478" s="111">
        <v>331</v>
      </c>
      <c r="J478" s="111">
        <v>1111</v>
      </c>
      <c r="K478" s="111" t="s">
        <v>20</v>
      </c>
      <c r="L478" s="111">
        <v>1</v>
      </c>
      <c r="M478" s="118">
        <v>54000</v>
      </c>
      <c r="N478" s="118">
        <f t="shared" si="22"/>
        <v>54000</v>
      </c>
      <c r="O478" s="111" t="s">
        <v>21</v>
      </c>
      <c r="P478" s="111">
        <f t="shared" si="23"/>
        <v>450</v>
      </c>
    </row>
    <row r="479" spans="1:16" ht="15" customHeight="1" x14ac:dyDescent="0.25">
      <c r="A479" s="111" t="s">
        <v>2719</v>
      </c>
      <c r="B479" s="120">
        <v>45969</v>
      </c>
      <c r="C479" s="111">
        <f t="shared" si="21"/>
        <v>1070</v>
      </c>
      <c r="D479" s="111">
        <v>1</v>
      </c>
      <c r="G479" s="116" t="s">
        <v>25</v>
      </c>
      <c r="H479" s="111" t="s">
        <v>2825</v>
      </c>
      <c r="I479" s="111">
        <v>331</v>
      </c>
      <c r="J479" s="111">
        <v>1111</v>
      </c>
      <c r="K479" s="111" t="s">
        <v>20</v>
      </c>
      <c r="L479" s="111">
        <v>1</v>
      </c>
      <c r="M479" s="118">
        <v>1545048</v>
      </c>
      <c r="N479" s="118">
        <f t="shared" si="22"/>
        <v>1545048</v>
      </c>
      <c r="O479" s="111" t="s">
        <v>21</v>
      </c>
      <c r="P479" s="111">
        <f t="shared" si="23"/>
        <v>451</v>
      </c>
    </row>
    <row r="480" spans="1:16" ht="15" customHeight="1" x14ac:dyDescent="0.25">
      <c r="A480" s="111" t="s">
        <v>2719</v>
      </c>
      <c r="B480" s="120">
        <v>45969</v>
      </c>
      <c r="C480" s="111">
        <f t="shared" si="21"/>
        <v>1071</v>
      </c>
      <c r="D480" s="111">
        <v>1</v>
      </c>
      <c r="G480" s="116" t="s">
        <v>24</v>
      </c>
      <c r="H480" s="111" t="s">
        <v>2826</v>
      </c>
      <c r="I480" s="111">
        <v>331</v>
      </c>
      <c r="J480" s="111">
        <v>1111</v>
      </c>
      <c r="K480" s="111" t="s">
        <v>20</v>
      </c>
      <c r="L480" s="111">
        <v>1</v>
      </c>
      <c r="M480" s="118">
        <v>153000</v>
      </c>
      <c r="N480" s="118">
        <f t="shared" si="22"/>
        <v>153000</v>
      </c>
      <c r="O480" s="111" t="s">
        <v>21</v>
      </c>
      <c r="P480" s="111">
        <f t="shared" si="23"/>
        <v>452</v>
      </c>
    </row>
    <row r="481" spans="1:16" ht="15" customHeight="1" x14ac:dyDescent="0.25">
      <c r="A481" s="111" t="s">
        <v>2719</v>
      </c>
      <c r="B481" s="120">
        <v>45969</v>
      </c>
      <c r="C481" s="111">
        <f t="shared" si="21"/>
        <v>1072</v>
      </c>
      <c r="D481" s="111">
        <v>1</v>
      </c>
      <c r="G481" s="116" t="s">
        <v>19</v>
      </c>
      <c r="H481" s="111" t="s">
        <v>2827</v>
      </c>
      <c r="I481" s="111">
        <v>331</v>
      </c>
      <c r="J481" s="111">
        <v>1111</v>
      </c>
      <c r="K481" s="111" t="s">
        <v>20</v>
      </c>
      <c r="L481" s="111">
        <v>1</v>
      </c>
      <c r="M481" s="118">
        <v>226000</v>
      </c>
      <c r="N481" s="118">
        <f t="shared" si="22"/>
        <v>226000</v>
      </c>
      <c r="O481" s="111" t="s">
        <v>21</v>
      </c>
      <c r="P481" s="111">
        <f t="shared" si="23"/>
        <v>453</v>
      </c>
    </row>
    <row r="482" spans="1:16" ht="15" customHeight="1" x14ac:dyDescent="0.25">
      <c r="A482" s="111" t="s">
        <v>2719</v>
      </c>
      <c r="B482" s="120">
        <v>45970</v>
      </c>
      <c r="C482" s="111">
        <f t="shared" si="21"/>
        <v>1073</v>
      </c>
      <c r="D482" s="111">
        <v>1</v>
      </c>
      <c r="G482" s="116" t="s">
        <v>983</v>
      </c>
      <c r="H482" s="111" t="s">
        <v>2828</v>
      </c>
      <c r="I482" s="111">
        <v>331</v>
      </c>
      <c r="J482" s="111">
        <v>1111</v>
      </c>
      <c r="K482" s="111" t="s">
        <v>20</v>
      </c>
      <c r="L482" s="111">
        <v>1</v>
      </c>
      <c r="M482" s="118">
        <v>656586</v>
      </c>
      <c r="N482" s="118">
        <f t="shared" si="22"/>
        <v>656586</v>
      </c>
      <c r="O482" s="111" t="s">
        <v>21</v>
      </c>
      <c r="P482" s="111">
        <f t="shared" si="23"/>
        <v>454</v>
      </c>
    </row>
    <row r="483" spans="1:16" ht="15" customHeight="1" x14ac:dyDescent="0.25">
      <c r="A483" s="111" t="s">
        <v>2719</v>
      </c>
      <c r="B483" s="120">
        <v>45970</v>
      </c>
      <c r="C483" s="111">
        <f t="shared" si="21"/>
        <v>1074</v>
      </c>
      <c r="D483" s="111">
        <v>1</v>
      </c>
      <c r="G483" s="116" t="s">
        <v>23</v>
      </c>
      <c r="H483" s="111" t="s">
        <v>2829</v>
      </c>
      <c r="I483" s="111">
        <v>331</v>
      </c>
      <c r="J483" s="111">
        <v>1111</v>
      </c>
      <c r="K483" s="111" t="s">
        <v>20</v>
      </c>
      <c r="L483" s="111">
        <v>1</v>
      </c>
      <c r="M483" s="118">
        <v>94000</v>
      </c>
      <c r="N483" s="118">
        <f t="shared" si="22"/>
        <v>94000</v>
      </c>
      <c r="O483" s="111" t="s">
        <v>21</v>
      </c>
      <c r="P483" s="111">
        <f t="shared" si="23"/>
        <v>455</v>
      </c>
    </row>
    <row r="484" spans="1:16" ht="15" customHeight="1" x14ac:dyDescent="0.25">
      <c r="A484" s="111" t="s">
        <v>2719</v>
      </c>
      <c r="B484" s="120">
        <v>45971</v>
      </c>
      <c r="C484" s="111">
        <f t="shared" si="21"/>
        <v>1075</v>
      </c>
      <c r="D484" s="111">
        <v>1</v>
      </c>
      <c r="G484" s="116" t="s">
        <v>30</v>
      </c>
      <c r="H484" s="111" t="s">
        <v>2830</v>
      </c>
      <c r="I484" s="111">
        <v>331</v>
      </c>
      <c r="J484" s="111">
        <v>1111</v>
      </c>
      <c r="K484" s="111" t="s">
        <v>20</v>
      </c>
      <c r="L484" s="111">
        <v>1</v>
      </c>
      <c r="M484" s="118">
        <v>15089000</v>
      </c>
      <c r="N484" s="118">
        <f t="shared" si="22"/>
        <v>15089000</v>
      </c>
      <c r="O484" s="111" t="s">
        <v>21</v>
      </c>
      <c r="P484" s="111">
        <f t="shared" si="23"/>
        <v>456</v>
      </c>
    </row>
    <row r="485" spans="1:16" ht="15" customHeight="1" x14ac:dyDescent="0.25">
      <c r="A485" s="111" t="s">
        <v>2719</v>
      </c>
      <c r="B485" s="120">
        <v>45971</v>
      </c>
      <c r="C485" s="111">
        <f t="shared" si="21"/>
        <v>1076</v>
      </c>
      <c r="D485" s="111">
        <v>1</v>
      </c>
      <c r="G485" s="116" t="s">
        <v>982</v>
      </c>
      <c r="H485" s="111" t="s">
        <v>2831</v>
      </c>
      <c r="I485" s="111">
        <v>331</v>
      </c>
      <c r="J485" s="111">
        <v>1111</v>
      </c>
      <c r="K485" s="111" t="s">
        <v>20</v>
      </c>
      <c r="L485" s="111">
        <v>1</v>
      </c>
      <c r="M485" s="118">
        <v>155000</v>
      </c>
      <c r="N485" s="118">
        <f t="shared" si="22"/>
        <v>155000</v>
      </c>
      <c r="O485" s="111" t="s">
        <v>21</v>
      </c>
      <c r="P485" s="111">
        <f t="shared" si="23"/>
        <v>457</v>
      </c>
    </row>
    <row r="486" spans="1:16" ht="15" customHeight="1" x14ac:dyDescent="0.25">
      <c r="A486" s="111" t="s">
        <v>2719</v>
      </c>
      <c r="B486" s="120">
        <v>45971</v>
      </c>
      <c r="C486" s="111">
        <f t="shared" si="21"/>
        <v>1077</v>
      </c>
      <c r="D486" s="111">
        <v>1</v>
      </c>
      <c r="G486" s="116" t="s">
        <v>34</v>
      </c>
      <c r="H486" s="111" t="s">
        <v>2832</v>
      </c>
      <c r="I486" s="111">
        <v>331</v>
      </c>
      <c r="J486" s="111">
        <v>1111</v>
      </c>
      <c r="K486" s="111" t="s">
        <v>20</v>
      </c>
      <c r="L486" s="111">
        <v>1</v>
      </c>
      <c r="M486" s="118">
        <v>625000</v>
      </c>
      <c r="N486" s="118">
        <f t="shared" si="22"/>
        <v>625000</v>
      </c>
      <c r="O486" s="111" t="s">
        <v>21</v>
      </c>
      <c r="P486" s="111">
        <f t="shared" si="23"/>
        <v>458</v>
      </c>
    </row>
    <row r="487" spans="1:16" ht="15" customHeight="1" x14ac:dyDescent="0.25">
      <c r="A487" s="111" t="s">
        <v>2719</v>
      </c>
      <c r="B487" s="120">
        <v>45971</v>
      </c>
      <c r="C487" s="111">
        <f t="shared" si="21"/>
        <v>1078</v>
      </c>
      <c r="D487" s="111">
        <v>1</v>
      </c>
      <c r="G487" s="116" t="s">
        <v>19</v>
      </c>
      <c r="H487" s="111" t="s">
        <v>2833</v>
      </c>
      <c r="I487" s="111">
        <v>331</v>
      </c>
      <c r="J487" s="111">
        <v>1111</v>
      </c>
      <c r="K487" s="111" t="s">
        <v>20</v>
      </c>
      <c r="L487" s="111">
        <v>1</v>
      </c>
      <c r="M487" s="118">
        <v>36000</v>
      </c>
      <c r="N487" s="118">
        <f t="shared" si="22"/>
        <v>36000</v>
      </c>
      <c r="O487" s="111" t="s">
        <v>21</v>
      </c>
      <c r="P487" s="111">
        <f t="shared" si="23"/>
        <v>459</v>
      </c>
    </row>
    <row r="488" spans="1:16" ht="15" customHeight="1" x14ac:dyDescent="0.25">
      <c r="A488" s="111" t="s">
        <v>2719</v>
      </c>
      <c r="B488" s="120">
        <v>45972</v>
      </c>
      <c r="C488" s="111">
        <f t="shared" si="21"/>
        <v>1079</v>
      </c>
      <c r="D488" s="111">
        <v>1</v>
      </c>
      <c r="G488" s="116" t="s">
        <v>986</v>
      </c>
      <c r="H488" s="111" t="s">
        <v>2834</v>
      </c>
      <c r="I488" s="111">
        <v>331</v>
      </c>
      <c r="J488" s="111">
        <v>1111</v>
      </c>
      <c r="K488" s="111" t="s">
        <v>20</v>
      </c>
      <c r="L488" s="111">
        <v>1</v>
      </c>
      <c r="M488" s="118">
        <v>2001240</v>
      </c>
      <c r="N488" s="118">
        <f t="shared" si="22"/>
        <v>2001240</v>
      </c>
      <c r="O488" s="111" t="s">
        <v>21</v>
      </c>
      <c r="P488" s="111">
        <f t="shared" si="23"/>
        <v>460</v>
      </c>
    </row>
    <row r="489" spans="1:16" ht="15" customHeight="1" x14ac:dyDescent="0.25">
      <c r="A489" s="111" t="s">
        <v>2719</v>
      </c>
      <c r="B489" s="120">
        <v>45972</v>
      </c>
      <c r="C489" s="111">
        <f t="shared" si="21"/>
        <v>1080</v>
      </c>
      <c r="D489" s="111">
        <v>1</v>
      </c>
      <c r="G489" s="116" t="s">
        <v>39</v>
      </c>
      <c r="H489" s="111" t="s">
        <v>2835</v>
      </c>
      <c r="I489" s="111">
        <v>331</v>
      </c>
      <c r="J489" s="111">
        <v>1111</v>
      </c>
      <c r="K489" s="111" t="s">
        <v>20</v>
      </c>
      <c r="L489" s="111">
        <v>1</v>
      </c>
      <c r="M489" s="118">
        <v>540000</v>
      </c>
      <c r="N489" s="118">
        <f t="shared" si="22"/>
        <v>540000</v>
      </c>
      <c r="O489" s="111" t="s">
        <v>21</v>
      </c>
      <c r="P489" s="111">
        <f t="shared" si="23"/>
        <v>461</v>
      </c>
    </row>
    <row r="490" spans="1:16" ht="15" customHeight="1" x14ac:dyDescent="0.25">
      <c r="A490" s="111" t="s">
        <v>2719</v>
      </c>
      <c r="B490" s="120">
        <v>45973</v>
      </c>
      <c r="C490" s="111">
        <f t="shared" si="21"/>
        <v>1081</v>
      </c>
      <c r="D490" s="111">
        <v>1</v>
      </c>
      <c r="G490" s="116" t="s">
        <v>1010</v>
      </c>
      <c r="H490" s="111" t="s">
        <v>2836</v>
      </c>
      <c r="I490" s="111">
        <v>331</v>
      </c>
      <c r="J490" s="111">
        <v>1111</v>
      </c>
      <c r="K490" s="111" t="s">
        <v>20</v>
      </c>
      <c r="L490" s="111">
        <v>1</v>
      </c>
      <c r="M490" s="118">
        <v>3869460</v>
      </c>
      <c r="N490" s="118">
        <f t="shared" si="22"/>
        <v>3869460</v>
      </c>
      <c r="O490" s="111" t="s">
        <v>21</v>
      </c>
      <c r="P490" s="111">
        <f t="shared" si="23"/>
        <v>462</v>
      </c>
    </row>
    <row r="491" spans="1:16" ht="15" customHeight="1" x14ac:dyDescent="0.25">
      <c r="A491" s="111" t="s">
        <v>2719</v>
      </c>
      <c r="B491" s="120">
        <v>45973</v>
      </c>
      <c r="C491" s="111">
        <f t="shared" si="21"/>
        <v>1082</v>
      </c>
      <c r="D491" s="111">
        <v>1</v>
      </c>
      <c r="G491" s="116" t="s">
        <v>1011</v>
      </c>
      <c r="H491" s="111" t="s">
        <v>2837</v>
      </c>
      <c r="I491" s="111">
        <v>331</v>
      </c>
      <c r="J491" s="111">
        <v>1111</v>
      </c>
      <c r="K491" s="111" t="s">
        <v>20</v>
      </c>
      <c r="L491" s="111">
        <v>1</v>
      </c>
      <c r="M491" s="118">
        <v>155000</v>
      </c>
      <c r="N491" s="118">
        <f t="shared" si="22"/>
        <v>155000</v>
      </c>
      <c r="O491" s="111" t="s">
        <v>21</v>
      </c>
      <c r="P491" s="111">
        <f t="shared" si="23"/>
        <v>463</v>
      </c>
    </row>
    <row r="492" spans="1:16" ht="15" customHeight="1" x14ac:dyDescent="0.25">
      <c r="A492" s="111" t="s">
        <v>2719</v>
      </c>
      <c r="B492" s="120">
        <v>45974</v>
      </c>
      <c r="C492" s="111">
        <f t="shared" si="21"/>
        <v>1083</v>
      </c>
      <c r="D492" s="111">
        <v>1</v>
      </c>
      <c r="G492" s="116" t="s">
        <v>1012</v>
      </c>
      <c r="H492" s="111" t="s">
        <v>2838</v>
      </c>
      <c r="I492" s="111">
        <v>331</v>
      </c>
      <c r="J492" s="111">
        <v>1111</v>
      </c>
      <c r="K492" s="111" t="s">
        <v>20</v>
      </c>
      <c r="L492" s="111">
        <v>1</v>
      </c>
      <c r="M492" s="118">
        <v>1504818</v>
      </c>
      <c r="N492" s="118">
        <f t="shared" si="22"/>
        <v>1504818</v>
      </c>
      <c r="O492" s="111" t="s">
        <v>21</v>
      </c>
      <c r="P492" s="111">
        <f t="shared" si="23"/>
        <v>464</v>
      </c>
    </row>
    <row r="493" spans="1:16" ht="15" customHeight="1" x14ac:dyDescent="0.25">
      <c r="A493" s="111" t="s">
        <v>2719</v>
      </c>
      <c r="B493" s="120">
        <v>45974</v>
      </c>
      <c r="C493" s="111">
        <f t="shared" si="21"/>
        <v>1084</v>
      </c>
      <c r="D493" s="111">
        <v>1</v>
      </c>
      <c r="G493" s="116" t="s">
        <v>1013</v>
      </c>
      <c r="H493" s="111" t="s">
        <v>2839</v>
      </c>
      <c r="I493" s="111">
        <v>331</v>
      </c>
      <c r="J493" s="111">
        <v>1111</v>
      </c>
      <c r="K493" s="111" t="s">
        <v>20</v>
      </c>
      <c r="L493" s="111">
        <v>1</v>
      </c>
      <c r="M493" s="118">
        <v>3333000</v>
      </c>
      <c r="N493" s="118">
        <f t="shared" si="22"/>
        <v>3333000</v>
      </c>
      <c r="O493" s="111" t="s">
        <v>21</v>
      </c>
      <c r="P493" s="111">
        <f t="shared" si="23"/>
        <v>465</v>
      </c>
    </row>
    <row r="494" spans="1:16" ht="15" customHeight="1" x14ac:dyDescent="0.25">
      <c r="A494" s="111" t="s">
        <v>2719</v>
      </c>
      <c r="B494" s="120">
        <v>45974</v>
      </c>
      <c r="C494" s="111">
        <f t="shared" si="21"/>
        <v>1085</v>
      </c>
      <c r="D494" s="111">
        <v>1</v>
      </c>
      <c r="G494" s="116" t="s">
        <v>52</v>
      </c>
      <c r="H494" s="111" t="s">
        <v>2840</v>
      </c>
      <c r="I494" s="111">
        <v>331</v>
      </c>
      <c r="J494" s="111">
        <v>1111</v>
      </c>
      <c r="K494" s="111" t="s">
        <v>20</v>
      </c>
      <c r="L494" s="111">
        <v>1</v>
      </c>
      <c r="M494" s="118">
        <v>1382400</v>
      </c>
      <c r="N494" s="118">
        <f t="shared" si="22"/>
        <v>1382400</v>
      </c>
      <c r="O494" s="111" t="s">
        <v>21</v>
      </c>
      <c r="P494" s="111">
        <f t="shared" si="23"/>
        <v>466</v>
      </c>
    </row>
    <row r="495" spans="1:16" ht="15" customHeight="1" x14ac:dyDescent="0.25">
      <c r="A495" s="111" t="s">
        <v>2719</v>
      </c>
      <c r="B495" s="120">
        <v>45974</v>
      </c>
      <c r="C495" s="111">
        <f t="shared" si="21"/>
        <v>1086</v>
      </c>
      <c r="D495" s="111">
        <v>1</v>
      </c>
      <c r="G495" s="116" t="s">
        <v>996</v>
      </c>
      <c r="H495" s="111" t="s">
        <v>2841</v>
      </c>
      <c r="I495" s="111">
        <v>331</v>
      </c>
      <c r="J495" s="111">
        <v>1111</v>
      </c>
      <c r="K495" s="111" t="s">
        <v>20</v>
      </c>
      <c r="L495" s="111">
        <v>1</v>
      </c>
      <c r="M495" s="118">
        <v>120000</v>
      </c>
      <c r="N495" s="118">
        <f t="shared" si="22"/>
        <v>120000</v>
      </c>
      <c r="O495" s="111" t="s">
        <v>21</v>
      </c>
      <c r="P495" s="111">
        <f t="shared" si="23"/>
        <v>467</v>
      </c>
    </row>
    <row r="496" spans="1:16" ht="15" customHeight="1" x14ac:dyDescent="0.25">
      <c r="A496" s="111" t="s">
        <v>2719</v>
      </c>
      <c r="B496" s="120">
        <v>45975</v>
      </c>
      <c r="C496" s="111">
        <f t="shared" si="21"/>
        <v>1087</v>
      </c>
      <c r="D496" s="111">
        <v>1</v>
      </c>
      <c r="G496" s="116" t="s">
        <v>23</v>
      </c>
      <c r="H496" s="111" t="s">
        <v>2842</v>
      </c>
      <c r="I496" s="111">
        <v>331</v>
      </c>
      <c r="J496" s="111">
        <v>1111</v>
      </c>
      <c r="K496" s="111" t="s">
        <v>20</v>
      </c>
      <c r="L496" s="111">
        <v>1</v>
      </c>
      <c r="M496" s="118">
        <v>193000</v>
      </c>
      <c r="N496" s="118">
        <f t="shared" si="22"/>
        <v>193000</v>
      </c>
      <c r="O496" s="111" t="s">
        <v>21</v>
      </c>
      <c r="P496" s="111">
        <f t="shared" si="23"/>
        <v>468</v>
      </c>
    </row>
    <row r="497" spans="1:16" ht="15" customHeight="1" x14ac:dyDescent="0.25">
      <c r="A497" s="111" t="s">
        <v>2719</v>
      </c>
      <c r="B497" s="120">
        <v>45975</v>
      </c>
      <c r="C497" s="111">
        <f t="shared" si="21"/>
        <v>1088</v>
      </c>
      <c r="D497" s="111">
        <v>1</v>
      </c>
      <c r="G497" s="116" t="s">
        <v>19</v>
      </c>
      <c r="H497" s="111" t="s">
        <v>2843</v>
      </c>
      <c r="I497" s="111">
        <v>331</v>
      </c>
      <c r="J497" s="111">
        <v>1111</v>
      </c>
      <c r="K497" s="111" t="s">
        <v>20</v>
      </c>
      <c r="L497" s="111">
        <v>1</v>
      </c>
      <c r="M497" s="118">
        <v>108000</v>
      </c>
      <c r="N497" s="118">
        <f t="shared" si="22"/>
        <v>108000</v>
      </c>
      <c r="O497" s="111" t="s">
        <v>21</v>
      </c>
      <c r="P497" s="111">
        <f t="shared" si="23"/>
        <v>469</v>
      </c>
    </row>
    <row r="498" spans="1:16" ht="15" customHeight="1" x14ac:dyDescent="0.25">
      <c r="A498" s="111" t="s">
        <v>2719</v>
      </c>
      <c r="B498" s="120">
        <v>45976</v>
      </c>
      <c r="C498" s="111">
        <f t="shared" si="21"/>
        <v>1089</v>
      </c>
      <c r="D498" s="111">
        <v>1</v>
      </c>
      <c r="G498" s="116" t="s">
        <v>1003</v>
      </c>
      <c r="H498" s="111" t="s">
        <v>2844</v>
      </c>
      <c r="I498" s="111">
        <v>331</v>
      </c>
      <c r="J498" s="111">
        <v>1111</v>
      </c>
      <c r="K498" s="111" t="s">
        <v>20</v>
      </c>
      <c r="L498" s="111">
        <v>1</v>
      </c>
      <c r="M498" s="118">
        <v>270000</v>
      </c>
      <c r="N498" s="118">
        <f t="shared" si="22"/>
        <v>270000</v>
      </c>
      <c r="O498" s="111" t="s">
        <v>21</v>
      </c>
      <c r="P498" s="111">
        <f t="shared" si="23"/>
        <v>470</v>
      </c>
    </row>
    <row r="499" spans="1:16" ht="15" customHeight="1" x14ac:dyDescent="0.25">
      <c r="A499" s="111" t="s">
        <v>2719</v>
      </c>
      <c r="B499" s="120">
        <v>45976</v>
      </c>
      <c r="C499" s="111">
        <f t="shared" si="21"/>
        <v>1090</v>
      </c>
      <c r="D499" s="111">
        <v>1</v>
      </c>
      <c r="G499" s="116" t="s">
        <v>982</v>
      </c>
      <c r="H499" s="111" t="s">
        <v>2845</v>
      </c>
      <c r="I499" s="111">
        <v>331</v>
      </c>
      <c r="J499" s="111">
        <v>1111</v>
      </c>
      <c r="K499" s="111" t="s">
        <v>20</v>
      </c>
      <c r="L499" s="111">
        <v>1</v>
      </c>
      <c r="M499" s="118">
        <v>335000</v>
      </c>
      <c r="N499" s="118">
        <f t="shared" si="22"/>
        <v>335000</v>
      </c>
      <c r="O499" s="111" t="s">
        <v>21</v>
      </c>
      <c r="P499" s="111">
        <f t="shared" si="23"/>
        <v>471</v>
      </c>
    </row>
    <row r="500" spans="1:16" ht="15" customHeight="1" x14ac:dyDescent="0.25">
      <c r="A500" s="111" t="s">
        <v>2719</v>
      </c>
      <c r="B500" s="120">
        <v>45976</v>
      </c>
      <c r="C500" s="111">
        <f t="shared" si="21"/>
        <v>1091</v>
      </c>
      <c r="D500" s="111">
        <v>1</v>
      </c>
      <c r="G500" s="116" t="s">
        <v>1014</v>
      </c>
      <c r="H500" s="111" t="s">
        <v>2846</v>
      </c>
      <c r="I500" s="111">
        <v>331</v>
      </c>
      <c r="J500" s="111">
        <v>1111</v>
      </c>
      <c r="K500" s="111" t="s">
        <v>20</v>
      </c>
      <c r="L500" s="111">
        <v>1</v>
      </c>
      <c r="M500" s="118">
        <v>221000</v>
      </c>
      <c r="N500" s="118">
        <f t="shared" si="22"/>
        <v>221000</v>
      </c>
      <c r="O500" s="111" t="s">
        <v>21</v>
      </c>
      <c r="P500" s="111">
        <f t="shared" si="23"/>
        <v>472</v>
      </c>
    </row>
    <row r="501" spans="1:16" ht="15" customHeight="1" x14ac:dyDescent="0.25">
      <c r="A501" s="111" t="s">
        <v>2719</v>
      </c>
      <c r="B501" s="120">
        <v>45976</v>
      </c>
      <c r="C501" s="111">
        <f t="shared" si="21"/>
        <v>1092</v>
      </c>
      <c r="D501" s="111">
        <v>1</v>
      </c>
      <c r="G501" s="116" t="s">
        <v>24</v>
      </c>
      <c r="H501" s="111" t="s">
        <v>2847</v>
      </c>
      <c r="I501" s="111">
        <v>331</v>
      </c>
      <c r="J501" s="111">
        <v>1111</v>
      </c>
      <c r="K501" s="111" t="s">
        <v>20</v>
      </c>
      <c r="L501" s="111">
        <v>1</v>
      </c>
      <c r="M501" s="118">
        <v>277000</v>
      </c>
      <c r="N501" s="118">
        <f t="shared" si="22"/>
        <v>277000</v>
      </c>
      <c r="O501" s="111" t="s">
        <v>21</v>
      </c>
      <c r="P501" s="111">
        <f t="shared" si="23"/>
        <v>473</v>
      </c>
    </row>
    <row r="502" spans="1:16" ht="15" customHeight="1" x14ac:dyDescent="0.25">
      <c r="A502" s="111" t="s">
        <v>2719</v>
      </c>
      <c r="B502" s="120">
        <v>45976</v>
      </c>
      <c r="C502" s="111">
        <f t="shared" si="21"/>
        <v>1093</v>
      </c>
      <c r="D502" s="111">
        <v>1</v>
      </c>
      <c r="G502" s="116" t="s">
        <v>19</v>
      </c>
      <c r="H502" s="111" t="s">
        <v>2848</v>
      </c>
      <c r="I502" s="111">
        <v>331</v>
      </c>
      <c r="J502" s="111">
        <v>1111</v>
      </c>
      <c r="K502" s="111" t="s">
        <v>20</v>
      </c>
      <c r="L502" s="111">
        <v>1</v>
      </c>
      <c r="M502" s="118">
        <v>30000</v>
      </c>
      <c r="N502" s="118">
        <f t="shared" si="22"/>
        <v>30000</v>
      </c>
      <c r="O502" s="111" t="s">
        <v>21</v>
      </c>
      <c r="P502" s="111">
        <f t="shared" si="23"/>
        <v>474</v>
      </c>
    </row>
    <row r="503" spans="1:16" ht="15" customHeight="1" x14ac:dyDescent="0.25">
      <c r="A503" s="111" t="s">
        <v>2719</v>
      </c>
      <c r="B503" s="120">
        <v>45976</v>
      </c>
      <c r="C503" s="111">
        <f t="shared" si="21"/>
        <v>1094</v>
      </c>
      <c r="D503" s="111">
        <v>1</v>
      </c>
      <c r="G503" s="116" t="s">
        <v>19</v>
      </c>
      <c r="H503" s="111" t="s">
        <v>2849</v>
      </c>
      <c r="I503" s="111">
        <v>331</v>
      </c>
      <c r="J503" s="111">
        <v>1111</v>
      </c>
      <c r="K503" s="111" t="s">
        <v>20</v>
      </c>
      <c r="L503" s="111">
        <v>1</v>
      </c>
      <c r="M503" s="118">
        <v>282000</v>
      </c>
      <c r="N503" s="118">
        <f t="shared" si="22"/>
        <v>282000</v>
      </c>
      <c r="O503" s="111" t="s">
        <v>21</v>
      </c>
      <c r="P503" s="111">
        <f t="shared" si="23"/>
        <v>475</v>
      </c>
    </row>
    <row r="504" spans="1:16" ht="15" customHeight="1" x14ac:dyDescent="0.25">
      <c r="A504" s="111" t="s">
        <v>2719</v>
      </c>
      <c r="B504" s="120">
        <v>45977</v>
      </c>
      <c r="C504" s="111">
        <f t="shared" si="21"/>
        <v>1095</v>
      </c>
      <c r="D504" s="111">
        <v>1</v>
      </c>
      <c r="G504" s="116" t="s">
        <v>25</v>
      </c>
      <c r="H504" s="111" t="s">
        <v>2850</v>
      </c>
      <c r="I504" s="111">
        <v>331</v>
      </c>
      <c r="J504" s="111">
        <v>1111</v>
      </c>
      <c r="K504" s="111" t="s">
        <v>20</v>
      </c>
      <c r="L504" s="111">
        <v>1</v>
      </c>
      <c r="M504" s="118">
        <v>450360</v>
      </c>
      <c r="N504" s="118">
        <f t="shared" si="22"/>
        <v>450360</v>
      </c>
      <c r="O504" s="111" t="s">
        <v>21</v>
      </c>
      <c r="P504" s="111">
        <f t="shared" si="23"/>
        <v>476</v>
      </c>
    </row>
    <row r="505" spans="1:16" ht="15" customHeight="1" x14ac:dyDescent="0.25">
      <c r="A505" s="111" t="s">
        <v>2719</v>
      </c>
      <c r="B505" s="120">
        <v>45978</v>
      </c>
      <c r="C505" s="111">
        <f t="shared" si="21"/>
        <v>1096</v>
      </c>
      <c r="D505" s="111">
        <v>1</v>
      </c>
      <c r="G505" s="116" t="s">
        <v>988</v>
      </c>
      <c r="H505" s="111" t="s">
        <v>2851</v>
      </c>
      <c r="I505" s="111">
        <v>331</v>
      </c>
      <c r="J505" s="111">
        <v>1111</v>
      </c>
      <c r="K505" s="111" t="s">
        <v>20</v>
      </c>
      <c r="L505" s="111">
        <v>1</v>
      </c>
      <c r="M505" s="118">
        <v>215000</v>
      </c>
      <c r="N505" s="118">
        <f t="shared" si="22"/>
        <v>215000</v>
      </c>
      <c r="O505" s="111" t="s">
        <v>21</v>
      </c>
      <c r="P505" s="111">
        <f t="shared" si="23"/>
        <v>477</v>
      </c>
    </row>
    <row r="506" spans="1:16" ht="15" customHeight="1" x14ac:dyDescent="0.25">
      <c r="A506" s="111" t="s">
        <v>2719</v>
      </c>
      <c r="B506" s="120">
        <v>45979</v>
      </c>
      <c r="C506" s="111">
        <f t="shared" si="21"/>
        <v>1097</v>
      </c>
      <c r="D506" s="111">
        <v>1</v>
      </c>
      <c r="G506" s="116" t="s">
        <v>28</v>
      </c>
      <c r="H506" s="111" t="s">
        <v>2852</v>
      </c>
      <c r="I506" s="111">
        <v>331</v>
      </c>
      <c r="J506" s="111">
        <v>1111</v>
      </c>
      <c r="K506" s="111" t="s">
        <v>20</v>
      </c>
      <c r="L506" s="111">
        <v>1</v>
      </c>
      <c r="M506" s="118">
        <v>1040040</v>
      </c>
      <c r="N506" s="118">
        <f t="shared" si="22"/>
        <v>1040040</v>
      </c>
      <c r="O506" s="111" t="s">
        <v>21</v>
      </c>
      <c r="P506" s="111">
        <f t="shared" si="23"/>
        <v>478</v>
      </c>
    </row>
    <row r="507" spans="1:16" ht="15" customHeight="1" x14ac:dyDescent="0.25">
      <c r="A507" s="111" t="s">
        <v>2719</v>
      </c>
      <c r="B507" s="120">
        <v>45979</v>
      </c>
      <c r="C507" s="111">
        <f t="shared" si="21"/>
        <v>1098</v>
      </c>
      <c r="D507" s="111">
        <v>1</v>
      </c>
      <c r="G507" s="116" t="s">
        <v>19</v>
      </c>
      <c r="H507" s="111" t="s">
        <v>2853</v>
      </c>
      <c r="I507" s="111">
        <v>331</v>
      </c>
      <c r="J507" s="111">
        <v>1111</v>
      </c>
      <c r="K507" s="111" t="s">
        <v>20</v>
      </c>
      <c r="L507" s="111">
        <v>1</v>
      </c>
      <c r="M507" s="118">
        <v>153000</v>
      </c>
      <c r="N507" s="118">
        <f t="shared" si="22"/>
        <v>153000</v>
      </c>
      <c r="O507" s="111" t="s">
        <v>21</v>
      </c>
      <c r="P507" s="111">
        <f t="shared" si="23"/>
        <v>479</v>
      </c>
    </row>
    <row r="508" spans="1:16" ht="15" customHeight="1" x14ac:dyDescent="0.25">
      <c r="A508" s="111" t="s">
        <v>2719</v>
      </c>
      <c r="B508" s="120">
        <v>45980</v>
      </c>
      <c r="C508" s="111">
        <f t="shared" si="21"/>
        <v>1099</v>
      </c>
      <c r="D508" s="111">
        <v>1</v>
      </c>
      <c r="G508" s="116" t="s">
        <v>24</v>
      </c>
      <c r="H508" s="111" t="s">
        <v>2854</v>
      </c>
      <c r="I508" s="111">
        <v>331</v>
      </c>
      <c r="J508" s="111">
        <v>1111</v>
      </c>
      <c r="K508" s="111" t="s">
        <v>20</v>
      </c>
      <c r="L508" s="111">
        <v>1</v>
      </c>
      <c r="M508" s="118">
        <v>105000</v>
      </c>
      <c r="N508" s="118">
        <f t="shared" si="22"/>
        <v>105000</v>
      </c>
      <c r="O508" s="111" t="s">
        <v>21</v>
      </c>
      <c r="P508" s="111">
        <f t="shared" si="23"/>
        <v>480</v>
      </c>
    </row>
    <row r="509" spans="1:16" ht="15" customHeight="1" x14ac:dyDescent="0.25">
      <c r="A509" s="111" t="s">
        <v>2719</v>
      </c>
      <c r="B509" s="120">
        <v>45981</v>
      </c>
      <c r="C509" s="111">
        <f t="shared" si="21"/>
        <v>1100</v>
      </c>
      <c r="D509" s="111">
        <v>1</v>
      </c>
      <c r="G509" s="116" t="s">
        <v>19</v>
      </c>
      <c r="H509" s="111" t="s">
        <v>2855</v>
      </c>
      <c r="I509" s="111">
        <v>331</v>
      </c>
      <c r="J509" s="111">
        <v>1111</v>
      </c>
      <c r="K509" s="111" t="s">
        <v>20</v>
      </c>
      <c r="L509" s="111">
        <v>1</v>
      </c>
      <c r="M509" s="118">
        <v>131000</v>
      </c>
      <c r="N509" s="118">
        <f t="shared" si="22"/>
        <v>131000</v>
      </c>
      <c r="O509" s="111" t="s">
        <v>21</v>
      </c>
      <c r="P509" s="111">
        <f t="shared" si="23"/>
        <v>481</v>
      </c>
    </row>
    <row r="510" spans="1:16" ht="15" customHeight="1" x14ac:dyDescent="0.25">
      <c r="A510" s="111" t="s">
        <v>2719</v>
      </c>
      <c r="B510" s="120">
        <v>45982</v>
      </c>
      <c r="C510" s="111">
        <f t="shared" si="21"/>
        <v>1101</v>
      </c>
      <c r="D510" s="111">
        <v>1</v>
      </c>
      <c r="G510" s="116" t="s">
        <v>23</v>
      </c>
      <c r="H510" s="111" t="s">
        <v>2856</v>
      </c>
      <c r="I510" s="111">
        <v>331</v>
      </c>
      <c r="J510" s="111">
        <v>1111</v>
      </c>
      <c r="K510" s="111" t="s">
        <v>20</v>
      </c>
      <c r="L510" s="111">
        <v>1</v>
      </c>
      <c r="M510" s="118">
        <v>94000</v>
      </c>
      <c r="N510" s="118">
        <f t="shared" si="22"/>
        <v>94000</v>
      </c>
      <c r="O510" s="111" t="s">
        <v>21</v>
      </c>
      <c r="P510" s="111">
        <f t="shared" si="23"/>
        <v>482</v>
      </c>
    </row>
    <row r="511" spans="1:16" ht="15" customHeight="1" x14ac:dyDescent="0.25">
      <c r="A511" s="111" t="s">
        <v>2719</v>
      </c>
      <c r="B511" s="120">
        <v>45983</v>
      </c>
      <c r="C511" s="111">
        <f t="shared" si="21"/>
        <v>1102</v>
      </c>
      <c r="D511" s="111">
        <v>1</v>
      </c>
      <c r="G511" s="116" t="s">
        <v>1015</v>
      </c>
      <c r="H511" s="111" t="s">
        <v>2857</v>
      </c>
      <c r="I511" s="111">
        <v>331</v>
      </c>
      <c r="J511" s="111">
        <v>1111</v>
      </c>
      <c r="K511" s="111" t="s">
        <v>20</v>
      </c>
      <c r="L511" s="111">
        <v>1</v>
      </c>
      <c r="M511" s="118">
        <v>1847286</v>
      </c>
      <c r="N511" s="118">
        <f t="shared" si="22"/>
        <v>1847286</v>
      </c>
      <c r="O511" s="111" t="s">
        <v>21</v>
      </c>
      <c r="P511" s="111">
        <f t="shared" si="23"/>
        <v>483</v>
      </c>
    </row>
    <row r="512" spans="1:16" ht="15" customHeight="1" x14ac:dyDescent="0.25">
      <c r="A512" s="111" t="s">
        <v>2719</v>
      </c>
      <c r="B512" s="120">
        <v>45983</v>
      </c>
      <c r="C512" s="111">
        <f t="shared" si="21"/>
        <v>1103</v>
      </c>
      <c r="D512" s="111">
        <v>1</v>
      </c>
      <c r="G512" s="116" t="s">
        <v>1016</v>
      </c>
      <c r="H512" s="111" t="s">
        <v>2858</v>
      </c>
      <c r="I512" s="111">
        <v>331</v>
      </c>
      <c r="J512" s="111">
        <v>1111</v>
      </c>
      <c r="K512" s="111" t="s">
        <v>20</v>
      </c>
      <c r="L512" s="111">
        <v>1</v>
      </c>
      <c r="M512" s="118">
        <v>245000</v>
      </c>
      <c r="N512" s="118">
        <f t="shared" si="22"/>
        <v>245000</v>
      </c>
      <c r="O512" s="111" t="s">
        <v>21</v>
      </c>
      <c r="P512" s="111">
        <f t="shared" si="23"/>
        <v>484</v>
      </c>
    </row>
    <row r="513" spans="1:16" ht="15" customHeight="1" x14ac:dyDescent="0.25">
      <c r="A513" s="111" t="s">
        <v>2719</v>
      </c>
      <c r="B513" s="120">
        <v>45983</v>
      </c>
      <c r="C513" s="111">
        <f t="shared" si="21"/>
        <v>1104</v>
      </c>
      <c r="D513" s="111">
        <v>1</v>
      </c>
      <c r="G513" s="116" t="s">
        <v>987</v>
      </c>
      <c r="H513" s="111" t="s">
        <v>2859</v>
      </c>
      <c r="I513" s="111">
        <v>331</v>
      </c>
      <c r="J513" s="111">
        <v>1111</v>
      </c>
      <c r="K513" s="111" t="s">
        <v>20</v>
      </c>
      <c r="L513" s="111">
        <v>1</v>
      </c>
      <c r="M513" s="118">
        <v>430000</v>
      </c>
      <c r="N513" s="118">
        <f t="shared" si="22"/>
        <v>430000</v>
      </c>
      <c r="O513" s="111" t="s">
        <v>21</v>
      </c>
      <c r="P513" s="111">
        <f t="shared" si="23"/>
        <v>485</v>
      </c>
    </row>
    <row r="514" spans="1:16" ht="15" customHeight="1" x14ac:dyDescent="0.25">
      <c r="A514" s="111" t="s">
        <v>2719</v>
      </c>
      <c r="B514" s="120">
        <v>45983</v>
      </c>
      <c r="C514" s="111">
        <f t="shared" si="21"/>
        <v>1105</v>
      </c>
      <c r="D514" s="111">
        <v>1</v>
      </c>
      <c r="G514" s="116" t="s">
        <v>23</v>
      </c>
      <c r="H514" s="111" t="s">
        <v>2860</v>
      </c>
      <c r="I514" s="111">
        <v>331</v>
      </c>
      <c r="J514" s="111">
        <v>1111</v>
      </c>
      <c r="K514" s="111" t="s">
        <v>20</v>
      </c>
      <c r="L514" s="111">
        <v>1</v>
      </c>
      <c r="M514" s="118">
        <v>138000</v>
      </c>
      <c r="N514" s="118">
        <f t="shared" si="22"/>
        <v>138000</v>
      </c>
      <c r="O514" s="111" t="s">
        <v>21</v>
      </c>
      <c r="P514" s="111">
        <f t="shared" si="23"/>
        <v>486</v>
      </c>
    </row>
    <row r="515" spans="1:16" ht="15" customHeight="1" x14ac:dyDescent="0.25">
      <c r="A515" s="111" t="s">
        <v>2719</v>
      </c>
      <c r="B515" s="120">
        <v>45983</v>
      </c>
      <c r="C515" s="111">
        <f t="shared" si="21"/>
        <v>1106</v>
      </c>
      <c r="D515" s="111">
        <v>1</v>
      </c>
      <c r="G515" s="116" t="s">
        <v>23</v>
      </c>
      <c r="H515" s="111" t="s">
        <v>2861</v>
      </c>
      <c r="I515" s="111">
        <v>331</v>
      </c>
      <c r="J515" s="111">
        <v>1111</v>
      </c>
      <c r="K515" s="111" t="s">
        <v>20</v>
      </c>
      <c r="L515" s="111">
        <v>1</v>
      </c>
      <c r="M515" s="118">
        <v>97000</v>
      </c>
      <c r="N515" s="118">
        <f t="shared" si="22"/>
        <v>97000</v>
      </c>
      <c r="O515" s="111" t="s">
        <v>21</v>
      </c>
      <c r="P515" s="111">
        <f t="shared" si="23"/>
        <v>487</v>
      </c>
    </row>
    <row r="516" spans="1:16" ht="15" customHeight="1" x14ac:dyDescent="0.25">
      <c r="A516" s="111" t="s">
        <v>2719</v>
      </c>
      <c r="B516" s="120">
        <v>45983</v>
      </c>
      <c r="C516" s="111">
        <f t="shared" ref="C516:C579" si="24">C515+D516</f>
        <v>1107</v>
      </c>
      <c r="D516" s="111">
        <v>1</v>
      </c>
      <c r="G516" s="116" t="s">
        <v>1017</v>
      </c>
      <c r="H516" s="111" t="s">
        <v>2862</v>
      </c>
      <c r="I516" s="111">
        <v>331</v>
      </c>
      <c r="J516" s="111">
        <v>1111</v>
      </c>
      <c r="K516" s="111" t="s">
        <v>20</v>
      </c>
      <c r="L516" s="111">
        <v>1</v>
      </c>
      <c r="M516" s="118">
        <v>46000</v>
      </c>
      <c r="N516" s="118">
        <f t="shared" ref="N516:N579" si="25">M516*L516</f>
        <v>46000</v>
      </c>
      <c r="O516" s="111" t="s">
        <v>21</v>
      </c>
      <c r="P516" s="111">
        <f t="shared" si="23"/>
        <v>488</v>
      </c>
    </row>
    <row r="517" spans="1:16" ht="15" customHeight="1" x14ac:dyDescent="0.25">
      <c r="A517" s="111" t="s">
        <v>2719</v>
      </c>
      <c r="B517" s="120">
        <v>45983</v>
      </c>
      <c r="C517" s="111">
        <f t="shared" si="24"/>
        <v>1108</v>
      </c>
      <c r="D517" s="111">
        <v>1</v>
      </c>
      <c r="G517" s="116" t="s">
        <v>24</v>
      </c>
      <c r="H517" s="111" t="s">
        <v>2863</v>
      </c>
      <c r="I517" s="111">
        <v>331</v>
      </c>
      <c r="J517" s="111">
        <v>1111</v>
      </c>
      <c r="K517" s="111" t="s">
        <v>20</v>
      </c>
      <c r="L517" s="111">
        <v>1</v>
      </c>
      <c r="M517" s="118">
        <v>64000</v>
      </c>
      <c r="N517" s="118">
        <f t="shared" si="25"/>
        <v>64000</v>
      </c>
      <c r="O517" s="111" t="s">
        <v>21</v>
      </c>
      <c r="P517" s="111">
        <f t="shared" ref="P517:P580" si="26">P516+D517</f>
        <v>489</v>
      </c>
    </row>
    <row r="518" spans="1:16" ht="15" customHeight="1" x14ac:dyDescent="0.25">
      <c r="A518" s="111" t="s">
        <v>2719</v>
      </c>
      <c r="B518" s="120">
        <v>45983</v>
      </c>
      <c r="C518" s="111">
        <f t="shared" si="24"/>
        <v>1109</v>
      </c>
      <c r="D518" s="111">
        <v>1</v>
      </c>
      <c r="G518" s="116" t="s">
        <v>19</v>
      </c>
      <c r="H518" s="111" t="s">
        <v>2864</v>
      </c>
      <c r="I518" s="111">
        <v>331</v>
      </c>
      <c r="J518" s="111">
        <v>1111</v>
      </c>
      <c r="K518" s="111" t="s">
        <v>20</v>
      </c>
      <c r="L518" s="111">
        <v>1</v>
      </c>
      <c r="M518" s="118">
        <v>36000</v>
      </c>
      <c r="N518" s="118">
        <f t="shared" si="25"/>
        <v>36000</v>
      </c>
      <c r="O518" s="111" t="s">
        <v>21</v>
      </c>
      <c r="P518" s="111">
        <f t="shared" si="26"/>
        <v>490</v>
      </c>
    </row>
    <row r="519" spans="1:16" ht="15" customHeight="1" x14ac:dyDescent="0.25">
      <c r="A519" s="111" t="s">
        <v>2719</v>
      </c>
      <c r="B519" s="120">
        <v>45983</v>
      </c>
      <c r="C519" s="111">
        <f t="shared" si="24"/>
        <v>1110</v>
      </c>
      <c r="D519" s="111">
        <v>1</v>
      </c>
      <c r="G519" s="116" t="s">
        <v>19</v>
      </c>
      <c r="H519" s="111" t="s">
        <v>2865</v>
      </c>
      <c r="I519" s="111">
        <v>331</v>
      </c>
      <c r="J519" s="111">
        <v>1111</v>
      </c>
      <c r="K519" s="111" t="s">
        <v>20</v>
      </c>
      <c r="L519" s="111">
        <v>1</v>
      </c>
      <c r="M519" s="118">
        <v>31000</v>
      </c>
      <c r="N519" s="118">
        <f t="shared" si="25"/>
        <v>31000</v>
      </c>
      <c r="O519" s="111" t="s">
        <v>21</v>
      </c>
      <c r="P519" s="111">
        <f t="shared" si="26"/>
        <v>491</v>
      </c>
    </row>
    <row r="520" spans="1:16" ht="15" customHeight="1" x14ac:dyDescent="0.25">
      <c r="A520" s="111" t="s">
        <v>2719</v>
      </c>
      <c r="B520" s="120">
        <v>45983</v>
      </c>
      <c r="C520" s="111">
        <f t="shared" si="24"/>
        <v>1111</v>
      </c>
      <c r="D520" s="111">
        <v>1</v>
      </c>
      <c r="G520" s="116" t="s">
        <v>19</v>
      </c>
      <c r="H520" s="111" t="s">
        <v>2866</v>
      </c>
      <c r="I520" s="111">
        <v>331</v>
      </c>
      <c r="J520" s="111">
        <v>1111</v>
      </c>
      <c r="K520" s="111" t="s">
        <v>20</v>
      </c>
      <c r="L520" s="111">
        <v>1</v>
      </c>
      <c r="M520" s="118">
        <v>191000</v>
      </c>
      <c r="N520" s="118">
        <f t="shared" si="25"/>
        <v>191000</v>
      </c>
      <c r="O520" s="111" t="s">
        <v>21</v>
      </c>
      <c r="P520" s="111">
        <f t="shared" si="26"/>
        <v>492</v>
      </c>
    </row>
    <row r="521" spans="1:16" ht="15" customHeight="1" x14ac:dyDescent="0.25">
      <c r="A521" s="111" t="s">
        <v>2719</v>
      </c>
      <c r="B521" s="120">
        <v>45984</v>
      </c>
      <c r="C521" s="111">
        <f t="shared" si="24"/>
        <v>1112</v>
      </c>
      <c r="D521" s="111">
        <v>1</v>
      </c>
      <c r="G521" s="116" t="s">
        <v>19</v>
      </c>
      <c r="H521" s="111" t="s">
        <v>2867</v>
      </c>
      <c r="I521" s="111">
        <v>331</v>
      </c>
      <c r="J521" s="111">
        <v>1111</v>
      </c>
      <c r="K521" s="111" t="s">
        <v>20</v>
      </c>
      <c r="L521" s="111">
        <v>1</v>
      </c>
      <c r="M521" s="118">
        <v>44000</v>
      </c>
      <c r="N521" s="118">
        <f t="shared" si="25"/>
        <v>44000</v>
      </c>
      <c r="O521" s="111" t="s">
        <v>21</v>
      </c>
      <c r="P521" s="111">
        <f t="shared" si="26"/>
        <v>493</v>
      </c>
    </row>
    <row r="522" spans="1:16" ht="15" customHeight="1" x14ac:dyDescent="0.25">
      <c r="A522" s="111" t="s">
        <v>2719</v>
      </c>
      <c r="B522" s="120">
        <v>45985</v>
      </c>
      <c r="C522" s="111">
        <f t="shared" si="24"/>
        <v>1113</v>
      </c>
      <c r="D522" s="111">
        <v>1</v>
      </c>
      <c r="G522" s="116" t="s">
        <v>1018</v>
      </c>
      <c r="H522" s="111" t="s">
        <v>2868</v>
      </c>
      <c r="I522" s="111">
        <v>331</v>
      </c>
      <c r="J522" s="111">
        <v>1111</v>
      </c>
      <c r="K522" s="111" t="s">
        <v>20</v>
      </c>
      <c r="L522" s="111">
        <v>1</v>
      </c>
      <c r="M522" s="118">
        <v>806760</v>
      </c>
      <c r="N522" s="118">
        <f t="shared" si="25"/>
        <v>806760</v>
      </c>
      <c r="O522" s="111" t="s">
        <v>21</v>
      </c>
      <c r="P522" s="111">
        <f t="shared" si="26"/>
        <v>494</v>
      </c>
    </row>
    <row r="523" spans="1:16" ht="15" customHeight="1" x14ac:dyDescent="0.25">
      <c r="A523" s="111" t="s">
        <v>2719</v>
      </c>
      <c r="B523" s="120">
        <v>45985</v>
      </c>
      <c r="C523" s="111">
        <f t="shared" si="24"/>
        <v>1114</v>
      </c>
      <c r="D523" s="111">
        <v>1</v>
      </c>
      <c r="G523" s="116" t="s">
        <v>23</v>
      </c>
      <c r="H523" s="111" t="s">
        <v>2869</v>
      </c>
      <c r="I523" s="111">
        <v>331</v>
      </c>
      <c r="J523" s="111">
        <v>1111</v>
      </c>
      <c r="K523" s="111" t="s">
        <v>20</v>
      </c>
      <c r="L523" s="111">
        <v>1</v>
      </c>
      <c r="M523" s="118">
        <v>94000</v>
      </c>
      <c r="N523" s="118">
        <f t="shared" si="25"/>
        <v>94000</v>
      </c>
      <c r="O523" s="111" t="s">
        <v>21</v>
      </c>
      <c r="P523" s="111">
        <f t="shared" si="26"/>
        <v>495</v>
      </c>
    </row>
    <row r="524" spans="1:16" ht="15" customHeight="1" x14ac:dyDescent="0.25">
      <c r="A524" s="111" t="s">
        <v>2719</v>
      </c>
      <c r="B524" s="120">
        <v>45985</v>
      </c>
      <c r="C524" s="111">
        <f t="shared" si="24"/>
        <v>1115</v>
      </c>
      <c r="D524" s="111">
        <v>1</v>
      </c>
      <c r="G524" s="116" t="s">
        <v>24</v>
      </c>
      <c r="H524" s="111" t="s">
        <v>2870</v>
      </c>
      <c r="I524" s="111">
        <v>331</v>
      </c>
      <c r="J524" s="111">
        <v>1111</v>
      </c>
      <c r="K524" s="111" t="s">
        <v>20</v>
      </c>
      <c r="L524" s="111">
        <v>1</v>
      </c>
      <c r="M524" s="118">
        <v>17000</v>
      </c>
      <c r="N524" s="118">
        <f t="shared" si="25"/>
        <v>17000</v>
      </c>
      <c r="O524" s="111" t="s">
        <v>21</v>
      </c>
      <c r="P524" s="111">
        <f t="shared" si="26"/>
        <v>496</v>
      </c>
    </row>
    <row r="525" spans="1:16" ht="15" customHeight="1" x14ac:dyDescent="0.25">
      <c r="A525" s="111" t="s">
        <v>2719</v>
      </c>
      <c r="B525" s="120">
        <v>45986</v>
      </c>
      <c r="C525" s="111">
        <f t="shared" si="24"/>
        <v>1116</v>
      </c>
      <c r="D525" s="111">
        <v>1</v>
      </c>
      <c r="G525" s="116" t="s">
        <v>1019</v>
      </c>
      <c r="H525" s="111" t="s">
        <v>2871</v>
      </c>
      <c r="I525" s="111">
        <v>331</v>
      </c>
      <c r="J525" s="111">
        <v>1111</v>
      </c>
      <c r="K525" s="111" t="s">
        <v>20</v>
      </c>
      <c r="L525" s="111">
        <v>1</v>
      </c>
      <c r="M525" s="118">
        <v>781000</v>
      </c>
      <c r="N525" s="118">
        <f t="shared" si="25"/>
        <v>781000</v>
      </c>
      <c r="O525" s="111" t="s">
        <v>21</v>
      </c>
      <c r="P525" s="111">
        <f t="shared" si="26"/>
        <v>497</v>
      </c>
    </row>
    <row r="526" spans="1:16" ht="15" customHeight="1" x14ac:dyDescent="0.25">
      <c r="A526" s="111" t="s">
        <v>2719</v>
      </c>
      <c r="B526" s="120">
        <v>45986</v>
      </c>
      <c r="C526" s="111">
        <f t="shared" si="24"/>
        <v>1117</v>
      </c>
      <c r="D526" s="111">
        <v>1</v>
      </c>
      <c r="G526" s="116" t="s">
        <v>1020</v>
      </c>
      <c r="H526" s="111" t="s">
        <v>2872</v>
      </c>
      <c r="I526" s="111">
        <v>331</v>
      </c>
      <c r="J526" s="111">
        <v>1111</v>
      </c>
      <c r="K526" s="111" t="s">
        <v>20</v>
      </c>
      <c r="L526" s="111">
        <v>1</v>
      </c>
      <c r="M526" s="118">
        <v>1242000</v>
      </c>
      <c r="N526" s="118">
        <f t="shared" si="25"/>
        <v>1242000</v>
      </c>
      <c r="O526" s="111" t="s">
        <v>21</v>
      </c>
      <c r="P526" s="111">
        <f t="shared" si="26"/>
        <v>498</v>
      </c>
    </row>
    <row r="527" spans="1:16" ht="15" customHeight="1" x14ac:dyDescent="0.25">
      <c r="A527" s="111" t="s">
        <v>2719</v>
      </c>
      <c r="B527" s="120">
        <v>45986</v>
      </c>
      <c r="C527" s="111">
        <f t="shared" si="24"/>
        <v>1118</v>
      </c>
      <c r="D527" s="111">
        <v>1</v>
      </c>
      <c r="G527" s="116" t="s">
        <v>1021</v>
      </c>
      <c r="H527" s="111" t="s">
        <v>2873</v>
      </c>
      <c r="I527" s="111">
        <v>331</v>
      </c>
      <c r="J527" s="111">
        <v>1111</v>
      </c>
      <c r="K527" s="111" t="s">
        <v>20</v>
      </c>
      <c r="L527" s="111">
        <v>1</v>
      </c>
      <c r="M527" s="118">
        <v>182000</v>
      </c>
      <c r="N527" s="118">
        <f t="shared" si="25"/>
        <v>182000</v>
      </c>
      <c r="O527" s="111" t="s">
        <v>21</v>
      </c>
      <c r="P527" s="111">
        <f t="shared" si="26"/>
        <v>499</v>
      </c>
    </row>
    <row r="528" spans="1:16" ht="15" customHeight="1" x14ac:dyDescent="0.25">
      <c r="A528" s="111" t="s">
        <v>2719</v>
      </c>
      <c r="B528" s="120">
        <v>45986</v>
      </c>
      <c r="C528" s="111">
        <f t="shared" si="24"/>
        <v>1119</v>
      </c>
      <c r="D528" s="111">
        <v>1</v>
      </c>
      <c r="G528" s="116" t="s">
        <v>1022</v>
      </c>
      <c r="H528" s="111" t="s">
        <v>2874</v>
      </c>
      <c r="I528" s="111">
        <v>331</v>
      </c>
      <c r="J528" s="111">
        <v>1111</v>
      </c>
      <c r="K528" s="111" t="s">
        <v>20</v>
      </c>
      <c r="L528" s="111">
        <v>1</v>
      </c>
      <c r="M528" s="118">
        <v>69000</v>
      </c>
      <c r="N528" s="118">
        <f t="shared" si="25"/>
        <v>69000</v>
      </c>
      <c r="O528" s="111" t="s">
        <v>21</v>
      </c>
      <c r="P528" s="111">
        <f t="shared" si="26"/>
        <v>500</v>
      </c>
    </row>
    <row r="529" spans="1:16" ht="15" customHeight="1" x14ac:dyDescent="0.25">
      <c r="A529" s="111" t="s">
        <v>2719</v>
      </c>
      <c r="B529" s="120">
        <v>45987</v>
      </c>
      <c r="C529" s="111">
        <f t="shared" si="24"/>
        <v>1120</v>
      </c>
      <c r="D529" s="111">
        <v>1</v>
      </c>
      <c r="G529" s="116" t="s">
        <v>30</v>
      </c>
      <c r="H529" s="111" t="s">
        <v>2875</v>
      </c>
      <c r="I529" s="111">
        <v>331</v>
      </c>
      <c r="J529" s="111">
        <v>1111</v>
      </c>
      <c r="K529" s="111" t="s">
        <v>20</v>
      </c>
      <c r="L529" s="111">
        <v>1</v>
      </c>
      <c r="M529" s="118">
        <v>1699000</v>
      </c>
      <c r="N529" s="118">
        <f t="shared" si="25"/>
        <v>1699000</v>
      </c>
      <c r="O529" s="111" t="s">
        <v>21</v>
      </c>
      <c r="P529" s="111">
        <f t="shared" si="26"/>
        <v>501</v>
      </c>
    </row>
    <row r="530" spans="1:16" ht="15" customHeight="1" x14ac:dyDescent="0.25">
      <c r="A530" s="111" t="s">
        <v>2719</v>
      </c>
      <c r="B530" s="120">
        <v>45987</v>
      </c>
      <c r="C530" s="111">
        <f t="shared" si="24"/>
        <v>1121</v>
      </c>
      <c r="D530" s="111">
        <v>1</v>
      </c>
      <c r="G530" s="116" t="s">
        <v>30</v>
      </c>
      <c r="H530" s="111" t="s">
        <v>2876</v>
      </c>
      <c r="I530" s="111">
        <v>331</v>
      </c>
      <c r="J530" s="111">
        <v>1111</v>
      </c>
      <c r="K530" s="111" t="s">
        <v>20</v>
      </c>
      <c r="L530" s="111">
        <v>1</v>
      </c>
      <c r="M530" s="118">
        <v>-1199000</v>
      </c>
      <c r="N530" s="118">
        <f t="shared" si="25"/>
        <v>-1199000</v>
      </c>
      <c r="O530" s="111" t="s">
        <v>21</v>
      </c>
      <c r="P530" s="111">
        <f t="shared" si="26"/>
        <v>502</v>
      </c>
    </row>
    <row r="531" spans="1:16" ht="15" customHeight="1" x14ac:dyDescent="0.25">
      <c r="A531" s="111" t="s">
        <v>2719</v>
      </c>
      <c r="B531" s="120">
        <v>45987</v>
      </c>
      <c r="C531" s="111">
        <f t="shared" si="24"/>
        <v>1122</v>
      </c>
      <c r="D531" s="111">
        <v>1</v>
      </c>
      <c r="G531" s="116" t="s">
        <v>28</v>
      </c>
      <c r="H531" s="111" t="s">
        <v>2877</v>
      </c>
      <c r="I531" s="111">
        <v>331</v>
      </c>
      <c r="J531" s="111">
        <v>1111</v>
      </c>
      <c r="K531" s="111" t="s">
        <v>20</v>
      </c>
      <c r="L531" s="111">
        <v>1</v>
      </c>
      <c r="M531" s="118">
        <v>1042200</v>
      </c>
      <c r="N531" s="118">
        <f t="shared" si="25"/>
        <v>1042200</v>
      </c>
      <c r="O531" s="111" t="s">
        <v>21</v>
      </c>
      <c r="P531" s="111">
        <f t="shared" si="26"/>
        <v>503</v>
      </c>
    </row>
    <row r="532" spans="1:16" ht="15" customHeight="1" x14ac:dyDescent="0.25">
      <c r="A532" s="111" t="s">
        <v>2719</v>
      </c>
      <c r="B532" s="120">
        <v>45987</v>
      </c>
      <c r="C532" s="111">
        <f t="shared" si="24"/>
        <v>1123</v>
      </c>
      <c r="D532" s="111">
        <v>1</v>
      </c>
      <c r="G532" s="116" t="s">
        <v>31</v>
      </c>
      <c r="H532" s="111" t="s">
        <v>2878</v>
      </c>
      <c r="I532" s="111">
        <v>331</v>
      </c>
      <c r="J532" s="111">
        <v>1111</v>
      </c>
      <c r="K532" s="111" t="s">
        <v>20</v>
      </c>
      <c r="L532" s="111">
        <v>1</v>
      </c>
      <c r="M532" s="118">
        <v>3374600</v>
      </c>
      <c r="N532" s="118">
        <f t="shared" si="25"/>
        <v>3374600</v>
      </c>
      <c r="O532" s="111" t="s">
        <v>21</v>
      </c>
      <c r="P532" s="111">
        <f t="shared" si="26"/>
        <v>504</v>
      </c>
    </row>
    <row r="533" spans="1:16" ht="15" customHeight="1" x14ac:dyDescent="0.25">
      <c r="A533" s="111" t="s">
        <v>2719</v>
      </c>
      <c r="B533" s="120">
        <v>45988</v>
      </c>
      <c r="C533" s="111">
        <f t="shared" si="24"/>
        <v>1124</v>
      </c>
      <c r="D533" s="111">
        <v>1</v>
      </c>
      <c r="G533" s="116" t="s">
        <v>1023</v>
      </c>
      <c r="H533" s="111" t="s">
        <v>2879</v>
      </c>
      <c r="I533" s="111">
        <v>331</v>
      </c>
      <c r="J533" s="111">
        <v>1111</v>
      </c>
      <c r="K533" s="111" t="s">
        <v>20</v>
      </c>
      <c r="L533" s="111">
        <v>1</v>
      </c>
      <c r="M533" s="118">
        <v>656640</v>
      </c>
      <c r="N533" s="118">
        <f t="shared" si="25"/>
        <v>656640</v>
      </c>
      <c r="O533" s="111" t="s">
        <v>21</v>
      </c>
      <c r="P533" s="111">
        <f t="shared" si="26"/>
        <v>505</v>
      </c>
    </row>
    <row r="534" spans="1:16" ht="15" customHeight="1" x14ac:dyDescent="0.25">
      <c r="A534" s="111" t="s">
        <v>2719</v>
      </c>
      <c r="B534" s="120">
        <v>45988</v>
      </c>
      <c r="C534" s="111">
        <f t="shared" si="24"/>
        <v>1125</v>
      </c>
      <c r="D534" s="111">
        <v>1</v>
      </c>
      <c r="G534" s="116" t="s">
        <v>23</v>
      </c>
      <c r="H534" s="111" t="s">
        <v>2880</v>
      </c>
      <c r="I534" s="111">
        <v>331</v>
      </c>
      <c r="J534" s="111">
        <v>1111</v>
      </c>
      <c r="K534" s="111" t="s">
        <v>20</v>
      </c>
      <c r="L534" s="111">
        <v>1</v>
      </c>
      <c r="M534" s="118">
        <v>341000</v>
      </c>
      <c r="N534" s="118">
        <f t="shared" si="25"/>
        <v>341000</v>
      </c>
      <c r="O534" s="111" t="s">
        <v>21</v>
      </c>
      <c r="P534" s="111">
        <f t="shared" si="26"/>
        <v>506</v>
      </c>
    </row>
    <row r="535" spans="1:16" ht="15" customHeight="1" x14ac:dyDescent="0.25">
      <c r="A535" s="111" t="s">
        <v>2719</v>
      </c>
      <c r="B535" s="120">
        <v>45988</v>
      </c>
      <c r="C535" s="111">
        <f t="shared" si="24"/>
        <v>1126</v>
      </c>
      <c r="D535" s="111">
        <v>1</v>
      </c>
      <c r="G535" s="116" t="s">
        <v>39</v>
      </c>
      <c r="H535" s="111" t="s">
        <v>2881</v>
      </c>
      <c r="I535" s="111">
        <v>331</v>
      </c>
      <c r="J535" s="111">
        <v>1111</v>
      </c>
      <c r="K535" s="111" t="s">
        <v>20</v>
      </c>
      <c r="L535" s="111">
        <v>1</v>
      </c>
      <c r="M535" s="118">
        <v>162000</v>
      </c>
      <c r="N535" s="118">
        <f t="shared" si="25"/>
        <v>162000</v>
      </c>
      <c r="O535" s="111" t="s">
        <v>21</v>
      </c>
      <c r="P535" s="111">
        <f t="shared" si="26"/>
        <v>507</v>
      </c>
    </row>
    <row r="536" spans="1:16" ht="15" customHeight="1" x14ac:dyDescent="0.25">
      <c r="A536" s="111" t="s">
        <v>2719</v>
      </c>
      <c r="B536" s="120">
        <v>45988</v>
      </c>
      <c r="C536" s="111">
        <f t="shared" si="24"/>
        <v>1127</v>
      </c>
      <c r="D536" s="111">
        <v>1</v>
      </c>
      <c r="G536" s="116" t="s">
        <v>25</v>
      </c>
      <c r="H536" s="111" t="s">
        <v>2882</v>
      </c>
      <c r="I536" s="111">
        <v>331</v>
      </c>
      <c r="J536" s="111">
        <v>1111</v>
      </c>
      <c r="K536" s="111" t="s">
        <v>20</v>
      </c>
      <c r="L536" s="111">
        <v>1</v>
      </c>
      <c r="M536" s="118">
        <v>758161</v>
      </c>
      <c r="N536" s="118">
        <f t="shared" si="25"/>
        <v>758161</v>
      </c>
      <c r="O536" s="111" t="s">
        <v>21</v>
      </c>
      <c r="P536" s="111">
        <f t="shared" si="26"/>
        <v>508</v>
      </c>
    </row>
    <row r="537" spans="1:16" ht="15" customHeight="1" x14ac:dyDescent="0.25">
      <c r="A537" s="111" t="s">
        <v>2719</v>
      </c>
      <c r="B537" s="120">
        <v>45988</v>
      </c>
      <c r="C537" s="111">
        <f t="shared" si="24"/>
        <v>1128</v>
      </c>
      <c r="D537" s="111">
        <v>1</v>
      </c>
      <c r="G537" s="116" t="s">
        <v>19</v>
      </c>
      <c r="H537" s="111" t="s">
        <v>2883</v>
      </c>
      <c r="I537" s="111">
        <v>331</v>
      </c>
      <c r="J537" s="111">
        <v>1111</v>
      </c>
      <c r="K537" s="111" t="s">
        <v>20</v>
      </c>
      <c r="L537" s="111">
        <v>1</v>
      </c>
      <c r="M537" s="118">
        <v>155000</v>
      </c>
      <c r="N537" s="118">
        <f t="shared" si="25"/>
        <v>155000</v>
      </c>
      <c r="O537" s="111" t="s">
        <v>21</v>
      </c>
      <c r="P537" s="111">
        <f t="shared" si="26"/>
        <v>509</v>
      </c>
    </row>
    <row r="538" spans="1:16" ht="15" customHeight="1" x14ac:dyDescent="0.25">
      <c r="A538" s="111" t="s">
        <v>2719</v>
      </c>
      <c r="B538" s="120">
        <v>45988</v>
      </c>
      <c r="C538" s="111">
        <f t="shared" si="24"/>
        <v>1129</v>
      </c>
      <c r="D538" s="111">
        <v>1</v>
      </c>
      <c r="G538" s="116" t="s">
        <v>19</v>
      </c>
      <c r="H538" s="111" t="s">
        <v>2884</v>
      </c>
      <c r="I538" s="111">
        <v>331</v>
      </c>
      <c r="J538" s="111">
        <v>1111</v>
      </c>
      <c r="K538" s="111" t="s">
        <v>20</v>
      </c>
      <c r="L538" s="111">
        <v>1</v>
      </c>
      <c r="M538" s="118">
        <v>30000</v>
      </c>
      <c r="N538" s="118">
        <f t="shared" si="25"/>
        <v>30000</v>
      </c>
      <c r="O538" s="111" t="s">
        <v>21</v>
      </c>
      <c r="P538" s="111">
        <f t="shared" si="26"/>
        <v>510</v>
      </c>
    </row>
    <row r="539" spans="1:16" ht="15" customHeight="1" x14ac:dyDescent="0.25">
      <c r="A539" s="111" t="s">
        <v>2719</v>
      </c>
      <c r="B539" s="120">
        <v>45989</v>
      </c>
      <c r="C539" s="111">
        <f t="shared" si="24"/>
        <v>1130</v>
      </c>
      <c r="D539" s="111">
        <v>1</v>
      </c>
      <c r="G539" s="116" t="s">
        <v>991</v>
      </c>
      <c r="H539" s="111" t="s">
        <v>2885</v>
      </c>
      <c r="I539" s="111">
        <v>331</v>
      </c>
      <c r="J539" s="111">
        <v>1111</v>
      </c>
      <c r="K539" s="111" t="s">
        <v>20</v>
      </c>
      <c r="L539" s="111">
        <v>1</v>
      </c>
      <c r="M539" s="118">
        <v>350000</v>
      </c>
      <c r="N539" s="118">
        <f t="shared" si="25"/>
        <v>350000</v>
      </c>
      <c r="O539" s="111" t="s">
        <v>21</v>
      </c>
      <c r="P539" s="111">
        <f t="shared" si="26"/>
        <v>511</v>
      </c>
    </row>
    <row r="540" spans="1:16" ht="15" customHeight="1" x14ac:dyDescent="0.25">
      <c r="A540" s="111" t="s">
        <v>2719</v>
      </c>
      <c r="B540" s="120">
        <v>45989</v>
      </c>
      <c r="C540" s="111">
        <f t="shared" si="24"/>
        <v>1131</v>
      </c>
      <c r="D540" s="111">
        <v>1</v>
      </c>
      <c r="G540" s="116" t="s">
        <v>19</v>
      </c>
      <c r="H540" s="111" t="s">
        <v>2886</v>
      </c>
      <c r="I540" s="111">
        <v>331</v>
      </c>
      <c r="J540" s="111">
        <v>1111</v>
      </c>
      <c r="K540" s="111" t="s">
        <v>20</v>
      </c>
      <c r="L540" s="111">
        <v>1</v>
      </c>
      <c r="M540" s="118">
        <v>205000</v>
      </c>
      <c r="N540" s="118">
        <f t="shared" si="25"/>
        <v>205000</v>
      </c>
      <c r="O540" s="111" t="s">
        <v>21</v>
      </c>
      <c r="P540" s="111">
        <f t="shared" si="26"/>
        <v>512</v>
      </c>
    </row>
    <row r="541" spans="1:16" ht="15" customHeight="1" x14ac:dyDescent="0.25">
      <c r="A541" s="111" t="s">
        <v>2719</v>
      </c>
      <c r="B541" s="120">
        <v>45989</v>
      </c>
      <c r="C541" s="111">
        <f t="shared" si="24"/>
        <v>1132</v>
      </c>
      <c r="D541" s="111">
        <v>1</v>
      </c>
      <c r="G541" s="116" t="s">
        <v>19</v>
      </c>
      <c r="H541" s="111" t="s">
        <v>2887</v>
      </c>
      <c r="I541" s="111">
        <v>331</v>
      </c>
      <c r="J541" s="111">
        <v>1111</v>
      </c>
      <c r="K541" s="111" t="s">
        <v>20</v>
      </c>
      <c r="L541" s="111">
        <v>1</v>
      </c>
      <c r="M541" s="118">
        <v>155000</v>
      </c>
      <c r="N541" s="118">
        <f t="shared" si="25"/>
        <v>155000</v>
      </c>
      <c r="O541" s="111" t="s">
        <v>21</v>
      </c>
      <c r="P541" s="111">
        <f t="shared" si="26"/>
        <v>513</v>
      </c>
    </row>
    <row r="542" spans="1:16" ht="15" customHeight="1" x14ac:dyDescent="0.25">
      <c r="A542" s="111" t="s">
        <v>2719</v>
      </c>
      <c r="B542" s="120">
        <v>45989</v>
      </c>
      <c r="C542" s="111">
        <f t="shared" si="24"/>
        <v>1133</v>
      </c>
      <c r="D542" s="111">
        <v>1</v>
      </c>
      <c r="G542" s="116" t="s">
        <v>19</v>
      </c>
      <c r="H542" s="111" t="s">
        <v>2888</v>
      </c>
      <c r="I542" s="111">
        <v>331</v>
      </c>
      <c r="J542" s="111">
        <v>1111</v>
      </c>
      <c r="K542" s="111" t="s">
        <v>20</v>
      </c>
      <c r="L542" s="111">
        <v>1</v>
      </c>
      <c r="M542" s="118">
        <v>27000</v>
      </c>
      <c r="N542" s="118">
        <f t="shared" si="25"/>
        <v>27000</v>
      </c>
      <c r="O542" s="111" t="s">
        <v>21</v>
      </c>
      <c r="P542" s="111">
        <f t="shared" si="26"/>
        <v>514</v>
      </c>
    </row>
    <row r="543" spans="1:16" ht="15" customHeight="1" x14ac:dyDescent="0.25">
      <c r="A543" s="111" t="s">
        <v>2719</v>
      </c>
      <c r="B543" s="120">
        <v>45990</v>
      </c>
      <c r="C543" s="111">
        <f t="shared" si="24"/>
        <v>1134</v>
      </c>
      <c r="D543" s="111">
        <v>1</v>
      </c>
      <c r="G543" s="116" t="s">
        <v>27</v>
      </c>
      <c r="H543" s="111" t="s">
        <v>2889</v>
      </c>
      <c r="I543" s="111">
        <v>331</v>
      </c>
      <c r="J543" s="111">
        <v>1111</v>
      </c>
      <c r="K543" s="111" t="s">
        <v>20</v>
      </c>
      <c r="L543" s="111">
        <v>1</v>
      </c>
      <c r="M543" s="118">
        <v>346680</v>
      </c>
      <c r="N543" s="118">
        <f t="shared" si="25"/>
        <v>346680</v>
      </c>
      <c r="O543" s="111" t="s">
        <v>21</v>
      </c>
      <c r="P543" s="111">
        <f t="shared" si="26"/>
        <v>515</v>
      </c>
    </row>
    <row r="544" spans="1:16" ht="15" customHeight="1" x14ac:dyDescent="0.25">
      <c r="A544" s="111" t="s">
        <v>2719</v>
      </c>
      <c r="B544" s="120">
        <v>45990</v>
      </c>
      <c r="C544" s="111">
        <f t="shared" si="24"/>
        <v>1135</v>
      </c>
      <c r="D544" s="111">
        <v>1</v>
      </c>
      <c r="G544" s="116" t="s">
        <v>1024</v>
      </c>
      <c r="H544" s="111" t="s">
        <v>2890</v>
      </c>
      <c r="I544" s="111">
        <v>331</v>
      </c>
      <c r="J544" s="111">
        <v>1111</v>
      </c>
      <c r="K544" s="111" t="s">
        <v>20</v>
      </c>
      <c r="L544" s="111">
        <v>1</v>
      </c>
      <c r="M544" s="118">
        <v>13440000</v>
      </c>
      <c r="N544" s="118">
        <f t="shared" si="25"/>
        <v>13440000</v>
      </c>
      <c r="O544" s="111" t="s">
        <v>21</v>
      </c>
      <c r="P544" s="111">
        <f t="shared" si="26"/>
        <v>516</v>
      </c>
    </row>
    <row r="545" spans="1:16" ht="15" customHeight="1" x14ac:dyDescent="0.25">
      <c r="A545" s="111" t="s">
        <v>2719</v>
      </c>
      <c r="B545" s="120">
        <v>45990</v>
      </c>
      <c r="C545" s="111">
        <f t="shared" si="24"/>
        <v>1136</v>
      </c>
      <c r="D545" s="111">
        <v>1</v>
      </c>
      <c r="G545" s="116" t="s">
        <v>1025</v>
      </c>
      <c r="H545" s="111" t="s">
        <v>2891</v>
      </c>
      <c r="I545" s="111">
        <v>331</v>
      </c>
      <c r="J545" s="111">
        <v>1111</v>
      </c>
      <c r="K545" s="111" t="s">
        <v>20</v>
      </c>
      <c r="L545" s="111">
        <v>1</v>
      </c>
      <c r="M545" s="118">
        <v>1311120</v>
      </c>
      <c r="N545" s="118">
        <f t="shared" si="25"/>
        <v>1311120</v>
      </c>
      <c r="O545" s="111" t="s">
        <v>21</v>
      </c>
      <c r="P545" s="111">
        <f t="shared" si="26"/>
        <v>517</v>
      </c>
    </row>
    <row r="546" spans="1:16" ht="15" customHeight="1" x14ac:dyDescent="0.25">
      <c r="A546" s="111" t="s">
        <v>2719</v>
      </c>
      <c r="B546" s="120">
        <v>45990</v>
      </c>
      <c r="C546" s="111">
        <f t="shared" si="24"/>
        <v>1137</v>
      </c>
      <c r="D546" s="111">
        <v>1</v>
      </c>
      <c r="G546" s="116" t="s">
        <v>1026</v>
      </c>
      <c r="H546" s="111" t="s">
        <v>2892</v>
      </c>
      <c r="I546" s="111">
        <v>331</v>
      </c>
      <c r="J546" s="111">
        <v>1111</v>
      </c>
      <c r="K546" s="111" t="s">
        <v>20</v>
      </c>
      <c r="L546" s="111">
        <v>1</v>
      </c>
      <c r="M546" s="118">
        <v>1144000</v>
      </c>
      <c r="N546" s="118">
        <f t="shared" si="25"/>
        <v>1144000</v>
      </c>
      <c r="O546" s="111" t="s">
        <v>21</v>
      </c>
      <c r="P546" s="111">
        <f t="shared" si="26"/>
        <v>518</v>
      </c>
    </row>
    <row r="547" spans="1:16" ht="15" customHeight="1" x14ac:dyDescent="0.25">
      <c r="A547" s="111" t="s">
        <v>2719</v>
      </c>
      <c r="B547" s="120">
        <v>45990</v>
      </c>
      <c r="C547" s="111">
        <f t="shared" si="24"/>
        <v>1138</v>
      </c>
      <c r="D547" s="111">
        <v>1</v>
      </c>
      <c r="G547" s="116" t="s">
        <v>25</v>
      </c>
      <c r="H547" s="111" t="s">
        <v>2893</v>
      </c>
      <c r="I547" s="111">
        <v>331</v>
      </c>
      <c r="J547" s="111">
        <v>1111</v>
      </c>
      <c r="K547" s="111" t="s">
        <v>20</v>
      </c>
      <c r="L547" s="111">
        <v>1</v>
      </c>
      <c r="M547" s="118">
        <v>1226880</v>
      </c>
      <c r="N547" s="118">
        <f t="shared" si="25"/>
        <v>1226880</v>
      </c>
      <c r="O547" s="111" t="s">
        <v>21</v>
      </c>
      <c r="P547" s="111">
        <f t="shared" si="26"/>
        <v>519</v>
      </c>
    </row>
    <row r="548" spans="1:16" ht="15" customHeight="1" x14ac:dyDescent="0.25">
      <c r="A548" s="111" t="s">
        <v>2719</v>
      </c>
      <c r="B548" s="120">
        <v>45990</v>
      </c>
      <c r="C548" s="111">
        <f t="shared" si="24"/>
        <v>1139</v>
      </c>
      <c r="D548" s="111">
        <v>1</v>
      </c>
      <c r="G548" s="116" t="s">
        <v>24</v>
      </c>
      <c r="H548" s="111" t="s">
        <v>2894</v>
      </c>
      <c r="I548" s="111">
        <v>331</v>
      </c>
      <c r="J548" s="111">
        <v>1111</v>
      </c>
      <c r="K548" s="111" t="s">
        <v>20</v>
      </c>
      <c r="L548" s="111">
        <v>1</v>
      </c>
      <c r="M548" s="118">
        <v>181000</v>
      </c>
      <c r="N548" s="118">
        <f t="shared" si="25"/>
        <v>181000</v>
      </c>
      <c r="O548" s="111" t="s">
        <v>21</v>
      </c>
      <c r="P548" s="111">
        <f t="shared" si="26"/>
        <v>520</v>
      </c>
    </row>
    <row r="549" spans="1:16" ht="15" customHeight="1" x14ac:dyDescent="0.25">
      <c r="A549" s="111" t="s">
        <v>2719</v>
      </c>
      <c r="B549" s="120">
        <v>45991</v>
      </c>
      <c r="C549" s="111">
        <f t="shared" si="24"/>
        <v>1140</v>
      </c>
      <c r="D549" s="111">
        <v>1</v>
      </c>
      <c r="G549" s="116" t="s">
        <v>23</v>
      </c>
      <c r="H549" s="111" t="s">
        <v>2895</v>
      </c>
      <c r="I549" s="111">
        <v>331</v>
      </c>
      <c r="J549" s="111">
        <v>1111</v>
      </c>
      <c r="K549" s="111" t="s">
        <v>20</v>
      </c>
      <c r="L549" s="111">
        <v>1</v>
      </c>
      <c r="M549" s="118">
        <v>97000</v>
      </c>
      <c r="N549" s="118">
        <f t="shared" si="25"/>
        <v>97000</v>
      </c>
      <c r="O549" s="111" t="s">
        <v>21</v>
      </c>
      <c r="P549" s="111">
        <f t="shared" si="26"/>
        <v>521</v>
      </c>
    </row>
    <row r="550" spans="1:16" ht="15" customHeight="1" x14ac:dyDescent="0.25">
      <c r="A550" s="111" t="s">
        <v>2719</v>
      </c>
      <c r="B550" s="120">
        <v>45992</v>
      </c>
      <c r="C550" s="111">
        <f t="shared" si="24"/>
        <v>1141</v>
      </c>
      <c r="D550" s="111">
        <v>1</v>
      </c>
      <c r="G550" s="116" t="s">
        <v>1016</v>
      </c>
      <c r="H550" s="111" t="s">
        <v>2896</v>
      </c>
      <c r="I550" s="111">
        <v>331</v>
      </c>
      <c r="J550" s="111">
        <v>1111</v>
      </c>
      <c r="K550" s="111" t="s">
        <v>20</v>
      </c>
      <c r="L550" s="111">
        <v>1</v>
      </c>
      <c r="M550" s="118">
        <v>170000</v>
      </c>
      <c r="N550" s="118">
        <f t="shared" si="25"/>
        <v>170000</v>
      </c>
      <c r="O550" s="111" t="s">
        <v>21</v>
      </c>
      <c r="P550" s="111">
        <f t="shared" si="26"/>
        <v>522</v>
      </c>
    </row>
    <row r="551" spans="1:16" ht="15" customHeight="1" x14ac:dyDescent="0.25">
      <c r="A551" s="111" t="s">
        <v>2719</v>
      </c>
      <c r="B551" s="120">
        <v>45992</v>
      </c>
      <c r="C551" s="111">
        <f t="shared" si="24"/>
        <v>1142</v>
      </c>
      <c r="D551" s="111">
        <v>1</v>
      </c>
      <c r="G551" s="116" t="s">
        <v>52</v>
      </c>
      <c r="H551" s="111" t="s">
        <v>2897</v>
      </c>
      <c r="I551" s="111">
        <v>331</v>
      </c>
      <c r="J551" s="111">
        <v>1111</v>
      </c>
      <c r="K551" s="111" t="s">
        <v>20</v>
      </c>
      <c r="L551" s="111">
        <v>1</v>
      </c>
      <c r="M551" s="118">
        <v>413640</v>
      </c>
      <c r="N551" s="118">
        <f t="shared" si="25"/>
        <v>413640</v>
      </c>
      <c r="O551" s="111" t="s">
        <v>21</v>
      </c>
      <c r="P551" s="111">
        <f t="shared" si="26"/>
        <v>523</v>
      </c>
    </row>
    <row r="552" spans="1:16" ht="15" customHeight="1" x14ac:dyDescent="0.25">
      <c r="A552" s="111" t="s">
        <v>2719</v>
      </c>
      <c r="B552" s="120">
        <v>45992</v>
      </c>
      <c r="C552" s="111">
        <f t="shared" si="24"/>
        <v>1143</v>
      </c>
      <c r="D552" s="111">
        <v>1</v>
      </c>
      <c r="G552" s="116" t="s">
        <v>1027</v>
      </c>
      <c r="H552" s="111" t="s">
        <v>2898</v>
      </c>
      <c r="I552" s="111">
        <v>331</v>
      </c>
      <c r="J552" s="111">
        <v>1111</v>
      </c>
      <c r="K552" s="111" t="s">
        <v>20</v>
      </c>
      <c r="L552" s="111">
        <v>1</v>
      </c>
      <c r="M552" s="118">
        <v>424000</v>
      </c>
      <c r="N552" s="118">
        <f t="shared" si="25"/>
        <v>424000</v>
      </c>
      <c r="O552" s="111" t="s">
        <v>21</v>
      </c>
      <c r="P552" s="111">
        <f t="shared" si="26"/>
        <v>524</v>
      </c>
    </row>
    <row r="553" spans="1:16" ht="15" customHeight="1" x14ac:dyDescent="0.25">
      <c r="A553" s="111" t="s">
        <v>2719</v>
      </c>
      <c r="B553" s="120">
        <v>45992</v>
      </c>
      <c r="C553" s="111">
        <f t="shared" si="24"/>
        <v>1144</v>
      </c>
      <c r="D553" s="111">
        <v>1</v>
      </c>
      <c r="G553" s="116" t="s">
        <v>19</v>
      </c>
      <c r="H553" s="111" t="s">
        <v>2899</v>
      </c>
      <c r="I553" s="111">
        <v>331</v>
      </c>
      <c r="J553" s="111">
        <v>1111</v>
      </c>
      <c r="K553" s="111" t="s">
        <v>20</v>
      </c>
      <c r="L553" s="111">
        <v>1</v>
      </c>
      <c r="M553" s="118">
        <v>44000</v>
      </c>
      <c r="N553" s="118">
        <f t="shared" si="25"/>
        <v>44000</v>
      </c>
      <c r="O553" s="111" t="s">
        <v>21</v>
      </c>
      <c r="P553" s="111">
        <f t="shared" si="26"/>
        <v>525</v>
      </c>
    </row>
    <row r="554" spans="1:16" ht="15" customHeight="1" x14ac:dyDescent="0.25">
      <c r="A554" s="111" t="s">
        <v>2719</v>
      </c>
      <c r="B554" s="120">
        <v>45993</v>
      </c>
      <c r="C554" s="111">
        <f t="shared" si="24"/>
        <v>1145</v>
      </c>
      <c r="D554" s="111">
        <v>1</v>
      </c>
      <c r="G554" s="116" t="s">
        <v>1028</v>
      </c>
      <c r="H554" s="111" t="s">
        <v>2900</v>
      </c>
      <c r="I554" s="111">
        <v>331</v>
      </c>
      <c r="J554" s="111">
        <v>1111</v>
      </c>
      <c r="K554" s="111" t="s">
        <v>20</v>
      </c>
      <c r="L554" s="111">
        <v>1</v>
      </c>
      <c r="M554" s="118">
        <v>2158569</v>
      </c>
      <c r="N554" s="118">
        <f t="shared" si="25"/>
        <v>2158569</v>
      </c>
      <c r="O554" s="111" t="s">
        <v>21</v>
      </c>
      <c r="P554" s="111">
        <f t="shared" si="26"/>
        <v>526</v>
      </c>
    </row>
    <row r="555" spans="1:16" ht="15" customHeight="1" x14ac:dyDescent="0.25">
      <c r="A555" s="111" t="s">
        <v>2719</v>
      </c>
      <c r="B555" s="120">
        <v>45993</v>
      </c>
      <c r="C555" s="111">
        <f t="shared" si="24"/>
        <v>1146</v>
      </c>
      <c r="D555" s="111">
        <v>1</v>
      </c>
      <c r="G555" s="116" t="s">
        <v>23</v>
      </c>
      <c r="H555" s="111" t="s">
        <v>2901</v>
      </c>
      <c r="I555" s="111">
        <v>331</v>
      </c>
      <c r="J555" s="111">
        <v>1111</v>
      </c>
      <c r="K555" s="111" t="s">
        <v>20</v>
      </c>
      <c r="L555" s="111">
        <v>1</v>
      </c>
      <c r="M555" s="118">
        <v>173000</v>
      </c>
      <c r="N555" s="118">
        <f t="shared" si="25"/>
        <v>173000</v>
      </c>
      <c r="O555" s="111" t="s">
        <v>21</v>
      </c>
      <c r="P555" s="111">
        <f t="shared" si="26"/>
        <v>527</v>
      </c>
    </row>
    <row r="556" spans="1:16" ht="15" customHeight="1" x14ac:dyDescent="0.25">
      <c r="A556" s="111" t="s">
        <v>2719</v>
      </c>
      <c r="B556" s="120">
        <v>45993</v>
      </c>
      <c r="C556" s="111">
        <f t="shared" si="24"/>
        <v>1147</v>
      </c>
      <c r="D556" s="111">
        <v>1</v>
      </c>
      <c r="G556" s="116" t="s">
        <v>120</v>
      </c>
      <c r="H556" s="111" t="s">
        <v>2902</v>
      </c>
      <c r="I556" s="111">
        <v>331</v>
      </c>
      <c r="J556" s="111">
        <v>1111</v>
      </c>
      <c r="K556" s="111" t="s">
        <v>20</v>
      </c>
      <c r="L556" s="111">
        <v>1</v>
      </c>
      <c r="M556" s="118">
        <v>1072740</v>
      </c>
      <c r="N556" s="118">
        <f t="shared" si="25"/>
        <v>1072740</v>
      </c>
      <c r="O556" s="111" t="s">
        <v>21</v>
      </c>
      <c r="P556" s="111">
        <f t="shared" si="26"/>
        <v>528</v>
      </c>
    </row>
    <row r="557" spans="1:16" ht="15" customHeight="1" x14ac:dyDescent="0.25">
      <c r="A557" s="111" t="s">
        <v>2719</v>
      </c>
      <c r="B557" s="120">
        <v>45994</v>
      </c>
      <c r="C557" s="111">
        <f t="shared" si="24"/>
        <v>1148</v>
      </c>
      <c r="D557" s="111">
        <v>1</v>
      </c>
      <c r="G557" s="116" t="s">
        <v>48</v>
      </c>
      <c r="H557" s="111" t="s">
        <v>2903</v>
      </c>
      <c r="I557" s="111">
        <v>331</v>
      </c>
      <c r="J557" s="111">
        <v>1111</v>
      </c>
      <c r="K557" s="111" t="s">
        <v>20</v>
      </c>
      <c r="L557" s="111">
        <v>1</v>
      </c>
      <c r="M557" s="118">
        <v>927059</v>
      </c>
      <c r="N557" s="118">
        <f t="shared" si="25"/>
        <v>927059</v>
      </c>
      <c r="O557" s="111" t="s">
        <v>21</v>
      </c>
      <c r="P557" s="111">
        <f t="shared" si="26"/>
        <v>529</v>
      </c>
    </row>
    <row r="558" spans="1:16" ht="15" customHeight="1" x14ac:dyDescent="0.25">
      <c r="A558" s="111" t="s">
        <v>2719</v>
      </c>
      <c r="B558" s="120">
        <v>45994</v>
      </c>
      <c r="C558" s="111">
        <f t="shared" si="24"/>
        <v>1149</v>
      </c>
      <c r="D558" s="111">
        <v>1</v>
      </c>
      <c r="G558" s="116" t="s">
        <v>23</v>
      </c>
      <c r="H558" s="111" t="s">
        <v>2904</v>
      </c>
      <c r="I558" s="111">
        <v>331</v>
      </c>
      <c r="J558" s="111">
        <v>1111</v>
      </c>
      <c r="K558" s="111" t="s">
        <v>20</v>
      </c>
      <c r="L558" s="111">
        <v>1</v>
      </c>
      <c r="M558" s="118">
        <v>263000</v>
      </c>
      <c r="N558" s="118">
        <f t="shared" si="25"/>
        <v>263000</v>
      </c>
      <c r="O558" s="111" t="s">
        <v>21</v>
      </c>
      <c r="P558" s="111">
        <f t="shared" si="26"/>
        <v>530</v>
      </c>
    </row>
    <row r="559" spans="1:16" ht="15" customHeight="1" x14ac:dyDescent="0.25">
      <c r="A559" s="111" t="s">
        <v>2719</v>
      </c>
      <c r="B559" s="120">
        <v>45994</v>
      </c>
      <c r="C559" s="111">
        <f t="shared" si="24"/>
        <v>1150</v>
      </c>
      <c r="D559" s="111">
        <v>1</v>
      </c>
      <c r="G559" s="116" t="s">
        <v>23</v>
      </c>
      <c r="H559" s="111" t="s">
        <v>2905</v>
      </c>
      <c r="I559" s="111">
        <v>331</v>
      </c>
      <c r="J559" s="111">
        <v>1111</v>
      </c>
      <c r="K559" s="111" t="s">
        <v>20</v>
      </c>
      <c r="L559" s="111">
        <v>1</v>
      </c>
      <c r="M559" s="118">
        <v>173000</v>
      </c>
      <c r="N559" s="118">
        <f t="shared" si="25"/>
        <v>173000</v>
      </c>
      <c r="O559" s="111" t="s">
        <v>21</v>
      </c>
      <c r="P559" s="111">
        <f t="shared" si="26"/>
        <v>531</v>
      </c>
    </row>
    <row r="560" spans="1:16" ht="15" customHeight="1" x14ac:dyDescent="0.25">
      <c r="A560" s="111" t="s">
        <v>2719</v>
      </c>
      <c r="B560" s="120">
        <v>45994</v>
      </c>
      <c r="C560" s="111">
        <f t="shared" si="24"/>
        <v>1151</v>
      </c>
      <c r="D560" s="111">
        <v>1</v>
      </c>
      <c r="G560" s="116" t="s">
        <v>19</v>
      </c>
      <c r="H560" s="111" t="s">
        <v>2906</v>
      </c>
      <c r="I560" s="111">
        <v>331</v>
      </c>
      <c r="J560" s="111">
        <v>1111</v>
      </c>
      <c r="K560" s="111" t="s">
        <v>20</v>
      </c>
      <c r="L560" s="111">
        <v>1</v>
      </c>
      <c r="M560" s="118">
        <v>139000</v>
      </c>
      <c r="N560" s="118">
        <f t="shared" si="25"/>
        <v>139000</v>
      </c>
      <c r="O560" s="111" t="s">
        <v>21</v>
      </c>
      <c r="P560" s="111">
        <f t="shared" si="26"/>
        <v>532</v>
      </c>
    </row>
    <row r="561" spans="1:16" ht="15" customHeight="1" x14ac:dyDescent="0.25">
      <c r="A561" s="111" t="s">
        <v>2719</v>
      </c>
      <c r="B561" s="120">
        <v>45994</v>
      </c>
      <c r="C561" s="111">
        <f t="shared" si="24"/>
        <v>1152</v>
      </c>
      <c r="D561" s="111">
        <v>1</v>
      </c>
      <c r="G561" s="116" t="s">
        <v>19</v>
      </c>
      <c r="H561" s="111" t="s">
        <v>2907</v>
      </c>
      <c r="I561" s="111">
        <v>331</v>
      </c>
      <c r="J561" s="111">
        <v>1111</v>
      </c>
      <c r="K561" s="111" t="s">
        <v>20</v>
      </c>
      <c r="L561" s="111">
        <v>1</v>
      </c>
      <c r="M561" s="118">
        <v>59000</v>
      </c>
      <c r="N561" s="118">
        <f t="shared" si="25"/>
        <v>59000</v>
      </c>
      <c r="O561" s="111" t="s">
        <v>21</v>
      </c>
      <c r="P561" s="111">
        <f t="shared" si="26"/>
        <v>533</v>
      </c>
    </row>
    <row r="562" spans="1:16" ht="15" customHeight="1" x14ac:dyDescent="0.25">
      <c r="A562" s="111" t="s">
        <v>2719</v>
      </c>
      <c r="B562" s="120">
        <v>45994</v>
      </c>
      <c r="C562" s="111">
        <f t="shared" si="24"/>
        <v>1153</v>
      </c>
      <c r="D562" s="111">
        <v>1</v>
      </c>
      <c r="G562" s="116" t="s">
        <v>19</v>
      </c>
      <c r="H562" s="111" t="s">
        <v>2908</v>
      </c>
      <c r="I562" s="111">
        <v>331</v>
      </c>
      <c r="J562" s="111">
        <v>1111</v>
      </c>
      <c r="K562" s="111" t="s">
        <v>20</v>
      </c>
      <c r="L562" s="111">
        <v>1</v>
      </c>
      <c r="M562" s="118">
        <v>182000</v>
      </c>
      <c r="N562" s="118">
        <f t="shared" si="25"/>
        <v>182000</v>
      </c>
      <c r="O562" s="111" t="s">
        <v>21</v>
      </c>
      <c r="P562" s="111">
        <f t="shared" si="26"/>
        <v>534</v>
      </c>
    </row>
    <row r="563" spans="1:16" ht="15" customHeight="1" x14ac:dyDescent="0.25">
      <c r="A563" s="111" t="s">
        <v>2719</v>
      </c>
      <c r="B563" s="120">
        <v>45995</v>
      </c>
      <c r="C563" s="111">
        <f t="shared" si="24"/>
        <v>1154</v>
      </c>
      <c r="D563" s="111">
        <v>1</v>
      </c>
      <c r="G563" s="116" t="s">
        <v>988</v>
      </c>
      <c r="H563" s="111" t="s">
        <v>2909</v>
      </c>
      <c r="I563" s="111">
        <v>331</v>
      </c>
      <c r="J563" s="111">
        <v>1111</v>
      </c>
      <c r="K563" s="111" t="s">
        <v>20</v>
      </c>
      <c r="L563" s="111">
        <v>1</v>
      </c>
      <c r="M563" s="118">
        <v>220000</v>
      </c>
      <c r="N563" s="118">
        <f t="shared" si="25"/>
        <v>220000</v>
      </c>
      <c r="O563" s="111" t="s">
        <v>21</v>
      </c>
      <c r="P563" s="111">
        <f t="shared" si="26"/>
        <v>535</v>
      </c>
    </row>
    <row r="564" spans="1:16" ht="15" customHeight="1" x14ac:dyDescent="0.25">
      <c r="A564" s="111" t="s">
        <v>2719</v>
      </c>
      <c r="B564" s="120">
        <v>45995</v>
      </c>
      <c r="C564" s="111">
        <f t="shared" si="24"/>
        <v>1155</v>
      </c>
      <c r="D564" s="111">
        <v>1</v>
      </c>
      <c r="G564" s="116" t="s">
        <v>24</v>
      </c>
      <c r="H564" s="111" t="s">
        <v>2910</v>
      </c>
      <c r="I564" s="111">
        <v>331</v>
      </c>
      <c r="J564" s="111">
        <v>1111</v>
      </c>
      <c r="K564" s="111" t="s">
        <v>20</v>
      </c>
      <c r="L564" s="111">
        <v>1</v>
      </c>
      <c r="M564" s="118">
        <v>1007000</v>
      </c>
      <c r="N564" s="118">
        <f t="shared" si="25"/>
        <v>1007000</v>
      </c>
      <c r="O564" s="111" t="s">
        <v>21</v>
      </c>
      <c r="P564" s="111">
        <f t="shared" si="26"/>
        <v>536</v>
      </c>
    </row>
    <row r="565" spans="1:16" ht="15" customHeight="1" x14ac:dyDescent="0.25">
      <c r="A565" s="111" t="s">
        <v>2719</v>
      </c>
      <c r="B565" s="120">
        <v>45995</v>
      </c>
      <c r="C565" s="111">
        <f t="shared" si="24"/>
        <v>1156</v>
      </c>
      <c r="D565" s="111">
        <v>1</v>
      </c>
      <c r="G565" s="116" t="s">
        <v>19</v>
      </c>
      <c r="H565" s="111" t="s">
        <v>2911</v>
      </c>
      <c r="I565" s="111">
        <v>331</v>
      </c>
      <c r="J565" s="111">
        <v>1111</v>
      </c>
      <c r="K565" s="111" t="s">
        <v>20</v>
      </c>
      <c r="L565" s="111">
        <v>1</v>
      </c>
      <c r="M565" s="118">
        <v>126000</v>
      </c>
      <c r="N565" s="118">
        <f t="shared" si="25"/>
        <v>126000</v>
      </c>
      <c r="O565" s="111" t="s">
        <v>21</v>
      </c>
      <c r="P565" s="111">
        <f t="shared" si="26"/>
        <v>537</v>
      </c>
    </row>
    <row r="566" spans="1:16" ht="15" customHeight="1" x14ac:dyDescent="0.25">
      <c r="A566" s="111" t="s">
        <v>2719</v>
      </c>
      <c r="B566" s="120">
        <v>45996</v>
      </c>
      <c r="C566" s="111">
        <f t="shared" si="24"/>
        <v>1157</v>
      </c>
      <c r="D566" s="111">
        <v>1</v>
      </c>
      <c r="G566" s="116" t="s">
        <v>23</v>
      </c>
      <c r="H566" s="111" t="s">
        <v>2912</v>
      </c>
      <c r="I566" s="111">
        <v>331</v>
      </c>
      <c r="J566" s="111">
        <v>1111</v>
      </c>
      <c r="K566" s="111" t="s">
        <v>20</v>
      </c>
      <c r="L566" s="111">
        <v>1</v>
      </c>
      <c r="M566" s="118">
        <v>94000</v>
      </c>
      <c r="N566" s="118">
        <f t="shared" si="25"/>
        <v>94000</v>
      </c>
      <c r="O566" s="111" t="s">
        <v>21</v>
      </c>
      <c r="P566" s="111">
        <f t="shared" si="26"/>
        <v>538</v>
      </c>
    </row>
    <row r="567" spans="1:16" ht="15" customHeight="1" x14ac:dyDescent="0.25">
      <c r="A567" s="111" t="s">
        <v>2719</v>
      </c>
      <c r="B567" s="120">
        <v>45996</v>
      </c>
      <c r="C567" s="111">
        <f t="shared" si="24"/>
        <v>1158</v>
      </c>
      <c r="D567" s="111">
        <v>1</v>
      </c>
      <c r="G567" s="116" t="s">
        <v>41</v>
      </c>
      <c r="H567" s="111" t="s">
        <v>2913</v>
      </c>
      <c r="I567" s="111">
        <v>331</v>
      </c>
      <c r="J567" s="111">
        <v>1111</v>
      </c>
      <c r="K567" s="111" t="s">
        <v>20</v>
      </c>
      <c r="L567" s="111">
        <v>1</v>
      </c>
      <c r="M567" s="118">
        <v>1139400</v>
      </c>
      <c r="N567" s="118">
        <f t="shared" si="25"/>
        <v>1139400</v>
      </c>
      <c r="O567" s="111" t="s">
        <v>21</v>
      </c>
      <c r="P567" s="111">
        <f t="shared" si="26"/>
        <v>539</v>
      </c>
    </row>
    <row r="568" spans="1:16" ht="15" customHeight="1" x14ac:dyDescent="0.25">
      <c r="A568" s="111" t="s">
        <v>2719</v>
      </c>
      <c r="B568" s="120">
        <v>45996</v>
      </c>
      <c r="C568" s="111">
        <f t="shared" si="24"/>
        <v>1159</v>
      </c>
      <c r="D568" s="111">
        <v>1</v>
      </c>
      <c r="G568" s="116" t="s">
        <v>19</v>
      </c>
      <c r="H568" s="111" t="s">
        <v>2914</v>
      </c>
      <c r="I568" s="111">
        <v>331</v>
      </c>
      <c r="J568" s="111">
        <v>1111</v>
      </c>
      <c r="K568" s="111" t="s">
        <v>20</v>
      </c>
      <c r="L568" s="111">
        <v>1</v>
      </c>
      <c r="M568" s="118">
        <v>189000</v>
      </c>
      <c r="N568" s="118">
        <f t="shared" si="25"/>
        <v>189000</v>
      </c>
      <c r="O568" s="111" t="s">
        <v>21</v>
      </c>
      <c r="P568" s="111">
        <f t="shared" si="26"/>
        <v>540</v>
      </c>
    </row>
    <row r="569" spans="1:16" ht="15" customHeight="1" x14ac:dyDescent="0.25">
      <c r="A569" s="111" t="s">
        <v>2719</v>
      </c>
      <c r="B569" s="120">
        <v>45997</v>
      </c>
      <c r="C569" s="111">
        <f t="shared" si="24"/>
        <v>1160</v>
      </c>
      <c r="D569" s="111">
        <v>1</v>
      </c>
      <c r="G569" s="116" t="s">
        <v>1029</v>
      </c>
      <c r="H569" s="111" t="s">
        <v>2915</v>
      </c>
      <c r="I569" s="111">
        <v>331</v>
      </c>
      <c r="J569" s="111">
        <v>1111</v>
      </c>
      <c r="K569" s="111" t="s">
        <v>20</v>
      </c>
      <c r="L569" s="111">
        <v>1</v>
      </c>
      <c r="M569" s="118">
        <v>104000</v>
      </c>
      <c r="N569" s="118">
        <f t="shared" si="25"/>
        <v>104000</v>
      </c>
      <c r="O569" s="111" t="s">
        <v>21</v>
      </c>
      <c r="P569" s="111">
        <f t="shared" si="26"/>
        <v>541</v>
      </c>
    </row>
    <row r="570" spans="1:16" ht="15" customHeight="1" x14ac:dyDescent="0.25">
      <c r="A570" s="111" t="s">
        <v>2719</v>
      </c>
      <c r="B570" s="120">
        <v>45997</v>
      </c>
      <c r="C570" s="111">
        <f t="shared" si="24"/>
        <v>1161</v>
      </c>
      <c r="D570" s="111">
        <v>1</v>
      </c>
      <c r="G570" s="116" t="s">
        <v>1030</v>
      </c>
      <c r="H570" s="111" t="s">
        <v>2916</v>
      </c>
      <c r="I570" s="111">
        <v>331</v>
      </c>
      <c r="J570" s="111">
        <v>1111</v>
      </c>
      <c r="K570" s="111" t="s">
        <v>20</v>
      </c>
      <c r="L570" s="111">
        <v>1</v>
      </c>
      <c r="M570" s="118">
        <v>137000</v>
      </c>
      <c r="N570" s="118">
        <f t="shared" si="25"/>
        <v>137000</v>
      </c>
      <c r="O570" s="111" t="s">
        <v>21</v>
      </c>
      <c r="P570" s="111">
        <f t="shared" si="26"/>
        <v>542</v>
      </c>
    </row>
    <row r="571" spans="1:16" ht="15" customHeight="1" x14ac:dyDescent="0.25">
      <c r="A571" s="111" t="s">
        <v>2719</v>
      </c>
      <c r="B571" s="120">
        <v>45997</v>
      </c>
      <c r="C571" s="111">
        <f t="shared" si="24"/>
        <v>1162</v>
      </c>
      <c r="D571" s="111">
        <v>1</v>
      </c>
      <c r="G571" s="116" t="s">
        <v>24</v>
      </c>
      <c r="H571" s="111" t="s">
        <v>2917</v>
      </c>
      <c r="I571" s="111">
        <v>331</v>
      </c>
      <c r="J571" s="111">
        <v>1111</v>
      </c>
      <c r="K571" s="111" t="s">
        <v>20</v>
      </c>
      <c r="L571" s="111">
        <v>1</v>
      </c>
      <c r="M571" s="118">
        <v>95000</v>
      </c>
      <c r="N571" s="118">
        <f t="shared" si="25"/>
        <v>95000</v>
      </c>
      <c r="O571" s="111" t="s">
        <v>21</v>
      </c>
      <c r="P571" s="111">
        <f t="shared" si="26"/>
        <v>543</v>
      </c>
    </row>
    <row r="572" spans="1:16" ht="15" customHeight="1" x14ac:dyDescent="0.25">
      <c r="A572" s="111" t="s">
        <v>2719</v>
      </c>
      <c r="B572" s="120">
        <v>45997</v>
      </c>
      <c r="C572" s="111">
        <f t="shared" si="24"/>
        <v>1163</v>
      </c>
      <c r="D572" s="111">
        <v>1</v>
      </c>
      <c r="G572" s="116" t="s">
        <v>24</v>
      </c>
      <c r="H572" s="111" t="s">
        <v>2918</v>
      </c>
      <c r="I572" s="111">
        <v>331</v>
      </c>
      <c r="J572" s="111">
        <v>1111</v>
      </c>
      <c r="K572" s="111" t="s">
        <v>20</v>
      </c>
      <c r="L572" s="111">
        <v>1</v>
      </c>
      <c r="M572" s="118">
        <v>125000</v>
      </c>
      <c r="N572" s="118">
        <f t="shared" si="25"/>
        <v>125000</v>
      </c>
      <c r="O572" s="111" t="s">
        <v>21</v>
      </c>
      <c r="P572" s="111">
        <f t="shared" si="26"/>
        <v>544</v>
      </c>
    </row>
    <row r="573" spans="1:16" ht="15" customHeight="1" x14ac:dyDescent="0.25">
      <c r="A573" s="111" t="s">
        <v>2719</v>
      </c>
      <c r="B573" s="120">
        <v>45998</v>
      </c>
      <c r="C573" s="111">
        <f t="shared" si="24"/>
        <v>1164</v>
      </c>
      <c r="D573" s="111">
        <v>1</v>
      </c>
      <c r="G573" s="116" t="s">
        <v>1022</v>
      </c>
      <c r="H573" s="111" t="s">
        <v>2919</v>
      </c>
      <c r="I573" s="111">
        <v>331</v>
      </c>
      <c r="J573" s="111">
        <v>1111</v>
      </c>
      <c r="K573" s="111" t="s">
        <v>20</v>
      </c>
      <c r="L573" s="111">
        <v>1</v>
      </c>
      <c r="M573" s="118">
        <v>232000</v>
      </c>
      <c r="N573" s="118">
        <f t="shared" si="25"/>
        <v>232000</v>
      </c>
      <c r="O573" s="111" t="s">
        <v>21</v>
      </c>
      <c r="P573" s="111">
        <f t="shared" si="26"/>
        <v>545</v>
      </c>
    </row>
    <row r="574" spans="1:16" ht="15" customHeight="1" x14ac:dyDescent="0.25">
      <c r="A574" s="111" t="s">
        <v>2719</v>
      </c>
      <c r="B574" s="120">
        <v>45999</v>
      </c>
      <c r="C574" s="111">
        <f t="shared" si="24"/>
        <v>1165</v>
      </c>
      <c r="D574" s="111">
        <v>1</v>
      </c>
      <c r="G574" s="116" t="s">
        <v>52</v>
      </c>
      <c r="H574" s="111" t="s">
        <v>2920</v>
      </c>
      <c r="I574" s="111">
        <v>331</v>
      </c>
      <c r="J574" s="111">
        <v>1111</v>
      </c>
      <c r="K574" s="111" t="s">
        <v>20</v>
      </c>
      <c r="L574" s="111">
        <v>1</v>
      </c>
      <c r="M574" s="118">
        <v>1036800</v>
      </c>
      <c r="N574" s="118">
        <f t="shared" si="25"/>
        <v>1036800</v>
      </c>
      <c r="O574" s="111" t="s">
        <v>21</v>
      </c>
      <c r="P574" s="111">
        <f t="shared" si="26"/>
        <v>546</v>
      </c>
    </row>
    <row r="575" spans="1:16" ht="15" customHeight="1" x14ac:dyDescent="0.25">
      <c r="A575" s="111" t="s">
        <v>2719</v>
      </c>
      <c r="B575" s="120">
        <v>45999</v>
      </c>
      <c r="C575" s="111">
        <f t="shared" si="24"/>
        <v>1166</v>
      </c>
      <c r="D575" s="111">
        <v>1</v>
      </c>
      <c r="G575" s="116" t="s">
        <v>49</v>
      </c>
      <c r="H575" s="111" t="s">
        <v>2921</v>
      </c>
      <c r="I575" s="111">
        <v>331</v>
      </c>
      <c r="J575" s="111">
        <v>1111</v>
      </c>
      <c r="K575" s="111" t="s">
        <v>20</v>
      </c>
      <c r="L575" s="111">
        <v>1</v>
      </c>
      <c r="M575" s="118">
        <v>66000</v>
      </c>
      <c r="N575" s="118">
        <f t="shared" si="25"/>
        <v>66000</v>
      </c>
      <c r="O575" s="111" t="s">
        <v>21</v>
      </c>
      <c r="P575" s="111">
        <f t="shared" si="26"/>
        <v>547</v>
      </c>
    </row>
    <row r="576" spans="1:16" ht="15" customHeight="1" x14ac:dyDescent="0.25">
      <c r="A576" s="111" t="s">
        <v>2719</v>
      </c>
      <c r="B576" s="120">
        <v>45999</v>
      </c>
      <c r="C576" s="111">
        <f t="shared" si="24"/>
        <v>1167</v>
      </c>
      <c r="D576" s="111">
        <v>1</v>
      </c>
      <c r="G576" s="116" t="s">
        <v>23</v>
      </c>
      <c r="H576" s="111" t="s">
        <v>2922</v>
      </c>
      <c r="I576" s="111">
        <v>331</v>
      </c>
      <c r="J576" s="111">
        <v>1111</v>
      </c>
      <c r="K576" s="111" t="s">
        <v>20</v>
      </c>
      <c r="L576" s="111">
        <v>1</v>
      </c>
      <c r="M576" s="118">
        <v>243000</v>
      </c>
      <c r="N576" s="118">
        <f t="shared" si="25"/>
        <v>243000</v>
      </c>
      <c r="O576" s="111" t="s">
        <v>21</v>
      </c>
      <c r="P576" s="111">
        <f t="shared" si="26"/>
        <v>548</v>
      </c>
    </row>
    <row r="577" spans="1:16" ht="15" customHeight="1" x14ac:dyDescent="0.25">
      <c r="A577" s="111" t="s">
        <v>2719</v>
      </c>
      <c r="B577" s="120">
        <v>45999</v>
      </c>
      <c r="C577" s="111">
        <f t="shared" si="24"/>
        <v>1168</v>
      </c>
      <c r="D577" s="111">
        <v>1</v>
      </c>
      <c r="G577" s="116" t="s">
        <v>24</v>
      </c>
      <c r="H577" s="111" t="s">
        <v>2923</v>
      </c>
      <c r="I577" s="111">
        <v>331</v>
      </c>
      <c r="J577" s="111">
        <v>1111</v>
      </c>
      <c r="K577" s="111" t="s">
        <v>20</v>
      </c>
      <c r="L577" s="111">
        <v>1</v>
      </c>
      <c r="M577" s="118">
        <v>102000</v>
      </c>
      <c r="N577" s="118">
        <f t="shared" si="25"/>
        <v>102000</v>
      </c>
      <c r="O577" s="111" t="s">
        <v>21</v>
      </c>
      <c r="P577" s="111">
        <f t="shared" si="26"/>
        <v>549</v>
      </c>
    </row>
    <row r="578" spans="1:16" ht="15" customHeight="1" x14ac:dyDescent="0.25">
      <c r="A578" s="111" t="s">
        <v>2719</v>
      </c>
      <c r="B578" s="120">
        <v>45999</v>
      </c>
      <c r="C578" s="111">
        <f t="shared" si="24"/>
        <v>1169</v>
      </c>
      <c r="D578" s="111">
        <v>1</v>
      </c>
      <c r="G578" s="116" t="s">
        <v>19</v>
      </c>
      <c r="H578" s="111" t="s">
        <v>2924</v>
      </c>
      <c r="I578" s="111">
        <v>331</v>
      </c>
      <c r="J578" s="111">
        <v>1111</v>
      </c>
      <c r="K578" s="111" t="s">
        <v>20</v>
      </c>
      <c r="L578" s="111">
        <v>1</v>
      </c>
      <c r="M578" s="118">
        <v>55000</v>
      </c>
      <c r="N578" s="118">
        <f t="shared" si="25"/>
        <v>55000</v>
      </c>
      <c r="O578" s="111" t="s">
        <v>21</v>
      </c>
      <c r="P578" s="111">
        <f t="shared" si="26"/>
        <v>550</v>
      </c>
    </row>
    <row r="579" spans="1:16" ht="15" customHeight="1" x14ac:dyDescent="0.25">
      <c r="A579" s="111" t="s">
        <v>2719</v>
      </c>
      <c r="B579" s="120">
        <v>45999</v>
      </c>
      <c r="C579" s="111">
        <f t="shared" si="24"/>
        <v>1170</v>
      </c>
      <c r="D579" s="111">
        <v>1</v>
      </c>
      <c r="G579" s="116" t="s">
        <v>19</v>
      </c>
      <c r="H579" s="111" t="s">
        <v>2925</v>
      </c>
      <c r="I579" s="111">
        <v>331</v>
      </c>
      <c r="J579" s="111">
        <v>1111</v>
      </c>
      <c r="K579" s="111" t="s">
        <v>20</v>
      </c>
      <c r="L579" s="111">
        <v>1</v>
      </c>
      <c r="M579" s="118">
        <v>32000</v>
      </c>
      <c r="N579" s="118">
        <f t="shared" si="25"/>
        <v>32000</v>
      </c>
      <c r="O579" s="111" t="s">
        <v>21</v>
      </c>
      <c r="P579" s="111">
        <f t="shared" si="26"/>
        <v>551</v>
      </c>
    </row>
    <row r="580" spans="1:16" ht="15" customHeight="1" x14ac:dyDescent="0.25">
      <c r="A580" s="111" t="s">
        <v>2719</v>
      </c>
      <c r="B580" s="120">
        <v>45999</v>
      </c>
      <c r="C580" s="111">
        <f t="shared" ref="C580:C643" si="27">C579+D580</f>
        <v>1171</v>
      </c>
      <c r="D580" s="111">
        <v>1</v>
      </c>
      <c r="G580" s="116" t="s">
        <v>19</v>
      </c>
      <c r="H580" s="111" t="s">
        <v>2926</v>
      </c>
      <c r="I580" s="111">
        <v>331</v>
      </c>
      <c r="J580" s="111">
        <v>1111</v>
      </c>
      <c r="K580" s="111" t="s">
        <v>20</v>
      </c>
      <c r="L580" s="111">
        <v>1</v>
      </c>
      <c r="M580" s="118">
        <v>29000</v>
      </c>
      <c r="N580" s="118">
        <f t="shared" ref="N580:N643" si="28">M580*L580</f>
        <v>29000</v>
      </c>
      <c r="O580" s="111" t="s">
        <v>21</v>
      </c>
      <c r="P580" s="111">
        <f t="shared" si="26"/>
        <v>552</v>
      </c>
    </row>
    <row r="581" spans="1:16" ht="15" customHeight="1" x14ac:dyDescent="0.25">
      <c r="A581" s="111" t="s">
        <v>2719</v>
      </c>
      <c r="B581" s="120">
        <v>45999</v>
      </c>
      <c r="C581" s="111">
        <f t="shared" si="27"/>
        <v>1172</v>
      </c>
      <c r="D581" s="111">
        <v>1</v>
      </c>
      <c r="G581" s="116" t="s">
        <v>19</v>
      </c>
      <c r="H581" s="111" t="s">
        <v>2927</v>
      </c>
      <c r="I581" s="111">
        <v>331</v>
      </c>
      <c r="J581" s="111">
        <v>1111</v>
      </c>
      <c r="K581" s="111" t="s">
        <v>20</v>
      </c>
      <c r="L581" s="111">
        <v>1</v>
      </c>
      <c r="M581" s="118">
        <v>136000</v>
      </c>
      <c r="N581" s="118">
        <f t="shared" si="28"/>
        <v>136000</v>
      </c>
      <c r="O581" s="111" t="s">
        <v>21</v>
      </c>
      <c r="P581" s="111">
        <f t="shared" ref="P581:P644" si="29">P580+D581</f>
        <v>553</v>
      </c>
    </row>
    <row r="582" spans="1:16" ht="15" customHeight="1" x14ac:dyDescent="0.25">
      <c r="A582" s="111" t="s">
        <v>2719</v>
      </c>
      <c r="B582" s="120">
        <v>46000</v>
      </c>
      <c r="C582" s="111">
        <f t="shared" si="27"/>
        <v>1173</v>
      </c>
      <c r="D582" s="111">
        <v>1</v>
      </c>
      <c r="G582" s="116" t="s">
        <v>1031</v>
      </c>
      <c r="H582" s="111" t="s">
        <v>2928</v>
      </c>
      <c r="I582" s="111">
        <v>331</v>
      </c>
      <c r="J582" s="111">
        <v>1111</v>
      </c>
      <c r="K582" s="111" t="s">
        <v>20</v>
      </c>
      <c r="L582" s="111">
        <v>1</v>
      </c>
      <c r="M582" s="118">
        <v>351000</v>
      </c>
      <c r="N582" s="118">
        <f t="shared" si="28"/>
        <v>351000</v>
      </c>
      <c r="O582" s="111" t="s">
        <v>21</v>
      </c>
      <c r="P582" s="111">
        <f t="shared" si="29"/>
        <v>554</v>
      </c>
    </row>
    <row r="583" spans="1:16" ht="15" customHeight="1" x14ac:dyDescent="0.25">
      <c r="A583" s="111" t="s">
        <v>2719</v>
      </c>
      <c r="B583" s="120">
        <v>46000</v>
      </c>
      <c r="C583" s="111">
        <f t="shared" si="27"/>
        <v>1174</v>
      </c>
      <c r="D583" s="111">
        <v>1</v>
      </c>
      <c r="G583" s="116" t="s">
        <v>19</v>
      </c>
      <c r="H583" s="111" t="s">
        <v>2929</v>
      </c>
      <c r="I583" s="111">
        <v>331</v>
      </c>
      <c r="J583" s="111">
        <v>1111</v>
      </c>
      <c r="K583" s="111" t="s">
        <v>20</v>
      </c>
      <c r="L583" s="111">
        <v>1</v>
      </c>
      <c r="M583" s="118">
        <v>40000</v>
      </c>
      <c r="N583" s="118">
        <f t="shared" si="28"/>
        <v>40000</v>
      </c>
      <c r="O583" s="111" t="s">
        <v>21</v>
      </c>
      <c r="P583" s="111">
        <f t="shared" si="29"/>
        <v>555</v>
      </c>
    </row>
    <row r="584" spans="1:16" ht="15" customHeight="1" x14ac:dyDescent="0.25">
      <c r="A584" s="111" t="s">
        <v>2719</v>
      </c>
      <c r="B584" s="120">
        <v>46000</v>
      </c>
      <c r="C584" s="111">
        <f t="shared" si="27"/>
        <v>1175</v>
      </c>
      <c r="D584" s="111">
        <v>1</v>
      </c>
      <c r="G584" s="116" t="s">
        <v>19</v>
      </c>
      <c r="H584" s="111" t="s">
        <v>2930</v>
      </c>
      <c r="I584" s="111">
        <v>331</v>
      </c>
      <c r="J584" s="111">
        <v>1111</v>
      </c>
      <c r="K584" s="111" t="s">
        <v>20</v>
      </c>
      <c r="L584" s="111">
        <v>1</v>
      </c>
      <c r="M584" s="118">
        <v>92000</v>
      </c>
      <c r="N584" s="118">
        <f t="shared" si="28"/>
        <v>92000</v>
      </c>
      <c r="O584" s="111" t="s">
        <v>21</v>
      </c>
      <c r="P584" s="111">
        <f t="shared" si="29"/>
        <v>556</v>
      </c>
    </row>
    <row r="585" spans="1:16" ht="15" customHeight="1" x14ac:dyDescent="0.25">
      <c r="A585" s="111" t="s">
        <v>2719</v>
      </c>
      <c r="B585" s="120">
        <v>46000</v>
      </c>
      <c r="C585" s="111">
        <f t="shared" si="27"/>
        <v>1176</v>
      </c>
      <c r="D585" s="111">
        <v>1</v>
      </c>
      <c r="G585" s="116" t="s">
        <v>19</v>
      </c>
      <c r="H585" s="111" t="s">
        <v>2931</v>
      </c>
      <c r="I585" s="111">
        <v>331</v>
      </c>
      <c r="J585" s="111">
        <v>1111</v>
      </c>
      <c r="K585" s="111" t="s">
        <v>20</v>
      </c>
      <c r="L585" s="111">
        <v>1</v>
      </c>
      <c r="M585" s="118">
        <v>140000</v>
      </c>
      <c r="N585" s="118">
        <f t="shared" si="28"/>
        <v>140000</v>
      </c>
      <c r="O585" s="111" t="s">
        <v>21</v>
      </c>
      <c r="P585" s="111">
        <f t="shared" si="29"/>
        <v>557</v>
      </c>
    </row>
    <row r="586" spans="1:16" ht="15" customHeight="1" x14ac:dyDescent="0.25">
      <c r="A586" s="111" t="s">
        <v>2719</v>
      </c>
      <c r="B586" s="120">
        <v>46001</v>
      </c>
      <c r="C586" s="111">
        <f t="shared" si="27"/>
        <v>1177</v>
      </c>
      <c r="D586" s="111">
        <v>1</v>
      </c>
      <c r="G586" s="116" t="s">
        <v>24</v>
      </c>
      <c r="H586" s="111" t="s">
        <v>2932</v>
      </c>
      <c r="I586" s="111">
        <v>331</v>
      </c>
      <c r="J586" s="111">
        <v>1111</v>
      </c>
      <c r="K586" s="111" t="s">
        <v>20</v>
      </c>
      <c r="L586" s="111">
        <v>1</v>
      </c>
      <c r="M586" s="118">
        <v>82000</v>
      </c>
      <c r="N586" s="118">
        <f t="shared" si="28"/>
        <v>82000</v>
      </c>
      <c r="O586" s="111" t="s">
        <v>21</v>
      </c>
      <c r="P586" s="111">
        <f t="shared" si="29"/>
        <v>558</v>
      </c>
    </row>
    <row r="587" spans="1:16" ht="15" customHeight="1" x14ac:dyDescent="0.25">
      <c r="A587" s="111" t="s">
        <v>2719</v>
      </c>
      <c r="B587" s="120">
        <v>46001</v>
      </c>
      <c r="C587" s="111">
        <f t="shared" si="27"/>
        <v>1178</v>
      </c>
      <c r="D587" s="111">
        <v>1</v>
      </c>
      <c r="G587" s="116" t="s">
        <v>24</v>
      </c>
      <c r="H587" s="111" t="s">
        <v>2933</v>
      </c>
      <c r="I587" s="111">
        <v>331</v>
      </c>
      <c r="J587" s="111">
        <v>1111</v>
      </c>
      <c r="K587" s="111" t="s">
        <v>20</v>
      </c>
      <c r="L587" s="111">
        <v>1</v>
      </c>
      <c r="M587" s="118">
        <v>87000</v>
      </c>
      <c r="N587" s="118">
        <f t="shared" si="28"/>
        <v>87000</v>
      </c>
      <c r="O587" s="111" t="s">
        <v>21</v>
      </c>
      <c r="P587" s="111">
        <f t="shared" si="29"/>
        <v>559</v>
      </c>
    </row>
    <row r="588" spans="1:16" ht="15" customHeight="1" x14ac:dyDescent="0.25">
      <c r="A588" s="111" t="s">
        <v>2719</v>
      </c>
      <c r="B588" s="120">
        <v>46001</v>
      </c>
      <c r="C588" s="111">
        <f t="shared" si="27"/>
        <v>1179</v>
      </c>
      <c r="D588" s="111">
        <v>1</v>
      </c>
      <c r="G588" s="116" t="s">
        <v>24</v>
      </c>
      <c r="H588" s="111" t="s">
        <v>2934</v>
      </c>
      <c r="I588" s="111">
        <v>331</v>
      </c>
      <c r="J588" s="111">
        <v>1111</v>
      </c>
      <c r="K588" s="111" t="s">
        <v>20</v>
      </c>
      <c r="L588" s="111">
        <v>1</v>
      </c>
      <c r="M588" s="118">
        <v>174000</v>
      </c>
      <c r="N588" s="118">
        <f t="shared" si="28"/>
        <v>174000</v>
      </c>
      <c r="O588" s="111" t="s">
        <v>21</v>
      </c>
      <c r="P588" s="111">
        <f t="shared" si="29"/>
        <v>560</v>
      </c>
    </row>
    <row r="589" spans="1:16" ht="15" customHeight="1" x14ac:dyDescent="0.25">
      <c r="A589" s="111" t="s">
        <v>2719</v>
      </c>
      <c r="B589" s="120">
        <v>46001</v>
      </c>
      <c r="C589" s="111">
        <f t="shared" si="27"/>
        <v>1180</v>
      </c>
      <c r="D589" s="111">
        <v>1</v>
      </c>
      <c r="G589" s="116" t="s">
        <v>19</v>
      </c>
      <c r="H589" s="111" t="s">
        <v>2935</v>
      </c>
      <c r="I589" s="111">
        <v>331</v>
      </c>
      <c r="J589" s="111">
        <v>1111</v>
      </c>
      <c r="K589" s="111" t="s">
        <v>20</v>
      </c>
      <c r="L589" s="111">
        <v>1</v>
      </c>
      <c r="M589" s="118">
        <v>28000</v>
      </c>
      <c r="N589" s="118">
        <f t="shared" si="28"/>
        <v>28000</v>
      </c>
      <c r="O589" s="111" t="s">
        <v>21</v>
      </c>
      <c r="P589" s="111">
        <f t="shared" si="29"/>
        <v>561</v>
      </c>
    </row>
    <row r="590" spans="1:16" ht="15" customHeight="1" x14ac:dyDescent="0.25">
      <c r="A590" s="111" t="s">
        <v>2719</v>
      </c>
      <c r="B590" s="120">
        <v>46002</v>
      </c>
      <c r="C590" s="111">
        <f t="shared" si="27"/>
        <v>1181</v>
      </c>
      <c r="D590" s="111">
        <v>1</v>
      </c>
      <c r="G590" s="116" t="s">
        <v>1032</v>
      </c>
      <c r="H590" s="111" t="s">
        <v>2936</v>
      </c>
      <c r="I590" s="111">
        <v>331</v>
      </c>
      <c r="J590" s="111">
        <v>1111</v>
      </c>
      <c r="K590" s="111" t="s">
        <v>20</v>
      </c>
      <c r="L590" s="111">
        <v>1</v>
      </c>
      <c r="M590" s="118">
        <v>756000</v>
      </c>
      <c r="N590" s="118">
        <f t="shared" si="28"/>
        <v>756000</v>
      </c>
      <c r="O590" s="111" t="s">
        <v>21</v>
      </c>
      <c r="P590" s="111">
        <f t="shared" si="29"/>
        <v>562</v>
      </c>
    </row>
    <row r="591" spans="1:16" ht="15" customHeight="1" x14ac:dyDescent="0.25">
      <c r="A591" s="111" t="s">
        <v>2719</v>
      </c>
      <c r="B591" s="120">
        <v>46002</v>
      </c>
      <c r="C591" s="111">
        <f t="shared" si="27"/>
        <v>1182</v>
      </c>
      <c r="D591" s="111">
        <v>1</v>
      </c>
      <c r="G591" s="116" t="s">
        <v>1033</v>
      </c>
      <c r="H591" s="111" t="s">
        <v>2937</v>
      </c>
      <c r="I591" s="111">
        <v>331</v>
      </c>
      <c r="J591" s="111">
        <v>1111</v>
      </c>
      <c r="K591" s="111" t="s">
        <v>20</v>
      </c>
      <c r="L591" s="111">
        <v>1</v>
      </c>
      <c r="M591" s="118">
        <v>2898504</v>
      </c>
      <c r="N591" s="118">
        <f t="shared" si="28"/>
        <v>2898504</v>
      </c>
      <c r="O591" s="111" t="s">
        <v>21</v>
      </c>
      <c r="P591" s="111">
        <f t="shared" si="29"/>
        <v>563</v>
      </c>
    </row>
    <row r="592" spans="1:16" ht="15" customHeight="1" x14ac:dyDescent="0.25">
      <c r="A592" s="111" t="s">
        <v>2719</v>
      </c>
      <c r="B592" s="120">
        <v>46002</v>
      </c>
      <c r="C592" s="111">
        <f t="shared" si="27"/>
        <v>1183</v>
      </c>
      <c r="D592" s="111">
        <v>1</v>
      </c>
      <c r="G592" s="116" t="s">
        <v>23</v>
      </c>
      <c r="H592" s="111" t="s">
        <v>2938</v>
      </c>
      <c r="I592" s="111">
        <v>331</v>
      </c>
      <c r="J592" s="111">
        <v>1111</v>
      </c>
      <c r="K592" s="111" t="s">
        <v>20</v>
      </c>
      <c r="L592" s="111">
        <v>1</v>
      </c>
      <c r="M592" s="118">
        <v>161000</v>
      </c>
      <c r="N592" s="118">
        <f t="shared" si="28"/>
        <v>161000</v>
      </c>
      <c r="O592" s="111" t="s">
        <v>21</v>
      </c>
      <c r="P592" s="111">
        <f t="shared" si="29"/>
        <v>564</v>
      </c>
    </row>
    <row r="593" spans="1:16" ht="15" customHeight="1" x14ac:dyDescent="0.25">
      <c r="A593" s="111" t="s">
        <v>2719</v>
      </c>
      <c r="B593" s="120">
        <v>46002</v>
      </c>
      <c r="C593" s="111">
        <f t="shared" si="27"/>
        <v>1184</v>
      </c>
      <c r="D593" s="111">
        <v>1</v>
      </c>
      <c r="G593" s="116" t="s">
        <v>19</v>
      </c>
      <c r="H593" s="111" t="s">
        <v>2939</v>
      </c>
      <c r="I593" s="111">
        <v>331</v>
      </c>
      <c r="J593" s="111">
        <v>1111</v>
      </c>
      <c r="K593" s="111" t="s">
        <v>20</v>
      </c>
      <c r="L593" s="111">
        <v>1</v>
      </c>
      <c r="M593" s="118">
        <v>56000</v>
      </c>
      <c r="N593" s="118">
        <f t="shared" si="28"/>
        <v>56000</v>
      </c>
      <c r="O593" s="111" t="s">
        <v>21</v>
      </c>
      <c r="P593" s="111">
        <f t="shared" si="29"/>
        <v>565</v>
      </c>
    </row>
    <row r="594" spans="1:16" ht="15" customHeight="1" x14ac:dyDescent="0.25">
      <c r="A594" s="111" t="s">
        <v>2719</v>
      </c>
      <c r="B594" s="120">
        <v>46002</v>
      </c>
      <c r="C594" s="111">
        <f t="shared" si="27"/>
        <v>1185</v>
      </c>
      <c r="D594" s="111">
        <v>1</v>
      </c>
      <c r="G594" s="116" t="s">
        <v>19</v>
      </c>
      <c r="H594" s="111" t="s">
        <v>2940</v>
      </c>
      <c r="I594" s="111">
        <v>331</v>
      </c>
      <c r="J594" s="111">
        <v>1111</v>
      </c>
      <c r="K594" s="111" t="s">
        <v>20</v>
      </c>
      <c r="L594" s="111">
        <v>1</v>
      </c>
      <c r="M594" s="118">
        <v>190000</v>
      </c>
      <c r="N594" s="118">
        <f t="shared" si="28"/>
        <v>190000</v>
      </c>
      <c r="O594" s="111" t="s">
        <v>21</v>
      </c>
      <c r="P594" s="111">
        <f t="shared" si="29"/>
        <v>566</v>
      </c>
    </row>
    <row r="595" spans="1:16" ht="15" customHeight="1" x14ac:dyDescent="0.25">
      <c r="A595" s="111" t="s">
        <v>2719</v>
      </c>
      <c r="B595" s="120">
        <v>46003</v>
      </c>
      <c r="C595" s="111">
        <f t="shared" si="27"/>
        <v>1186</v>
      </c>
      <c r="D595" s="111">
        <v>1</v>
      </c>
      <c r="G595" s="116" t="s">
        <v>19</v>
      </c>
      <c r="H595" s="111" t="s">
        <v>2941</v>
      </c>
      <c r="I595" s="111">
        <v>331</v>
      </c>
      <c r="J595" s="111">
        <v>1111</v>
      </c>
      <c r="K595" s="111" t="s">
        <v>20</v>
      </c>
      <c r="L595" s="111">
        <v>1</v>
      </c>
      <c r="M595" s="118">
        <v>41000</v>
      </c>
      <c r="N595" s="118">
        <f t="shared" si="28"/>
        <v>41000</v>
      </c>
      <c r="O595" s="111" t="s">
        <v>21</v>
      </c>
      <c r="P595" s="111">
        <f t="shared" si="29"/>
        <v>567</v>
      </c>
    </row>
    <row r="596" spans="1:16" ht="15" customHeight="1" x14ac:dyDescent="0.25">
      <c r="A596" s="111" t="s">
        <v>2719</v>
      </c>
      <c r="B596" s="120">
        <v>46003</v>
      </c>
      <c r="C596" s="111">
        <f t="shared" si="27"/>
        <v>1187</v>
      </c>
      <c r="D596" s="111">
        <v>1</v>
      </c>
      <c r="G596" s="116" t="s">
        <v>19</v>
      </c>
      <c r="H596" s="111" t="s">
        <v>2942</v>
      </c>
      <c r="I596" s="111">
        <v>331</v>
      </c>
      <c r="J596" s="111">
        <v>1111</v>
      </c>
      <c r="K596" s="111" t="s">
        <v>20</v>
      </c>
      <c r="L596" s="111">
        <v>1</v>
      </c>
      <c r="M596" s="118">
        <v>161000</v>
      </c>
      <c r="N596" s="118">
        <f t="shared" si="28"/>
        <v>161000</v>
      </c>
      <c r="O596" s="111" t="s">
        <v>21</v>
      </c>
      <c r="P596" s="111">
        <f t="shared" si="29"/>
        <v>568</v>
      </c>
    </row>
    <row r="597" spans="1:16" ht="15" customHeight="1" x14ac:dyDescent="0.25">
      <c r="A597" s="111" t="s">
        <v>2719</v>
      </c>
      <c r="B597" s="120">
        <v>46005</v>
      </c>
      <c r="C597" s="111">
        <f t="shared" si="27"/>
        <v>1188</v>
      </c>
      <c r="D597" s="111">
        <v>1</v>
      </c>
      <c r="G597" s="116" t="s">
        <v>27</v>
      </c>
      <c r="H597" s="111" t="s">
        <v>2943</v>
      </c>
      <c r="I597" s="111">
        <v>331</v>
      </c>
      <c r="J597" s="111">
        <v>1111</v>
      </c>
      <c r="K597" s="111" t="s">
        <v>20</v>
      </c>
      <c r="L597" s="111">
        <v>1</v>
      </c>
      <c r="M597" s="118">
        <v>395280</v>
      </c>
      <c r="N597" s="118">
        <f t="shared" si="28"/>
        <v>395280</v>
      </c>
      <c r="O597" s="111" t="s">
        <v>21</v>
      </c>
      <c r="P597" s="111">
        <f t="shared" si="29"/>
        <v>569</v>
      </c>
    </row>
    <row r="598" spans="1:16" ht="15" customHeight="1" x14ac:dyDescent="0.25">
      <c r="A598" s="111" t="s">
        <v>2719</v>
      </c>
      <c r="B598" s="120">
        <v>46005</v>
      </c>
      <c r="C598" s="111">
        <f t="shared" si="27"/>
        <v>1189</v>
      </c>
      <c r="D598" s="111">
        <v>1</v>
      </c>
      <c r="G598" s="116" t="s">
        <v>24</v>
      </c>
      <c r="H598" s="111" t="s">
        <v>2944</v>
      </c>
      <c r="I598" s="111">
        <v>331</v>
      </c>
      <c r="J598" s="111">
        <v>1111</v>
      </c>
      <c r="K598" s="111" t="s">
        <v>20</v>
      </c>
      <c r="L598" s="111">
        <v>1</v>
      </c>
      <c r="M598" s="118">
        <v>36000</v>
      </c>
      <c r="N598" s="118">
        <f t="shared" si="28"/>
        <v>36000</v>
      </c>
      <c r="O598" s="111" t="s">
        <v>21</v>
      </c>
      <c r="P598" s="111">
        <f t="shared" si="29"/>
        <v>570</v>
      </c>
    </row>
    <row r="599" spans="1:16" ht="15" customHeight="1" x14ac:dyDescent="0.25">
      <c r="A599" s="111" t="s">
        <v>2719</v>
      </c>
      <c r="B599" s="120">
        <v>46005</v>
      </c>
      <c r="C599" s="111">
        <f t="shared" si="27"/>
        <v>1190</v>
      </c>
      <c r="D599" s="111">
        <v>1</v>
      </c>
      <c r="G599" s="116" t="s">
        <v>19</v>
      </c>
      <c r="H599" s="111" t="s">
        <v>2945</v>
      </c>
      <c r="I599" s="111">
        <v>331</v>
      </c>
      <c r="J599" s="111">
        <v>1111</v>
      </c>
      <c r="K599" s="111" t="s">
        <v>20</v>
      </c>
      <c r="L599" s="111">
        <v>1</v>
      </c>
      <c r="M599" s="118">
        <v>36000</v>
      </c>
      <c r="N599" s="118">
        <f t="shared" si="28"/>
        <v>36000</v>
      </c>
      <c r="O599" s="111" t="s">
        <v>21</v>
      </c>
      <c r="P599" s="111">
        <f t="shared" si="29"/>
        <v>571</v>
      </c>
    </row>
    <row r="600" spans="1:16" ht="15" customHeight="1" x14ac:dyDescent="0.25">
      <c r="A600" s="111" t="s">
        <v>2719</v>
      </c>
      <c r="B600" s="120">
        <v>46006</v>
      </c>
      <c r="C600" s="111">
        <f t="shared" si="27"/>
        <v>1191</v>
      </c>
      <c r="D600" s="111">
        <v>1</v>
      </c>
      <c r="G600" s="116" t="s">
        <v>1034</v>
      </c>
      <c r="H600" s="111" t="s">
        <v>2946</v>
      </c>
      <c r="I600" s="111">
        <v>331</v>
      </c>
      <c r="J600" s="111">
        <v>1111</v>
      </c>
      <c r="K600" s="111" t="s">
        <v>20</v>
      </c>
      <c r="L600" s="111">
        <v>1</v>
      </c>
      <c r="M600" s="118">
        <v>717120</v>
      </c>
      <c r="N600" s="118">
        <f t="shared" si="28"/>
        <v>717120</v>
      </c>
      <c r="O600" s="111" t="s">
        <v>21</v>
      </c>
      <c r="P600" s="111">
        <f t="shared" si="29"/>
        <v>572</v>
      </c>
    </row>
    <row r="601" spans="1:16" ht="15" customHeight="1" x14ac:dyDescent="0.25">
      <c r="A601" s="111" t="s">
        <v>2719</v>
      </c>
      <c r="B601" s="120">
        <v>46006</v>
      </c>
      <c r="C601" s="111">
        <f t="shared" si="27"/>
        <v>1192</v>
      </c>
      <c r="D601" s="111">
        <v>1</v>
      </c>
      <c r="G601" s="116" t="s">
        <v>19</v>
      </c>
      <c r="H601" s="111" t="s">
        <v>2947</v>
      </c>
      <c r="I601" s="111">
        <v>331</v>
      </c>
      <c r="J601" s="111">
        <v>1111</v>
      </c>
      <c r="K601" s="111" t="s">
        <v>20</v>
      </c>
      <c r="L601" s="111">
        <v>1</v>
      </c>
      <c r="M601" s="118">
        <v>61000</v>
      </c>
      <c r="N601" s="118">
        <f t="shared" si="28"/>
        <v>61000</v>
      </c>
      <c r="O601" s="111" t="s">
        <v>21</v>
      </c>
      <c r="P601" s="111">
        <f t="shared" si="29"/>
        <v>573</v>
      </c>
    </row>
    <row r="602" spans="1:16" ht="15" customHeight="1" x14ac:dyDescent="0.25">
      <c r="A602" s="111" t="s">
        <v>2719</v>
      </c>
      <c r="B602" s="120">
        <v>46006</v>
      </c>
      <c r="C602" s="111">
        <f t="shared" si="27"/>
        <v>1193</v>
      </c>
      <c r="D602" s="111">
        <v>1</v>
      </c>
      <c r="G602" s="116" t="s">
        <v>19</v>
      </c>
      <c r="H602" s="111" t="s">
        <v>2948</v>
      </c>
      <c r="I602" s="111">
        <v>331</v>
      </c>
      <c r="J602" s="111">
        <v>1111</v>
      </c>
      <c r="K602" s="111" t="s">
        <v>20</v>
      </c>
      <c r="L602" s="111">
        <v>1</v>
      </c>
      <c r="M602" s="118">
        <v>98000</v>
      </c>
      <c r="N602" s="118">
        <f t="shared" si="28"/>
        <v>98000</v>
      </c>
      <c r="O602" s="111" t="s">
        <v>21</v>
      </c>
      <c r="P602" s="111">
        <f t="shared" si="29"/>
        <v>574</v>
      </c>
    </row>
    <row r="603" spans="1:16" ht="15" customHeight="1" x14ac:dyDescent="0.25">
      <c r="A603" s="111" t="s">
        <v>2719</v>
      </c>
      <c r="B603" s="120">
        <v>46006</v>
      </c>
      <c r="C603" s="111">
        <f t="shared" si="27"/>
        <v>1194</v>
      </c>
      <c r="D603" s="111">
        <v>1</v>
      </c>
      <c r="G603" s="116" t="s">
        <v>19</v>
      </c>
      <c r="H603" s="111" t="s">
        <v>2949</v>
      </c>
      <c r="I603" s="111">
        <v>331</v>
      </c>
      <c r="J603" s="111">
        <v>1111</v>
      </c>
      <c r="K603" s="111" t="s">
        <v>20</v>
      </c>
      <c r="L603" s="111">
        <v>1</v>
      </c>
      <c r="M603" s="118">
        <v>112000</v>
      </c>
      <c r="N603" s="118">
        <f t="shared" si="28"/>
        <v>112000</v>
      </c>
      <c r="O603" s="111" t="s">
        <v>21</v>
      </c>
      <c r="P603" s="111">
        <f t="shared" si="29"/>
        <v>575</v>
      </c>
    </row>
    <row r="604" spans="1:16" ht="15" customHeight="1" x14ac:dyDescent="0.25">
      <c r="A604" s="111" t="s">
        <v>2719</v>
      </c>
      <c r="B604" s="120">
        <v>46007</v>
      </c>
      <c r="C604" s="111">
        <f t="shared" si="27"/>
        <v>1195</v>
      </c>
      <c r="D604" s="111">
        <v>1</v>
      </c>
      <c r="G604" s="116" t="s">
        <v>24</v>
      </c>
      <c r="H604" s="111" t="s">
        <v>2950</v>
      </c>
      <c r="I604" s="111">
        <v>331</v>
      </c>
      <c r="J604" s="111">
        <v>1111</v>
      </c>
      <c r="K604" s="111" t="s">
        <v>20</v>
      </c>
      <c r="L604" s="111">
        <v>1</v>
      </c>
      <c r="M604" s="118">
        <v>68000</v>
      </c>
      <c r="N604" s="118">
        <f t="shared" si="28"/>
        <v>68000</v>
      </c>
      <c r="O604" s="111" t="s">
        <v>21</v>
      </c>
      <c r="P604" s="111">
        <f t="shared" si="29"/>
        <v>576</v>
      </c>
    </row>
    <row r="605" spans="1:16" ht="15" customHeight="1" x14ac:dyDescent="0.25">
      <c r="A605" s="111" t="s">
        <v>2719</v>
      </c>
      <c r="B605" s="120">
        <v>46007</v>
      </c>
      <c r="C605" s="111">
        <f t="shared" si="27"/>
        <v>1196</v>
      </c>
      <c r="D605" s="111">
        <v>1</v>
      </c>
      <c r="G605" s="116" t="s">
        <v>19</v>
      </c>
      <c r="H605" s="111" t="s">
        <v>2951</v>
      </c>
      <c r="I605" s="111">
        <v>331</v>
      </c>
      <c r="J605" s="111">
        <v>1111</v>
      </c>
      <c r="K605" s="111" t="s">
        <v>20</v>
      </c>
      <c r="L605" s="111">
        <v>1</v>
      </c>
      <c r="M605" s="118">
        <v>69000</v>
      </c>
      <c r="N605" s="118">
        <f t="shared" si="28"/>
        <v>69000</v>
      </c>
      <c r="O605" s="111" t="s">
        <v>21</v>
      </c>
      <c r="P605" s="111">
        <f t="shared" si="29"/>
        <v>577</v>
      </c>
    </row>
    <row r="606" spans="1:16" ht="15" customHeight="1" x14ac:dyDescent="0.25">
      <c r="A606" s="111" t="s">
        <v>2719</v>
      </c>
      <c r="B606" s="120">
        <v>46008</v>
      </c>
      <c r="C606" s="111">
        <f t="shared" si="27"/>
        <v>1197</v>
      </c>
      <c r="D606" s="111">
        <v>1</v>
      </c>
      <c r="G606" s="116" t="s">
        <v>1007</v>
      </c>
      <c r="H606" s="111" t="s">
        <v>2952</v>
      </c>
      <c r="I606" s="111">
        <v>331</v>
      </c>
      <c r="J606" s="111">
        <v>1111</v>
      </c>
      <c r="K606" s="111" t="s">
        <v>20</v>
      </c>
      <c r="L606" s="111">
        <v>1</v>
      </c>
      <c r="M606" s="118">
        <v>860000</v>
      </c>
      <c r="N606" s="118">
        <f t="shared" si="28"/>
        <v>860000</v>
      </c>
      <c r="O606" s="111" t="s">
        <v>21</v>
      </c>
      <c r="P606" s="111">
        <f t="shared" si="29"/>
        <v>578</v>
      </c>
    </row>
    <row r="607" spans="1:16" ht="15" customHeight="1" x14ac:dyDescent="0.25">
      <c r="A607" s="111" t="s">
        <v>2719</v>
      </c>
      <c r="B607" s="120">
        <v>46008</v>
      </c>
      <c r="C607" s="111">
        <f t="shared" si="27"/>
        <v>1198</v>
      </c>
      <c r="D607" s="111">
        <v>1</v>
      </c>
      <c r="G607" s="116" t="s">
        <v>988</v>
      </c>
      <c r="H607" s="111" t="s">
        <v>2953</v>
      </c>
      <c r="I607" s="111">
        <v>331</v>
      </c>
      <c r="J607" s="111">
        <v>1111</v>
      </c>
      <c r="K607" s="111" t="s">
        <v>20</v>
      </c>
      <c r="L607" s="111">
        <v>1</v>
      </c>
      <c r="M607" s="118">
        <v>155000</v>
      </c>
      <c r="N607" s="118">
        <f t="shared" si="28"/>
        <v>155000</v>
      </c>
      <c r="O607" s="111" t="s">
        <v>21</v>
      </c>
      <c r="P607" s="111">
        <f t="shared" si="29"/>
        <v>579</v>
      </c>
    </row>
    <row r="608" spans="1:16" ht="15" customHeight="1" x14ac:dyDescent="0.25">
      <c r="A608" s="111" t="s">
        <v>2719</v>
      </c>
      <c r="B608" s="120">
        <v>46008</v>
      </c>
      <c r="C608" s="111">
        <f t="shared" si="27"/>
        <v>1199</v>
      </c>
      <c r="D608" s="111">
        <v>1</v>
      </c>
      <c r="G608" s="116" t="s">
        <v>984</v>
      </c>
      <c r="H608" s="111" t="s">
        <v>2954</v>
      </c>
      <c r="I608" s="111">
        <v>331</v>
      </c>
      <c r="J608" s="111">
        <v>1111</v>
      </c>
      <c r="K608" s="111" t="s">
        <v>20</v>
      </c>
      <c r="L608" s="111">
        <v>1</v>
      </c>
      <c r="M608" s="118">
        <v>199500</v>
      </c>
      <c r="N608" s="118">
        <f t="shared" si="28"/>
        <v>199500</v>
      </c>
      <c r="O608" s="111" t="s">
        <v>21</v>
      </c>
      <c r="P608" s="111">
        <f t="shared" si="29"/>
        <v>580</v>
      </c>
    </row>
    <row r="609" spans="1:16" ht="15" customHeight="1" x14ac:dyDescent="0.25">
      <c r="A609" s="111" t="s">
        <v>2719</v>
      </c>
      <c r="B609" s="120">
        <v>46008</v>
      </c>
      <c r="C609" s="111">
        <f t="shared" si="27"/>
        <v>1200</v>
      </c>
      <c r="D609" s="111">
        <v>1</v>
      </c>
      <c r="G609" s="116" t="s">
        <v>31</v>
      </c>
      <c r="H609" s="111" t="s">
        <v>2955</v>
      </c>
      <c r="I609" s="111">
        <v>331</v>
      </c>
      <c r="J609" s="111">
        <v>1111</v>
      </c>
      <c r="K609" s="111" t="s">
        <v>20</v>
      </c>
      <c r="L609" s="111">
        <v>1</v>
      </c>
      <c r="M609" s="118">
        <v>728500</v>
      </c>
      <c r="N609" s="118">
        <f t="shared" si="28"/>
        <v>728500</v>
      </c>
      <c r="O609" s="111" t="s">
        <v>21</v>
      </c>
      <c r="P609" s="111">
        <f t="shared" si="29"/>
        <v>581</v>
      </c>
    </row>
    <row r="610" spans="1:16" ht="15" customHeight="1" x14ac:dyDescent="0.25">
      <c r="A610" s="111" t="s">
        <v>2719</v>
      </c>
      <c r="B610" s="120">
        <v>46008</v>
      </c>
      <c r="C610" s="111">
        <f t="shared" si="27"/>
        <v>1201</v>
      </c>
      <c r="D610" s="111">
        <v>1</v>
      </c>
      <c r="G610" s="116" t="s">
        <v>19</v>
      </c>
      <c r="H610" s="111" t="s">
        <v>2956</v>
      </c>
      <c r="I610" s="111">
        <v>331</v>
      </c>
      <c r="J610" s="111">
        <v>1111</v>
      </c>
      <c r="K610" s="111" t="s">
        <v>20</v>
      </c>
      <c r="L610" s="111">
        <v>1</v>
      </c>
      <c r="M610" s="118">
        <v>19000</v>
      </c>
      <c r="N610" s="118">
        <f t="shared" si="28"/>
        <v>19000</v>
      </c>
      <c r="O610" s="111" t="s">
        <v>21</v>
      </c>
      <c r="P610" s="111">
        <f t="shared" si="29"/>
        <v>582</v>
      </c>
    </row>
    <row r="611" spans="1:16" ht="15" customHeight="1" x14ac:dyDescent="0.25">
      <c r="A611" s="111" t="s">
        <v>2719</v>
      </c>
      <c r="B611" s="120">
        <v>46008</v>
      </c>
      <c r="C611" s="111">
        <f t="shared" si="27"/>
        <v>1202</v>
      </c>
      <c r="D611" s="111">
        <v>1</v>
      </c>
      <c r="G611" s="116" t="s">
        <v>19</v>
      </c>
      <c r="H611" s="111" t="s">
        <v>2957</v>
      </c>
      <c r="I611" s="111">
        <v>331</v>
      </c>
      <c r="J611" s="111">
        <v>1111</v>
      </c>
      <c r="K611" s="111" t="s">
        <v>20</v>
      </c>
      <c r="L611" s="111">
        <v>1</v>
      </c>
      <c r="M611" s="118">
        <v>22000</v>
      </c>
      <c r="N611" s="118">
        <f t="shared" si="28"/>
        <v>22000</v>
      </c>
      <c r="O611" s="111" t="s">
        <v>21</v>
      </c>
      <c r="P611" s="111">
        <f t="shared" si="29"/>
        <v>583</v>
      </c>
    </row>
    <row r="612" spans="1:16" ht="15" customHeight="1" x14ac:dyDescent="0.25">
      <c r="A612" s="111" t="s">
        <v>2719</v>
      </c>
      <c r="B612" s="120">
        <v>46008</v>
      </c>
      <c r="C612" s="111">
        <f t="shared" si="27"/>
        <v>1203</v>
      </c>
      <c r="D612" s="111">
        <v>1</v>
      </c>
      <c r="G612" s="116" t="s">
        <v>19</v>
      </c>
      <c r="H612" s="111" t="s">
        <v>2958</v>
      </c>
      <c r="I612" s="111">
        <v>331</v>
      </c>
      <c r="J612" s="111">
        <v>1111</v>
      </c>
      <c r="K612" s="111" t="s">
        <v>20</v>
      </c>
      <c r="L612" s="111">
        <v>1</v>
      </c>
      <c r="M612" s="118">
        <v>23000</v>
      </c>
      <c r="N612" s="118">
        <f t="shared" si="28"/>
        <v>23000</v>
      </c>
      <c r="O612" s="111" t="s">
        <v>21</v>
      </c>
      <c r="P612" s="111">
        <f t="shared" si="29"/>
        <v>584</v>
      </c>
    </row>
    <row r="613" spans="1:16" ht="15" customHeight="1" x14ac:dyDescent="0.25">
      <c r="A613" s="111" t="s">
        <v>2719</v>
      </c>
      <c r="B613" s="120">
        <v>46009</v>
      </c>
      <c r="C613" s="111">
        <f t="shared" si="27"/>
        <v>1204</v>
      </c>
      <c r="D613" s="111">
        <v>1</v>
      </c>
      <c r="G613" s="116" t="s">
        <v>30</v>
      </c>
      <c r="H613" s="111" t="s">
        <v>2959</v>
      </c>
      <c r="I613" s="111">
        <v>331</v>
      </c>
      <c r="J613" s="111">
        <v>1111</v>
      </c>
      <c r="K613" s="111" t="s">
        <v>20</v>
      </c>
      <c r="L613" s="111">
        <v>1</v>
      </c>
      <c r="M613" s="118">
        <v>4896000</v>
      </c>
      <c r="N613" s="118">
        <f t="shared" si="28"/>
        <v>4896000</v>
      </c>
      <c r="O613" s="111" t="s">
        <v>21</v>
      </c>
      <c r="P613" s="111">
        <f t="shared" si="29"/>
        <v>585</v>
      </c>
    </row>
    <row r="614" spans="1:16" ht="15" customHeight="1" x14ac:dyDescent="0.25">
      <c r="A614" s="111" t="s">
        <v>2719</v>
      </c>
      <c r="B614" s="120">
        <v>46009</v>
      </c>
      <c r="C614" s="111">
        <f t="shared" si="27"/>
        <v>1205</v>
      </c>
      <c r="D614" s="111">
        <v>1</v>
      </c>
      <c r="G614" s="116" t="s">
        <v>24</v>
      </c>
      <c r="H614" s="111" t="s">
        <v>2960</v>
      </c>
      <c r="I614" s="111">
        <v>331</v>
      </c>
      <c r="J614" s="111">
        <v>1111</v>
      </c>
      <c r="K614" s="111" t="s">
        <v>20</v>
      </c>
      <c r="L614" s="111">
        <v>1</v>
      </c>
      <c r="M614" s="118">
        <v>54000</v>
      </c>
      <c r="N614" s="118">
        <f t="shared" si="28"/>
        <v>54000</v>
      </c>
      <c r="O614" s="111" t="s">
        <v>21</v>
      </c>
      <c r="P614" s="111">
        <f t="shared" si="29"/>
        <v>586</v>
      </c>
    </row>
    <row r="615" spans="1:16" ht="15" customHeight="1" x14ac:dyDescent="0.25">
      <c r="A615" s="111" t="s">
        <v>2719</v>
      </c>
      <c r="B615" s="120">
        <v>46010</v>
      </c>
      <c r="C615" s="111">
        <f t="shared" si="27"/>
        <v>1206</v>
      </c>
      <c r="D615" s="111">
        <v>1</v>
      </c>
      <c r="G615" s="116" t="s">
        <v>1035</v>
      </c>
      <c r="H615" s="111" t="s">
        <v>2961</v>
      </c>
      <c r="I615" s="111">
        <v>331</v>
      </c>
      <c r="J615" s="111">
        <v>1111</v>
      </c>
      <c r="K615" s="111" t="s">
        <v>20</v>
      </c>
      <c r="L615" s="111">
        <v>1</v>
      </c>
      <c r="M615" s="118">
        <v>1248048</v>
      </c>
      <c r="N615" s="118">
        <f t="shared" si="28"/>
        <v>1248048</v>
      </c>
      <c r="O615" s="111" t="s">
        <v>21</v>
      </c>
      <c r="P615" s="111">
        <f t="shared" si="29"/>
        <v>587</v>
      </c>
    </row>
    <row r="616" spans="1:16" ht="15" customHeight="1" x14ac:dyDescent="0.25">
      <c r="A616" s="111" t="s">
        <v>2719</v>
      </c>
      <c r="B616" s="120">
        <v>46011</v>
      </c>
      <c r="C616" s="111">
        <f t="shared" si="27"/>
        <v>1207</v>
      </c>
      <c r="D616" s="111">
        <v>1</v>
      </c>
      <c r="G616" s="116" t="s">
        <v>23</v>
      </c>
      <c r="H616" s="111" t="s">
        <v>2962</v>
      </c>
      <c r="I616" s="111">
        <v>331</v>
      </c>
      <c r="J616" s="111">
        <v>1111</v>
      </c>
      <c r="K616" s="111" t="s">
        <v>20</v>
      </c>
      <c r="L616" s="111">
        <v>1</v>
      </c>
      <c r="M616" s="118">
        <v>173000</v>
      </c>
      <c r="N616" s="118">
        <f t="shared" si="28"/>
        <v>173000</v>
      </c>
      <c r="O616" s="111" t="s">
        <v>21</v>
      </c>
      <c r="P616" s="111">
        <f t="shared" si="29"/>
        <v>588</v>
      </c>
    </row>
    <row r="617" spans="1:16" ht="15" customHeight="1" x14ac:dyDescent="0.25">
      <c r="A617" s="111" t="s">
        <v>2719</v>
      </c>
      <c r="B617" s="120">
        <v>46011</v>
      </c>
      <c r="C617" s="111">
        <f t="shared" si="27"/>
        <v>1208</v>
      </c>
      <c r="D617" s="111">
        <v>1</v>
      </c>
      <c r="G617" s="116" t="s">
        <v>23</v>
      </c>
      <c r="H617" s="111" t="s">
        <v>2963</v>
      </c>
      <c r="I617" s="111">
        <v>331</v>
      </c>
      <c r="J617" s="111">
        <v>1111</v>
      </c>
      <c r="K617" s="111" t="s">
        <v>20</v>
      </c>
      <c r="L617" s="111">
        <v>1</v>
      </c>
      <c r="M617" s="118">
        <v>153000</v>
      </c>
      <c r="N617" s="118">
        <f t="shared" si="28"/>
        <v>153000</v>
      </c>
      <c r="O617" s="111" t="s">
        <v>21</v>
      </c>
      <c r="P617" s="111">
        <f t="shared" si="29"/>
        <v>589</v>
      </c>
    </row>
    <row r="618" spans="1:16" ht="15" customHeight="1" x14ac:dyDescent="0.25">
      <c r="A618" s="111" t="s">
        <v>2719</v>
      </c>
      <c r="B618" s="120">
        <v>46011</v>
      </c>
      <c r="C618" s="111">
        <f t="shared" si="27"/>
        <v>1209</v>
      </c>
      <c r="D618" s="111">
        <v>1</v>
      </c>
      <c r="G618" s="116" t="s">
        <v>24</v>
      </c>
      <c r="H618" s="111" t="s">
        <v>2964</v>
      </c>
      <c r="I618" s="111">
        <v>331</v>
      </c>
      <c r="J618" s="111">
        <v>1111</v>
      </c>
      <c r="K618" s="111" t="s">
        <v>20</v>
      </c>
      <c r="L618" s="111">
        <v>1</v>
      </c>
      <c r="M618" s="118">
        <v>29000</v>
      </c>
      <c r="N618" s="118">
        <f t="shared" si="28"/>
        <v>29000</v>
      </c>
      <c r="O618" s="111" t="s">
        <v>21</v>
      </c>
      <c r="P618" s="111">
        <f t="shared" si="29"/>
        <v>590</v>
      </c>
    </row>
    <row r="619" spans="1:16" ht="15" customHeight="1" x14ac:dyDescent="0.25">
      <c r="A619" s="111" t="s">
        <v>2719</v>
      </c>
      <c r="B619" s="120">
        <v>46011</v>
      </c>
      <c r="C619" s="111">
        <f t="shared" si="27"/>
        <v>1210</v>
      </c>
      <c r="D619" s="111">
        <v>1</v>
      </c>
      <c r="G619" s="116" t="s">
        <v>19</v>
      </c>
      <c r="H619" s="111" t="s">
        <v>2965</v>
      </c>
      <c r="I619" s="111">
        <v>331</v>
      </c>
      <c r="J619" s="111">
        <v>1111</v>
      </c>
      <c r="K619" s="111" t="s">
        <v>20</v>
      </c>
      <c r="L619" s="111">
        <v>1</v>
      </c>
      <c r="M619" s="118">
        <v>57000</v>
      </c>
      <c r="N619" s="118">
        <f t="shared" si="28"/>
        <v>57000</v>
      </c>
      <c r="O619" s="111" t="s">
        <v>21</v>
      </c>
      <c r="P619" s="111">
        <f t="shared" si="29"/>
        <v>591</v>
      </c>
    </row>
    <row r="620" spans="1:16" ht="15" customHeight="1" x14ac:dyDescent="0.25">
      <c r="A620" s="111" t="s">
        <v>2719</v>
      </c>
      <c r="B620" s="120">
        <v>46012</v>
      </c>
      <c r="C620" s="111">
        <f t="shared" si="27"/>
        <v>1211</v>
      </c>
      <c r="D620" s="111">
        <v>1</v>
      </c>
      <c r="G620" s="116" t="s">
        <v>34</v>
      </c>
      <c r="H620" s="111" t="s">
        <v>2966</v>
      </c>
      <c r="I620" s="111">
        <v>331</v>
      </c>
      <c r="J620" s="111">
        <v>1111</v>
      </c>
      <c r="K620" s="111" t="s">
        <v>20</v>
      </c>
      <c r="L620" s="111">
        <v>1</v>
      </c>
      <c r="M620" s="118">
        <v>975000</v>
      </c>
      <c r="N620" s="118">
        <f t="shared" si="28"/>
        <v>975000</v>
      </c>
      <c r="O620" s="111" t="s">
        <v>21</v>
      </c>
      <c r="P620" s="111">
        <f t="shared" si="29"/>
        <v>592</v>
      </c>
    </row>
    <row r="621" spans="1:16" ht="15" customHeight="1" x14ac:dyDescent="0.25">
      <c r="A621" s="111" t="s">
        <v>2719</v>
      </c>
      <c r="B621" s="120">
        <v>46012</v>
      </c>
      <c r="C621" s="111">
        <f t="shared" si="27"/>
        <v>1212</v>
      </c>
      <c r="D621" s="111">
        <v>1</v>
      </c>
      <c r="G621" s="116" t="s">
        <v>23</v>
      </c>
      <c r="H621" s="111" t="s">
        <v>2967</v>
      </c>
      <c r="I621" s="111">
        <v>331</v>
      </c>
      <c r="J621" s="111">
        <v>1111</v>
      </c>
      <c r="K621" s="111" t="s">
        <v>20</v>
      </c>
      <c r="L621" s="111">
        <v>1</v>
      </c>
      <c r="M621" s="118">
        <v>94000</v>
      </c>
      <c r="N621" s="118">
        <f t="shared" si="28"/>
        <v>94000</v>
      </c>
      <c r="O621" s="111" t="s">
        <v>21</v>
      </c>
      <c r="P621" s="111">
        <f t="shared" si="29"/>
        <v>593</v>
      </c>
    </row>
    <row r="622" spans="1:16" ht="15" customHeight="1" x14ac:dyDescent="0.25">
      <c r="A622" s="111" t="s">
        <v>2719</v>
      </c>
      <c r="B622" s="120">
        <v>46012</v>
      </c>
      <c r="C622" s="111">
        <f t="shared" si="27"/>
        <v>1213</v>
      </c>
      <c r="D622" s="111">
        <v>1</v>
      </c>
      <c r="G622" s="116" t="s">
        <v>24</v>
      </c>
      <c r="H622" s="111" t="s">
        <v>2968</v>
      </c>
      <c r="I622" s="111">
        <v>331</v>
      </c>
      <c r="J622" s="111">
        <v>1111</v>
      </c>
      <c r="K622" s="111" t="s">
        <v>20</v>
      </c>
      <c r="L622" s="111">
        <v>1</v>
      </c>
      <c r="M622" s="118">
        <v>62000</v>
      </c>
      <c r="N622" s="118">
        <f t="shared" si="28"/>
        <v>62000</v>
      </c>
      <c r="O622" s="111" t="s">
        <v>21</v>
      </c>
      <c r="P622" s="111">
        <f t="shared" si="29"/>
        <v>594</v>
      </c>
    </row>
    <row r="623" spans="1:16" ht="15" customHeight="1" x14ac:dyDescent="0.25">
      <c r="A623" s="111" t="s">
        <v>2719</v>
      </c>
      <c r="B623" s="120">
        <v>46012</v>
      </c>
      <c r="C623" s="111">
        <f t="shared" si="27"/>
        <v>1214</v>
      </c>
      <c r="D623" s="111">
        <v>1</v>
      </c>
      <c r="G623" s="116" t="s">
        <v>19</v>
      </c>
      <c r="H623" s="111" t="s">
        <v>2969</v>
      </c>
      <c r="I623" s="111">
        <v>331</v>
      </c>
      <c r="J623" s="111">
        <v>1111</v>
      </c>
      <c r="K623" s="111" t="s">
        <v>20</v>
      </c>
      <c r="L623" s="111">
        <v>1</v>
      </c>
      <c r="M623" s="118">
        <v>42000</v>
      </c>
      <c r="N623" s="118">
        <f t="shared" si="28"/>
        <v>42000</v>
      </c>
      <c r="O623" s="111" t="s">
        <v>21</v>
      </c>
      <c r="P623" s="111">
        <f t="shared" si="29"/>
        <v>595</v>
      </c>
    </row>
    <row r="624" spans="1:16" ht="15" customHeight="1" x14ac:dyDescent="0.25">
      <c r="A624" s="111" t="s">
        <v>2719</v>
      </c>
      <c r="B624" s="120">
        <v>46012</v>
      </c>
      <c r="C624" s="111">
        <f t="shared" si="27"/>
        <v>1215</v>
      </c>
      <c r="D624" s="111">
        <v>1</v>
      </c>
      <c r="G624" s="116" t="s">
        <v>19</v>
      </c>
      <c r="H624" s="111" t="s">
        <v>2970</v>
      </c>
      <c r="I624" s="111">
        <v>331</v>
      </c>
      <c r="J624" s="111">
        <v>1111</v>
      </c>
      <c r="K624" s="111" t="s">
        <v>20</v>
      </c>
      <c r="L624" s="111">
        <v>1</v>
      </c>
      <c r="M624" s="118">
        <v>34000</v>
      </c>
      <c r="N624" s="118">
        <f t="shared" si="28"/>
        <v>34000</v>
      </c>
      <c r="O624" s="111" t="s">
        <v>21</v>
      </c>
      <c r="P624" s="111">
        <f t="shared" si="29"/>
        <v>596</v>
      </c>
    </row>
    <row r="625" spans="1:16" ht="15" customHeight="1" x14ac:dyDescent="0.25">
      <c r="A625" s="111" t="s">
        <v>2719</v>
      </c>
      <c r="B625" s="120">
        <v>46012</v>
      </c>
      <c r="C625" s="111">
        <f t="shared" si="27"/>
        <v>1216</v>
      </c>
      <c r="D625" s="111">
        <v>1</v>
      </c>
      <c r="G625" s="116" t="s">
        <v>19</v>
      </c>
      <c r="H625" s="111" t="s">
        <v>2971</v>
      </c>
      <c r="I625" s="111">
        <v>331</v>
      </c>
      <c r="J625" s="111">
        <v>1111</v>
      </c>
      <c r="K625" s="111" t="s">
        <v>20</v>
      </c>
      <c r="L625" s="111">
        <v>1</v>
      </c>
      <c r="M625" s="118">
        <v>52000</v>
      </c>
      <c r="N625" s="118">
        <f t="shared" si="28"/>
        <v>52000</v>
      </c>
      <c r="O625" s="111" t="s">
        <v>21</v>
      </c>
      <c r="P625" s="111">
        <f t="shared" si="29"/>
        <v>597</v>
      </c>
    </row>
    <row r="626" spans="1:16" ht="15" customHeight="1" x14ac:dyDescent="0.25">
      <c r="A626" s="111" t="s">
        <v>2719</v>
      </c>
      <c r="B626" s="120">
        <v>46013</v>
      </c>
      <c r="C626" s="111">
        <f t="shared" si="27"/>
        <v>1217</v>
      </c>
      <c r="D626" s="111">
        <v>1</v>
      </c>
      <c r="G626" s="116" t="s">
        <v>1028</v>
      </c>
      <c r="H626" s="111" t="s">
        <v>2972</v>
      </c>
      <c r="I626" s="111">
        <v>331</v>
      </c>
      <c r="J626" s="111">
        <v>1111</v>
      </c>
      <c r="K626" s="111" t="s">
        <v>20</v>
      </c>
      <c r="L626" s="111">
        <v>1</v>
      </c>
      <c r="M626" s="118">
        <v>4972023</v>
      </c>
      <c r="N626" s="118">
        <f t="shared" si="28"/>
        <v>4972023</v>
      </c>
      <c r="O626" s="111" t="s">
        <v>21</v>
      </c>
      <c r="P626" s="111">
        <f t="shared" si="29"/>
        <v>598</v>
      </c>
    </row>
    <row r="627" spans="1:16" ht="15" customHeight="1" x14ac:dyDescent="0.25">
      <c r="A627" s="111" t="s">
        <v>2719</v>
      </c>
      <c r="B627" s="120">
        <v>46013</v>
      </c>
      <c r="C627" s="111">
        <f t="shared" si="27"/>
        <v>1218</v>
      </c>
      <c r="D627" s="111">
        <v>1</v>
      </c>
      <c r="G627" s="116" t="s">
        <v>33</v>
      </c>
      <c r="H627" s="111" t="s">
        <v>2973</v>
      </c>
      <c r="I627" s="111">
        <v>331</v>
      </c>
      <c r="J627" s="111">
        <v>1111</v>
      </c>
      <c r="K627" s="111" t="s">
        <v>20</v>
      </c>
      <c r="L627" s="111">
        <v>1</v>
      </c>
      <c r="M627" s="118">
        <v>2957332</v>
      </c>
      <c r="N627" s="118">
        <f t="shared" si="28"/>
        <v>2957332</v>
      </c>
      <c r="O627" s="111" t="s">
        <v>21</v>
      </c>
      <c r="P627" s="111">
        <f t="shared" si="29"/>
        <v>599</v>
      </c>
    </row>
    <row r="628" spans="1:16" ht="15" customHeight="1" x14ac:dyDescent="0.25">
      <c r="A628" s="111" t="s">
        <v>2719</v>
      </c>
      <c r="B628" s="120">
        <v>46013</v>
      </c>
      <c r="C628" s="111">
        <f t="shared" si="27"/>
        <v>1219</v>
      </c>
      <c r="D628" s="111">
        <v>1</v>
      </c>
      <c r="G628" s="116" t="s">
        <v>24</v>
      </c>
      <c r="H628" s="111" t="s">
        <v>2974</v>
      </c>
      <c r="I628" s="111">
        <v>331</v>
      </c>
      <c r="J628" s="111">
        <v>1111</v>
      </c>
      <c r="K628" s="111" t="s">
        <v>20</v>
      </c>
      <c r="L628" s="111">
        <v>1</v>
      </c>
      <c r="M628" s="118">
        <v>51000</v>
      </c>
      <c r="N628" s="118">
        <f t="shared" si="28"/>
        <v>51000</v>
      </c>
      <c r="O628" s="111" t="s">
        <v>21</v>
      </c>
      <c r="P628" s="111">
        <f t="shared" si="29"/>
        <v>600</v>
      </c>
    </row>
    <row r="629" spans="1:16" ht="15" customHeight="1" x14ac:dyDescent="0.25">
      <c r="A629" s="111" t="s">
        <v>2719</v>
      </c>
      <c r="B629" s="120">
        <v>46014</v>
      </c>
      <c r="C629" s="111">
        <f t="shared" si="27"/>
        <v>1220</v>
      </c>
      <c r="D629" s="111">
        <v>1</v>
      </c>
      <c r="G629" s="116" t="s">
        <v>1016</v>
      </c>
      <c r="H629" s="111" t="s">
        <v>2975</v>
      </c>
      <c r="I629" s="111">
        <v>331</v>
      </c>
      <c r="J629" s="111">
        <v>1111</v>
      </c>
      <c r="K629" s="111" t="s">
        <v>20</v>
      </c>
      <c r="L629" s="111">
        <v>1</v>
      </c>
      <c r="M629" s="118">
        <v>204000</v>
      </c>
      <c r="N629" s="118">
        <f t="shared" si="28"/>
        <v>204000</v>
      </c>
      <c r="O629" s="111" t="s">
        <v>21</v>
      </c>
      <c r="P629" s="111">
        <f t="shared" si="29"/>
        <v>601</v>
      </c>
    </row>
    <row r="630" spans="1:16" ht="15" customHeight="1" x14ac:dyDescent="0.25">
      <c r="A630" s="111" t="s">
        <v>2719</v>
      </c>
      <c r="B630" s="120">
        <v>46014</v>
      </c>
      <c r="C630" s="111">
        <f t="shared" si="27"/>
        <v>1221</v>
      </c>
      <c r="D630" s="111">
        <v>1</v>
      </c>
      <c r="G630" s="116" t="s">
        <v>23</v>
      </c>
      <c r="H630" s="111" t="s">
        <v>2976</v>
      </c>
      <c r="I630" s="111">
        <v>331</v>
      </c>
      <c r="J630" s="111">
        <v>1111</v>
      </c>
      <c r="K630" s="111" t="s">
        <v>20</v>
      </c>
      <c r="L630" s="111">
        <v>1</v>
      </c>
      <c r="M630" s="118">
        <v>163000</v>
      </c>
      <c r="N630" s="118">
        <f t="shared" si="28"/>
        <v>163000</v>
      </c>
      <c r="O630" s="111" t="s">
        <v>21</v>
      </c>
      <c r="P630" s="111">
        <f t="shared" si="29"/>
        <v>602</v>
      </c>
    </row>
    <row r="631" spans="1:16" ht="15" customHeight="1" x14ac:dyDescent="0.25">
      <c r="A631" s="111" t="s">
        <v>2719</v>
      </c>
      <c r="B631" s="120">
        <v>46014</v>
      </c>
      <c r="C631" s="111">
        <f t="shared" si="27"/>
        <v>1222</v>
      </c>
      <c r="D631" s="111">
        <v>1</v>
      </c>
      <c r="G631" s="116" t="s">
        <v>19</v>
      </c>
      <c r="H631" s="111" t="s">
        <v>2977</v>
      </c>
      <c r="I631" s="111">
        <v>331</v>
      </c>
      <c r="J631" s="111">
        <v>1111</v>
      </c>
      <c r="K631" s="111" t="s">
        <v>20</v>
      </c>
      <c r="L631" s="111">
        <v>1</v>
      </c>
      <c r="M631" s="118">
        <v>21000</v>
      </c>
      <c r="N631" s="118">
        <f t="shared" si="28"/>
        <v>21000</v>
      </c>
      <c r="O631" s="111" t="s">
        <v>21</v>
      </c>
      <c r="P631" s="111">
        <f t="shared" si="29"/>
        <v>603</v>
      </c>
    </row>
    <row r="632" spans="1:16" ht="15" customHeight="1" x14ac:dyDescent="0.25">
      <c r="A632" s="111" t="s">
        <v>2719</v>
      </c>
      <c r="B632" s="120">
        <v>46014</v>
      </c>
      <c r="C632" s="111">
        <f t="shared" si="27"/>
        <v>1223</v>
      </c>
      <c r="D632" s="111">
        <v>1</v>
      </c>
      <c r="G632" s="116" t="s">
        <v>19</v>
      </c>
      <c r="H632" s="111" t="s">
        <v>2978</v>
      </c>
      <c r="I632" s="111">
        <v>331</v>
      </c>
      <c r="J632" s="111">
        <v>1111</v>
      </c>
      <c r="K632" s="111" t="s">
        <v>20</v>
      </c>
      <c r="L632" s="111">
        <v>1</v>
      </c>
      <c r="M632" s="118">
        <v>37000</v>
      </c>
      <c r="N632" s="118">
        <f t="shared" si="28"/>
        <v>37000</v>
      </c>
      <c r="O632" s="111" t="s">
        <v>21</v>
      </c>
      <c r="P632" s="111">
        <f t="shared" si="29"/>
        <v>604</v>
      </c>
    </row>
    <row r="633" spans="1:16" ht="15" customHeight="1" x14ac:dyDescent="0.25">
      <c r="A633" s="111" t="s">
        <v>2719</v>
      </c>
      <c r="B633" s="120">
        <v>46015</v>
      </c>
      <c r="C633" s="111">
        <f t="shared" si="27"/>
        <v>1224</v>
      </c>
      <c r="D633" s="111">
        <v>1</v>
      </c>
      <c r="G633" s="116" t="s">
        <v>1021</v>
      </c>
      <c r="H633" s="111" t="s">
        <v>2979</v>
      </c>
      <c r="I633" s="111">
        <v>331</v>
      </c>
      <c r="J633" s="111">
        <v>1111</v>
      </c>
      <c r="K633" s="111" t="s">
        <v>20</v>
      </c>
      <c r="L633" s="111">
        <v>1</v>
      </c>
      <c r="M633" s="118">
        <v>330000</v>
      </c>
      <c r="N633" s="118">
        <f t="shared" si="28"/>
        <v>330000</v>
      </c>
      <c r="O633" s="111" t="s">
        <v>21</v>
      </c>
      <c r="P633" s="111">
        <f t="shared" si="29"/>
        <v>605</v>
      </c>
    </row>
    <row r="634" spans="1:16" ht="15" customHeight="1" x14ac:dyDescent="0.25">
      <c r="A634" s="111" t="s">
        <v>2719</v>
      </c>
      <c r="B634" s="120">
        <v>46016</v>
      </c>
      <c r="C634" s="111">
        <f t="shared" si="27"/>
        <v>1225</v>
      </c>
      <c r="D634" s="111">
        <v>1</v>
      </c>
      <c r="G634" s="116" t="s">
        <v>41</v>
      </c>
      <c r="H634" s="111" t="s">
        <v>2980</v>
      </c>
      <c r="I634" s="111">
        <v>331</v>
      </c>
      <c r="J634" s="111">
        <v>1111</v>
      </c>
      <c r="K634" s="111" t="s">
        <v>20</v>
      </c>
      <c r="L634" s="111">
        <v>1</v>
      </c>
      <c r="M634" s="118">
        <v>1269000</v>
      </c>
      <c r="N634" s="118">
        <f t="shared" si="28"/>
        <v>1269000</v>
      </c>
      <c r="O634" s="111" t="s">
        <v>21</v>
      </c>
      <c r="P634" s="111">
        <f t="shared" si="29"/>
        <v>606</v>
      </c>
    </row>
    <row r="635" spans="1:16" ht="15" customHeight="1" x14ac:dyDescent="0.25">
      <c r="A635" s="111" t="s">
        <v>2719</v>
      </c>
      <c r="B635" s="120">
        <v>46016</v>
      </c>
      <c r="C635" s="111">
        <f t="shared" si="27"/>
        <v>1226</v>
      </c>
      <c r="D635" s="111">
        <v>1</v>
      </c>
      <c r="G635" s="116" t="s">
        <v>24</v>
      </c>
      <c r="H635" s="111" t="s">
        <v>2981</v>
      </c>
      <c r="I635" s="111">
        <v>331</v>
      </c>
      <c r="J635" s="111">
        <v>1111</v>
      </c>
      <c r="K635" s="111" t="s">
        <v>20</v>
      </c>
      <c r="L635" s="111">
        <v>1</v>
      </c>
      <c r="M635" s="118">
        <v>145000</v>
      </c>
      <c r="N635" s="118">
        <f t="shared" si="28"/>
        <v>145000</v>
      </c>
      <c r="O635" s="111" t="s">
        <v>21</v>
      </c>
      <c r="P635" s="111">
        <f t="shared" si="29"/>
        <v>607</v>
      </c>
    </row>
    <row r="636" spans="1:16" ht="15" customHeight="1" x14ac:dyDescent="0.25">
      <c r="A636" s="111" t="s">
        <v>2719</v>
      </c>
      <c r="B636" s="120">
        <v>46016</v>
      </c>
      <c r="C636" s="111">
        <f t="shared" si="27"/>
        <v>1227</v>
      </c>
      <c r="D636" s="111">
        <v>1</v>
      </c>
      <c r="G636" s="116" t="s">
        <v>19</v>
      </c>
      <c r="H636" s="111" t="s">
        <v>2982</v>
      </c>
      <c r="I636" s="111">
        <v>331</v>
      </c>
      <c r="J636" s="111">
        <v>1111</v>
      </c>
      <c r="K636" s="111" t="s">
        <v>20</v>
      </c>
      <c r="L636" s="111">
        <v>1</v>
      </c>
      <c r="M636" s="118">
        <v>44000</v>
      </c>
      <c r="N636" s="118">
        <f t="shared" si="28"/>
        <v>44000</v>
      </c>
      <c r="O636" s="111" t="s">
        <v>21</v>
      </c>
      <c r="P636" s="111">
        <f t="shared" si="29"/>
        <v>608</v>
      </c>
    </row>
    <row r="637" spans="1:16" ht="15" customHeight="1" x14ac:dyDescent="0.25">
      <c r="A637" s="111" t="s">
        <v>2719</v>
      </c>
      <c r="B637" s="120" t="s">
        <v>1930</v>
      </c>
      <c r="C637" s="111">
        <f t="shared" si="27"/>
        <v>1228</v>
      </c>
      <c r="D637" s="111">
        <v>1</v>
      </c>
      <c r="G637" s="116" t="s">
        <v>2593</v>
      </c>
      <c r="H637" s="111" t="s">
        <v>2983</v>
      </c>
      <c r="I637" s="111">
        <v>331</v>
      </c>
      <c r="J637" s="111">
        <v>1111</v>
      </c>
      <c r="K637" s="111" t="s">
        <v>20</v>
      </c>
      <c r="L637" s="111">
        <v>1</v>
      </c>
      <c r="M637" s="118">
        <v>47000</v>
      </c>
      <c r="N637" s="118">
        <f t="shared" si="28"/>
        <v>47000</v>
      </c>
      <c r="O637" s="111" t="s">
        <v>21</v>
      </c>
      <c r="P637" s="111">
        <f t="shared" si="29"/>
        <v>609</v>
      </c>
    </row>
    <row r="638" spans="1:16" ht="15" customHeight="1" x14ac:dyDescent="0.25">
      <c r="A638" s="111" t="s">
        <v>2719</v>
      </c>
      <c r="B638" s="120" t="s">
        <v>1930</v>
      </c>
      <c r="C638" s="111">
        <f t="shared" si="27"/>
        <v>1229</v>
      </c>
      <c r="D638" s="111">
        <v>1</v>
      </c>
      <c r="G638" s="116" t="s">
        <v>2593</v>
      </c>
      <c r="H638" s="111" t="s">
        <v>2984</v>
      </c>
      <c r="I638" s="111">
        <v>331</v>
      </c>
      <c r="J638" s="111">
        <v>1111</v>
      </c>
      <c r="K638" s="111" t="s">
        <v>20</v>
      </c>
      <c r="L638" s="111">
        <v>1</v>
      </c>
      <c r="M638" s="118">
        <v>61000</v>
      </c>
      <c r="N638" s="118">
        <f t="shared" si="28"/>
        <v>61000</v>
      </c>
      <c r="O638" s="111" t="s">
        <v>21</v>
      </c>
      <c r="P638" s="111">
        <f t="shared" si="29"/>
        <v>610</v>
      </c>
    </row>
    <row r="639" spans="1:16" ht="15" customHeight="1" x14ac:dyDescent="0.25">
      <c r="A639" s="111" t="s">
        <v>2719</v>
      </c>
      <c r="B639" s="120" t="s">
        <v>1930</v>
      </c>
      <c r="C639" s="111">
        <f t="shared" si="27"/>
        <v>1230</v>
      </c>
      <c r="D639" s="111">
        <v>1</v>
      </c>
      <c r="G639" s="116" t="s">
        <v>41</v>
      </c>
      <c r="H639" s="111" t="s">
        <v>2985</v>
      </c>
      <c r="I639" s="111">
        <v>331</v>
      </c>
      <c r="J639" s="111">
        <v>1111</v>
      </c>
      <c r="K639" s="111" t="s">
        <v>20</v>
      </c>
      <c r="L639" s="111">
        <v>1</v>
      </c>
      <c r="M639" s="118">
        <v>4745520</v>
      </c>
      <c r="N639" s="118">
        <f t="shared" si="28"/>
        <v>4745520</v>
      </c>
      <c r="O639" s="111" t="s">
        <v>21</v>
      </c>
      <c r="P639" s="111">
        <f t="shared" si="29"/>
        <v>611</v>
      </c>
    </row>
    <row r="640" spans="1:16" ht="15" customHeight="1" x14ac:dyDescent="0.25">
      <c r="A640" s="111" t="s">
        <v>2719</v>
      </c>
      <c r="B640" s="120" t="s">
        <v>1930</v>
      </c>
      <c r="C640" s="111">
        <f t="shared" si="27"/>
        <v>1231</v>
      </c>
      <c r="D640" s="111">
        <v>1</v>
      </c>
      <c r="G640" s="116" t="s">
        <v>24</v>
      </c>
      <c r="H640" s="111" t="s">
        <v>2986</v>
      </c>
      <c r="I640" s="111">
        <v>331</v>
      </c>
      <c r="J640" s="111">
        <v>1111</v>
      </c>
      <c r="K640" s="111" t="s">
        <v>20</v>
      </c>
      <c r="L640" s="111">
        <v>1</v>
      </c>
      <c r="M640" s="118">
        <v>193000</v>
      </c>
      <c r="N640" s="118">
        <f t="shared" si="28"/>
        <v>193000</v>
      </c>
      <c r="O640" s="111" t="s">
        <v>21</v>
      </c>
      <c r="P640" s="111">
        <f t="shared" si="29"/>
        <v>612</v>
      </c>
    </row>
    <row r="641" spans="1:16" ht="15" customHeight="1" x14ac:dyDescent="0.25">
      <c r="A641" s="111" t="s">
        <v>2719</v>
      </c>
      <c r="B641" s="120" t="s">
        <v>2561</v>
      </c>
      <c r="C641" s="111">
        <f t="shared" si="27"/>
        <v>1232</v>
      </c>
      <c r="D641" s="111">
        <v>1</v>
      </c>
      <c r="G641" s="116" t="s">
        <v>2594</v>
      </c>
      <c r="H641" s="111" t="s">
        <v>2987</v>
      </c>
      <c r="I641" s="111">
        <v>331</v>
      </c>
      <c r="J641" s="111">
        <v>1111</v>
      </c>
      <c r="K641" s="111" t="s">
        <v>20</v>
      </c>
      <c r="L641" s="111">
        <v>1</v>
      </c>
      <c r="M641" s="118">
        <v>735480</v>
      </c>
      <c r="N641" s="118">
        <f t="shared" si="28"/>
        <v>735480</v>
      </c>
      <c r="O641" s="111" t="s">
        <v>21</v>
      </c>
      <c r="P641" s="111">
        <f t="shared" si="29"/>
        <v>613</v>
      </c>
    </row>
    <row r="642" spans="1:16" ht="15" customHeight="1" x14ac:dyDescent="0.25">
      <c r="A642" s="111" t="s">
        <v>2719</v>
      </c>
      <c r="B642" s="120" t="s">
        <v>2561</v>
      </c>
      <c r="C642" s="111">
        <f t="shared" si="27"/>
        <v>1233</v>
      </c>
      <c r="D642" s="111">
        <v>1</v>
      </c>
      <c r="G642" s="116" t="s">
        <v>2593</v>
      </c>
      <c r="H642" s="111" t="s">
        <v>2988</v>
      </c>
      <c r="I642" s="111">
        <v>331</v>
      </c>
      <c r="J642" s="111">
        <v>1111</v>
      </c>
      <c r="K642" s="111" t="s">
        <v>20</v>
      </c>
      <c r="L642" s="111">
        <v>1</v>
      </c>
      <c r="M642" s="118">
        <v>32000</v>
      </c>
      <c r="N642" s="118">
        <f t="shared" si="28"/>
        <v>32000</v>
      </c>
      <c r="O642" s="111" t="s">
        <v>21</v>
      </c>
      <c r="P642" s="111">
        <f t="shared" si="29"/>
        <v>614</v>
      </c>
    </row>
    <row r="643" spans="1:16" ht="15" customHeight="1" x14ac:dyDescent="0.25">
      <c r="A643" s="111" t="s">
        <v>2719</v>
      </c>
      <c r="B643" s="120" t="s">
        <v>2382</v>
      </c>
      <c r="C643" s="111">
        <f t="shared" si="27"/>
        <v>1234</v>
      </c>
      <c r="D643" s="111">
        <v>1</v>
      </c>
      <c r="G643" s="116" t="s">
        <v>2595</v>
      </c>
      <c r="H643" s="111" t="s">
        <v>2989</v>
      </c>
      <c r="I643" s="111">
        <v>331</v>
      </c>
      <c r="J643" s="111">
        <v>1111</v>
      </c>
      <c r="K643" s="111" t="s">
        <v>20</v>
      </c>
      <c r="L643" s="111">
        <v>1</v>
      </c>
      <c r="M643" s="118">
        <v>92000</v>
      </c>
      <c r="N643" s="118">
        <f t="shared" si="28"/>
        <v>92000</v>
      </c>
      <c r="O643" s="111" t="s">
        <v>21</v>
      </c>
      <c r="P643" s="111">
        <f t="shared" si="29"/>
        <v>615</v>
      </c>
    </row>
    <row r="644" spans="1:16" ht="15" customHeight="1" x14ac:dyDescent="0.25">
      <c r="A644" s="111" t="s">
        <v>2719</v>
      </c>
      <c r="B644" s="120" t="s">
        <v>2382</v>
      </c>
      <c r="C644" s="111">
        <f t="shared" ref="C644:C662" si="30">C643+D644</f>
        <v>1235</v>
      </c>
      <c r="D644" s="111">
        <v>1</v>
      </c>
      <c r="G644" s="116" t="s">
        <v>2595</v>
      </c>
      <c r="H644" s="111" t="s">
        <v>2990</v>
      </c>
      <c r="I644" s="111">
        <v>331</v>
      </c>
      <c r="J644" s="111">
        <v>1111</v>
      </c>
      <c r="K644" s="111" t="s">
        <v>20</v>
      </c>
      <c r="L644" s="111">
        <v>1</v>
      </c>
      <c r="M644" s="118">
        <v>177000</v>
      </c>
      <c r="N644" s="118">
        <f t="shared" ref="N644:N662" si="31">M644*L644</f>
        <v>177000</v>
      </c>
      <c r="O644" s="111" t="s">
        <v>21</v>
      </c>
      <c r="P644" s="111">
        <f t="shared" si="29"/>
        <v>616</v>
      </c>
    </row>
    <row r="645" spans="1:16" ht="15" customHeight="1" x14ac:dyDescent="0.25">
      <c r="A645" s="111" t="s">
        <v>2719</v>
      </c>
      <c r="B645" s="120" t="s">
        <v>2382</v>
      </c>
      <c r="C645" s="111">
        <f t="shared" si="30"/>
        <v>1236</v>
      </c>
      <c r="D645" s="111">
        <v>1</v>
      </c>
      <c r="G645" s="116" t="s">
        <v>2596</v>
      </c>
      <c r="H645" s="111" t="s">
        <v>2991</v>
      </c>
      <c r="I645" s="111">
        <v>331</v>
      </c>
      <c r="J645" s="111">
        <v>1111</v>
      </c>
      <c r="K645" s="111" t="s">
        <v>20</v>
      </c>
      <c r="L645" s="111">
        <v>1</v>
      </c>
      <c r="M645" s="118">
        <v>130000</v>
      </c>
      <c r="N645" s="118">
        <f t="shared" si="31"/>
        <v>130000</v>
      </c>
      <c r="O645" s="111" t="s">
        <v>21</v>
      </c>
      <c r="P645" s="111">
        <f t="shared" ref="P645:P655" si="32">P644+D645</f>
        <v>617</v>
      </c>
    </row>
    <row r="646" spans="1:16" ht="15" customHeight="1" x14ac:dyDescent="0.25">
      <c r="A646" s="111" t="s">
        <v>2719</v>
      </c>
      <c r="B646" s="120" t="s">
        <v>2382</v>
      </c>
      <c r="C646" s="111">
        <f t="shared" si="30"/>
        <v>1237</v>
      </c>
      <c r="D646" s="111">
        <v>1</v>
      </c>
      <c r="G646" s="116" t="s">
        <v>2593</v>
      </c>
      <c r="H646" s="111" t="s">
        <v>2992</v>
      </c>
      <c r="I646" s="111">
        <v>331</v>
      </c>
      <c r="J646" s="111">
        <v>1111</v>
      </c>
      <c r="K646" s="111" t="s">
        <v>20</v>
      </c>
      <c r="L646" s="111">
        <v>1</v>
      </c>
      <c r="M646" s="118">
        <v>44000</v>
      </c>
      <c r="N646" s="118">
        <f t="shared" si="31"/>
        <v>44000</v>
      </c>
      <c r="O646" s="111" t="s">
        <v>21</v>
      </c>
      <c r="P646" s="111">
        <f t="shared" si="32"/>
        <v>618</v>
      </c>
    </row>
    <row r="647" spans="1:16" ht="15" customHeight="1" x14ac:dyDescent="0.25">
      <c r="A647" s="111" t="s">
        <v>2719</v>
      </c>
      <c r="B647" s="120" t="s">
        <v>2382</v>
      </c>
      <c r="C647" s="111">
        <f t="shared" si="30"/>
        <v>1238</v>
      </c>
      <c r="D647" s="111">
        <v>1</v>
      </c>
      <c r="G647" s="116" t="s">
        <v>2593</v>
      </c>
      <c r="H647" s="111" t="s">
        <v>2993</v>
      </c>
      <c r="I647" s="111">
        <v>331</v>
      </c>
      <c r="J647" s="111">
        <v>1111</v>
      </c>
      <c r="K647" s="111" t="s">
        <v>20</v>
      </c>
      <c r="L647" s="111">
        <v>1</v>
      </c>
      <c r="M647" s="118">
        <v>62000</v>
      </c>
      <c r="N647" s="118">
        <f t="shared" si="31"/>
        <v>62000</v>
      </c>
      <c r="O647" s="111" t="s">
        <v>21</v>
      </c>
      <c r="P647" s="111">
        <f t="shared" si="32"/>
        <v>619</v>
      </c>
    </row>
    <row r="648" spans="1:16" ht="15" customHeight="1" x14ac:dyDescent="0.25">
      <c r="A648" s="111" t="s">
        <v>2719</v>
      </c>
      <c r="B648" s="120" t="s">
        <v>2382</v>
      </c>
      <c r="C648" s="111">
        <f t="shared" si="30"/>
        <v>1239</v>
      </c>
      <c r="D648" s="111">
        <v>1</v>
      </c>
      <c r="G648" s="116" t="s">
        <v>2593</v>
      </c>
      <c r="H648" s="111" t="s">
        <v>2994</v>
      </c>
      <c r="I648" s="111">
        <v>331</v>
      </c>
      <c r="J648" s="111">
        <v>1111</v>
      </c>
      <c r="K648" s="111" t="s">
        <v>20</v>
      </c>
      <c r="L648" s="111">
        <v>1</v>
      </c>
      <c r="M648" s="118">
        <v>41000</v>
      </c>
      <c r="N648" s="118">
        <f t="shared" si="31"/>
        <v>41000</v>
      </c>
      <c r="O648" s="111" t="s">
        <v>21</v>
      </c>
      <c r="P648" s="111">
        <f t="shared" si="32"/>
        <v>620</v>
      </c>
    </row>
    <row r="649" spans="1:16" ht="15" customHeight="1" x14ac:dyDescent="0.25">
      <c r="A649" s="111" t="s">
        <v>2719</v>
      </c>
      <c r="B649" s="120" t="s">
        <v>2504</v>
      </c>
      <c r="C649" s="111">
        <f t="shared" si="30"/>
        <v>1240</v>
      </c>
      <c r="D649" s="111">
        <v>1</v>
      </c>
      <c r="G649" s="116" t="s">
        <v>2597</v>
      </c>
      <c r="H649" s="111" t="s">
        <v>2995</v>
      </c>
      <c r="I649" s="111">
        <v>331</v>
      </c>
      <c r="J649" s="111">
        <v>1111</v>
      </c>
      <c r="K649" s="111" t="s">
        <v>20</v>
      </c>
      <c r="L649" s="111">
        <v>1</v>
      </c>
      <c r="M649" s="118">
        <v>174000</v>
      </c>
      <c r="N649" s="118">
        <f t="shared" si="31"/>
        <v>174000</v>
      </c>
      <c r="O649" s="111" t="s">
        <v>21</v>
      </c>
      <c r="P649" s="111">
        <f t="shared" si="32"/>
        <v>621</v>
      </c>
    </row>
    <row r="650" spans="1:16" ht="15" customHeight="1" x14ac:dyDescent="0.25">
      <c r="A650" s="111" t="s">
        <v>2719</v>
      </c>
      <c r="B650" s="120" t="s">
        <v>2504</v>
      </c>
      <c r="C650" s="111">
        <f t="shared" si="30"/>
        <v>1241</v>
      </c>
      <c r="D650" s="111">
        <v>1</v>
      </c>
      <c r="G650" s="116" t="s">
        <v>19</v>
      </c>
      <c r="H650" s="111" t="s">
        <v>2996</v>
      </c>
      <c r="I650" s="111">
        <v>331</v>
      </c>
      <c r="J650" s="111">
        <v>1111</v>
      </c>
      <c r="K650" s="111" t="s">
        <v>20</v>
      </c>
      <c r="L650" s="111">
        <v>1</v>
      </c>
      <c r="M650" s="118">
        <v>240000</v>
      </c>
      <c r="N650" s="118">
        <f t="shared" si="31"/>
        <v>240000</v>
      </c>
      <c r="O650" s="111" t="s">
        <v>21</v>
      </c>
      <c r="P650" s="111">
        <f t="shared" si="32"/>
        <v>622</v>
      </c>
    </row>
    <row r="651" spans="1:16" ht="15" customHeight="1" x14ac:dyDescent="0.25">
      <c r="A651" s="111" t="s">
        <v>2719</v>
      </c>
      <c r="B651" s="120" t="s">
        <v>2513</v>
      </c>
      <c r="C651" s="111">
        <f t="shared" si="30"/>
        <v>1242</v>
      </c>
      <c r="D651" s="111">
        <v>1</v>
      </c>
      <c r="G651" s="116" t="s">
        <v>27</v>
      </c>
      <c r="H651" s="111" t="s">
        <v>2997</v>
      </c>
      <c r="I651" s="111">
        <v>331</v>
      </c>
      <c r="J651" s="111">
        <v>1111</v>
      </c>
      <c r="K651" s="111" t="s">
        <v>20</v>
      </c>
      <c r="L651" s="111">
        <v>1</v>
      </c>
      <c r="M651" s="118">
        <v>583200</v>
      </c>
      <c r="N651" s="118">
        <f t="shared" si="31"/>
        <v>583200</v>
      </c>
      <c r="O651" s="111" t="s">
        <v>21</v>
      </c>
      <c r="P651" s="111">
        <f t="shared" si="32"/>
        <v>623</v>
      </c>
    </row>
    <row r="652" spans="1:16" ht="15" customHeight="1" x14ac:dyDescent="0.25">
      <c r="A652" s="111" t="s">
        <v>2719</v>
      </c>
      <c r="B652" s="120" t="s">
        <v>2513</v>
      </c>
      <c r="C652" s="111">
        <f t="shared" si="30"/>
        <v>1243</v>
      </c>
      <c r="D652" s="111">
        <v>1</v>
      </c>
      <c r="G652" s="116" t="s">
        <v>2593</v>
      </c>
      <c r="H652" s="111" t="s">
        <v>2998</v>
      </c>
      <c r="I652" s="111">
        <v>331</v>
      </c>
      <c r="J652" s="111">
        <v>1111</v>
      </c>
      <c r="K652" s="111" t="s">
        <v>20</v>
      </c>
      <c r="L652" s="111">
        <v>1</v>
      </c>
      <c r="M652" s="118">
        <v>72000</v>
      </c>
      <c r="N652" s="118">
        <f t="shared" si="31"/>
        <v>72000</v>
      </c>
      <c r="O652" s="111" t="s">
        <v>21</v>
      </c>
      <c r="P652" s="111">
        <f t="shared" si="32"/>
        <v>624</v>
      </c>
    </row>
    <row r="653" spans="1:16" ht="15" customHeight="1" x14ac:dyDescent="0.25">
      <c r="A653" s="111" t="s">
        <v>2719</v>
      </c>
      <c r="B653" s="120" t="s">
        <v>2513</v>
      </c>
      <c r="C653" s="111">
        <f t="shared" si="30"/>
        <v>1244</v>
      </c>
      <c r="D653" s="111">
        <v>1</v>
      </c>
      <c r="G653" s="116" t="s">
        <v>41</v>
      </c>
      <c r="H653" s="111" t="s">
        <v>2999</v>
      </c>
      <c r="I653" s="111">
        <v>331</v>
      </c>
      <c r="J653" s="111">
        <v>1111</v>
      </c>
      <c r="K653" s="111" t="s">
        <v>20</v>
      </c>
      <c r="L653" s="111">
        <v>1</v>
      </c>
      <c r="M653" s="118">
        <v>2373200</v>
      </c>
      <c r="N653" s="118">
        <f t="shared" si="31"/>
        <v>2373200</v>
      </c>
      <c r="O653" s="111" t="s">
        <v>21</v>
      </c>
      <c r="P653" s="111">
        <f t="shared" si="32"/>
        <v>625</v>
      </c>
    </row>
    <row r="654" spans="1:16" ht="15" customHeight="1" x14ac:dyDescent="0.25">
      <c r="A654" s="111" t="s">
        <v>2719</v>
      </c>
      <c r="B654" s="120" t="s">
        <v>2513</v>
      </c>
      <c r="C654" s="111">
        <f t="shared" si="30"/>
        <v>1245</v>
      </c>
      <c r="D654" s="111">
        <v>1</v>
      </c>
      <c r="G654" s="116" t="s">
        <v>19</v>
      </c>
      <c r="H654" s="111" t="s">
        <v>3000</v>
      </c>
      <c r="I654" s="111">
        <v>331</v>
      </c>
      <c r="J654" s="111">
        <v>1111</v>
      </c>
      <c r="K654" s="111" t="s">
        <v>20</v>
      </c>
      <c r="L654" s="111">
        <v>1</v>
      </c>
      <c r="M654" s="118">
        <v>112000</v>
      </c>
      <c r="N654" s="118">
        <f t="shared" si="31"/>
        <v>112000</v>
      </c>
      <c r="O654" s="111" t="s">
        <v>21</v>
      </c>
      <c r="P654" s="111">
        <f t="shared" si="32"/>
        <v>626</v>
      </c>
    </row>
    <row r="655" spans="1:16" ht="15" customHeight="1" x14ac:dyDescent="0.25">
      <c r="A655" s="111" t="s">
        <v>2719</v>
      </c>
      <c r="B655" s="120" t="s">
        <v>2513</v>
      </c>
      <c r="C655" s="111">
        <f t="shared" si="30"/>
        <v>1246</v>
      </c>
      <c r="D655" s="111">
        <v>1</v>
      </c>
      <c r="G655" s="116" t="s">
        <v>19</v>
      </c>
      <c r="H655" s="111" t="s">
        <v>3001</v>
      </c>
      <c r="I655" s="111">
        <v>331</v>
      </c>
      <c r="J655" s="111">
        <v>1111</v>
      </c>
      <c r="K655" s="111" t="s">
        <v>20</v>
      </c>
      <c r="L655" s="111">
        <v>1</v>
      </c>
      <c r="M655" s="118">
        <v>180000</v>
      </c>
      <c r="N655" s="118">
        <f t="shared" si="31"/>
        <v>180000</v>
      </c>
      <c r="O655" s="111" t="s">
        <v>21</v>
      </c>
      <c r="P655" s="111">
        <f t="shared" si="32"/>
        <v>627</v>
      </c>
    </row>
    <row r="656" spans="1:16" ht="15" customHeight="1" x14ac:dyDescent="0.25">
      <c r="A656" s="111" t="s">
        <v>2679</v>
      </c>
      <c r="B656" s="120">
        <v>45971</v>
      </c>
      <c r="C656" s="111">
        <f t="shared" si="30"/>
        <v>1247</v>
      </c>
      <c r="D656" s="111">
        <v>1</v>
      </c>
      <c r="G656" s="116" t="s">
        <v>29</v>
      </c>
      <c r="H656" s="111" t="s">
        <v>3014</v>
      </c>
      <c r="I656" s="111">
        <v>112121</v>
      </c>
      <c r="J656" s="111">
        <v>131</v>
      </c>
      <c r="K656" s="111" t="s">
        <v>20</v>
      </c>
      <c r="L656" s="111">
        <v>1</v>
      </c>
      <c r="M656" s="118">
        <v>69193548</v>
      </c>
      <c r="N656" s="118">
        <f t="shared" si="31"/>
        <v>69193548</v>
      </c>
      <c r="O656" s="111" t="s">
        <v>21</v>
      </c>
      <c r="P656" s="111">
        <v>628</v>
      </c>
    </row>
    <row r="657" spans="1:23" ht="15" customHeight="1" x14ac:dyDescent="0.25">
      <c r="A657" s="111" t="s">
        <v>2679</v>
      </c>
      <c r="B657" s="120">
        <v>45978</v>
      </c>
      <c r="C657" s="111">
        <f t="shared" si="30"/>
        <v>1248</v>
      </c>
      <c r="D657" s="111">
        <v>1</v>
      </c>
      <c r="G657" s="116" t="s">
        <v>82</v>
      </c>
      <c r="H657" s="111" t="s">
        <v>3016</v>
      </c>
      <c r="I657" s="111">
        <v>112121</v>
      </c>
      <c r="J657" s="111">
        <v>131</v>
      </c>
      <c r="K657" s="111" t="s">
        <v>20</v>
      </c>
      <c r="L657" s="111">
        <v>1</v>
      </c>
      <c r="M657" s="118">
        <v>15967742</v>
      </c>
      <c r="N657" s="118">
        <f t="shared" si="31"/>
        <v>15967742</v>
      </c>
      <c r="O657" s="111" t="s">
        <v>21</v>
      </c>
      <c r="P657" s="111">
        <v>629</v>
      </c>
    </row>
    <row r="658" spans="1:23" ht="15" customHeight="1" x14ac:dyDescent="0.25">
      <c r="A658" s="111" t="s">
        <v>2679</v>
      </c>
      <c r="B658" s="120">
        <v>45991</v>
      </c>
      <c r="C658" s="111">
        <f t="shared" si="30"/>
        <v>1249</v>
      </c>
      <c r="D658" s="111">
        <v>1</v>
      </c>
      <c r="G658" s="116" t="s">
        <v>3012</v>
      </c>
      <c r="H658" s="111" t="s">
        <v>2687</v>
      </c>
      <c r="I658" s="111">
        <v>112121</v>
      </c>
      <c r="J658" s="111">
        <v>5154</v>
      </c>
      <c r="K658" s="111" t="s">
        <v>20</v>
      </c>
      <c r="L658" s="111">
        <v>1</v>
      </c>
      <c r="M658" s="118">
        <v>4360</v>
      </c>
      <c r="N658" s="118">
        <f t="shared" si="31"/>
        <v>4360</v>
      </c>
      <c r="O658" s="111" t="s">
        <v>21</v>
      </c>
      <c r="P658" s="111">
        <v>630</v>
      </c>
    </row>
    <row r="659" spans="1:23" ht="15" customHeight="1" x14ac:dyDescent="0.25">
      <c r="A659" s="111" t="s">
        <v>2679</v>
      </c>
      <c r="B659" s="120">
        <v>46001</v>
      </c>
      <c r="C659" s="111">
        <f t="shared" si="30"/>
        <v>1250</v>
      </c>
      <c r="D659" s="111">
        <v>1</v>
      </c>
      <c r="G659" s="116" t="s">
        <v>29</v>
      </c>
      <c r="H659" s="111" t="s">
        <v>3013</v>
      </c>
      <c r="I659" s="111">
        <v>112121</v>
      </c>
      <c r="J659" s="111">
        <v>131</v>
      </c>
      <c r="K659" s="111" t="s">
        <v>20</v>
      </c>
      <c r="L659" s="111">
        <v>1</v>
      </c>
      <c r="M659" s="118">
        <v>16129032</v>
      </c>
      <c r="N659" s="118">
        <f t="shared" si="31"/>
        <v>16129032</v>
      </c>
      <c r="O659" s="111" t="s">
        <v>21</v>
      </c>
      <c r="P659" s="111">
        <v>631</v>
      </c>
      <c r="T659" s="126"/>
      <c r="U659" s="126"/>
      <c r="V659" s="126"/>
      <c r="W659" s="126"/>
    </row>
    <row r="660" spans="1:23" ht="15" customHeight="1" x14ac:dyDescent="0.25">
      <c r="A660" s="111" t="s">
        <v>2679</v>
      </c>
      <c r="B660" s="120">
        <v>46003</v>
      </c>
      <c r="C660" s="111">
        <f t="shared" si="30"/>
        <v>1251</v>
      </c>
      <c r="D660" s="111">
        <v>1</v>
      </c>
      <c r="G660" s="116" t="s">
        <v>40</v>
      </c>
      <c r="H660" s="111" t="s">
        <v>3015</v>
      </c>
      <c r="I660" s="111">
        <v>112121</v>
      </c>
      <c r="J660" s="111">
        <v>131</v>
      </c>
      <c r="K660" s="111" t="s">
        <v>20</v>
      </c>
      <c r="L660" s="111">
        <v>1</v>
      </c>
      <c r="M660" s="118">
        <v>14903226</v>
      </c>
      <c r="N660" s="118">
        <f t="shared" si="31"/>
        <v>14903226</v>
      </c>
      <c r="O660" s="111" t="s">
        <v>21</v>
      </c>
      <c r="P660" s="111">
        <v>632</v>
      </c>
      <c r="T660" s="126"/>
      <c r="U660" s="126"/>
      <c r="V660" s="126"/>
      <c r="W660" s="126"/>
    </row>
    <row r="661" spans="1:23" ht="15" customHeight="1" x14ac:dyDescent="0.25">
      <c r="A661" s="111" t="s">
        <v>2679</v>
      </c>
      <c r="B661" s="120">
        <v>46017</v>
      </c>
      <c r="C661" s="111">
        <f t="shared" si="30"/>
        <v>1252</v>
      </c>
      <c r="D661" s="111">
        <v>1</v>
      </c>
      <c r="G661" s="116" t="s">
        <v>46</v>
      </c>
      <c r="H661" s="111" t="s">
        <v>2693</v>
      </c>
      <c r="I661" s="111">
        <v>112121</v>
      </c>
      <c r="J661" s="111">
        <v>131</v>
      </c>
      <c r="K661" s="111" t="s">
        <v>20</v>
      </c>
      <c r="L661" s="111">
        <v>1</v>
      </c>
      <c r="M661" s="118">
        <v>26612903</v>
      </c>
      <c r="N661" s="118">
        <f t="shared" si="31"/>
        <v>26612903</v>
      </c>
      <c r="O661" s="111" t="s">
        <v>21</v>
      </c>
      <c r="P661" s="111">
        <v>633</v>
      </c>
      <c r="T661" s="126"/>
      <c r="U661" s="126"/>
      <c r="V661" s="126"/>
      <c r="W661" s="126"/>
    </row>
    <row r="662" spans="1:23" ht="15" customHeight="1" x14ac:dyDescent="0.25">
      <c r="A662" s="111" t="s">
        <v>2679</v>
      </c>
      <c r="B662" s="120">
        <v>46022</v>
      </c>
      <c r="C662" s="111">
        <f t="shared" si="30"/>
        <v>1253</v>
      </c>
      <c r="D662" s="111">
        <v>1</v>
      </c>
      <c r="G662" s="116" t="s">
        <v>3012</v>
      </c>
      <c r="H662" s="111" t="s">
        <v>2687</v>
      </c>
      <c r="I662" s="111">
        <v>112121</v>
      </c>
      <c r="J662" s="111">
        <v>5154</v>
      </c>
      <c r="K662" s="111" t="s">
        <v>20</v>
      </c>
      <c r="L662" s="111">
        <v>1</v>
      </c>
      <c r="M662" s="118">
        <v>9302</v>
      </c>
      <c r="N662" s="118">
        <f t="shared" si="31"/>
        <v>9302</v>
      </c>
      <c r="O662" s="111" t="s">
        <v>21</v>
      </c>
      <c r="P662" s="111">
        <v>634</v>
      </c>
      <c r="T662" s="126"/>
      <c r="U662" s="126"/>
      <c r="V662" s="126"/>
      <c r="W662" s="126"/>
    </row>
    <row r="663" spans="1:23" ht="15" customHeight="1" x14ac:dyDescent="0.25">
      <c r="T663" s="126"/>
      <c r="U663" s="126"/>
      <c r="V663" s="126"/>
      <c r="W663" s="126"/>
    </row>
    <row r="664" spans="1:23" ht="15" customHeight="1" x14ac:dyDescent="0.25">
      <c r="T664" s="126"/>
      <c r="U664" s="126"/>
      <c r="V664" s="126"/>
      <c r="W664" s="126"/>
    </row>
    <row r="665" spans="1:23" ht="15" customHeight="1" x14ac:dyDescent="0.25">
      <c r="T665" s="126"/>
      <c r="U665" s="126"/>
      <c r="V665" s="126"/>
      <c r="W665" s="126"/>
    </row>
    <row r="666" spans="1:23" ht="15" customHeight="1" x14ac:dyDescent="0.25">
      <c r="T666" s="126"/>
      <c r="U666" s="126"/>
      <c r="V666" s="126"/>
      <c r="W666" s="126"/>
    </row>
  </sheetData>
  <autoFilter ref="A3:P662" xr:uid="{00000000-0009-0000-0000-00000B000000}">
    <sortState xmlns:xlrd2="http://schemas.microsoft.com/office/spreadsheetml/2017/richdata2" ref="A4:P662">
      <sortCondition ref="P3:P662"/>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V590"/>
  <sheetViews>
    <sheetView workbookViewId="0">
      <selection activeCell="P1" sqref="P1"/>
    </sheetView>
  </sheetViews>
  <sheetFormatPr defaultRowHeight="15" customHeight="1" x14ac:dyDescent="0.2"/>
  <cols>
    <col min="1" max="1" width="9.140625" style="20"/>
    <col min="2" max="2" width="9.140625" style="63"/>
    <col min="3" max="6" width="9.140625" style="20"/>
    <col min="7" max="7" width="9.5703125" style="32" bestFit="1" customWidth="1"/>
    <col min="8" max="8" width="35.42578125" style="20" customWidth="1"/>
    <col min="9" max="12" width="9.140625" style="20"/>
    <col min="13" max="14" width="11.28515625" style="34" bestFit="1" customWidth="1"/>
    <col min="15" max="15" width="11.28515625" style="20" bestFit="1" customWidth="1"/>
    <col min="16" max="16384" width="9.140625" style="20"/>
  </cols>
  <sheetData>
    <row r="1" spans="1:17" ht="15" customHeight="1" thickBot="1" x14ac:dyDescent="0.25">
      <c r="A1" s="165" t="s">
        <v>0</v>
      </c>
      <c r="B1" s="169" t="s">
        <v>1</v>
      </c>
      <c r="C1" s="165" t="s">
        <v>2</v>
      </c>
      <c r="D1" s="167" t="s">
        <v>3</v>
      </c>
      <c r="E1" s="167" t="s">
        <v>4</v>
      </c>
      <c r="F1" s="167" t="s">
        <v>5</v>
      </c>
      <c r="G1" s="159" t="s">
        <v>6</v>
      </c>
      <c r="H1" s="161" t="s">
        <v>7</v>
      </c>
      <c r="I1" s="163" t="s">
        <v>8</v>
      </c>
      <c r="J1" s="164"/>
      <c r="K1" s="165" t="s">
        <v>9</v>
      </c>
      <c r="L1" s="165" t="s">
        <v>10</v>
      </c>
      <c r="M1" s="157" t="s">
        <v>98</v>
      </c>
      <c r="N1" s="157" t="s">
        <v>99</v>
      </c>
      <c r="O1" s="39" t="s">
        <v>100</v>
      </c>
      <c r="P1" s="152" t="s">
        <v>3991</v>
      </c>
    </row>
    <row r="2" spans="1:17" ht="15" customHeight="1" thickBot="1" x14ac:dyDescent="0.25">
      <c r="A2" s="166"/>
      <c r="B2" s="170"/>
      <c r="C2" s="166"/>
      <c r="D2" s="171"/>
      <c r="E2" s="171"/>
      <c r="F2" s="168"/>
      <c r="G2" s="160"/>
      <c r="H2" s="162"/>
      <c r="I2" s="40" t="s">
        <v>13</v>
      </c>
      <c r="J2" s="41" t="s">
        <v>14</v>
      </c>
      <c r="K2" s="166"/>
      <c r="L2" s="166"/>
      <c r="M2" s="158"/>
      <c r="N2" s="158"/>
      <c r="O2" s="37" t="s">
        <v>100</v>
      </c>
      <c r="P2" s="37"/>
    </row>
    <row r="3" spans="1:17" ht="15" customHeight="1" x14ac:dyDescent="0.2">
      <c r="A3" s="42"/>
      <c r="B3" s="68"/>
      <c r="C3" s="42">
        <v>602</v>
      </c>
      <c r="D3" s="43"/>
      <c r="E3" s="43"/>
      <c r="F3" s="43"/>
      <c r="G3" s="58" t="s">
        <v>15</v>
      </c>
      <c r="H3" s="44"/>
      <c r="I3" s="44"/>
      <c r="J3" s="44"/>
      <c r="K3" s="42"/>
      <c r="L3" s="42"/>
      <c r="M3" s="66"/>
      <c r="N3" s="66"/>
      <c r="O3" s="37" t="s">
        <v>16</v>
      </c>
      <c r="P3" s="37" t="s">
        <v>17</v>
      </c>
    </row>
    <row r="4" spans="1:17" ht="15" customHeight="1" x14ac:dyDescent="0.2">
      <c r="A4" s="20" t="s">
        <v>18</v>
      </c>
      <c r="B4" s="63">
        <v>45932</v>
      </c>
      <c r="C4" s="20">
        <f t="shared" ref="C4:C67" si="0">C3+D4</f>
        <v>603</v>
      </c>
      <c r="D4" s="20">
        <v>1</v>
      </c>
      <c r="G4" s="32" t="s">
        <v>115</v>
      </c>
      <c r="H4" s="20" t="s">
        <v>1367</v>
      </c>
      <c r="I4" s="20">
        <v>64276</v>
      </c>
      <c r="J4" s="20">
        <v>331</v>
      </c>
      <c r="K4" s="20" t="s">
        <v>20</v>
      </c>
      <c r="L4" s="20">
        <v>1</v>
      </c>
      <c r="M4" s="34">
        <v>13000</v>
      </c>
      <c r="N4" s="34">
        <f t="shared" ref="N4:N67" si="1">L4*M4</f>
        <v>13000</v>
      </c>
      <c r="O4" s="33" t="s">
        <v>21</v>
      </c>
      <c r="P4" s="20">
        <v>1</v>
      </c>
      <c r="Q4" s="20">
        <f>LEN(H4)</f>
        <v>33</v>
      </c>
    </row>
    <row r="5" spans="1:17" ht="15" customHeight="1" x14ac:dyDescent="0.2">
      <c r="A5" s="20" t="s">
        <v>18</v>
      </c>
      <c r="B5" s="63">
        <v>45932</v>
      </c>
      <c r="C5" s="20">
        <f t="shared" si="0"/>
        <v>604</v>
      </c>
      <c r="D5" s="20">
        <v>1</v>
      </c>
      <c r="G5" s="32" t="s">
        <v>115</v>
      </c>
      <c r="H5" s="20" t="s">
        <v>1368</v>
      </c>
      <c r="I5" s="20">
        <v>64276</v>
      </c>
      <c r="J5" s="20">
        <v>331</v>
      </c>
      <c r="K5" s="20" t="s">
        <v>20</v>
      </c>
      <c r="L5" s="20">
        <v>1</v>
      </c>
      <c r="M5" s="34">
        <v>143000</v>
      </c>
      <c r="N5" s="34">
        <f t="shared" si="1"/>
        <v>143000</v>
      </c>
      <c r="O5" s="33" t="s">
        <v>21</v>
      </c>
      <c r="P5" s="20">
        <f>P4+D5</f>
        <v>2</v>
      </c>
      <c r="Q5" s="20">
        <f t="shared" ref="Q5:Q68" si="2">LEN(H5)</f>
        <v>33</v>
      </c>
    </row>
    <row r="6" spans="1:17" ht="15" customHeight="1" x14ac:dyDescent="0.2">
      <c r="A6" s="20" t="s">
        <v>18</v>
      </c>
      <c r="B6" s="63">
        <v>45932</v>
      </c>
      <c r="C6" s="20">
        <f t="shared" si="0"/>
        <v>605</v>
      </c>
      <c r="D6" s="20">
        <v>1</v>
      </c>
      <c r="G6" s="32" t="s">
        <v>115</v>
      </c>
      <c r="H6" s="20" t="s">
        <v>1369</v>
      </c>
      <c r="I6" s="20">
        <v>64276</v>
      </c>
      <c r="J6" s="20">
        <v>331</v>
      </c>
      <c r="K6" s="20" t="s">
        <v>20</v>
      </c>
      <c r="L6" s="20">
        <v>1</v>
      </c>
      <c r="M6" s="34">
        <v>144000</v>
      </c>
      <c r="N6" s="34">
        <f t="shared" si="1"/>
        <v>144000</v>
      </c>
      <c r="O6" s="33" t="s">
        <v>21</v>
      </c>
      <c r="P6" s="20">
        <f t="shared" ref="P6:P69" si="3">P5+D6</f>
        <v>3</v>
      </c>
      <c r="Q6" s="20">
        <f t="shared" si="2"/>
        <v>33</v>
      </c>
    </row>
    <row r="7" spans="1:17" ht="15" customHeight="1" x14ac:dyDescent="0.2">
      <c r="A7" s="20" t="s">
        <v>18</v>
      </c>
      <c r="B7" s="63">
        <v>45933</v>
      </c>
      <c r="C7" s="20">
        <f t="shared" si="0"/>
        <v>606</v>
      </c>
      <c r="D7" s="20">
        <v>1</v>
      </c>
      <c r="G7" s="32" t="s">
        <v>37</v>
      </c>
      <c r="H7" s="20" t="s">
        <v>1325</v>
      </c>
      <c r="I7" s="20">
        <v>64277</v>
      </c>
      <c r="J7" s="20">
        <v>331</v>
      </c>
      <c r="K7" s="20" t="s">
        <v>20</v>
      </c>
      <c r="L7" s="20">
        <v>1</v>
      </c>
      <c r="M7" s="34">
        <v>3240000</v>
      </c>
      <c r="N7" s="34">
        <f t="shared" si="1"/>
        <v>3240000</v>
      </c>
      <c r="O7" s="33" t="s">
        <v>21</v>
      </c>
      <c r="P7" s="20">
        <f t="shared" si="3"/>
        <v>4</v>
      </c>
      <c r="Q7" s="20">
        <f t="shared" si="2"/>
        <v>42</v>
      </c>
    </row>
    <row r="8" spans="1:17" ht="15" customHeight="1" x14ac:dyDescent="0.2">
      <c r="A8" s="20" t="s">
        <v>18</v>
      </c>
      <c r="B8" s="63">
        <v>45933</v>
      </c>
      <c r="C8" s="20">
        <f t="shared" si="0"/>
        <v>607</v>
      </c>
      <c r="D8" s="20">
        <v>1</v>
      </c>
      <c r="G8" s="32" t="s">
        <v>1346</v>
      </c>
      <c r="H8" s="20" t="s">
        <v>1370</v>
      </c>
      <c r="I8" s="20">
        <v>64277</v>
      </c>
      <c r="J8" s="20">
        <v>331</v>
      </c>
      <c r="K8" s="20" t="s">
        <v>20</v>
      </c>
      <c r="L8" s="20">
        <v>1</v>
      </c>
      <c r="M8" s="34">
        <v>2387070</v>
      </c>
      <c r="N8" s="34">
        <f t="shared" si="1"/>
        <v>2387070</v>
      </c>
      <c r="O8" s="33" t="s">
        <v>21</v>
      </c>
      <c r="P8" s="20">
        <f t="shared" si="3"/>
        <v>5</v>
      </c>
      <c r="Q8" s="20">
        <f t="shared" si="2"/>
        <v>40</v>
      </c>
    </row>
    <row r="9" spans="1:17" ht="15" customHeight="1" x14ac:dyDescent="0.2">
      <c r="A9" s="20" t="s">
        <v>18</v>
      </c>
      <c r="B9" s="63">
        <v>45933</v>
      </c>
      <c r="C9" s="20">
        <f t="shared" si="0"/>
        <v>608</v>
      </c>
      <c r="D9" s="20">
        <v>1</v>
      </c>
      <c r="G9" s="32" t="s">
        <v>123</v>
      </c>
      <c r="H9" s="20" t="s">
        <v>1371</v>
      </c>
      <c r="I9" s="20">
        <v>64277</v>
      </c>
      <c r="J9" s="20">
        <v>331</v>
      </c>
      <c r="K9" s="20" t="s">
        <v>20</v>
      </c>
      <c r="L9" s="20">
        <v>1</v>
      </c>
      <c r="M9" s="34">
        <v>619920</v>
      </c>
      <c r="N9" s="34">
        <f t="shared" si="1"/>
        <v>619920</v>
      </c>
      <c r="O9" s="33" t="s">
        <v>21</v>
      </c>
      <c r="P9" s="20">
        <f t="shared" si="3"/>
        <v>6</v>
      </c>
      <c r="Q9" s="20">
        <f t="shared" si="2"/>
        <v>42</v>
      </c>
    </row>
    <row r="10" spans="1:17" ht="15" customHeight="1" x14ac:dyDescent="0.2">
      <c r="A10" s="20" t="s">
        <v>18</v>
      </c>
      <c r="B10" s="63">
        <v>45934</v>
      </c>
      <c r="C10" s="20">
        <f t="shared" si="0"/>
        <v>609</v>
      </c>
      <c r="D10" s="20">
        <v>1</v>
      </c>
      <c r="G10" s="32" t="s">
        <v>115</v>
      </c>
      <c r="H10" s="20" t="s">
        <v>1372</v>
      </c>
      <c r="I10" s="20">
        <v>64276</v>
      </c>
      <c r="J10" s="20">
        <v>331</v>
      </c>
      <c r="K10" s="20" t="s">
        <v>20</v>
      </c>
      <c r="L10" s="20">
        <v>1</v>
      </c>
      <c r="M10" s="34">
        <v>37000</v>
      </c>
      <c r="N10" s="34">
        <f t="shared" si="1"/>
        <v>37000</v>
      </c>
      <c r="O10" s="33" t="s">
        <v>21</v>
      </c>
      <c r="P10" s="20">
        <f t="shared" si="3"/>
        <v>7</v>
      </c>
      <c r="Q10" s="20">
        <f t="shared" si="2"/>
        <v>33</v>
      </c>
    </row>
    <row r="11" spans="1:17" ht="15" customHeight="1" x14ac:dyDescent="0.2">
      <c r="A11" s="20" t="s">
        <v>18</v>
      </c>
      <c r="B11" s="63">
        <v>45935</v>
      </c>
      <c r="C11" s="20">
        <f t="shared" si="0"/>
        <v>610</v>
      </c>
      <c r="D11" s="20">
        <v>1</v>
      </c>
      <c r="G11" s="32" t="s">
        <v>115</v>
      </c>
      <c r="H11" s="20" t="s">
        <v>1373</v>
      </c>
      <c r="I11" s="20">
        <v>64276</v>
      </c>
      <c r="J11" s="20">
        <v>331</v>
      </c>
      <c r="K11" s="20" t="s">
        <v>20</v>
      </c>
      <c r="L11" s="20">
        <v>1</v>
      </c>
      <c r="M11" s="34">
        <v>70000</v>
      </c>
      <c r="N11" s="34">
        <f t="shared" si="1"/>
        <v>70000</v>
      </c>
      <c r="O11" s="33" t="s">
        <v>21</v>
      </c>
      <c r="P11" s="20">
        <f t="shared" si="3"/>
        <v>8</v>
      </c>
      <c r="Q11" s="20">
        <f t="shared" si="2"/>
        <v>33</v>
      </c>
    </row>
    <row r="12" spans="1:17" ht="15" customHeight="1" x14ac:dyDescent="0.2">
      <c r="A12" s="20" t="s">
        <v>18</v>
      </c>
      <c r="B12" s="63">
        <v>45935</v>
      </c>
      <c r="C12" s="20">
        <f t="shared" si="0"/>
        <v>611</v>
      </c>
      <c r="D12" s="20">
        <v>1</v>
      </c>
      <c r="G12" s="32" t="s">
        <v>115</v>
      </c>
      <c r="H12" s="20" t="s">
        <v>1374</v>
      </c>
      <c r="I12" s="20">
        <v>64276</v>
      </c>
      <c r="J12" s="20">
        <v>331</v>
      </c>
      <c r="K12" s="20" t="s">
        <v>20</v>
      </c>
      <c r="L12" s="20">
        <v>1</v>
      </c>
      <c r="M12" s="34">
        <v>82000</v>
      </c>
      <c r="N12" s="34">
        <f t="shared" si="1"/>
        <v>82000</v>
      </c>
      <c r="O12" s="33" t="s">
        <v>21</v>
      </c>
      <c r="P12" s="20">
        <f t="shared" si="3"/>
        <v>9</v>
      </c>
      <c r="Q12" s="20">
        <f t="shared" si="2"/>
        <v>33</v>
      </c>
    </row>
    <row r="13" spans="1:17" ht="15" customHeight="1" x14ac:dyDescent="0.2">
      <c r="A13" s="20" t="s">
        <v>18</v>
      </c>
      <c r="B13" s="63">
        <v>45935</v>
      </c>
      <c r="C13" s="20">
        <f t="shared" si="0"/>
        <v>612</v>
      </c>
      <c r="D13" s="20">
        <v>1</v>
      </c>
      <c r="G13" s="32" t="s">
        <v>115</v>
      </c>
      <c r="H13" s="20" t="s">
        <v>1375</v>
      </c>
      <c r="I13" s="20">
        <v>64276</v>
      </c>
      <c r="J13" s="20">
        <v>331</v>
      </c>
      <c r="K13" s="20" t="s">
        <v>20</v>
      </c>
      <c r="L13" s="20">
        <v>1</v>
      </c>
      <c r="M13" s="34">
        <v>42000</v>
      </c>
      <c r="N13" s="34">
        <f t="shared" si="1"/>
        <v>42000</v>
      </c>
      <c r="O13" s="33" t="s">
        <v>21</v>
      </c>
      <c r="P13" s="20">
        <f t="shared" si="3"/>
        <v>10</v>
      </c>
      <c r="Q13" s="20">
        <f t="shared" si="2"/>
        <v>33</v>
      </c>
    </row>
    <row r="14" spans="1:17" ht="15" customHeight="1" x14ac:dyDescent="0.2">
      <c r="A14" s="20" t="s">
        <v>18</v>
      </c>
      <c r="B14" s="63">
        <v>45935</v>
      </c>
      <c r="C14" s="20">
        <f t="shared" si="0"/>
        <v>613</v>
      </c>
      <c r="D14" s="20">
        <v>1</v>
      </c>
      <c r="G14" s="32" t="s">
        <v>115</v>
      </c>
      <c r="H14" s="20" t="s">
        <v>1376</v>
      </c>
      <c r="I14" s="20">
        <v>64276</v>
      </c>
      <c r="J14" s="20">
        <v>331</v>
      </c>
      <c r="K14" s="20" t="s">
        <v>20</v>
      </c>
      <c r="L14" s="20">
        <v>1</v>
      </c>
      <c r="M14" s="34">
        <v>63000</v>
      </c>
      <c r="N14" s="34">
        <f t="shared" si="1"/>
        <v>63000</v>
      </c>
      <c r="O14" s="33" t="s">
        <v>21</v>
      </c>
      <c r="P14" s="20">
        <f t="shared" si="3"/>
        <v>11</v>
      </c>
      <c r="Q14" s="20">
        <f t="shared" si="2"/>
        <v>33</v>
      </c>
    </row>
    <row r="15" spans="1:17" ht="15" customHeight="1" x14ac:dyDescent="0.2">
      <c r="A15" s="20" t="s">
        <v>18</v>
      </c>
      <c r="B15" s="63">
        <v>45936</v>
      </c>
      <c r="C15" s="20">
        <f t="shared" si="0"/>
        <v>614</v>
      </c>
      <c r="D15" s="20">
        <v>1</v>
      </c>
      <c r="G15" s="32" t="s">
        <v>115</v>
      </c>
      <c r="H15" s="20" t="s">
        <v>1377</v>
      </c>
      <c r="I15" s="20">
        <v>64276</v>
      </c>
      <c r="J15" s="20">
        <v>331</v>
      </c>
      <c r="K15" s="20" t="s">
        <v>20</v>
      </c>
      <c r="L15" s="20">
        <v>1</v>
      </c>
      <c r="M15" s="34">
        <v>32000</v>
      </c>
      <c r="N15" s="34">
        <f t="shared" si="1"/>
        <v>32000</v>
      </c>
      <c r="O15" s="33" t="s">
        <v>21</v>
      </c>
      <c r="P15" s="20">
        <f t="shared" si="3"/>
        <v>12</v>
      </c>
      <c r="Q15" s="20">
        <f t="shared" si="2"/>
        <v>33</v>
      </c>
    </row>
    <row r="16" spans="1:17" ht="15" customHeight="1" x14ac:dyDescent="0.2">
      <c r="A16" s="20" t="s">
        <v>18</v>
      </c>
      <c r="B16" s="63">
        <v>45936</v>
      </c>
      <c r="C16" s="20">
        <f t="shared" si="0"/>
        <v>615</v>
      </c>
      <c r="D16" s="20">
        <v>1</v>
      </c>
      <c r="G16" s="32" t="s">
        <v>1347</v>
      </c>
      <c r="H16" s="20" t="s">
        <v>1378</v>
      </c>
      <c r="I16" s="20">
        <v>64276</v>
      </c>
      <c r="J16" s="20">
        <v>331</v>
      </c>
      <c r="K16" s="20" t="s">
        <v>20</v>
      </c>
      <c r="L16" s="20">
        <v>1</v>
      </c>
      <c r="M16" s="34">
        <v>2949000</v>
      </c>
      <c r="N16" s="34">
        <f t="shared" si="1"/>
        <v>2949000</v>
      </c>
      <c r="O16" s="33" t="s">
        <v>21</v>
      </c>
      <c r="P16" s="20">
        <f t="shared" si="3"/>
        <v>13</v>
      </c>
      <c r="Q16" s="20">
        <f t="shared" si="2"/>
        <v>37</v>
      </c>
    </row>
    <row r="17" spans="1:17" ht="15" customHeight="1" x14ac:dyDescent="0.2">
      <c r="A17" s="20" t="s">
        <v>18</v>
      </c>
      <c r="B17" s="63">
        <v>45938</v>
      </c>
      <c r="C17" s="20">
        <f t="shared" si="0"/>
        <v>616</v>
      </c>
      <c r="D17" s="20">
        <v>1</v>
      </c>
      <c r="G17" s="32" t="s">
        <v>115</v>
      </c>
      <c r="H17" s="20" t="s">
        <v>1379</v>
      </c>
      <c r="I17" s="20">
        <v>64276</v>
      </c>
      <c r="J17" s="20">
        <v>331</v>
      </c>
      <c r="K17" s="20" t="s">
        <v>20</v>
      </c>
      <c r="L17" s="20">
        <v>1</v>
      </c>
      <c r="M17" s="34">
        <v>21000</v>
      </c>
      <c r="N17" s="34">
        <f t="shared" si="1"/>
        <v>21000</v>
      </c>
      <c r="O17" s="33" t="s">
        <v>21</v>
      </c>
      <c r="P17" s="20">
        <f t="shared" si="3"/>
        <v>14</v>
      </c>
      <c r="Q17" s="20">
        <f t="shared" si="2"/>
        <v>33</v>
      </c>
    </row>
    <row r="18" spans="1:17" ht="15" customHeight="1" x14ac:dyDescent="0.2">
      <c r="A18" s="20" t="s">
        <v>18</v>
      </c>
      <c r="B18" s="63">
        <v>45938</v>
      </c>
      <c r="C18" s="20">
        <f t="shared" si="0"/>
        <v>617</v>
      </c>
      <c r="D18" s="20">
        <v>1</v>
      </c>
      <c r="G18" s="32" t="s">
        <v>115</v>
      </c>
      <c r="H18" s="20" t="s">
        <v>1380</v>
      </c>
      <c r="I18" s="20">
        <v>64276</v>
      </c>
      <c r="J18" s="20">
        <v>331</v>
      </c>
      <c r="K18" s="20" t="s">
        <v>20</v>
      </c>
      <c r="L18" s="20">
        <v>1</v>
      </c>
      <c r="M18" s="34">
        <v>13000</v>
      </c>
      <c r="N18" s="34">
        <f t="shared" si="1"/>
        <v>13000</v>
      </c>
      <c r="O18" s="33" t="s">
        <v>21</v>
      </c>
      <c r="P18" s="20">
        <f t="shared" si="3"/>
        <v>15</v>
      </c>
      <c r="Q18" s="20">
        <f t="shared" si="2"/>
        <v>33</v>
      </c>
    </row>
    <row r="19" spans="1:17" ht="15" customHeight="1" x14ac:dyDescent="0.2">
      <c r="A19" s="20" t="s">
        <v>18</v>
      </c>
      <c r="B19" s="63">
        <v>45939</v>
      </c>
      <c r="C19" s="20">
        <f t="shared" si="0"/>
        <v>618</v>
      </c>
      <c r="D19" s="20">
        <v>1</v>
      </c>
      <c r="G19" s="32" t="s">
        <v>115</v>
      </c>
      <c r="H19" s="20" t="s">
        <v>1381</v>
      </c>
      <c r="I19" s="20">
        <v>64276</v>
      </c>
      <c r="J19" s="20">
        <v>331</v>
      </c>
      <c r="K19" s="20" t="s">
        <v>20</v>
      </c>
      <c r="L19" s="20">
        <v>1</v>
      </c>
      <c r="M19" s="34">
        <v>32000</v>
      </c>
      <c r="N19" s="34">
        <f t="shared" si="1"/>
        <v>32000</v>
      </c>
      <c r="O19" s="33" t="s">
        <v>21</v>
      </c>
      <c r="P19" s="20">
        <f t="shared" si="3"/>
        <v>16</v>
      </c>
      <c r="Q19" s="20">
        <f t="shared" si="2"/>
        <v>33</v>
      </c>
    </row>
    <row r="20" spans="1:17" ht="15" customHeight="1" x14ac:dyDescent="0.2">
      <c r="A20" s="20" t="s">
        <v>18</v>
      </c>
      <c r="B20" s="63">
        <v>45939</v>
      </c>
      <c r="C20" s="20">
        <f t="shared" si="0"/>
        <v>619</v>
      </c>
      <c r="D20" s="20">
        <v>1</v>
      </c>
      <c r="G20" s="32" t="s">
        <v>115</v>
      </c>
      <c r="H20" s="20" t="s">
        <v>1382</v>
      </c>
      <c r="I20" s="20">
        <v>64276</v>
      </c>
      <c r="J20" s="20">
        <v>331</v>
      </c>
      <c r="K20" s="20" t="s">
        <v>20</v>
      </c>
      <c r="L20" s="20">
        <v>1</v>
      </c>
      <c r="M20" s="34">
        <v>26000</v>
      </c>
      <c r="N20" s="34">
        <f t="shared" si="1"/>
        <v>26000</v>
      </c>
      <c r="O20" s="33" t="s">
        <v>21</v>
      </c>
      <c r="P20" s="20">
        <f t="shared" si="3"/>
        <v>17</v>
      </c>
      <c r="Q20" s="20">
        <f t="shared" si="2"/>
        <v>33</v>
      </c>
    </row>
    <row r="21" spans="1:17" ht="15" customHeight="1" x14ac:dyDescent="0.2">
      <c r="A21" s="20" t="s">
        <v>18</v>
      </c>
      <c r="B21" s="63">
        <v>45939</v>
      </c>
      <c r="C21" s="20">
        <f t="shared" si="0"/>
        <v>620</v>
      </c>
      <c r="D21" s="20">
        <v>1</v>
      </c>
      <c r="G21" s="32" t="s">
        <v>115</v>
      </c>
      <c r="H21" s="20" t="s">
        <v>1383</v>
      </c>
      <c r="I21" s="20">
        <v>64276</v>
      </c>
      <c r="J21" s="20">
        <v>331</v>
      </c>
      <c r="K21" s="20" t="s">
        <v>20</v>
      </c>
      <c r="L21" s="20">
        <v>1</v>
      </c>
      <c r="M21" s="34">
        <v>144000</v>
      </c>
      <c r="N21" s="34">
        <f t="shared" si="1"/>
        <v>144000</v>
      </c>
      <c r="O21" s="33" t="s">
        <v>21</v>
      </c>
      <c r="P21" s="20">
        <f t="shared" si="3"/>
        <v>18</v>
      </c>
      <c r="Q21" s="20">
        <f t="shared" si="2"/>
        <v>33</v>
      </c>
    </row>
    <row r="22" spans="1:17" ht="15" customHeight="1" x14ac:dyDescent="0.2">
      <c r="A22" s="20" t="s">
        <v>18</v>
      </c>
      <c r="B22" s="63">
        <v>45940</v>
      </c>
      <c r="C22" s="20">
        <f t="shared" si="0"/>
        <v>621</v>
      </c>
      <c r="D22" s="20">
        <v>1</v>
      </c>
      <c r="G22" s="32" t="s">
        <v>115</v>
      </c>
      <c r="H22" s="20" t="s">
        <v>1384</v>
      </c>
      <c r="I22" s="20">
        <v>64276</v>
      </c>
      <c r="J22" s="20">
        <v>331</v>
      </c>
      <c r="K22" s="20" t="s">
        <v>20</v>
      </c>
      <c r="L22" s="20">
        <v>1</v>
      </c>
      <c r="M22" s="34">
        <v>28000</v>
      </c>
      <c r="N22" s="34">
        <f t="shared" si="1"/>
        <v>28000</v>
      </c>
      <c r="O22" s="33" t="s">
        <v>21</v>
      </c>
      <c r="P22" s="20">
        <f t="shared" si="3"/>
        <v>19</v>
      </c>
      <c r="Q22" s="20">
        <f t="shared" si="2"/>
        <v>33</v>
      </c>
    </row>
    <row r="23" spans="1:17" ht="15" customHeight="1" x14ac:dyDescent="0.2">
      <c r="A23" s="20" t="s">
        <v>18</v>
      </c>
      <c r="B23" s="63">
        <v>45940</v>
      </c>
      <c r="C23" s="20">
        <f t="shared" si="0"/>
        <v>622</v>
      </c>
      <c r="D23" s="20">
        <v>1</v>
      </c>
      <c r="G23" s="32" t="s">
        <v>115</v>
      </c>
      <c r="H23" s="20" t="s">
        <v>1385</v>
      </c>
      <c r="I23" s="20">
        <v>64276</v>
      </c>
      <c r="J23" s="20">
        <v>331</v>
      </c>
      <c r="K23" s="20" t="s">
        <v>20</v>
      </c>
      <c r="L23" s="20">
        <v>1</v>
      </c>
      <c r="M23" s="34">
        <v>108000</v>
      </c>
      <c r="N23" s="34">
        <f t="shared" si="1"/>
        <v>108000</v>
      </c>
      <c r="O23" s="33" t="s">
        <v>21</v>
      </c>
      <c r="P23" s="20">
        <f t="shared" si="3"/>
        <v>20</v>
      </c>
      <c r="Q23" s="20">
        <f t="shared" si="2"/>
        <v>33</v>
      </c>
    </row>
    <row r="24" spans="1:17" ht="15" customHeight="1" x14ac:dyDescent="0.2">
      <c r="A24" s="20" t="s">
        <v>18</v>
      </c>
      <c r="B24" s="63">
        <v>45940</v>
      </c>
      <c r="C24" s="20">
        <f t="shared" si="0"/>
        <v>623</v>
      </c>
      <c r="D24" s="20">
        <v>1</v>
      </c>
      <c r="G24" s="32" t="s">
        <v>115</v>
      </c>
      <c r="H24" s="20" t="s">
        <v>1386</v>
      </c>
      <c r="I24" s="20">
        <v>64276</v>
      </c>
      <c r="J24" s="20">
        <v>331</v>
      </c>
      <c r="K24" s="20" t="s">
        <v>20</v>
      </c>
      <c r="L24" s="20">
        <v>1</v>
      </c>
      <c r="M24" s="34">
        <v>36000</v>
      </c>
      <c r="N24" s="34">
        <f t="shared" si="1"/>
        <v>36000</v>
      </c>
      <c r="O24" s="33" t="s">
        <v>21</v>
      </c>
      <c r="P24" s="20">
        <f t="shared" si="3"/>
        <v>21</v>
      </c>
      <c r="Q24" s="20">
        <f t="shared" si="2"/>
        <v>33</v>
      </c>
    </row>
    <row r="25" spans="1:17" ht="15" customHeight="1" x14ac:dyDescent="0.2">
      <c r="A25" s="20" t="s">
        <v>18</v>
      </c>
      <c r="B25" s="63">
        <v>45940</v>
      </c>
      <c r="C25" s="20">
        <f t="shared" si="0"/>
        <v>624</v>
      </c>
      <c r="D25" s="20">
        <v>1</v>
      </c>
      <c r="G25" s="32" t="s">
        <v>115</v>
      </c>
      <c r="H25" s="20" t="s">
        <v>1387</v>
      </c>
      <c r="I25" s="20">
        <v>64276</v>
      </c>
      <c r="J25" s="20">
        <v>331</v>
      </c>
      <c r="K25" s="20" t="s">
        <v>20</v>
      </c>
      <c r="L25" s="20">
        <v>1</v>
      </c>
      <c r="M25" s="34">
        <v>24000</v>
      </c>
      <c r="N25" s="34">
        <f t="shared" si="1"/>
        <v>24000</v>
      </c>
      <c r="O25" s="33" t="s">
        <v>21</v>
      </c>
      <c r="P25" s="20">
        <f t="shared" si="3"/>
        <v>22</v>
      </c>
      <c r="Q25" s="20">
        <f t="shared" si="2"/>
        <v>33</v>
      </c>
    </row>
    <row r="26" spans="1:17" ht="15" customHeight="1" x14ac:dyDescent="0.2">
      <c r="A26" s="20" t="s">
        <v>18</v>
      </c>
      <c r="B26" s="63">
        <v>45940</v>
      </c>
      <c r="C26" s="20">
        <f t="shared" si="0"/>
        <v>625</v>
      </c>
      <c r="D26" s="20">
        <v>1</v>
      </c>
      <c r="G26" s="32" t="s">
        <v>1348</v>
      </c>
      <c r="H26" s="20" t="s">
        <v>1388</v>
      </c>
      <c r="I26" s="20">
        <v>64277</v>
      </c>
      <c r="J26" s="20">
        <v>331</v>
      </c>
      <c r="K26" s="20" t="s">
        <v>20</v>
      </c>
      <c r="L26" s="20">
        <v>1</v>
      </c>
      <c r="M26" s="34">
        <v>579960</v>
      </c>
      <c r="N26" s="34">
        <f t="shared" si="1"/>
        <v>579960</v>
      </c>
      <c r="O26" s="33" t="s">
        <v>21</v>
      </c>
      <c r="P26" s="20">
        <f t="shared" si="3"/>
        <v>23</v>
      </c>
      <c r="Q26" s="20">
        <f t="shared" si="2"/>
        <v>40</v>
      </c>
    </row>
    <row r="27" spans="1:17" ht="15" customHeight="1" x14ac:dyDescent="0.2">
      <c r="A27" s="20" t="s">
        <v>18</v>
      </c>
      <c r="B27" s="63">
        <v>45941</v>
      </c>
      <c r="C27" s="20">
        <f t="shared" si="0"/>
        <v>626</v>
      </c>
      <c r="D27" s="20">
        <v>1</v>
      </c>
      <c r="G27" s="32" t="s">
        <v>115</v>
      </c>
      <c r="H27" s="20" t="s">
        <v>1389</v>
      </c>
      <c r="I27" s="20">
        <v>64276</v>
      </c>
      <c r="J27" s="20">
        <v>331</v>
      </c>
      <c r="K27" s="20" t="s">
        <v>20</v>
      </c>
      <c r="L27" s="20">
        <v>1</v>
      </c>
      <c r="M27" s="34">
        <v>21000</v>
      </c>
      <c r="N27" s="34">
        <f t="shared" si="1"/>
        <v>21000</v>
      </c>
      <c r="O27" s="33" t="s">
        <v>21</v>
      </c>
      <c r="P27" s="20">
        <f t="shared" si="3"/>
        <v>24</v>
      </c>
      <c r="Q27" s="20">
        <f t="shared" si="2"/>
        <v>33</v>
      </c>
    </row>
    <row r="28" spans="1:17" ht="15" customHeight="1" x14ac:dyDescent="0.2">
      <c r="A28" s="20" t="s">
        <v>18</v>
      </c>
      <c r="B28" s="63">
        <v>45941</v>
      </c>
      <c r="C28" s="20">
        <f t="shared" si="0"/>
        <v>627</v>
      </c>
      <c r="D28" s="20">
        <v>1</v>
      </c>
      <c r="G28" s="32" t="s">
        <v>115</v>
      </c>
      <c r="H28" s="20" t="s">
        <v>1390</v>
      </c>
      <c r="I28" s="20">
        <v>64276</v>
      </c>
      <c r="J28" s="20">
        <v>331</v>
      </c>
      <c r="K28" s="20" t="s">
        <v>20</v>
      </c>
      <c r="L28" s="20">
        <v>1</v>
      </c>
      <c r="M28" s="34">
        <v>33000</v>
      </c>
      <c r="N28" s="34">
        <f t="shared" si="1"/>
        <v>33000</v>
      </c>
      <c r="O28" s="33" t="s">
        <v>21</v>
      </c>
      <c r="P28" s="20">
        <f t="shared" si="3"/>
        <v>25</v>
      </c>
      <c r="Q28" s="20">
        <f t="shared" si="2"/>
        <v>33</v>
      </c>
    </row>
    <row r="29" spans="1:17" ht="15" customHeight="1" x14ac:dyDescent="0.2">
      <c r="A29" s="20" t="s">
        <v>18</v>
      </c>
      <c r="B29" s="63">
        <v>45941</v>
      </c>
      <c r="C29" s="20">
        <f t="shared" si="0"/>
        <v>628</v>
      </c>
      <c r="D29" s="20">
        <v>1</v>
      </c>
      <c r="G29" s="32" t="s">
        <v>1349</v>
      </c>
      <c r="H29" s="20" t="s">
        <v>1391</v>
      </c>
      <c r="I29" s="20">
        <v>64277</v>
      </c>
      <c r="J29" s="20">
        <v>331</v>
      </c>
      <c r="K29" s="20" t="s">
        <v>20</v>
      </c>
      <c r="L29" s="20">
        <v>1</v>
      </c>
      <c r="M29" s="34">
        <v>2169930</v>
      </c>
      <c r="N29" s="34">
        <f t="shared" si="1"/>
        <v>2169930</v>
      </c>
      <c r="O29" s="33" t="s">
        <v>21</v>
      </c>
      <c r="P29" s="20">
        <f t="shared" si="3"/>
        <v>26</v>
      </c>
      <c r="Q29" s="20">
        <f t="shared" si="2"/>
        <v>40</v>
      </c>
    </row>
    <row r="30" spans="1:17" ht="15" customHeight="1" x14ac:dyDescent="0.2">
      <c r="A30" s="20" t="s">
        <v>18</v>
      </c>
      <c r="B30" s="63">
        <v>45942</v>
      </c>
      <c r="C30" s="20">
        <f t="shared" si="0"/>
        <v>629</v>
      </c>
      <c r="D30" s="20">
        <v>1</v>
      </c>
      <c r="G30" s="32" t="s">
        <v>115</v>
      </c>
      <c r="H30" s="20" t="s">
        <v>1392</v>
      </c>
      <c r="I30" s="20">
        <v>64276</v>
      </c>
      <c r="J30" s="20">
        <v>331</v>
      </c>
      <c r="K30" s="20" t="s">
        <v>20</v>
      </c>
      <c r="L30" s="20">
        <v>1</v>
      </c>
      <c r="M30" s="34">
        <v>108000</v>
      </c>
      <c r="N30" s="34">
        <f t="shared" si="1"/>
        <v>108000</v>
      </c>
      <c r="O30" s="33" t="s">
        <v>21</v>
      </c>
      <c r="P30" s="20">
        <f t="shared" si="3"/>
        <v>27</v>
      </c>
      <c r="Q30" s="20">
        <f t="shared" si="2"/>
        <v>33</v>
      </c>
    </row>
    <row r="31" spans="1:17" ht="15" customHeight="1" x14ac:dyDescent="0.2">
      <c r="A31" s="20" t="s">
        <v>18</v>
      </c>
      <c r="B31" s="63">
        <v>45943</v>
      </c>
      <c r="C31" s="20">
        <f t="shared" si="0"/>
        <v>630</v>
      </c>
      <c r="D31" s="20">
        <v>1</v>
      </c>
      <c r="G31" s="32" t="s">
        <v>115</v>
      </c>
      <c r="H31" s="20" t="s">
        <v>1393</v>
      </c>
      <c r="I31" s="20">
        <v>64276</v>
      </c>
      <c r="J31" s="20">
        <v>331</v>
      </c>
      <c r="K31" s="20" t="s">
        <v>20</v>
      </c>
      <c r="L31" s="20">
        <v>1</v>
      </c>
      <c r="M31" s="34">
        <v>21000</v>
      </c>
      <c r="N31" s="34">
        <f t="shared" si="1"/>
        <v>21000</v>
      </c>
      <c r="O31" s="33" t="s">
        <v>21</v>
      </c>
      <c r="P31" s="20">
        <f t="shared" si="3"/>
        <v>28</v>
      </c>
      <c r="Q31" s="20">
        <f t="shared" si="2"/>
        <v>33</v>
      </c>
    </row>
    <row r="32" spans="1:17" ht="15" customHeight="1" x14ac:dyDescent="0.2">
      <c r="A32" s="20" t="s">
        <v>18</v>
      </c>
      <c r="B32" s="63">
        <v>45943</v>
      </c>
      <c r="C32" s="20">
        <f t="shared" si="0"/>
        <v>631</v>
      </c>
      <c r="D32" s="20">
        <v>1</v>
      </c>
      <c r="G32" s="32" t="s">
        <v>115</v>
      </c>
      <c r="H32" s="20" t="s">
        <v>1394</v>
      </c>
      <c r="I32" s="20">
        <v>64276</v>
      </c>
      <c r="J32" s="20">
        <v>331</v>
      </c>
      <c r="K32" s="20" t="s">
        <v>20</v>
      </c>
      <c r="L32" s="20">
        <v>1</v>
      </c>
      <c r="M32" s="34">
        <v>37000</v>
      </c>
      <c r="N32" s="34">
        <f t="shared" si="1"/>
        <v>37000</v>
      </c>
      <c r="O32" s="33" t="s">
        <v>21</v>
      </c>
      <c r="P32" s="20">
        <f t="shared" si="3"/>
        <v>29</v>
      </c>
      <c r="Q32" s="20">
        <f t="shared" si="2"/>
        <v>33</v>
      </c>
    </row>
    <row r="33" spans="1:17" ht="15" customHeight="1" x14ac:dyDescent="0.2">
      <c r="A33" s="20" t="s">
        <v>18</v>
      </c>
      <c r="B33" s="63">
        <v>45943</v>
      </c>
      <c r="C33" s="20">
        <f t="shared" si="0"/>
        <v>632</v>
      </c>
      <c r="D33" s="20">
        <v>1</v>
      </c>
      <c r="G33" s="32" t="s">
        <v>115</v>
      </c>
      <c r="H33" s="20" t="s">
        <v>1395</v>
      </c>
      <c r="I33" s="20">
        <v>64276</v>
      </c>
      <c r="J33" s="20">
        <v>331</v>
      </c>
      <c r="K33" s="20" t="s">
        <v>20</v>
      </c>
      <c r="L33" s="20">
        <v>1</v>
      </c>
      <c r="M33" s="34">
        <v>68000</v>
      </c>
      <c r="N33" s="34">
        <f t="shared" si="1"/>
        <v>68000</v>
      </c>
      <c r="O33" s="33" t="s">
        <v>21</v>
      </c>
      <c r="P33" s="20">
        <f t="shared" si="3"/>
        <v>30</v>
      </c>
      <c r="Q33" s="20">
        <f t="shared" si="2"/>
        <v>33</v>
      </c>
    </row>
    <row r="34" spans="1:17" ht="15" customHeight="1" x14ac:dyDescent="0.2">
      <c r="A34" s="20" t="s">
        <v>18</v>
      </c>
      <c r="B34" s="63">
        <v>45943</v>
      </c>
      <c r="C34" s="20">
        <f t="shared" si="0"/>
        <v>633</v>
      </c>
      <c r="D34" s="20">
        <v>1</v>
      </c>
      <c r="G34" s="32" t="s">
        <v>115</v>
      </c>
      <c r="H34" s="20" t="s">
        <v>1396</v>
      </c>
      <c r="I34" s="20">
        <v>64276</v>
      </c>
      <c r="J34" s="20">
        <v>331</v>
      </c>
      <c r="K34" s="20" t="s">
        <v>20</v>
      </c>
      <c r="L34" s="20">
        <v>1</v>
      </c>
      <c r="M34" s="34">
        <v>14000</v>
      </c>
      <c r="N34" s="34">
        <f t="shared" si="1"/>
        <v>14000</v>
      </c>
      <c r="O34" s="33" t="s">
        <v>21</v>
      </c>
      <c r="P34" s="20">
        <f t="shared" si="3"/>
        <v>31</v>
      </c>
      <c r="Q34" s="20">
        <f t="shared" si="2"/>
        <v>33</v>
      </c>
    </row>
    <row r="35" spans="1:17" ht="15" customHeight="1" x14ac:dyDescent="0.2">
      <c r="A35" s="20" t="s">
        <v>18</v>
      </c>
      <c r="B35" s="69">
        <v>45943</v>
      </c>
      <c r="C35" s="20">
        <f t="shared" si="0"/>
        <v>634</v>
      </c>
      <c r="D35" s="20">
        <v>1</v>
      </c>
      <c r="E35" s="38"/>
      <c r="G35" s="59" t="s">
        <v>115</v>
      </c>
      <c r="H35" s="20" t="s">
        <v>1397</v>
      </c>
      <c r="I35" s="20">
        <v>64276</v>
      </c>
      <c r="J35" s="20">
        <v>331</v>
      </c>
      <c r="K35" s="20" t="s">
        <v>20</v>
      </c>
      <c r="L35" s="20">
        <v>1</v>
      </c>
      <c r="M35" s="67">
        <v>69000</v>
      </c>
      <c r="N35" s="34">
        <f t="shared" si="1"/>
        <v>69000</v>
      </c>
      <c r="O35" s="33" t="s">
        <v>21</v>
      </c>
      <c r="P35" s="20">
        <f t="shared" si="3"/>
        <v>32</v>
      </c>
      <c r="Q35" s="20">
        <f t="shared" si="2"/>
        <v>33</v>
      </c>
    </row>
    <row r="36" spans="1:17" ht="15" customHeight="1" x14ac:dyDescent="0.2">
      <c r="A36" s="20" t="s">
        <v>18</v>
      </c>
      <c r="B36" s="69">
        <v>45943</v>
      </c>
      <c r="C36" s="20">
        <f t="shared" si="0"/>
        <v>635</v>
      </c>
      <c r="D36" s="20">
        <v>1</v>
      </c>
      <c r="E36" s="38"/>
      <c r="G36" s="59" t="s">
        <v>115</v>
      </c>
      <c r="H36" s="20" t="s">
        <v>1398</v>
      </c>
      <c r="I36" s="20">
        <v>64276</v>
      </c>
      <c r="J36" s="20">
        <v>331</v>
      </c>
      <c r="K36" s="20" t="s">
        <v>20</v>
      </c>
      <c r="L36" s="20">
        <v>1</v>
      </c>
      <c r="M36" s="67">
        <v>48000</v>
      </c>
      <c r="N36" s="34">
        <f t="shared" si="1"/>
        <v>48000</v>
      </c>
      <c r="O36" s="33" t="s">
        <v>21</v>
      </c>
      <c r="P36" s="20">
        <f t="shared" si="3"/>
        <v>33</v>
      </c>
      <c r="Q36" s="20">
        <f t="shared" si="2"/>
        <v>33</v>
      </c>
    </row>
    <row r="37" spans="1:17" ht="15" customHeight="1" x14ac:dyDescent="0.2">
      <c r="A37" s="20" t="s">
        <v>18</v>
      </c>
      <c r="B37" s="69">
        <v>45944</v>
      </c>
      <c r="C37" s="20">
        <f t="shared" si="0"/>
        <v>636</v>
      </c>
      <c r="D37" s="20">
        <v>1</v>
      </c>
      <c r="E37" s="38"/>
      <c r="G37" s="59" t="s">
        <v>115</v>
      </c>
      <c r="H37" s="20" t="s">
        <v>1399</v>
      </c>
      <c r="I37" s="20">
        <v>64276</v>
      </c>
      <c r="J37" s="20">
        <v>331</v>
      </c>
      <c r="K37" s="20" t="s">
        <v>20</v>
      </c>
      <c r="L37" s="20">
        <v>1</v>
      </c>
      <c r="M37" s="67">
        <v>48000</v>
      </c>
      <c r="N37" s="34">
        <f t="shared" si="1"/>
        <v>48000</v>
      </c>
      <c r="O37" s="33" t="s">
        <v>21</v>
      </c>
      <c r="P37" s="20">
        <f t="shared" si="3"/>
        <v>34</v>
      </c>
      <c r="Q37" s="20">
        <f t="shared" si="2"/>
        <v>33</v>
      </c>
    </row>
    <row r="38" spans="1:17" ht="15" customHeight="1" x14ac:dyDescent="0.2">
      <c r="A38" s="20" t="s">
        <v>18</v>
      </c>
      <c r="B38" s="63">
        <v>45944</v>
      </c>
      <c r="C38" s="20">
        <f t="shared" si="0"/>
        <v>637</v>
      </c>
      <c r="D38" s="20">
        <v>1</v>
      </c>
      <c r="G38" s="32" t="s">
        <v>115</v>
      </c>
      <c r="H38" s="20" t="s">
        <v>1400</v>
      </c>
      <c r="I38" s="20">
        <v>64276</v>
      </c>
      <c r="J38" s="20">
        <v>331</v>
      </c>
      <c r="K38" s="20" t="s">
        <v>20</v>
      </c>
      <c r="L38" s="20">
        <v>1</v>
      </c>
      <c r="M38" s="34">
        <v>27000</v>
      </c>
      <c r="N38" s="34">
        <f t="shared" si="1"/>
        <v>27000</v>
      </c>
      <c r="O38" s="33" t="s">
        <v>21</v>
      </c>
      <c r="P38" s="20">
        <f t="shared" si="3"/>
        <v>35</v>
      </c>
      <c r="Q38" s="20">
        <f t="shared" si="2"/>
        <v>33</v>
      </c>
    </row>
    <row r="39" spans="1:17" ht="15" customHeight="1" x14ac:dyDescent="0.2">
      <c r="A39" s="20" t="s">
        <v>18</v>
      </c>
      <c r="B39" s="63">
        <v>45946</v>
      </c>
      <c r="C39" s="20">
        <f t="shared" si="0"/>
        <v>638</v>
      </c>
      <c r="D39" s="20">
        <v>1</v>
      </c>
      <c r="G39" s="32" t="s">
        <v>115</v>
      </c>
      <c r="H39" s="20" t="s">
        <v>1401</v>
      </c>
      <c r="I39" s="20">
        <v>64276</v>
      </c>
      <c r="J39" s="20">
        <v>331</v>
      </c>
      <c r="K39" s="20" t="s">
        <v>20</v>
      </c>
      <c r="L39" s="20">
        <v>1</v>
      </c>
      <c r="M39" s="34">
        <v>27000</v>
      </c>
      <c r="N39" s="34">
        <f t="shared" si="1"/>
        <v>27000</v>
      </c>
      <c r="O39" s="33" t="s">
        <v>21</v>
      </c>
      <c r="P39" s="20">
        <f t="shared" si="3"/>
        <v>36</v>
      </c>
      <c r="Q39" s="20">
        <f t="shared" si="2"/>
        <v>33</v>
      </c>
    </row>
    <row r="40" spans="1:17" ht="15" customHeight="1" x14ac:dyDescent="0.2">
      <c r="A40" s="20" t="s">
        <v>18</v>
      </c>
      <c r="B40" s="63">
        <v>45946</v>
      </c>
      <c r="C40" s="20">
        <f t="shared" si="0"/>
        <v>639</v>
      </c>
      <c r="D40" s="20">
        <v>1</v>
      </c>
      <c r="G40" s="32" t="s">
        <v>115</v>
      </c>
      <c r="H40" s="20" t="s">
        <v>1402</v>
      </c>
      <c r="I40" s="20">
        <v>64276</v>
      </c>
      <c r="J40" s="20">
        <v>331</v>
      </c>
      <c r="K40" s="20" t="s">
        <v>20</v>
      </c>
      <c r="L40" s="20">
        <v>1</v>
      </c>
      <c r="M40" s="34">
        <v>55000</v>
      </c>
      <c r="N40" s="34">
        <f t="shared" si="1"/>
        <v>55000</v>
      </c>
      <c r="O40" s="33" t="s">
        <v>21</v>
      </c>
      <c r="P40" s="20">
        <f t="shared" si="3"/>
        <v>37</v>
      </c>
      <c r="Q40" s="20">
        <f t="shared" si="2"/>
        <v>33</v>
      </c>
    </row>
    <row r="41" spans="1:17" ht="15" customHeight="1" x14ac:dyDescent="0.2">
      <c r="A41" s="20" t="s">
        <v>18</v>
      </c>
      <c r="B41" s="63">
        <v>45946</v>
      </c>
      <c r="C41" s="20">
        <f t="shared" si="0"/>
        <v>640</v>
      </c>
      <c r="D41" s="20">
        <v>1</v>
      </c>
      <c r="G41" s="32" t="s">
        <v>115</v>
      </c>
      <c r="H41" s="20" t="s">
        <v>1403</v>
      </c>
      <c r="I41" s="20">
        <v>64276</v>
      </c>
      <c r="J41" s="20">
        <v>331</v>
      </c>
      <c r="K41" s="20" t="s">
        <v>20</v>
      </c>
      <c r="L41" s="20">
        <v>1</v>
      </c>
      <c r="M41" s="34">
        <v>34000</v>
      </c>
      <c r="N41" s="34">
        <f t="shared" si="1"/>
        <v>34000</v>
      </c>
      <c r="O41" s="33" t="s">
        <v>21</v>
      </c>
      <c r="P41" s="20">
        <f t="shared" si="3"/>
        <v>38</v>
      </c>
      <c r="Q41" s="20">
        <f t="shared" si="2"/>
        <v>33</v>
      </c>
    </row>
    <row r="42" spans="1:17" ht="15" customHeight="1" x14ac:dyDescent="0.2">
      <c r="A42" s="20" t="s">
        <v>18</v>
      </c>
      <c r="B42" s="63">
        <v>45948</v>
      </c>
      <c r="C42" s="20">
        <f t="shared" si="0"/>
        <v>641</v>
      </c>
      <c r="D42" s="20">
        <v>1</v>
      </c>
      <c r="G42" s="32" t="s">
        <v>115</v>
      </c>
      <c r="H42" s="20" t="s">
        <v>1404</v>
      </c>
      <c r="I42" s="20">
        <v>64276</v>
      </c>
      <c r="J42" s="20">
        <v>331</v>
      </c>
      <c r="K42" s="20" t="s">
        <v>20</v>
      </c>
      <c r="L42" s="20">
        <v>1</v>
      </c>
      <c r="M42" s="34">
        <v>15000</v>
      </c>
      <c r="N42" s="34">
        <f t="shared" si="1"/>
        <v>15000</v>
      </c>
      <c r="O42" s="33" t="s">
        <v>21</v>
      </c>
      <c r="P42" s="20">
        <f t="shared" si="3"/>
        <v>39</v>
      </c>
      <c r="Q42" s="20">
        <f t="shared" si="2"/>
        <v>33</v>
      </c>
    </row>
    <row r="43" spans="1:17" ht="15" customHeight="1" x14ac:dyDescent="0.2">
      <c r="A43" s="20" t="s">
        <v>18</v>
      </c>
      <c r="B43" s="63">
        <v>45948</v>
      </c>
      <c r="C43" s="20">
        <f t="shared" si="0"/>
        <v>642</v>
      </c>
      <c r="D43" s="20">
        <v>1</v>
      </c>
      <c r="G43" s="32" t="s">
        <v>115</v>
      </c>
      <c r="H43" s="20" t="s">
        <v>1405</v>
      </c>
      <c r="I43" s="20">
        <v>64276</v>
      </c>
      <c r="J43" s="20">
        <v>331</v>
      </c>
      <c r="K43" s="20" t="s">
        <v>20</v>
      </c>
      <c r="L43" s="20">
        <v>1</v>
      </c>
      <c r="M43" s="34">
        <v>13000</v>
      </c>
      <c r="N43" s="34">
        <f t="shared" si="1"/>
        <v>13000</v>
      </c>
      <c r="O43" s="33" t="s">
        <v>21</v>
      </c>
      <c r="P43" s="20">
        <f t="shared" si="3"/>
        <v>40</v>
      </c>
      <c r="Q43" s="20">
        <f t="shared" si="2"/>
        <v>33</v>
      </c>
    </row>
    <row r="44" spans="1:17" ht="15" customHeight="1" x14ac:dyDescent="0.2">
      <c r="A44" s="20" t="s">
        <v>18</v>
      </c>
      <c r="B44" s="63">
        <v>45949</v>
      </c>
      <c r="C44" s="20">
        <f t="shared" si="0"/>
        <v>643</v>
      </c>
      <c r="D44" s="20">
        <v>1</v>
      </c>
      <c r="G44" s="32" t="s">
        <v>115</v>
      </c>
      <c r="H44" s="20" t="s">
        <v>1406</v>
      </c>
      <c r="I44" s="20">
        <v>64276</v>
      </c>
      <c r="J44" s="20">
        <v>331</v>
      </c>
      <c r="K44" s="20" t="s">
        <v>20</v>
      </c>
      <c r="L44" s="20">
        <v>1</v>
      </c>
      <c r="M44" s="34">
        <v>25000</v>
      </c>
      <c r="N44" s="34">
        <f t="shared" si="1"/>
        <v>25000</v>
      </c>
      <c r="O44" s="33" t="s">
        <v>21</v>
      </c>
      <c r="P44" s="20">
        <f t="shared" si="3"/>
        <v>41</v>
      </c>
      <c r="Q44" s="20">
        <f t="shared" si="2"/>
        <v>33</v>
      </c>
    </row>
    <row r="45" spans="1:17" ht="15" customHeight="1" x14ac:dyDescent="0.2">
      <c r="A45" s="20" t="s">
        <v>18</v>
      </c>
      <c r="B45" s="63">
        <v>45949</v>
      </c>
      <c r="C45" s="20">
        <f t="shared" si="0"/>
        <v>644</v>
      </c>
      <c r="D45" s="20">
        <v>1</v>
      </c>
      <c r="G45" s="32" t="s">
        <v>115</v>
      </c>
      <c r="H45" s="20" t="s">
        <v>1407</v>
      </c>
      <c r="I45" s="20">
        <v>64276</v>
      </c>
      <c r="J45" s="20">
        <v>331</v>
      </c>
      <c r="K45" s="20" t="s">
        <v>20</v>
      </c>
      <c r="L45" s="20">
        <v>1</v>
      </c>
      <c r="M45" s="34">
        <v>80000</v>
      </c>
      <c r="N45" s="34">
        <f t="shared" si="1"/>
        <v>80000</v>
      </c>
      <c r="O45" s="33" t="s">
        <v>21</v>
      </c>
      <c r="P45" s="20">
        <f t="shared" si="3"/>
        <v>42</v>
      </c>
      <c r="Q45" s="20">
        <f t="shared" si="2"/>
        <v>33</v>
      </c>
    </row>
    <row r="46" spans="1:17" ht="15" customHeight="1" x14ac:dyDescent="0.2">
      <c r="A46" s="20" t="s">
        <v>18</v>
      </c>
      <c r="B46" s="63">
        <v>45949</v>
      </c>
      <c r="C46" s="20">
        <f t="shared" si="0"/>
        <v>645</v>
      </c>
      <c r="D46" s="20">
        <v>1</v>
      </c>
      <c r="G46" s="32" t="s">
        <v>115</v>
      </c>
      <c r="H46" s="20" t="s">
        <v>1408</v>
      </c>
      <c r="I46" s="20">
        <v>64276</v>
      </c>
      <c r="J46" s="20">
        <v>331</v>
      </c>
      <c r="K46" s="20" t="s">
        <v>20</v>
      </c>
      <c r="L46" s="20">
        <v>1</v>
      </c>
      <c r="M46" s="34">
        <v>100000</v>
      </c>
      <c r="N46" s="34">
        <f t="shared" si="1"/>
        <v>100000</v>
      </c>
      <c r="O46" s="33" t="s">
        <v>21</v>
      </c>
      <c r="P46" s="20">
        <f t="shared" si="3"/>
        <v>43</v>
      </c>
      <c r="Q46" s="20">
        <f t="shared" si="2"/>
        <v>33</v>
      </c>
    </row>
    <row r="47" spans="1:17" ht="15" customHeight="1" x14ac:dyDescent="0.2">
      <c r="A47" s="20" t="s">
        <v>18</v>
      </c>
      <c r="B47" s="63">
        <v>45952</v>
      </c>
      <c r="C47" s="20">
        <f t="shared" si="0"/>
        <v>646</v>
      </c>
      <c r="D47" s="20">
        <v>1</v>
      </c>
      <c r="G47" s="32" t="s">
        <v>1350</v>
      </c>
      <c r="H47" s="20" t="s">
        <v>1409</v>
      </c>
      <c r="I47" s="20">
        <v>64277</v>
      </c>
      <c r="J47" s="20">
        <v>331</v>
      </c>
      <c r="K47" s="20" t="s">
        <v>20</v>
      </c>
      <c r="L47" s="20">
        <v>1</v>
      </c>
      <c r="M47" s="34">
        <v>1507896</v>
      </c>
      <c r="N47" s="34">
        <f t="shared" si="1"/>
        <v>1507896</v>
      </c>
      <c r="O47" s="33" t="s">
        <v>21</v>
      </c>
      <c r="P47" s="20">
        <f t="shared" si="3"/>
        <v>44</v>
      </c>
      <c r="Q47" s="20">
        <f t="shared" si="2"/>
        <v>42</v>
      </c>
    </row>
    <row r="48" spans="1:17" ht="15" customHeight="1" x14ac:dyDescent="0.2">
      <c r="A48" s="20" t="s">
        <v>18</v>
      </c>
      <c r="B48" s="63">
        <v>45954</v>
      </c>
      <c r="C48" s="20">
        <f t="shared" si="0"/>
        <v>647</v>
      </c>
      <c r="D48" s="20">
        <v>1</v>
      </c>
      <c r="G48" s="32" t="s">
        <v>1351</v>
      </c>
      <c r="H48" s="20" t="s">
        <v>1410</v>
      </c>
      <c r="I48" s="20">
        <v>64276</v>
      </c>
      <c r="J48" s="20">
        <v>331</v>
      </c>
      <c r="K48" s="20" t="s">
        <v>20</v>
      </c>
      <c r="L48" s="20">
        <v>1</v>
      </c>
      <c r="M48" s="34">
        <v>49000</v>
      </c>
      <c r="N48" s="34">
        <f t="shared" si="1"/>
        <v>49000</v>
      </c>
      <c r="O48" s="33" t="s">
        <v>21</v>
      </c>
      <c r="P48" s="20">
        <f t="shared" si="3"/>
        <v>45</v>
      </c>
      <c r="Q48" s="20">
        <f t="shared" si="2"/>
        <v>30</v>
      </c>
    </row>
    <row r="49" spans="1:17" ht="15" customHeight="1" x14ac:dyDescent="0.2">
      <c r="A49" s="20" t="s">
        <v>18</v>
      </c>
      <c r="B49" s="63">
        <v>45954</v>
      </c>
      <c r="C49" s="20">
        <f t="shared" si="0"/>
        <v>648</v>
      </c>
      <c r="D49" s="20">
        <v>1</v>
      </c>
      <c r="G49" s="32" t="s">
        <v>1351</v>
      </c>
      <c r="H49" s="20" t="s">
        <v>1411</v>
      </c>
      <c r="I49" s="20">
        <v>64276</v>
      </c>
      <c r="J49" s="20">
        <v>331</v>
      </c>
      <c r="K49" s="20" t="s">
        <v>20</v>
      </c>
      <c r="L49" s="20">
        <v>1</v>
      </c>
      <c r="M49" s="34">
        <v>60000</v>
      </c>
      <c r="N49" s="34">
        <f t="shared" si="1"/>
        <v>60000</v>
      </c>
      <c r="O49" s="33" t="s">
        <v>21</v>
      </c>
      <c r="P49" s="20">
        <f t="shared" si="3"/>
        <v>46</v>
      </c>
      <c r="Q49" s="20">
        <f t="shared" si="2"/>
        <v>30</v>
      </c>
    </row>
    <row r="50" spans="1:17" ht="15" customHeight="1" x14ac:dyDescent="0.2">
      <c r="A50" s="20" t="s">
        <v>18</v>
      </c>
      <c r="B50" s="63">
        <v>45954</v>
      </c>
      <c r="C50" s="20">
        <f t="shared" si="0"/>
        <v>649</v>
      </c>
      <c r="D50" s="20">
        <v>1</v>
      </c>
      <c r="G50" s="32" t="s">
        <v>115</v>
      </c>
      <c r="H50" s="20" t="s">
        <v>1412</v>
      </c>
      <c r="I50" s="20">
        <v>64276</v>
      </c>
      <c r="J50" s="20">
        <v>331</v>
      </c>
      <c r="K50" s="20" t="s">
        <v>20</v>
      </c>
      <c r="L50" s="20">
        <v>1</v>
      </c>
      <c r="M50" s="34">
        <v>18000</v>
      </c>
      <c r="N50" s="34">
        <f t="shared" si="1"/>
        <v>18000</v>
      </c>
      <c r="O50" s="33" t="s">
        <v>21</v>
      </c>
      <c r="P50" s="20">
        <f t="shared" si="3"/>
        <v>47</v>
      </c>
      <c r="Q50" s="20">
        <f t="shared" si="2"/>
        <v>33</v>
      </c>
    </row>
    <row r="51" spans="1:17" ht="15" customHeight="1" x14ac:dyDescent="0.2">
      <c r="A51" s="20" t="s">
        <v>18</v>
      </c>
      <c r="B51" s="63">
        <v>45954</v>
      </c>
      <c r="C51" s="20">
        <f t="shared" si="0"/>
        <v>650</v>
      </c>
      <c r="D51" s="20">
        <v>1</v>
      </c>
      <c r="G51" s="32" t="s">
        <v>115</v>
      </c>
      <c r="H51" s="20" t="s">
        <v>1413</v>
      </c>
      <c r="I51" s="20">
        <v>64276</v>
      </c>
      <c r="J51" s="20">
        <v>331</v>
      </c>
      <c r="K51" s="20" t="s">
        <v>20</v>
      </c>
      <c r="L51" s="20">
        <v>1</v>
      </c>
      <c r="M51" s="34">
        <v>98000</v>
      </c>
      <c r="N51" s="34">
        <f t="shared" si="1"/>
        <v>98000</v>
      </c>
      <c r="O51" s="33" t="s">
        <v>21</v>
      </c>
      <c r="P51" s="20">
        <f t="shared" si="3"/>
        <v>48</v>
      </c>
      <c r="Q51" s="20">
        <f t="shared" si="2"/>
        <v>33</v>
      </c>
    </row>
    <row r="52" spans="1:17" ht="15" customHeight="1" x14ac:dyDescent="0.2">
      <c r="A52" s="20" t="s">
        <v>18</v>
      </c>
      <c r="B52" s="63">
        <v>45955</v>
      </c>
      <c r="C52" s="20">
        <f t="shared" si="0"/>
        <v>651</v>
      </c>
      <c r="D52" s="20">
        <v>1</v>
      </c>
      <c r="G52" s="32" t="s">
        <v>1351</v>
      </c>
      <c r="H52" s="20" t="s">
        <v>1414</v>
      </c>
      <c r="I52" s="20">
        <v>64276</v>
      </c>
      <c r="J52" s="20">
        <v>331</v>
      </c>
      <c r="K52" s="20" t="s">
        <v>20</v>
      </c>
      <c r="L52" s="20">
        <v>1</v>
      </c>
      <c r="M52" s="34">
        <v>26000</v>
      </c>
      <c r="N52" s="34">
        <f t="shared" si="1"/>
        <v>26000</v>
      </c>
      <c r="O52" s="33" t="s">
        <v>21</v>
      </c>
      <c r="P52" s="20">
        <f t="shared" si="3"/>
        <v>49</v>
      </c>
      <c r="Q52" s="20">
        <f t="shared" si="2"/>
        <v>30</v>
      </c>
    </row>
    <row r="53" spans="1:17" ht="15" customHeight="1" x14ac:dyDescent="0.2">
      <c r="A53" s="20" t="s">
        <v>18</v>
      </c>
      <c r="B53" s="63">
        <v>45955</v>
      </c>
      <c r="C53" s="20">
        <f t="shared" si="0"/>
        <v>652</v>
      </c>
      <c r="D53" s="20">
        <v>1</v>
      </c>
      <c r="G53" s="32" t="s">
        <v>1351</v>
      </c>
      <c r="H53" s="20" t="s">
        <v>1415</v>
      </c>
      <c r="I53" s="20">
        <v>64276</v>
      </c>
      <c r="J53" s="20">
        <v>331</v>
      </c>
      <c r="K53" s="20" t="s">
        <v>20</v>
      </c>
      <c r="L53" s="20">
        <v>1</v>
      </c>
      <c r="M53" s="34">
        <v>59000</v>
      </c>
      <c r="N53" s="34">
        <f t="shared" si="1"/>
        <v>59000</v>
      </c>
      <c r="O53" s="33" t="s">
        <v>21</v>
      </c>
      <c r="P53" s="20">
        <f t="shared" si="3"/>
        <v>50</v>
      </c>
      <c r="Q53" s="20">
        <f t="shared" si="2"/>
        <v>30</v>
      </c>
    </row>
    <row r="54" spans="1:17" ht="15" customHeight="1" x14ac:dyDescent="0.2">
      <c r="A54" s="20" t="s">
        <v>18</v>
      </c>
      <c r="B54" s="63">
        <v>45955</v>
      </c>
      <c r="C54" s="20">
        <f t="shared" si="0"/>
        <v>653</v>
      </c>
      <c r="D54" s="20">
        <v>1</v>
      </c>
      <c r="G54" s="32" t="s">
        <v>1351</v>
      </c>
      <c r="H54" s="20" t="s">
        <v>1416</v>
      </c>
      <c r="I54" s="20">
        <v>64276</v>
      </c>
      <c r="J54" s="20">
        <v>331</v>
      </c>
      <c r="K54" s="20" t="s">
        <v>20</v>
      </c>
      <c r="L54" s="20">
        <v>1</v>
      </c>
      <c r="M54" s="34">
        <v>26000</v>
      </c>
      <c r="N54" s="34">
        <f t="shared" si="1"/>
        <v>26000</v>
      </c>
      <c r="O54" s="33" t="s">
        <v>21</v>
      </c>
      <c r="P54" s="20">
        <f t="shared" si="3"/>
        <v>51</v>
      </c>
      <c r="Q54" s="20">
        <f t="shared" si="2"/>
        <v>30</v>
      </c>
    </row>
    <row r="55" spans="1:17" ht="15" customHeight="1" x14ac:dyDescent="0.2">
      <c r="A55" s="20" t="s">
        <v>18</v>
      </c>
      <c r="B55" s="63">
        <v>45955</v>
      </c>
      <c r="C55" s="20">
        <f t="shared" si="0"/>
        <v>654</v>
      </c>
      <c r="D55" s="20">
        <v>1</v>
      </c>
      <c r="G55" s="32" t="s">
        <v>1351</v>
      </c>
      <c r="H55" s="20" t="s">
        <v>1417</v>
      </c>
      <c r="I55" s="20">
        <v>64276</v>
      </c>
      <c r="J55" s="20">
        <v>331</v>
      </c>
      <c r="K55" s="20" t="s">
        <v>20</v>
      </c>
      <c r="L55" s="20">
        <v>1</v>
      </c>
      <c r="M55" s="34">
        <v>26000</v>
      </c>
      <c r="N55" s="34">
        <f t="shared" si="1"/>
        <v>26000</v>
      </c>
      <c r="O55" s="33" t="s">
        <v>21</v>
      </c>
      <c r="P55" s="20">
        <f t="shared" si="3"/>
        <v>52</v>
      </c>
      <c r="Q55" s="20">
        <f t="shared" si="2"/>
        <v>30</v>
      </c>
    </row>
    <row r="56" spans="1:17" ht="15" customHeight="1" x14ac:dyDescent="0.2">
      <c r="A56" s="20" t="s">
        <v>18</v>
      </c>
      <c r="B56" s="63">
        <v>45955</v>
      </c>
      <c r="C56" s="20">
        <f t="shared" si="0"/>
        <v>655</v>
      </c>
      <c r="D56" s="20">
        <v>1</v>
      </c>
      <c r="G56" s="32" t="s">
        <v>115</v>
      </c>
      <c r="H56" s="20" t="s">
        <v>1418</v>
      </c>
      <c r="I56" s="20">
        <v>64276</v>
      </c>
      <c r="J56" s="20">
        <v>331</v>
      </c>
      <c r="K56" s="20" t="s">
        <v>20</v>
      </c>
      <c r="L56" s="20">
        <v>1</v>
      </c>
      <c r="M56" s="34">
        <v>98000</v>
      </c>
      <c r="N56" s="34">
        <f t="shared" si="1"/>
        <v>98000</v>
      </c>
      <c r="O56" s="33" t="s">
        <v>21</v>
      </c>
      <c r="P56" s="20">
        <f t="shared" si="3"/>
        <v>53</v>
      </c>
      <c r="Q56" s="20">
        <f t="shared" si="2"/>
        <v>33</v>
      </c>
    </row>
    <row r="57" spans="1:17" ht="15" customHeight="1" x14ac:dyDescent="0.2">
      <c r="A57" s="20" t="s">
        <v>18</v>
      </c>
      <c r="B57" s="63">
        <v>45955</v>
      </c>
      <c r="C57" s="20">
        <f t="shared" si="0"/>
        <v>656</v>
      </c>
      <c r="D57" s="20">
        <v>1</v>
      </c>
      <c r="G57" s="32" t="s">
        <v>115</v>
      </c>
      <c r="H57" s="20" t="s">
        <v>1419</v>
      </c>
      <c r="I57" s="20">
        <v>64276</v>
      </c>
      <c r="J57" s="20">
        <v>331</v>
      </c>
      <c r="K57" s="20" t="s">
        <v>20</v>
      </c>
      <c r="L57" s="20">
        <v>1</v>
      </c>
      <c r="M57" s="34">
        <v>38000</v>
      </c>
      <c r="N57" s="34">
        <f t="shared" si="1"/>
        <v>38000</v>
      </c>
      <c r="O57" s="33" t="s">
        <v>21</v>
      </c>
      <c r="P57" s="20">
        <f t="shared" si="3"/>
        <v>54</v>
      </c>
      <c r="Q57" s="20">
        <f t="shared" si="2"/>
        <v>33</v>
      </c>
    </row>
    <row r="58" spans="1:17" ht="15" customHeight="1" x14ac:dyDescent="0.2">
      <c r="A58" s="20" t="s">
        <v>18</v>
      </c>
      <c r="B58" s="63">
        <v>45955</v>
      </c>
      <c r="C58" s="20">
        <f t="shared" si="0"/>
        <v>657</v>
      </c>
      <c r="D58" s="20">
        <v>1</v>
      </c>
      <c r="G58" s="32" t="s">
        <v>115</v>
      </c>
      <c r="H58" s="20" t="s">
        <v>1420</v>
      </c>
      <c r="I58" s="20">
        <v>64276</v>
      </c>
      <c r="J58" s="20">
        <v>331</v>
      </c>
      <c r="K58" s="20" t="s">
        <v>20</v>
      </c>
      <c r="L58" s="20">
        <v>1</v>
      </c>
      <c r="M58" s="34">
        <v>105000</v>
      </c>
      <c r="N58" s="34">
        <f t="shared" si="1"/>
        <v>105000</v>
      </c>
      <c r="O58" s="33" t="s">
        <v>21</v>
      </c>
      <c r="P58" s="20">
        <f t="shared" si="3"/>
        <v>55</v>
      </c>
      <c r="Q58" s="20">
        <f t="shared" si="2"/>
        <v>33</v>
      </c>
    </row>
    <row r="59" spans="1:17" ht="15" customHeight="1" x14ac:dyDescent="0.2">
      <c r="A59" s="20" t="s">
        <v>18</v>
      </c>
      <c r="B59" s="63">
        <v>45955</v>
      </c>
      <c r="C59" s="20">
        <f t="shared" si="0"/>
        <v>658</v>
      </c>
      <c r="D59" s="20">
        <v>1</v>
      </c>
      <c r="G59" s="32" t="s">
        <v>115</v>
      </c>
      <c r="H59" s="20" t="s">
        <v>1421</v>
      </c>
      <c r="I59" s="20">
        <v>64276</v>
      </c>
      <c r="J59" s="20">
        <v>331</v>
      </c>
      <c r="K59" s="20" t="s">
        <v>20</v>
      </c>
      <c r="L59" s="20">
        <v>1</v>
      </c>
      <c r="M59" s="34">
        <v>191000</v>
      </c>
      <c r="N59" s="34">
        <f t="shared" si="1"/>
        <v>191000</v>
      </c>
      <c r="O59" s="33" t="s">
        <v>21</v>
      </c>
      <c r="P59" s="20">
        <f t="shared" si="3"/>
        <v>56</v>
      </c>
      <c r="Q59" s="20">
        <f t="shared" si="2"/>
        <v>33</v>
      </c>
    </row>
    <row r="60" spans="1:17" ht="15" customHeight="1" x14ac:dyDescent="0.2">
      <c r="A60" s="20" t="s">
        <v>18</v>
      </c>
      <c r="B60" s="63">
        <v>45955</v>
      </c>
      <c r="C60" s="20">
        <f t="shared" si="0"/>
        <v>659</v>
      </c>
      <c r="D60" s="20">
        <v>1</v>
      </c>
      <c r="G60" s="32" t="s">
        <v>115</v>
      </c>
      <c r="H60" s="20" t="s">
        <v>1422</v>
      </c>
      <c r="I60" s="20">
        <v>64276</v>
      </c>
      <c r="J60" s="20">
        <v>331</v>
      </c>
      <c r="K60" s="20" t="s">
        <v>20</v>
      </c>
      <c r="L60" s="20">
        <v>1</v>
      </c>
      <c r="M60" s="34">
        <v>144000</v>
      </c>
      <c r="N60" s="34">
        <f t="shared" si="1"/>
        <v>144000</v>
      </c>
      <c r="O60" s="33" t="s">
        <v>21</v>
      </c>
      <c r="P60" s="20">
        <f t="shared" si="3"/>
        <v>57</v>
      </c>
      <c r="Q60" s="20">
        <f t="shared" si="2"/>
        <v>33</v>
      </c>
    </row>
    <row r="61" spans="1:17" ht="15" customHeight="1" x14ac:dyDescent="0.2">
      <c r="A61" s="20" t="s">
        <v>18</v>
      </c>
      <c r="B61" s="63">
        <v>45955</v>
      </c>
      <c r="C61" s="20">
        <f t="shared" si="0"/>
        <v>660</v>
      </c>
      <c r="D61" s="20">
        <v>1</v>
      </c>
      <c r="G61" s="32" t="s">
        <v>115</v>
      </c>
      <c r="H61" s="20" t="s">
        <v>1423</v>
      </c>
      <c r="I61" s="20">
        <v>64276</v>
      </c>
      <c r="J61" s="20">
        <v>331</v>
      </c>
      <c r="K61" s="20" t="s">
        <v>20</v>
      </c>
      <c r="L61" s="20">
        <v>1</v>
      </c>
      <c r="M61" s="34">
        <v>139000</v>
      </c>
      <c r="N61" s="34">
        <f t="shared" si="1"/>
        <v>139000</v>
      </c>
      <c r="O61" s="33" t="s">
        <v>21</v>
      </c>
      <c r="P61" s="20">
        <f t="shared" si="3"/>
        <v>58</v>
      </c>
      <c r="Q61" s="20">
        <f t="shared" si="2"/>
        <v>33</v>
      </c>
    </row>
    <row r="62" spans="1:17" ht="15" customHeight="1" x14ac:dyDescent="0.2">
      <c r="A62" s="20" t="s">
        <v>18</v>
      </c>
      <c r="B62" s="63">
        <v>45955</v>
      </c>
      <c r="C62" s="20">
        <f t="shared" si="0"/>
        <v>661</v>
      </c>
      <c r="D62" s="20">
        <v>1</v>
      </c>
      <c r="G62" s="32" t="s">
        <v>115</v>
      </c>
      <c r="H62" s="20" t="s">
        <v>1424</v>
      </c>
      <c r="I62" s="20">
        <v>64276</v>
      </c>
      <c r="J62" s="20">
        <v>331</v>
      </c>
      <c r="K62" s="20" t="s">
        <v>20</v>
      </c>
      <c r="L62" s="20">
        <v>1</v>
      </c>
      <c r="M62" s="34">
        <v>27000</v>
      </c>
      <c r="N62" s="34">
        <f t="shared" si="1"/>
        <v>27000</v>
      </c>
      <c r="O62" s="33" t="s">
        <v>21</v>
      </c>
      <c r="P62" s="20">
        <f t="shared" si="3"/>
        <v>59</v>
      </c>
      <c r="Q62" s="20">
        <f t="shared" si="2"/>
        <v>33</v>
      </c>
    </row>
    <row r="63" spans="1:17" ht="15" customHeight="1" x14ac:dyDescent="0.2">
      <c r="A63" s="20" t="s">
        <v>18</v>
      </c>
      <c r="B63" s="63">
        <v>45956</v>
      </c>
      <c r="C63" s="20">
        <f t="shared" si="0"/>
        <v>662</v>
      </c>
      <c r="D63" s="20">
        <v>1</v>
      </c>
      <c r="G63" s="32" t="s">
        <v>115</v>
      </c>
      <c r="H63" s="20" t="s">
        <v>1425</v>
      </c>
      <c r="I63" s="20">
        <v>64276</v>
      </c>
      <c r="J63" s="20">
        <v>331</v>
      </c>
      <c r="K63" s="20" t="s">
        <v>20</v>
      </c>
      <c r="L63" s="20">
        <v>1</v>
      </c>
      <c r="M63" s="34">
        <v>39000</v>
      </c>
      <c r="N63" s="34">
        <f t="shared" si="1"/>
        <v>39000</v>
      </c>
      <c r="O63" s="33" t="s">
        <v>21</v>
      </c>
      <c r="P63" s="20">
        <f t="shared" si="3"/>
        <v>60</v>
      </c>
      <c r="Q63" s="20">
        <f t="shared" si="2"/>
        <v>33</v>
      </c>
    </row>
    <row r="64" spans="1:17" ht="15" customHeight="1" x14ac:dyDescent="0.2">
      <c r="A64" s="20" t="s">
        <v>18</v>
      </c>
      <c r="B64" s="63">
        <v>45956</v>
      </c>
      <c r="C64" s="20">
        <f t="shared" si="0"/>
        <v>663</v>
      </c>
      <c r="D64" s="20">
        <v>1</v>
      </c>
      <c r="G64" s="32" t="s">
        <v>1352</v>
      </c>
      <c r="H64" s="20" t="s">
        <v>1426</v>
      </c>
      <c r="I64" s="20">
        <v>64277</v>
      </c>
      <c r="J64" s="20">
        <v>331</v>
      </c>
      <c r="K64" s="20" t="s">
        <v>20</v>
      </c>
      <c r="L64" s="20">
        <v>1</v>
      </c>
      <c r="M64" s="34">
        <v>1280880</v>
      </c>
      <c r="N64" s="34">
        <f t="shared" si="1"/>
        <v>1280880</v>
      </c>
      <c r="O64" s="33" t="s">
        <v>21</v>
      </c>
      <c r="P64" s="20">
        <f t="shared" si="3"/>
        <v>61</v>
      </c>
      <c r="Q64" s="20">
        <f t="shared" si="2"/>
        <v>41</v>
      </c>
    </row>
    <row r="65" spans="1:17" ht="15" customHeight="1" x14ac:dyDescent="0.2">
      <c r="A65" s="20" t="s">
        <v>18</v>
      </c>
      <c r="B65" s="63">
        <v>45956</v>
      </c>
      <c r="C65" s="20">
        <f t="shared" si="0"/>
        <v>664</v>
      </c>
      <c r="D65" s="20">
        <v>1</v>
      </c>
      <c r="G65" s="32" t="s">
        <v>1353</v>
      </c>
      <c r="H65" s="20" t="s">
        <v>1427</v>
      </c>
      <c r="I65" s="20">
        <v>64276</v>
      </c>
      <c r="J65" s="20">
        <v>331</v>
      </c>
      <c r="K65" s="20" t="s">
        <v>20</v>
      </c>
      <c r="L65" s="20">
        <v>1</v>
      </c>
      <c r="M65" s="34">
        <v>4596000</v>
      </c>
      <c r="N65" s="34">
        <f t="shared" si="1"/>
        <v>4596000</v>
      </c>
      <c r="O65" s="33" t="s">
        <v>21</v>
      </c>
      <c r="P65" s="20">
        <f t="shared" si="3"/>
        <v>62</v>
      </c>
      <c r="Q65" s="20">
        <f t="shared" si="2"/>
        <v>38</v>
      </c>
    </row>
    <row r="66" spans="1:17" ht="15" customHeight="1" x14ac:dyDescent="0.2">
      <c r="A66" s="20" t="s">
        <v>18</v>
      </c>
      <c r="B66" s="63">
        <v>45957</v>
      </c>
      <c r="C66" s="20">
        <f t="shared" si="0"/>
        <v>665</v>
      </c>
      <c r="D66" s="20">
        <v>1</v>
      </c>
      <c r="G66" s="32" t="s">
        <v>115</v>
      </c>
      <c r="H66" s="20" t="s">
        <v>1428</v>
      </c>
      <c r="I66" s="20">
        <v>64276</v>
      </c>
      <c r="J66" s="20">
        <v>331</v>
      </c>
      <c r="K66" s="20" t="s">
        <v>20</v>
      </c>
      <c r="L66" s="20">
        <v>1</v>
      </c>
      <c r="M66" s="34">
        <v>30000</v>
      </c>
      <c r="N66" s="34">
        <f t="shared" si="1"/>
        <v>30000</v>
      </c>
      <c r="O66" s="33" t="s">
        <v>21</v>
      </c>
      <c r="P66" s="20">
        <f t="shared" si="3"/>
        <v>63</v>
      </c>
      <c r="Q66" s="20">
        <f t="shared" si="2"/>
        <v>33</v>
      </c>
    </row>
    <row r="67" spans="1:17" ht="15" customHeight="1" x14ac:dyDescent="0.2">
      <c r="A67" s="20" t="s">
        <v>18</v>
      </c>
      <c r="B67" s="63">
        <v>45957</v>
      </c>
      <c r="C67" s="20">
        <f t="shared" si="0"/>
        <v>666</v>
      </c>
      <c r="D67" s="20">
        <v>1</v>
      </c>
      <c r="G67" s="32" t="s">
        <v>115</v>
      </c>
      <c r="H67" s="20" t="s">
        <v>1429</v>
      </c>
      <c r="I67" s="20">
        <v>64276</v>
      </c>
      <c r="J67" s="20">
        <v>331</v>
      </c>
      <c r="K67" s="20" t="s">
        <v>20</v>
      </c>
      <c r="L67" s="20">
        <v>1</v>
      </c>
      <c r="M67" s="34">
        <v>103000</v>
      </c>
      <c r="N67" s="34">
        <f t="shared" si="1"/>
        <v>103000</v>
      </c>
      <c r="O67" s="33" t="s">
        <v>21</v>
      </c>
      <c r="P67" s="20">
        <f t="shared" si="3"/>
        <v>64</v>
      </c>
      <c r="Q67" s="20">
        <f t="shared" si="2"/>
        <v>33</v>
      </c>
    </row>
    <row r="68" spans="1:17" ht="15" customHeight="1" x14ac:dyDescent="0.2">
      <c r="A68" s="20" t="s">
        <v>18</v>
      </c>
      <c r="B68" s="63">
        <v>45957</v>
      </c>
      <c r="C68" s="20">
        <f t="shared" ref="C68:C131" si="4">C67+D68</f>
        <v>667</v>
      </c>
      <c r="D68" s="20">
        <v>1</v>
      </c>
      <c r="G68" s="32" t="s">
        <v>115</v>
      </c>
      <c r="H68" s="20" t="s">
        <v>1430</v>
      </c>
      <c r="I68" s="20">
        <v>64276</v>
      </c>
      <c r="J68" s="20">
        <v>331</v>
      </c>
      <c r="K68" s="20" t="s">
        <v>20</v>
      </c>
      <c r="L68" s="20">
        <v>1</v>
      </c>
      <c r="M68" s="34">
        <v>66000</v>
      </c>
      <c r="N68" s="34">
        <f t="shared" ref="N68:N131" si="5">L68*M68</f>
        <v>66000</v>
      </c>
      <c r="O68" s="33" t="s">
        <v>21</v>
      </c>
      <c r="P68" s="20">
        <f t="shared" si="3"/>
        <v>65</v>
      </c>
      <c r="Q68" s="20">
        <f t="shared" si="2"/>
        <v>33</v>
      </c>
    </row>
    <row r="69" spans="1:17" ht="15" customHeight="1" x14ac:dyDescent="0.2">
      <c r="A69" s="20" t="s">
        <v>18</v>
      </c>
      <c r="B69" s="63">
        <v>45957</v>
      </c>
      <c r="C69" s="20">
        <f t="shared" si="4"/>
        <v>668</v>
      </c>
      <c r="D69" s="20">
        <v>1</v>
      </c>
      <c r="G69" s="32" t="s">
        <v>115</v>
      </c>
      <c r="H69" s="20" t="s">
        <v>1431</v>
      </c>
      <c r="I69" s="20">
        <v>64276</v>
      </c>
      <c r="J69" s="20">
        <v>331</v>
      </c>
      <c r="K69" s="20" t="s">
        <v>20</v>
      </c>
      <c r="L69" s="20">
        <v>1</v>
      </c>
      <c r="M69" s="34">
        <v>122000</v>
      </c>
      <c r="N69" s="34">
        <f t="shared" si="5"/>
        <v>122000</v>
      </c>
      <c r="O69" s="33" t="s">
        <v>21</v>
      </c>
      <c r="P69" s="20">
        <f t="shared" si="3"/>
        <v>66</v>
      </c>
      <c r="Q69" s="20">
        <f t="shared" ref="Q69:Q132" si="6">LEN(H69)</f>
        <v>33</v>
      </c>
    </row>
    <row r="70" spans="1:17" ht="15" customHeight="1" x14ac:dyDescent="0.2">
      <c r="A70" s="20" t="s">
        <v>18</v>
      </c>
      <c r="B70" s="63">
        <v>45957</v>
      </c>
      <c r="C70" s="20">
        <f t="shared" si="4"/>
        <v>669</v>
      </c>
      <c r="D70" s="20">
        <v>1</v>
      </c>
      <c r="G70" s="32" t="s">
        <v>1354</v>
      </c>
      <c r="H70" s="20" t="s">
        <v>1432</v>
      </c>
      <c r="I70" s="20">
        <v>64277</v>
      </c>
      <c r="J70" s="20">
        <v>331</v>
      </c>
      <c r="K70" s="20" t="s">
        <v>20</v>
      </c>
      <c r="L70" s="20">
        <v>1</v>
      </c>
      <c r="M70" s="34">
        <v>2533230</v>
      </c>
      <c r="N70" s="34">
        <f t="shared" si="5"/>
        <v>2533230</v>
      </c>
      <c r="O70" s="33" t="s">
        <v>21</v>
      </c>
      <c r="P70" s="20">
        <f t="shared" ref="P70:P133" si="7">P69+D70</f>
        <v>67</v>
      </c>
      <c r="Q70" s="20">
        <f t="shared" si="6"/>
        <v>41</v>
      </c>
    </row>
    <row r="71" spans="1:17" ht="15" customHeight="1" x14ac:dyDescent="0.2">
      <c r="A71" s="20" t="s">
        <v>18</v>
      </c>
      <c r="B71" s="63">
        <v>45957</v>
      </c>
      <c r="C71" s="20">
        <f t="shared" si="4"/>
        <v>670</v>
      </c>
      <c r="D71" s="20">
        <v>1</v>
      </c>
      <c r="G71" s="32" t="s">
        <v>28</v>
      </c>
      <c r="H71" s="20" t="s">
        <v>1433</v>
      </c>
      <c r="I71" s="20">
        <v>64277</v>
      </c>
      <c r="J71" s="20">
        <v>331</v>
      </c>
      <c r="K71" s="20" t="s">
        <v>20</v>
      </c>
      <c r="L71" s="20">
        <v>1</v>
      </c>
      <c r="M71" s="34">
        <v>1645002</v>
      </c>
      <c r="N71" s="34">
        <f t="shared" si="5"/>
        <v>1645002</v>
      </c>
      <c r="O71" s="33" t="s">
        <v>21</v>
      </c>
      <c r="P71" s="20">
        <f t="shared" si="7"/>
        <v>68</v>
      </c>
      <c r="Q71" s="20">
        <f t="shared" si="6"/>
        <v>42</v>
      </c>
    </row>
    <row r="72" spans="1:17" ht="15" customHeight="1" x14ac:dyDescent="0.2">
      <c r="A72" s="20" t="s">
        <v>18</v>
      </c>
      <c r="B72" s="63">
        <v>45958</v>
      </c>
      <c r="C72" s="20">
        <f t="shared" si="4"/>
        <v>671</v>
      </c>
      <c r="D72" s="20">
        <v>1</v>
      </c>
      <c r="G72" s="32" t="s">
        <v>115</v>
      </c>
      <c r="H72" s="20" t="s">
        <v>1434</v>
      </c>
      <c r="I72" s="20">
        <v>64276</v>
      </c>
      <c r="J72" s="20">
        <v>331</v>
      </c>
      <c r="K72" s="20" t="s">
        <v>20</v>
      </c>
      <c r="L72" s="20">
        <v>1</v>
      </c>
      <c r="M72" s="34">
        <v>49000</v>
      </c>
      <c r="N72" s="34">
        <f t="shared" si="5"/>
        <v>49000</v>
      </c>
      <c r="O72" s="33" t="s">
        <v>21</v>
      </c>
      <c r="P72" s="20">
        <f t="shared" si="7"/>
        <v>69</v>
      </c>
      <c r="Q72" s="20">
        <f t="shared" si="6"/>
        <v>33</v>
      </c>
    </row>
    <row r="73" spans="1:17" ht="15" customHeight="1" x14ac:dyDescent="0.2">
      <c r="A73" s="20" t="s">
        <v>18</v>
      </c>
      <c r="B73" s="63">
        <v>45958</v>
      </c>
      <c r="C73" s="20">
        <f t="shared" si="4"/>
        <v>672</v>
      </c>
      <c r="D73" s="20">
        <v>1</v>
      </c>
      <c r="G73" s="32" t="s">
        <v>115</v>
      </c>
      <c r="H73" s="20" t="s">
        <v>1435</v>
      </c>
      <c r="I73" s="20">
        <v>64276</v>
      </c>
      <c r="J73" s="20">
        <v>331</v>
      </c>
      <c r="K73" s="20" t="s">
        <v>20</v>
      </c>
      <c r="L73" s="20">
        <v>1</v>
      </c>
      <c r="M73" s="34">
        <v>29000</v>
      </c>
      <c r="N73" s="34">
        <f t="shared" si="5"/>
        <v>29000</v>
      </c>
      <c r="O73" s="33" t="s">
        <v>21</v>
      </c>
      <c r="P73" s="20">
        <f t="shared" si="7"/>
        <v>70</v>
      </c>
      <c r="Q73" s="20">
        <f t="shared" si="6"/>
        <v>33</v>
      </c>
    </row>
    <row r="74" spans="1:17" ht="15" customHeight="1" x14ac:dyDescent="0.2">
      <c r="A74" s="20" t="s">
        <v>18</v>
      </c>
      <c r="B74" s="63">
        <v>45958</v>
      </c>
      <c r="C74" s="20">
        <f t="shared" si="4"/>
        <v>673</v>
      </c>
      <c r="D74" s="20">
        <v>1</v>
      </c>
      <c r="G74" s="32" t="s">
        <v>115</v>
      </c>
      <c r="H74" s="20" t="s">
        <v>1436</v>
      </c>
      <c r="I74" s="20">
        <v>64276</v>
      </c>
      <c r="J74" s="20">
        <v>331</v>
      </c>
      <c r="K74" s="20" t="s">
        <v>20</v>
      </c>
      <c r="L74" s="20">
        <v>1</v>
      </c>
      <c r="M74" s="34">
        <v>148000</v>
      </c>
      <c r="N74" s="34">
        <f t="shared" si="5"/>
        <v>148000</v>
      </c>
      <c r="O74" s="33" t="s">
        <v>21</v>
      </c>
      <c r="P74" s="20">
        <f t="shared" si="7"/>
        <v>71</v>
      </c>
      <c r="Q74" s="20">
        <f t="shared" si="6"/>
        <v>33</v>
      </c>
    </row>
    <row r="75" spans="1:17" ht="15" customHeight="1" x14ac:dyDescent="0.2">
      <c r="A75" s="20" t="s">
        <v>18</v>
      </c>
      <c r="B75" s="63">
        <v>45958</v>
      </c>
      <c r="C75" s="20">
        <f t="shared" si="4"/>
        <v>674</v>
      </c>
      <c r="D75" s="20">
        <v>1</v>
      </c>
      <c r="G75" s="32" t="s">
        <v>115</v>
      </c>
      <c r="H75" s="20" t="s">
        <v>1437</v>
      </c>
      <c r="I75" s="20">
        <v>64276</v>
      </c>
      <c r="J75" s="20">
        <v>331</v>
      </c>
      <c r="K75" s="20" t="s">
        <v>20</v>
      </c>
      <c r="L75" s="20">
        <v>1</v>
      </c>
      <c r="M75" s="34">
        <v>102000</v>
      </c>
      <c r="N75" s="34">
        <f t="shared" si="5"/>
        <v>102000</v>
      </c>
      <c r="O75" s="33" t="s">
        <v>21</v>
      </c>
      <c r="P75" s="20">
        <f t="shared" si="7"/>
        <v>72</v>
      </c>
      <c r="Q75" s="20">
        <f t="shared" si="6"/>
        <v>33</v>
      </c>
    </row>
    <row r="76" spans="1:17" ht="15" customHeight="1" x14ac:dyDescent="0.2">
      <c r="A76" s="20" t="s">
        <v>18</v>
      </c>
      <c r="B76" s="63">
        <v>45958</v>
      </c>
      <c r="C76" s="20">
        <f t="shared" si="4"/>
        <v>675</v>
      </c>
      <c r="D76" s="20">
        <v>1</v>
      </c>
      <c r="G76" s="32" t="s">
        <v>115</v>
      </c>
      <c r="H76" s="20" t="s">
        <v>1438</v>
      </c>
      <c r="I76" s="20">
        <v>64276</v>
      </c>
      <c r="J76" s="20">
        <v>331</v>
      </c>
      <c r="K76" s="20" t="s">
        <v>20</v>
      </c>
      <c r="L76" s="20">
        <v>1</v>
      </c>
      <c r="M76" s="34">
        <v>84000</v>
      </c>
      <c r="N76" s="34">
        <f t="shared" si="5"/>
        <v>84000</v>
      </c>
      <c r="O76" s="33" t="s">
        <v>21</v>
      </c>
      <c r="P76" s="20">
        <f t="shared" si="7"/>
        <v>73</v>
      </c>
      <c r="Q76" s="20">
        <f t="shared" si="6"/>
        <v>33</v>
      </c>
    </row>
    <row r="77" spans="1:17" ht="15" customHeight="1" x14ac:dyDescent="0.2">
      <c r="A77" s="20" t="s">
        <v>18</v>
      </c>
      <c r="B77" s="63">
        <v>45958</v>
      </c>
      <c r="C77" s="20">
        <f t="shared" si="4"/>
        <v>676</v>
      </c>
      <c r="D77" s="20">
        <v>1</v>
      </c>
      <c r="G77" s="32" t="s">
        <v>115</v>
      </c>
      <c r="H77" s="20" t="s">
        <v>1439</v>
      </c>
      <c r="I77" s="20">
        <v>64276</v>
      </c>
      <c r="J77" s="20">
        <v>331</v>
      </c>
      <c r="K77" s="20" t="s">
        <v>20</v>
      </c>
      <c r="L77" s="20">
        <v>1</v>
      </c>
      <c r="M77" s="34">
        <v>97000</v>
      </c>
      <c r="N77" s="34">
        <f t="shared" si="5"/>
        <v>97000</v>
      </c>
      <c r="O77" s="33" t="s">
        <v>21</v>
      </c>
      <c r="P77" s="20">
        <f t="shared" si="7"/>
        <v>74</v>
      </c>
      <c r="Q77" s="20">
        <f t="shared" si="6"/>
        <v>33</v>
      </c>
    </row>
    <row r="78" spans="1:17" ht="15" customHeight="1" x14ac:dyDescent="0.2">
      <c r="A78" s="20" t="s">
        <v>18</v>
      </c>
      <c r="B78" s="63">
        <v>45958</v>
      </c>
      <c r="C78" s="20">
        <f t="shared" si="4"/>
        <v>677</v>
      </c>
      <c r="D78" s="20">
        <v>1</v>
      </c>
      <c r="G78" s="32" t="s">
        <v>1355</v>
      </c>
      <c r="H78" s="20" t="s">
        <v>1440</v>
      </c>
      <c r="I78" s="20">
        <v>64277</v>
      </c>
      <c r="J78" s="20">
        <v>331</v>
      </c>
      <c r="K78" s="20" t="s">
        <v>20</v>
      </c>
      <c r="L78" s="20">
        <v>1</v>
      </c>
      <c r="M78" s="34">
        <v>1350000</v>
      </c>
      <c r="N78" s="34">
        <f t="shared" si="5"/>
        <v>1350000</v>
      </c>
      <c r="O78" s="33" t="s">
        <v>21</v>
      </c>
      <c r="P78" s="20">
        <f t="shared" si="7"/>
        <v>75</v>
      </c>
      <c r="Q78" s="20">
        <f t="shared" si="6"/>
        <v>42</v>
      </c>
    </row>
    <row r="79" spans="1:17" ht="15" customHeight="1" x14ac:dyDescent="0.2">
      <c r="A79" s="20" t="s">
        <v>18</v>
      </c>
      <c r="B79" s="63">
        <v>45959</v>
      </c>
      <c r="C79" s="20">
        <f t="shared" si="4"/>
        <v>678</v>
      </c>
      <c r="D79" s="20">
        <v>1</v>
      </c>
      <c r="G79" s="32" t="s">
        <v>75</v>
      </c>
      <c r="H79" s="20" t="s">
        <v>1441</v>
      </c>
      <c r="I79" s="38">
        <v>64276</v>
      </c>
      <c r="J79" s="20">
        <v>331</v>
      </c>
      <c r="K79" s="20" t="s">
        <v>20</v>
      </c>
      <c r="L79" s="20">
        <v>1</v>
      </c>
      <c r="M79" s="34">
        <v>2900000</v>
      </c>
      <c r="N79" s="34">
        <f t="shared" si="5"/>
        <v>2900000</v>
      </c>
      <c r="O79" s="33" t="s">
        <v>21</v>
      </c>
      <c r="P79" s="20">
        <f t="shared" si="7"/>
        <v>76</v>
      </c>
      <c r="Q79" s="20">
        <f t="shared" si="6"/>
        <v>37</v>
      </c>
    </row>
    <row r="80" spans="1:17" ht="15" customHeight="1" x14ac:dyDescent="0.2">
      <c r="A80" s="20" t="s">
        <v>18</v>
      </c>
      <c r="B80" s="63">
        <v>45959</v>
      </c>
      <c r="C80" s="20">
        <f t="shared" si="4"/>
        <v>679</v>
      </c>
      <c r="D80" s="20">
        <v>1</v>
      </c>
      <c r="G80" s="32" t="s">
        <v>120</v>
      </c>
      <c r="H80" s="20" t="s">
        <v>1442</v>
      </c>
      <c r="I80" s="20">
        <v>64276</v>
      </c>
      <c r="J80" s="20">
        <v>331</v>
      </c>
      <c r="K80" s="20" t="s">
        <v>20</v>
      </c>
      <c r="L80" s="20">
        <v>1</v>
      </c>
      <c r="M80" s="34">
        <v>2303581</v>
      </c>
      <c r="N80" s="34">
        <f t="shared" si="5"/>
        <v>2303581</v>
      </c>
      <c r="O80" s="33" t="s">
        <v>21</v>
      </c>
      <c r="P80" s="20">
        <f t="shared" si="7"/>
        <v>77</v>
      </c>
      <c r="Q80" s="20">
        <f t="shared" si="6"/>
        <v>38</v>
      </c>
    </row>
    <row r="81" spans="1:17" ht="15" customHeight="1" x14ac:dyDescent="0.2">
      <c r="A81" s="20" t="s">
        <v>18</v>
      </c>
      <c r="B81" s="63">
        <v>45960</v>
      </c>
      <c r="C81" s="20">
        <f t="shared" si="4"/>
        <v>680</v>
      </c>
      <c r="D81" s="20">
        <v>1</v>
      </c>
      <c r="G81" s="32" t="s">
        <v>148</v>
      </c>
      <c r="H81" s="20" t="s">
        <v>1443</v>
      </c>
      <c r="I81" s="20">
        <v>64276</v>
      </c>
      <c r="J81" s="20">
        <v>331</v>
      </c>
      <c r="K81" s="20" t="s">
        <v>20</v>
      </c>
      <c r="L81" s="20">
        <v>1</v>
      </c>
      <c r="M81" s="34">
        <v>7380000</v>
      </c>
      <c r="N81" s="34">
        <f t="shared" si="5"/>
        <v>7380000</v>
      </c>
      <c r="O81" s="33" t="s">
        <v>21</v>
      </c>
      <c r="P81" s="20">
        <f t="shared" si="7"/>
        <v>78</v>
      </c>
      <c r="Q81" s="20">
        <f t="shared" si="6"/>
        <v>35</v>
      </c>
    </row>
    <row r="82" spans="1:17" ht="15" customHeight="1" x14ac:dyDescent="0.2">
      <c r="A82" s="20" t="s">
        <v>18</v>
      </c>
      <c r="B82" s="63">
        <v>45960</v>
      </c>
      <c r="C82" s="20">
        <f t="shared" si="4"/>
        <v>681</v>
      </c>
      <c r="D82" s="20">
        <v>1</v>
      </c>
      <c r="G82" s="32" t="s">
        <v>115</v>
      </c>
      <c r="H82" s="20" t="s">
        <v>1444</v>
      </c>
      <c r="I82" s="20">
        <v>64276</v>
      </c>
      <c r="J82" s="20">
        <v>331</v>
      </c>
      <c r="K82" s="20" t="s">
        <v>20</v>
      </c>
      <c r="L82" s="20">
        <v>1</v>
      </c>
      <c r="M82" s="34">
        <v>13000</v>
      </c>
      <c r="N82" s="34">
        <f t="shared" si="5"/>
        <v>13000</v>
      </c>
      <c r="O82" s="33" t="s">
        <v>21</v>
      </c>
      <c r="P82" s="20">
        <f t="shared" si="7"/>
        <v>79</v>
      </c>
      <c r="Q82" s="20">
        <f t="shared" si="6"/>
        <v>33</v>
      </c>
    </row>
    <row r="83" spans="1:17" ht="15" customHeight="1" x14ac:dyDescent="0.2">
      <c r="A83" s="20" t="s">
        <v>18</v>
      </c>
      <c r="B83" s="63">
        <v>45961</v>
      </c>
      <c r="C83" s="20">
        <f t="shared" si="4"/>
        <v>682</v>
      </c>
      <c r="D83" s="20">
        <v>1</v>
      </c>
      <c r="G83" s="32" t="s">
        <v>115</v>
      </c>
      <c r="H83" s="20" t="s">
        <v>1445</v>
      </c>
      <c r="I83" s="20">
        <v>64276</v>
      </c>
      <c r="J83" s="20">
        <v>331</v>
      </c>
      <c r="K83" s="20" t="s">
        <v>20</v>
      </c>
      <c r="L83" s="20">
        <v>1</v>
      </c>
      <c r="M83" s="34">
        <v>126000</v>
      </c>
      <c r="N83" s="34">
        <f t="shared" si="5"/>
        <v>126000</v>
      </c>
      <c r="O83" s="33" t="s">
        <v>21</v>
      </c>
      <c r="P83" s="20">
        <f t="shared" si="7"/>
        <v>80</v>
      </c>
      <c r="Q83" s="20">
        <f t="shared" si="6"/>
        <v>33</v>
      </c>
    </row>
    <row r="84" spans="1:17" ht="15" customHeight="1" x14ac:dyDescent="0.2">
      <c r="A84" s="20" t="s">
        <v>18</v>
      </c>
      <c r="B84" s="63">
        <v>45961</v>
      </c>
      <c r="C84" s="20">
        <f t="shared" si="4"/>
        <v>683</v>
      </c>
      <c r="D84" s="20">
        <v>1</v>
      </c>
      <c r="G84" s="32" t="s">
        <v>115</v>
      </c>
      <c r="H84" s="20" t="s">
        <v>1446</v>
      </c>
      <c r="I84" s="20">
        <v>64276</v>
      </c>
      <c r="J84" s="20">
        <v>331</v>
      </c>
      <c r="K84" s="20" t="s">
        <v>20</v>
      </c>
      <c r="L84" s="20">
        <v>1</v>
      </c>
      <c r="M84" s="34">
        <v>89000</v>
      </c>
      <c r="N84" s="34">
        <f t="shared" si="5"/>
        <v>89000</v>
      </c>
      <c r="O84" s="33" t="s">
        <v>21</v>
      </c>
      <c r="P84" s="20">
        <f t="shared" si="7"/>
        <v>81</v>
      </c>
      <c r="Q84" s="20">
        <f t="shared" si="6"/>
        <v>33</v>
      </c>
    </row>
    <row r="85" spans="1:17" ht="15" customHeight="1" x14ac:dyDescent="0.2">
      <c r="A85" s="20" t="s">
        <v>18</v>
      </c>
      <c r="B85" s="63">
        <v>45961</v>
      </c>
      <c r="C85" s="20">
        <f t="shared" si="4"/>
        <v>684</v>
      </c>
      <c r="D85" s="20">
        <v>1</v>
      </c>
      <c r="G85" s="32" t="s">
        <v>115</v>
      </c>
      <c r="H85" s="20" t="s">
        <v>1447</v>
      </c>
      <c r="I85" s="20">
        <v>64276</v>
      </c>
      <c r="J85" s="20">
        <v>331</v>
      </c>
      <c r="K85" s="20" t="s">
        <v>20</v>
      </c>
      <c r="L85" s="20">
        <v>1</v>
      </c>
      <c r="M85" s="34">
        <v>103000</v>
      </c>
      <c r="N85" s="34">
        <f t="shared" si="5"/>
        <v>103000</v>
      </c>
      <c r="O85" s="33" t="s">
        <v>21</v>
      </c>
      <c r="P85" s="20">
        <f t="shared" si="7"/>
        <v>82</v>
      </c>
      <c r="Q85" s="20">
        <f t="shared" si="6"/>
        <v>33</v>
      </c>
    </row>
    <row r="86" spans="1:17" ht="15" customHeight="1" x14ac:dyDescent="0.2">
      <c r="A86" s="20" t="s">
        <v>18</v>
      </c>
      <c r="B86" s="63">
        <v>45961</v>
      </c>
      <c r="C86" s="20">
        <f t="shared" si="4"/>
        <v>685</v>
      </c>
      <c r="D86" s="20">
        <v>1</v>
      </c>
      <c r="G86" s="32" t="s">
        <v>115</v>
      </c>
      <c r="H86" s="20" t="s">
        <v>1448</v>
      </c>
      <c r="I86" s="20">
        <v>64276</v>
      </c>
      <c r="J86" s="20">
        <v>331</v>
      </c>
      <c r="K86" s="20" t="s">
        <v>20</v>
      </c>
      <c r="L86" s="20">
        <v>1</v>
      </c>
      <c r="M86" s="34">
        <v>46000</v>
      </c>
      <c r="N86" s="34">
        <f t="shared" si="5"/>
        <v>46000</v>
      </c>
      <c r="O86" s="33" t="s">
        <v>21</v>
      </c>
      <c r="P86" s="20">
        <f t="shared" si="7"/>
        <v>83</v>
      </c>
      <c r="Q86" s="20">
        <f t="shared" si="6"/>
        <v>33</v>
      </c>
    </row>
    <row r="87" spans="1:17" ht="15" customHeight="1" x14ac:dyDescent="0.2">
      <c r="A87" s="20" t="s">
        <v>18</v>
      </c>
      <c r="B87" s="63">
        <v>45961</v>
      </c>
      <c r="C87" s="20">
        <f t="shared" si="4"/>
        <v>686</v>
      </c>
      <c r="D87" s="20">
        <v>1</v>
      </c>
      <c r="G87" s="32" t="s">
        <v>115</v>
      </c>
      <c r="H87" s="20" t="s">
        <v>1449</v>
      </c>
      <c r="I87" s="20">
        <v>64276</v>
      </c>
      <c r="J87" s="20">
        <v>331</v>
      </c>
      <c r="K87" s="20" t="s">
        <v>20</v>
      </c>
      <c r="L87" s="20">
        <v>1</v>
      </c>
      <c r="M87" s="34">
        <v>34000</v>
      </c>
      <c r="N87" s="34">
        <f t="shared" si="5"/>
        <v>34000</v>
      </c>
      <c r="O87" s="33" t="s">
        <v>21</v>
      </c>
      <c r="P87" s="20">
        <f t="shared" si="7"/>
        <v>84</v>
      </c>
      <c r="Q87" s="20">
        <f t="shared" si="6"/>
        <v>33</v>
      </c>
    </row>
    <row r="88" spans="1:17" ht="15" customHeight="1" x14ac:dyDescent="0.2">
      <c r="A88" s="20" t="s">
        <v>18</v>
      </c>
      <c r="B88" s="63">
        <v>45961</v>
      </c>
      <c r="C88" s="20">
        <f t="shared" si="4"/>
        <v>687</v>
      </c>
      <c r="D88" s="20">
        <v>1</v>
      </c>
      <c r="G88" s="32" t="s">
        <v>115</v>
      </c>
      <c r="H88" s="20" t="s">
        <v>1450</v>
      </c>
      <c r="I88" s="20">
        <v>64276</v>
      </c>
      <c r="J88" s="20">
        <v>331</v>
      </c>
      <c r="K88" s="20" t="s">
        <v>20</v>
      </c>
      <c r="L88" s="20">
        <v>1</v>
      </c>
      <c r="M88" s="34">
        <v>40000</v>
      </c>
      <c r="N88" s="34">
        <f t="shared" si="5"/>
        <v>40000</v>
      </c>
      <c r="O88" s="33" t="s">
        <v>21</v>
      </c>
      <c r="P88" s="20">
        <f t="shared" si="7"/>
        <v>85</v>
      </c>
      <c r="Q88" s="20">
        <f t="shared" si="6"/>
        <v>33</v>
      </c>
    </row>
    <row r="89" spans="1:17" ht="15" customHeight="1" x14ac:dyDescent="0.2">
      <c r="A89" s="20" t="s">
        <v>18</v>
      </c>
      <c r="B89" s="63">
        <v>45961</v>
      </c>
      <c r="C89" s="20">
        <f t="shared" si="4"/>
        <v>688</v>
      </c>
      <c r="D89" s="20">
        <v>1</v>
      </c>
      <c r="G89" s="32" t="s">
        <v>115</v>
      </c>
      <c r="H89" s="20" t="s">
        <v>1451</v>
      </c>
      <c r="I89" s="20">
        <v>64276</v>
      </c>
      <c r="J89" s="20">
        <v>331</v>
      </c>
      <c r="K89" s="20" t="s">
        <v>20</v>
      </c>
      <c r="L89" s="20">
        <v>1</v>
      </c>
      <c r="M89" s="34">
        <v>83000</v>
      </c>
      <c r="N89" s="34">
        <f t="shared" si="5"/>
        <v>83000</v>
      </c>
      <c r="O89" s="33" t="s">
        <v>21</v>
      </c>
      <c r="P89" s="20">
        <f t="shared" si="7"/>
        <v>86</v>
      </c>
      <c r="Q89" s="20">
        <f t="shared" si="6"/>
        <v>33</v>
      </c>
    </row>
    <row r="90" spans="1:17" ht="15" customHeight="1" x14ac:dyDescent="0.2">
      <c r="A90" s="20" t="s">
        <v>18</v>
      </c>
      <c r="B90" s="63">
        <v>45962</v>
      </c>
      <c r="C90" s="20">
        <f t="shared" si="4"/>
        <v>689</v>
      </c>
      <c r="D90" s="20">
        <v>1</v>
      </c>
      <c r="G90" s="32" t="s">
        <v>115</v>
      </c>
      <c r="H90" s="20" t="s">
        <v>1452</v>
      </c>
      <c r="I90" s="20">
        <v>64276</v>
      </c>
      <c r="J90" s="20">
        <v>331</v>
      </c>
      <c r="K90" s="20" t="s">
        <v>20</v>
      </c>
      <c r="L90" s="20">
        <v>1</v>
      </c>
      <c r="M90" s="34">
        <v>69000</v>
      </c>
      <c r="N90" s="34">
        <f t="shared" si="5"/>
        <v>69000</v>
      </c>
      <c r="O90" s="33" t="s">
        <v>21</v>
      </c>
      <c r="P90" s="20">
        <f t="shared" si="7"/>
        <v>87</v>
      </c>
      <c r="Q90" s="20">
        <f t="shared" si="6"/>
        <v>33</v>
      </c>
    </row>
    <row r="91" spans="1:17" ht="15" customHeight="1" x14ac:dyDescent="0.2">
      <c r="A91" s="20" t="s">
        <v>18</v>
      </c>
      <c r="B91" s="63">
        <v>45963</v>
      </c>
      <c r="C91" s="20">
        <f t="shared" si="4"/>
        <v>690</v>
      </c>
      <c r="D91" s="20">
        <v>1</v>
      </c>
      <c r="G91" s="32" t="s">
        <v>115</v>
      </c>
      <c r="H91" s="20" t="s">
        <v>1453</v>
      </c>
      <c r="I91" s="20">
        <v>64276</v>
      </c>
      <c r="J91" s="20">
        <v>331</v>
      </c>
      <c r="K91" s="20" t="s">
        <v>20</v>
      </c>
      <c r="L91" s="20">
        <v>1</v>
      </c>
      <c r="M91" s="34">
        <v>85000</v>
      </c>
      <c r="N91" s="34">
        <f t="shared" si="5"/>
        <v>85000</v>
      </c>
      <c r="O91" s="33" t="s">
        <v>21</v>
      </c>
      <c r="P91" s="20">
        <f t="shared" si="7"/>
        <v>88</v>
      </c>
      <c r="Q91" s="20">
        <f t="shared" si="6"/>
        <v>33</v>
      </c>
    </row>
    <row r="92" spans="1:17" ht="15" customHeight="1" x14ac:dyDescent="0.2">
      <c r="A92" s="20" t="s">
        <v>18</v>
      </c>
      <c r="B92" s="63">
        <v>45963</v>
      </c>
      <c r="C92" s="20">
        <f t="shared" si="4"/>
        <v>691</v>
      </c>
      <c r="D92" s="20">
        <v>1</v>
      </c>
      <c r="G92" s="32" t="s">
        <v>115</v>
      </c>
      <c r="H92" s="20" t="s">
        <v>1454</v>
      </c>
      <c r="I92" s="20">
        <v>64276</v>
      </c>
      <c r="J92" s="20">
        <v>331</v>
      </c>
      <c r="K92" s="20" t="s">
        <v>20</v>
      </c>
      <c r="L92" s="20">
        <v>1</v>
      </c>
      <c r="M92" s="34">
        <v>101000</v>
      </c>
      <c r="N92" s="34">
        <f t="shared" si="5"/>
        <v>101000</v>
      </c>
      <c r="O92" s="33" t="s">
        <v>21</v>
      </c>
      <c r="P92" s="20">
        <f t="shared" si="7"/>
        <v>89</v>
      </c>
      <c r="Q92" s="20">
        <f t="shared" si="6"/>
        <v>33</v>
      </c>
    </row>
    <row r="93" spans="1:17" ht="15" customHeight="1" x14ac:dyDescent="0.2">
      <c r="A93" s="20" t="s">
        <v>18</v>
      </c>
      <c r="B93" s="63">
        <v>45963</v>
      </c>
      <c r="C93" s="20">
        <f t="shared" si="4"/>
        <v>692</v>
      </c>
      <c r="D93" s="20">
        <v>1</v>
      </c>
      <c r="G93" s="32" t="s">
        <v>115</v>
      </c>
      <c r="H93" s="20" t="s">
        <v>1455</v>
      </c>
      <c r="I93" s="20">
        <v>64276</v>
      </c>
      <c r="J93" s="20">
        <v>331</v>
      </c>
      <c r="K93" s="20" t="s">
        <v>20</v>
      </c>
      <c r="L93" s="20">
        <v>1</v>
      </c>
      <c r="M93" s="34">
        <v>39000</v>
      </c>
      <c r="N93" s="34">
        <f t="shared" si="5"/>
        <v>39000</v>
      </c>
      <c r="O93" s="33" t="s">
        <v>21</v>
      </c>
      <c r="P93" s="20">
        <f t="shared" si="7"/>
        <v>90</v>
      </c>
      <c r="Q93" s="20">
        <f t="shared" si="6"/>
        <v>33</v>
      </c>
    </row>
    <row r="94" spans="1:17" ht="15" customHeight="1" x14ac:dyDescent="0.2">
      <c r="A94" s="20" t="s">
        <v>18</v>
      </c>
      <c r="B94" s="63">
        <v>45963</v>
      </c>
      <c r="C94" s="20">
        <f t="shared" si="4"/>
        <v>693</v>
      </c>
      <c r="D94" s="20">
        <v>1</v>
      </c>
      <c r="G94" s="32" t="s">
        <v>115</v>
      </c>
      <c r="H94" s="20" t="s">
        <v>1456</v>
      </c>
      <c r="I94" s="20">
        <v>64276</v>
      </c>
      <c r="J94" s="20">
        <v>331</v>
      </c>
      <c r="K94" s="20" t="s">
        <v>20</v>
      </c>
      <c r="L94" s="20">
        <v>1</v>
      </c>
      <c r="M94" s="34">
        <v>79000</v>
      </c>
      <c r="N94" s="34">
        <f t="shared" si="5"/>
        <v>79000</v>
      </c>
      <c r="O94" s="33" t="s">
        <v>21</v>
      </c>
      <c r="P94" s="20">
        <f t="shared" si="7"/>
        <v>91</v>
      </c>
      <c r="Q94" s="20">
        <f t="shared" si="6"/>
        <v>33</v>
      </c>
    </row>
    <row r="95" spans="1:17" ht="15" customHeight="1" x14ac:dyDescent="0.2">
      <c r="A95" s="20" t="s">
        <v>18</v>
      </c>
      <c r="B95" s="63">
        <v>45963</v>
      </c>
      <c r="C95" s="20">
        <f t="shared" si="4"/>
        <v>694</v>
      </c>
      <c r="D95" s="20">
        <v>1</v>
      </c>
      <c r="G95" s="32" t="s">
        <v>115</v>
      </c>
      <c r="H95" s="20" t="s">
        <v>1457</v>
      </c>
      <c r="I95" s="20">
        <v>64276</v>
      </c>
      <c r="J95" s="20">
        <v>331</v>
      </c>
      <c r="K95" s="20" t="s">
        <v>20</v>
      </c>
      <c r="L95" s="20">
        <v>1</v>
      </c>
      <c r="M95" s="34">
        <v>109000</v>
      </c>
      <c r="N95" s="34">
        <f t="shared" si="5"/>
        <v>109000</v>
      </c>
      <c r="O95" s="33" t="s">
        <v>21</v>
      </c>
      <c r="P95" s="20">
        <f t="shared" si="7"/>
        <v>92</v>
      </c>
      <c r="Q95" s="20">
        <f t="shared" si="6"/>
        <v>33</v>
      </c>
    </row>
    <row r="96" spans="1:17" ht="15" customHeight="1" x14ac:dyDescent="0.2">
      <c r="A96" s="20" t="s">
        <v>18</v>
      </c>
      <c r="B96" s="63">
        <v>45963</v>
      </c>
      <c r="C96" s="20">
        <f t="shared" si="4"/>
        <v>695</v>
      </c>
      <c r="D96" s="20">
        <v>1</v>
      </c>
      <c r="G96" s="32" t="s">
        <v>115</v>
      </c>
      <c r="H96" s="20" t="s">
        <v>1458</v>
      </c>
      <c r="I96" s="20">
        <v>64276</v>
      </c>
      <c r="J96" s="20">
        <v>331</v>
      </c>
      <c r="K96" s="20" t="s">
        <v>20</v>
      </c>
      <c r="L96" s="20">
        <v>1</v>
      </c>
      <c r="M96" s="34">
        <v>101000</v>
      </c>
      <c r="N96" s="34">
        <f t="shared" si="5"/>
        <v>101000</v>
      </c>
      <c r="O96" s="33" t="s">
        <v>21</v>
      </c>
      <c r="P96" s="20">
        <f t="shared" si="7"/>
        <v>93</v>
      </c>
      <c r="Q96" s="20">
        <f t="shared" si="6"/>
        <v>33</v>
      </c>
    </row>
    <row r="97" spans="1:17" ht="15" customHeight="1" x14ac:dyDescent="0.2">
      <c r="A97" s="20" t="s">
        <v>18</v>
      </c>
      <c r="B97" s="63">
        <v>45963</v>
      </c>
      <c r="C97" s="20">
        <f t="shared" si="4"/>
        <v>696</v>
      </c>
      <c r="D97" s="20">
        <v>1</v>
      </c>
      <c r="G97" s="32" t="s">
        <v>115</v>
      </c>
      <c r="H97" s="20" t="s">
        <v>1459</v>
      </c>
      <c r="I97" s="20">
        <v>64276</v>
      </c>
      <c r="J97" s="20">
        <v>331</v>
      </c>
      <c r="K97" s="20" t="s">
        <v>20</v>
      </c>
      <c r="L97" s="20">
        <v>1</v>
      </c>
      <c r="M97" s="34">
        <v>159000</v>
      </c>
      <c r="N97" s="34">
        <f t="shared" si="5"/>
        <v>159000</v>
      </c>
      <c r="O97" s="33" t="s">
        <v>21</v>
      </c>
      <c r="P97" s="20">
        <f t="shared" si="7"/>
        <v>94</v>
      </c>
      <c r="Q97" s="20">
        <f t="shared" si="6"/>
        <v>33</v>
      </c>
    </row>
    <row r="98" spans="1:17" ht="15" customHeight="1" x14ac:dyDescent="0.2">
      <c r="A98" s="20" t="s">
        <v>18</v>
      </c>
      <c r="B98" s="63">
        <v>45965</v>
      </c>
      <c r="C98" s="20">
        <f t="shared" si="4"/>
        <v>697</v>
      </c>
      <c r="D98" s="20">
        <v>1</v>
      </c>
      <c r="G98" s="32" t="s">
        <v>1356</v>
      </c>
      <c r="H98" s="20" t="s">
        <v>1460</v>
      </c>
      <c r="I98" s="20">
        <v>64276</v>
      </c>
      <c r="J98" s="20">
        <v>331</v>
      </c>
      <c r="K98" s="20" t="s">
        <v>20</v>
      </c>
      <c r="L98" s="20">
        <v>1</v>
      </c>
      <c r="M98" s="34">
        <v>1600000</v>
      </c>
      <c r="N98" s="34">
        <f t="shared" si="5"/>
        <v>1600000</v>
      </c>
      <c r="O98" s="33" t="s">
        <v>21</v>
      </c>
      <c r="P98" s="20">
        <f t="shared" si="7"/>
        <v>95</v>
      </c>
      <c r="Q98" s="20">
        <f t="shared" si="6"/>
        <v>35</v>
      </c>
    </row>
    <row r="99" spans="1:17" ht="15" customHeight="1" x14ac:dyDescent="0.2">
      <c r="A99" s="20" t="s">
        <v>18</v>
      </c>
      <c r="B99" s="63">
        <v>45966</v>
      </c>
      <c r="C99" s="20">
        <f t="shared" si="4"/>
        <v>698</v>
      </c>
      <c r="D99" s="20">
        <v>1</v>
      </c>
      <c r="G99" s="32" t="s">
        <v>115</v>
      </c>
      <c r="H99" s="20" t="s">
        <v>1461</v>
      </c>
      <c r="I99" s="20">
        <v>64276</v>
      </c>
      <c r="J99" s="20">
        <v>331</v>
      </c>
      <c r="K99" s="20" t="s">
        <v>20</v>
      </c>
      <c r="L99" s="20">
        <v>1</v>
      </c>
      <c r="M99" s="34">
        <v>75000</v>
      </c>
      <c r="N99" s="34">
        <f t="shared" si="5"/>
        <v>75000</v>
      </c>
      <c r="O99" s="33" t="s">
        <v>21</v>
      </c>
      <c r="P99" s="20">
        <f t="shared" si="7"/>
        <v>96</v>
      </c>
      <c r="Q99" s="20">
        <f t="shared" si="6"/>
        <v>33</v>
      </c>
    </row>
    <row r="100" spans="1:17" ht="15" customHeight="1" x14ac:dyDescent="0.2">
      <c r="A100" s="20" t="s">
        <v>18</v>
      </c>
      <c r="B100" s="63">
        <v>45967</v>
      </c>
      <c r="C100" s="20">
        <f t="shared" si="4"/>
        <v>699</v>
      </c>
      <c r="D100" s="20">
        <v>1</v>
      </c>
      <c r="G100" s="32" t="s">
        <v>115</v>
      </c>
      <c r="H100" s="20" t="s">
        <v>1462</v>
      </c>
      <c r="I100" s="20">
        <v>64276</v>
      </c>
      <c r="J100" s="20">
        <v>331</v>
      </c>
      <c r="K100" s="20" t="s">
        <v>20</v>
      </c>
      <c r="L100" s="20">
        <v>1</v>
      </c>
      <c r="M100" s="34">
        <v>141000</v>
      </c>
      <c r="N100" s="34">
        <f t="shared" si="5"/>
        <v>141000</v>
      </c>
      <c r="O100" s="33" t="s">
        <v>21</v>
      </c>
      <c r="P100" s="20">
        <f t="shared" si="7"/>
        <v>97</v>
      </c>
      <c r="Q100" s="20">
        <f t="shared" si="6"/>
        <v>33</v>
      </c>
    </row>
    <row r="101" spans="1:17" ht="15" customHeight="1" x14ac:dyDescent="0.2">
      <c r="A101" s="20" t="s">
        <v>18</v>
      </c>
      <c r="B101" s="63">
        <v>45968</v>
      </c>
      <c r="C101" s="20">
        <f t="shared" si="4"/>
        <v>700</v>
      </c>
      <c r="D101" s="20">
        <v>1</v>
      </c>
      <c r="G101" s="32" t="s">
        <v>52</v>
      </c>
      <c r="H101" s="20" t="s">
        <v>1463</v>
      </c>
      <c r="I101" s="20">
        <v>64277</v>
      </c>
      <c r="J101" s="20">
        <v>331</v>
      </c>
      <c r="K101" s="20" t="s">
        <v>20</v>
      </c>
      <c r="L101" s="20">
        <v>1</v>
      </c>
      <c r="M101" s="34">
        <v>1108080</v>
      </c>
      <c r="N101" s="34">
        <f t="shared" si="5"/>
        <v>1108080</v>
      </c>
      <c r="O101" s="33" t="s">
        <v>21</v>
      </c>
      <c r="P101" s="20">
        <f t="shared" si="7"/>
        <v>98</v>
      </c>
      <c r="Q101" s="20">
        <f t="shared" si="6"/>
        <v>42</v>
      </c>
    </row>
    <row r="102" spans="1:17" ht="15" customHeight="1" x14ac:dyDescent="0.2">
      <c r="A102" s="20" t="s">
        <v>18</v>
      </c>
      <c r="B102" s="63">
        <v>45969</v>
      </c>
      <c r="C102" s="20">
        <f t="shared" si="4"/>
        <v>701</v>
      </c>
      <c r="D102" s="20">
        <v>1</v>
      </c>
      <c r="G102" s="32" t="s">
        <v>25</v>
      </c>
      <c r="H102" s="20" t="s">
        <v>1464</v>
      </c>
      <c r="I102" s="20">
        <v>64277</v>
      </c>
      <c r="J102" s="20">
        <v>331</v>
      </c>
      <c r="K102" s="20" t="s">
        <v>20</v>
      </c>
      <c r="L102" s="20">
        <v>1</v>
      </c>
      <c r="M102" s="34">
        <v>2355480</v>
      </c>
      <c r="N102" s="34">
        <f t="shared" si="5"/>
        <v>2355480</v>
      </c>
      <c r="O102" s="33" t="s">
        <v>21</v>
      </c>
      <c r="P102" s="20">
        <f t="shared" si="7"/>
        <v>99</v>
      </c>
      <c r="Q102" s="20">
        <f t="shared" si="6"/>
        <v>44</v>
      </c>
    </row>
    <row r="103" spans="1:17" ht="15" customHeight="1" x14ac:dyDescent="0.2">
      <c r="A103" s="20" t="s">
        <v>18</v>
      </c>
      <c r="B103" s="63">
        <v>45974</v>
      </c>
      <c r="C103" s="20">
        <f t="shared" si="4"/>
        <v>702</v>
      </c>
      <c r="D103" s="20">
        <v>1</v>
      </c>
      <c r="G103" s="32" t="s">
        <v>115</v>
      </c>
      <c r="H103" s="20" t="s">
        <v>1465</v>
      </c>
      <c r="I103" s="20">
        <v>64276</v>
      </c>
      <c r="J103" s="20">
        <v>331</v>
      </c>
      <c r="K103" s="20" t="s">
        <v>20</v>
      </c>
      <c r="L103" s="20">
        <v>1</v>
      </c>
      <c r="M103" s="34">
        <v>114000</v>
      </c>
      <c r="N103" s="34">
        <f t="shared" si="5"/>
        <v>114000</v>
      </c>
      <c r="O103" s="33" t="s">
        <v>21</v>
      </c>
      <c r="P103" s="20">
        <f t="shared" si="7"/>
        <v>100</v>
      </c>
      <c r="Q103" s="20">
        <f t="shared" si="6"/>
        <v>33</v>
      </c>
    </row>
    <row r="104" spans="1:17" ht="15" customHeight="1" x14ac:dyDescent="0.2">
      <c r="A104" s="20" t="s">
        <v>18</v>
      </c>
      <c r="B104" s="63">
        <v>45975</v>
      </c>
      <c r="C104" s="20">
        <f t="shared" si="4"/>
        <v>703</v>
      </c>
      <c r="D104" s="20">
        <v>1</v>
      </c>
      <c r="G104" s="32" t="s">
        <v>115</v>
      </c>
      <c r="H104" s="20" t="s">
        <v>1466</v>
      </c>
      <c r="I104" s="20">
        <v>64276</v>
      </c>
      <c r="J104" s="20">
        <v>331</v>
      </c>
      <c r="K104" s="20" t="s">
        <v>20</v>
      </c>
      <c r="L104" s="20">
        <v>1</v>
      </c>
      <c r="M104" s="34">
        <v>20000</v>
      </c>
      <c r="N104" s="34">
        <f t="shared" si="5"/>
        <v>20000</v>
      </c>
      <c r="O104" s="33" t="s">
        <v>21</v>
      </c>
      <c r="P104" s="20">
        <f t="shared" si="7"/>
        <v>101</v>
      </c>
      <c r="Q104" s="20">
        <f t="shared" si="6"/>
        <v>33</v>
      </c>
    </row>
    <row r="105" spans="1:17" ht="15" customHeight="1" x14ac:dyDescent="0.2">
      <c r="A105" s="20" t="s">
        <v>18</v>
      </c>
      <c r="B105" s="63">
        <v>45975</v>
      </c>
      <c r="C105" s="20">
        <f t="shared" si="4"/>
        <v>704</v>
      </c>
      <c r="D105" s="20">
        <v>1</v>
      </c>
      <c r="G105" s="32" t="s">
        <v>115</v>
      </c>
      <c r="H105" s="20" t="s">
        <v>1467</v>
      </c>
      <c r="I105" s="20">
        <v>64276</v>
      </c>
      <c r="J105" s="20">
        <v>331</v>
      </c>
      <c r="K105" s="20" t="s">
        <v>20</v>
      </c>
      <c r="L105" s="20">
        <v>1</v>
      </c>
      <c r="M105" s="34">
        <v>82000</v>
      </c>
      <c r="N105" s="34">
        <f t="shared" si="5"/>
        <v>82000</v>
      </c>
      <c r="O105" s="33" t="s">
        <v>21</v>
      </c>
      <c r="P105" s="20">
        <f t="shared" si="7"/>
        <v>102</v>
      </c>
      <c r="Q105" s="20">
        <f t="shared" si="6"/>
        <v>33</v>
      </c>
    </row>
    <row r="106" spans="1:17" ht="15" customHeight="1" x14ac:dyDescent="0.2">
      <c r="A106" s="20" t="s">
        <v>18</v>
      </c>
      <c r="B106" s="63">
        <v>45975</v>
      </c>
      <c r="C106" s="20">
        <f t="shared" si="4"/>
        <v>705</v>
      </c>
      <c r="D106" s="20">
        <v>1</v>
      </c>
      <c r="G106" s="32" t="s">
        <v>115</v>
      </c>
      <c r="H106" s="20" t="s">
        <v>1468</v>
      </c>
      <c r="I106" s="20">
        <v>64276</v>
      </c>
      <c r="J106" s="20">
        <v>331</v>
      </c>
      <c r="K106" s="20" t="s">
        <v>20</v>
      </c>
      <c r="L106" s="20">
        <v>1</v>
      </c>
      <c r="M106" s="34">
        <v>71000</v>
      </c>
      <c r="N106" s="34">
        <f t="shared" si="5"/>
        <v>71000</v>
      </c>
      <c r="O106" s="33" t="s">
        <v>21</v>
      </c>
      <c r="P106" s="20">
        <f t="shared" si="7"/>
        <v>103</v>
      </c>
      <c r="Q106" s="20">
        <f t="shared" si="6"/>
        <v>33</v>
      </c>
    </row>
    <row r="107" spans="1:17" ht="15" customHeight="1" x14ac:dyDescent="0.2">
      <c r="A107" s="20" t="s">
        <v>18</v>
      </c>
      <c r="B107" s="63">
        <v>45975</v>
      </c>
      <c r="C107" s="20">
        <f t="shared" si="4"/>
        <v>706</v>
      </c>
      <c r="D107" s="20">
        <v>1</v>
      </c>
      <c r="G107" s="32" t="s">
        <v>115</v>
      </c>
      <c r="H107" s="20" t="s">
        <v>1469</v>
      </c>
      <c r="I107" s="20">
        <v>64276</v>
      </c>
      <c r="J107" s="20">
        <v>331</v>
      </c>
      <c r="K107" s="20" t="s">
        <v>20</v>
      </c>
      <c r="L107" s="20">
        <v>1</v>
      </c>
      <c r="M107" s="34">
        <v>137000</v>
      </c>
      <c r="N107" s="34">
        <f t="shared" si="5"/>
        <v>137000</v>
      </c>
      <c r="O107" s="33" t="s">
        <v>21</v>
      </c>
      <c r="P107" s="20">
        <f t="shared" si="7"/>
        <v>104</v>
      </c>
      <c r="Q107" s="20">
        <f t="shared" si="6"/>
        <v>33</v>
      </c>
    </row>
    <row r="108" spans="1:17" ht="15" customHeight="1" x14ac:dyDescent="0.2">
      <c r="A108" s="20" t="s">
        <v>18</v>
      </c>
      <c r="B108" s="63">
        <v>45975</v>
      </c>
      <c r="C108" s="20">
        <f t="shared" si="4"/>
        <v>707</v>
      </c>
      <c r="D108" s="20">
        <v>1</v>
      </c>
      <c r="G108" s="32" t="s">
        <v>124</v>
      </c>
      <c r="H108" s="20" t="s">
        <v>1470</v>
      </c>
      <c r="I108" s="20">
        <v>64277</v>
      </c>
      <c r="J108" s="20">
        <v>331</v>
      </c>
      <c r="K108" s="20" t="s">
        <v>20</v>
      </c>
      <c r="L108" s="20">
        <v>1</v>
      </c>
      <c r="M108" s="34">
        <v>693000</v>
      </c>
      <c r="N108" s="34">
        <f t="shared" si="5"/>
        <v>693000</v>
      </c>
      <c r="O108" s="33" t="s">
        <v>21</v>
      </c>
      <c r="P108" s="20">
        <f t="shared" si="7"/>
        <v>105</v>
      </c>
      <c r="Q108" s="20">
        <f t="shared" si="6"/>
        <v>41</v>
      </c>
    </row>
    <row r="109" spans="1:17" ht="15" customHeight="1" x14ac:dyDescent="0.2">
      <c r="A109" s="20" t="s">
        <v>18</v>
      </c>
      <c r="B109" s="63">
        <v>45976</v>
      </c>
      <c r="C109" s="20">
        <f t="shared" si="4"/>
        <v>708</v>
      </c>
      <c r="D109" s="20">
        <v>1</v>
      </c>
      <c r="G109" s="32" t="s">
        <v>115</v>
      </c>
      <c r="H109" s="20" t="s">
        <v>1471</v>
      </c>
      <c r="I109" s="20">
        <v>64276</v>
      </c>
      <c r="J109" s="20">
        <v>331</v>
      </c>
      <c r="K109" s="20" t="s">
        <v>20</v>
      </c>
      <c r="L109" s="20">
        <v>1</v>
      </c>
      <c r="M109" s="34">
        <v>39000</v>
      </c>
      <c r="N109" s="34">
        <f t="shared" si="5"/>
        <v>39000</v>
      </c>
      <c r="O109" s="33" t="s">
        <v>21</v>
      </c>
      <c r="P109" s="20">
        <f t="shared" si="7"/>
        <v>106</v>
      </c>
      <c r="Q109" s="20">
        <f t="shared" si="6"/>
        <v>33</v>
      </c>
    </row>
    <row r="110" spans="1:17" ht="15" customHeight="1" x14ac:dyDescent="0.2">
      <c r="A110" s="20" t="s">
        <v>18</v>
      </c>
      <c r="B110" s="63">
        <v>45976</v>
      </c>
      <c r="C110" s="20">
        <f t="shared" si="4"/>
        <v>709</v>
      </c>
      <c r="D110" s="20">
        <v>1</v>
      </c>
      <c r="G110" s="32" t="s">
        <v>1357</v>
      </c>
      <c r="H110" s="20" t="s">
        <v>1472</v>
      </c>
      <c r="I110" s="20">
        <v>64277</v>
      </c>
      <c r="J110" s="20">
        <v>331</v>
      </c>
      <c r="K110" s="20" t="s">
        <v>20</v>
      </c>
      <c r="L110" s="20">
        <v>1</v>
      </c>
      <c r="M110" s="34">
        <v>1627776</v>
      </c>
      <c r="N110" s="34">
        <f t="shared" si="5"/>
        <v>1627776</v>
      </c>
      <c r="O110" s="33" t="s">
        <v>21</v>
      </c>
      <c r="P110" s="20">
        <f t="shared" si="7"/>
        <v>107</v>
      </c>
      <c r="Q110" s="20">
        <f t="shared" si="6"/>
        <v>42</v>
      </c>
    </row>
    <row r="111" spans="1:17" ht="15" customHeight="1" x14ac:dyDescent="0.2">
      <c r="A111" s="20" t="s">
        <v>18</v>
      </c>
      <c r="B111" s="63">
        <v>45976</v>
      </c>
      <c r="C111" s="20">
        <f t="shared" si="4"/>
        <v>710</v>
      </c>
      <c r="D111" s="20">
        <v>1</v>
      </c>
      <c r="G111" s="32" t="s">
        <v>28</v>
      </c>
      <c r="H111" s="20" t="s">
        <v>1473</v>
      </c>
      <c r="I111" s="20">
        <v>64277</v>
      </c>
      <c r="J111" s="20">
        <v>331</v>
      </c>
      <c r="K111" s="20" t="s">
        <v>20</v>
      </c>
      <c r="L111" s="20">
        <v>1</v>
      </c>
      <c r="M111" s="34">
        <v>1325160</v>
      </c>
      <c r="N111" s="34">
        <f t="shared" si="5"/>
        <v>1325160</v>
      </c>
      <c r="O111" s="33" t="s">
        <v>21</v>
      </c>
      <c r="P111" s="20">
        <f t="shared" si="7"/>
        <v>108</v>
      </c>
      <c r="Q111" s="20">
        <f t="shared" si="6"/>
        <v>42</v>
      </c>
    </row>
    <row r="112" spans="1:17" ht="15" customHeight="1" x14ac:dyDescent="0.2">
      <c r="A112" s="20" t="s">
        <v>18</v>
      </c>
      <c r="B112" s="63">
        <v>45977</v>
      </c>
      <c r="C112" s="20">
        <f t="shared" si="4"/>
        <v>711</v>
      </c>
      <c r="D112" s="20">
        <v>1</v>
      </c>
      <c r="G112" s="32" t="s">
        <v>115</v>
      </c>
      <c r="H112" s="20" t="s">
        <v>1474</v>
      </c>
      <c r="I112" s="20">
        <v>64276</v>
      </c>
      <c r="J112" s="20">
        <v>331</v>
      </c>
      <c r="K112" s="20" t="s">
        <v>20</v>
      </c>
      <c r="L112" s="20">
        <v>1</v>
      </c>
      <c r="M112" s="34">
        <v>35000</v>
      </c>
      <c r="N112" s="34">
        <f t="shared" si="5"/>
        <v>35000</v>
      </c>
      <c r="O112" s="33" t="s">
        <v>21</v>
      </c>
      <c r="P112" s="20">
        <f t="shared" si="7"/>
        <v>109</v>
      </c>
      <c r="Q112" s="20">
        <f t="shared" si="6"/>
        <v>33</v>
      </c>
    </row>
    <row r="113" spans="1:17" ht="15" customHeight="1" x14ac:dyDescent="0.2">
      <c r="A113" s="20" t="s">
        <v>18</v>
      </c>
      <c r="B113" s="63">
        <v>45977</v>
      </c>
      <c r="C113" s="20">
        <f t="shared" si="4"/>
        <v>712</v>
      </c>
      <c r="D113" s="20">
        <v>1</v>
      </c>
      <c r="G113" s="32" t="s">
        <v>115</v>
      </c>
      <c r="H113" s="20" t="s">
        <v>1475</v>
      </c>
      <c r="I113" s="20">
        <v>64276</v>
      </c>
      <c r="J113" s="20">
        <v>331</v>
      </c>
      <c r="K113" s="20" t="s">
        <v>20</v>
      </c>
      <c r="L113" s="20">
        <v>1</v>
      </c>
      <c r="M113" s="34">
        <v>40000</v>
      </c>
      <c r="N113" s="34">
        <f t="shared" si="5"/>
        <v>40000</v>
      </c>
      <c r="O113" s="33" t="s">
        <v>21</v>
      </c>
      <c r="P113" s="20">
        <f t="shared" si="7"/>
        <v>110</v>
      </c>
      <c r="Q113" s="20">
        <f t="shared" si="6"/>
        <v>33</v>
      </c>
    </row>
    <row r="114" spans="1:17" ht="15" customHeight="1" x14ac:dyDescent="0.2">
      <c r="A114" s="20" t="s">
        <v>18</v>
      </c>
      <c r="B114" s="63">
        <v>45977</v>
      </c>
      <c r="C114" s="20">
        <f t="shared" si="4"/>
        <v>713</v>
      </c>
      <c r="D114" s="20">
        <v>1</v>
      </c>
      <c r="G114" s="32" t="s">
        <v>52</v>
      </c>
      <c r="H114" s="20" t="s">
        <v>1476</v>
      </c>
      <c r="I114" s="20">
        <v>64277</v>
      </c>
      <c r="J114" s="20">
        <v>331</v>
      </c>
      <c r="K114" s="20" t="s">
        <v>20</v>
      </c>
      <c r="L114" s="20">
        <v>1</v>
      </c>
      <c r="M114" s="34">
        <v>732240</v>
      </c>
      <c r="N114" s="34">
        <f t="shared" si="5"/>
        <v>732240</v>
      </c>
      <c r="O114" s="33" t="s">
        <v>21</v>
      </c>
      <c r="P114" s="20">
        <f t="shared" si="7"/>
        <v>111</v>
      </c>
      <c r="Q114" s="20">
        <f t="shared" si="6"/>
        <v>42</v>
      </c>
    </row>
    <row r="115" spans="1:17" ht="15" customHeight="1" x14ac:dyDescent="0.2">
      <c r="A115" s="20" t="s">
        <v>18</v>
      </c>
      <c r="B115" s="63">
        <v>45978</v>
      </c>
      <c r="C115" s="20">
        <f t="shared" si="4"/>
        <v>714</v>
      </c>
      <c r="D115" s="20">
        <v>1</v>
      </c>
      <c r="G115" s="32" t="s">
        <v>115</v>
      </c>
      <c r="H115" s="20" t="s">
        <v>1477</v>
      </c>
      <c r="I115" s="20">
        <v>64276</v>
      </c>
      <c r="J115" s="20">
        <v>331</v>
      </c>
      <c r="K115" s="20" t="s">
        <v>20</v>
      </c>
      <c r="L115" s="20">
        <v>1</v>
      </c>
      <c r="M115" s="34">
        <v>21000</v>
      </c>
      <c r="N115" s="34">
        <f t="shared" si="5"/>
        <v>21000</v>
      </c>
      <c r="O115" s="33" t="s">
        <v>21</v>
      </c>
      <c r="P115" s="20">
        <f t="shared" si="7"/>
        <v>112</v>
      </c>
      <c r="Q115" s="20">
        <f t="shared" si="6"/>
        <v>33</v>
      </c>
    </row>
    <row r="116" spans="1:17" ht="15" customHeight="1" x14ac:dyDescent="0.2">
      <c r="A116" s="20" t="s">
        <v>18</v>
      </c>
      <c r="B116" s="63">
        <v>45978</v>
      </c>
      <c r="C116" s="20">
        <f t="shared" si="4"/>
        <v>715</v>
      </c>
      <c r="D116" s="20">
        <v>1</v>
      </c>
      <c r="G116" s="32" t="s">
        <v>115</v>
      </c>
      <c r="H116" s="20" t="s">
        <v>1478</v>
      </c>
      <c r="I116" s="20">
        <v>64276</v>
      </c>
      <c r="J116" s="20">
        <v>331</v>
      </c>
      <c r="K116" s="20" t="s">
        <v>20</v>
      </c>
      <c r="L116" s="20">
        <v>1</v>
      </c>
      <c r="M116" s="34">
        <v>51000</v>
      </c>
      <c r="N116" s="34">
        <f t="shared" si="5"/>
        <v>51000</v>
      </c>
      <c r="O116" s="33" t="s">
        <v>21</v>
      </c>
      <c r="P116" s="20">
        <f t="shared" si="7"/>
        <v>113</v>
      </c>
      <c r="Q116" s="20">
        <f t="shared" si="6"/>
        <v>33</v>
      </c>
    </row>
    <row r="117" spans="1:17" ht="15" customHeight="1" x14ac:dyDescent="0.2">
      <c r="A117" s="20" t="s">
        <v>18</v>
      </c>
      <c r="B117" s="63">
        <v>45978</v>
      </c>
      <c r="C117" s="20">
        <f t="shared" si="4"/>
        <v>716</v>
      </c>
      <c r="D117" s="20">
        <v>1</v>
      </c>
      <c r="G117" s="32" t="s">
        <v>115</v>
      </c>
      <c r="H117" s="20" t="s">
        <v>1479</v>
      </c>
      <c r="I117" s="20">
        <v>64276</v>
      </c>
      <c r="J117" s="20">
        <v>331</v>
      </c>
      <c r="K117" s="20" t="s">
        <v>20</v>
      </c>
      <c r="L117" s="20">
        <v>1</v>
      </c>
      <c r="M117" s="34">
        <v>75000</v>
      </c>
      <c r="N117" s="34">
        <f t="shared" si="5"/>
        <v>75000</v>
      </c>
      <c r="O117" s="33" t="s">
        <v>21</v>
      </c>
      <c r="P117" s="20">
        <f t="shared" si="7"/>
        <v>114</v>
      </c>
      <c r="Q117" s="20">
        <f t="shared" si="6"/>
        <v>33</v>
      </c>
    </row>
    <row r="118" spans="1:17" ht="15" customHeight="1" x14ac:dyDescent="0.2">
      <c r="A118" s="20" t="s">
        <v>18</v>
      </c>
      <c r="B118" s="63">
        <v>45978</v>
      </c>
      <c r="C118" s="20">
        <f t="shared" si="4"/>
        <v>717</v>
      </c>
      <c r="D118" s="20">
        <v>1</v>
      </c>
      <c r="G118" s="32" t="s">
        <v>115</v>
      </c>
      <c r="H118" s="20" t="s">
        <v>1480</v>
      </c>
      <c r="I118" s="20">
        <v>64276</v>
      </c>
      <c r="J118" s="20">
        <v>331</v>
      </c>
      <c r="K118" s="20" t="s">
        <v>20</v>
      </c>
      <c r="L118" s="20">
        <v>1</v>
      </c>
      <c r="M118" s="34">
        <v>55000</v>
      </c>
      <c r="N118" s="34">
        <f t="shared" si="5"/>
        <v>55000</v>
      </c>
      <c r="O118" s="33" t="s">
        <v>21</v>
      </c>
      <c r="P118" s="20">
        <f t="shared" si="7"/>
        <v>115</v>
      </c>
      <c r="Q118" s="20">
        <f t="shared" si="6"/>
        <v>33</v>
      </c>
    </row>
    <row r="119" spans="1:17" ht="15" customHeight="1" x14ac:dyDescent="0.2">
      <c r="A119" s="20" t="s">
        <v>18</v>
      </c>
      <c r="B119" s="63">
        <v>45978</v>
      </c>
      <c r="C119" s="20">
        <f t="shared" si="4"/>
        <v>718</v>
      </c>
      <c r="D119" s="20">
        <v>1</v>
      </c>
      <c r="G119" s="32" t="s">
        <v>1354</v>
      </c>
      <c r="H119" s="20" t="s">
        <v>1481</v>
      </c>
      <c r="I119" s="20">
        <v>64277</v>
      </c>
      <c r="J119" s="20">
        <v>331</v>
      </c>
      <c r="K119" s="20" t="s">
        <v>20</v>
      </c>
      <c r="L119" s="20">
        <v>1</v>
      </c>
      <c r="M119" s="34">
        <v>794955</v>
      </c>
      <c r="N119" s="34">
        <f t="shared" si="5"/>
        <v>794955</v>
      </c>
      <c r="O119" s="33" t="s">
        <v>21</v>
      </c>
      <c r="P119" s="20">
        <f t="shared" si="7"/>
        <v>116</v>
      </c>
      <c r="Q119" s="20">
        <f t="shared" si="6"/>
        <v>41</v>
      </c>
    </row>
    <row r="120" spans="1:17" ht="15" customHeight="1" x14ac:dyDescent="0.2">
      <c r="A120" s="20" t="s">
        <v>18</v>
      </c>
      <c r="B120" s="63">
        <v>45979</v>
      </c>
      <c r="C120" s="20">
        <f t="shared" si="4"/>
        <v>719</v>
      </c>
      <c r="D120" s="20">
        <v>1</v>
      </c>
      <c r="G120" s="32" t="s">
        <v>64</v>
      </c>
      <c r="H120" s="37" t="s">
        <v>1365</v>
      </c>
      <c r="I120" s="38">
        <v>64277</v>
      </c>
      <c r="J120" s="20">
        <v>331</v>
      </c>
      <c r="K120" s="20" t="s">
        <v>20</v>
      </c>
      <c r="L120" s="20">
        <v>1</v>
      </c>
      <c r="M120" s="34">
        <v>99000</v>
      </c>
      <c r="N120" s="34">
        <f t="shared" si="5"/>
        <v>99000</v>
      </c>
      <c r="O120" s="33" t="s">
        <v>21</v>
      </c>
      <c r="P120" s="20">
        <f t="shared" si="7"/>
        <v>117</v>
      </c>
      <c r="Q120" s="20">
        <f t="shared" si="6"/>
        <v>43</v>
      </c>
    </row>
    <row r="121" spans="1:17" ht="15" customHeight="1" x14ac:dyDescent="0.2">
      <c r="A121" s="20" t="s">
        <v>18</v>
      </c>
      <c r="B121" s="63">
        <v>45980</v>
      </c>
      <c r="C121" s="20">
        <f t="shared" si="4"/>
        <v>720</v>
      </c>
      <c r="D121" s="20">
        <v>1</v>
      </c>
      <c r="G121" s="32" t="s">
        <v>102</v>
      </c>
      <c r="H121" s="20" t="s">
        <v>1482</v>
      </c>
      <c r="I121" s="20">
        <v>64276</v>
      </c>
      <c r="J121" s="20">
        <v>331</v>
      </c>
      <c r="K121" s="20" t="s">
        <v>20</v>
      </c>
      <c r="L121" s="20">
        <v>1</v>
      </c>
      <c r="M121" s="34">
        <v>316000</v>
      </c>
      <c r="N121" s="34">
        <f t="shared" si="5"/>
        <v>316000</v>
      </c>
      <c r="O121" s="33" t="s">
        <v>21</v>
      </c>
      <c r="P121" s="20">
        <f t="shared" si="7"/>
        <v>118</v>
      </c>
      <c r="Q121" s="20">
        <f t="shared" si="6"/>
        <v>31</v>
      </c>
    </row>
    <row r="122" spans="1:17" ht="15" customHeight="1" x14ac:dyDescent="0.2">
      <c r="A122" s="20" t="s">
        <v>18</v>
      </c>
      <c r="B122" s="63">
        <v>45980</v>
      </c>
      <c r="C122" s="20">
        <f t="shared" si="4"/>
        <v>721</v>
      </c>
      <c r="D122" s="20">
        <v>1</v>
      </c>
      <c r="G122" s="32" t="s">
        <v>102</v>
      </c>
      <c r="H122" s="20" t="s">
        <v>1483</v>
      </c>
      <c r="I122" s="20">
        <v>64276</v>
      </c>
      <c r="J122" s="20">
        <v>331</v>
      </c>
      <c r="K122" s="20" t="s">
        <v>20</v>
      </c>
      <c r="L122" s="20">
        <v>1</v>
      </c>
      <c r="M122" s="34">
        <v>28000</v>
      </c>
      <c r="N122" s="34">
        <f t="shared" si="5"/>
        <v>28000</v>
      </c>
      <c r="O122" s="33" t="s">
        <v>21</v>
      </c>
      <c r="P122" s="20">
        <f t="shared" si="7"/>
        <v>119</v>
      </c>
      <c r="Q122" s="20">
        <f t="shared" si="6"/>
        <v>31</v>
      </c>
    </row>
    <row r="123" spans="1:17" ht="15" customHeight="1" x14ac:dyDescent="0.2">
      <c r="A123" s="20" t="s">
        <v>18</v>
      </c>
      <c r="B123" s="63">
        <v>45980</v>
      </c>
      <c r="C123" s="20">
        <f t="shared" si="4"/>
        <v>722</v>
      </c>
      <c r="D123" s="20">
        <v>1</v>
      </c>
      <c r="G123" s="32" t="s">
        <v>102</v>
      </c>
      <c r="H123" s="20" t="s">
        <v>1484</v>
      </c>
      <c r="I123" s="20">
        <v>64276</v>
      </c>
      <c r="J123" s="20">
        <v>331</v>
      </c>
      <c r="K123" s="20" t="s">
        <v>20</v>
      </c>
      <c r="L123" s="20">
        <v>1</v>
      </c>
      <c r="M123" s="34">
        <v>32000</v>
      </c>
      <c r="N123" s="34">
        <f t="shared" si="5"/>
        <v>32000</v>
      </c>
      <c r="O123" s="33" t="s">
        <v>21</v>
      </c>
      <c r="P123" s="20">
        <f t="shared" si="7"/>
        <v>120</v>
      </c>
      <c r="Q123" s="20">
        <f t="shared" si="6"/>
        <v>32</v>
      </c>
    </row>
    <row r="124" spans="1:17" ht="15" customHeight="1" x14ac:dyDescent="0.2">
      <c r="A124" s="20" t="s">
        <v>18</v>
      </c>
      <c r="B124" s="63">
        <v>45980</v>
      </c>
      <c r="C124" s="20">
        <f t="shared" si="4"/>
        <v>723</v>
      </c>
      <c r="D124" s="20">
        <v>1</v>
      </c>
      <c r="G124" s="32" t="s">
        <v>102</v>
      </c>
      <c r="H124" s="20" t="s">
        <v>1485</v>
      </c>
      <c r="I124" s="20">
        <v>64276</v>
      </c>
      <c r="J124" s="20">
        <v>331</v>
      </c>
      <c r="K124" s="20" t="s">
        <v>20</v>
      </c>
      <c r="L124" s="20">
        <v>1</v>
      </c>
      <c r="M124" s="34">
        <v>27000</v>
      </c>
      <c r="N124" s="34">
        <f t="shared" si="5"/>
        <v>27000</v>
      </c>
      <c r="O124" s="33" t="s">
        <v>21</v>
      </c>
      <c r="P124" s="20">
        <f t="shared" si="7"/>
        <v>121</v>
      </c>
      <c r="Q124" s="20">
        <f t="shared" si="6"/>
        <v>32</v>
      </c>
    </row>
    <row r="125" spans="1:17" ht="15" customHeight="1" x14ac:dyDescent="0.2">
      <c r="A125" s="20" t="s">
        <v>18</v>
      </c>
      <c r="B125" s="63">
        <v>45980</v>
      </c>
      <c r="C125" s="20">
        <f t="shared" si="4"/>
        <v>724</v>
      </c>
      <c r="D125" s="20">
        <v>1</v>
      </c>
      <c r="G125" s="32" t="s">
        <v>102</v>
      </c>
      <c r="H125" s="20" t="s">
        <v>1486</v>
      </c>
      <c r="I125" s="20">
        <v>64276</v>
      </c>
      <c r="J125" s="20">
        <v>331</v>
      </c>
      <c r="K125" s="20" t="s">
        <v>20</v>
      </c>
      <c r="L125" s="20">
        <v>1</v>
      </c>
      <c r="M125" s="34">
        <v>51000</v>
      </c>
      <c r="N125" s="34">
        <f t="shared" si="5"/>
        <v>51000</v>
      </c>
      <c r="O125" s="33" t="s">
        <v>21</v>
      </c>
      <c r="P125" s="20">
        <f t="shared" si="7"/>
        <v>122</v>
      </c>
      <c r="Q125" s="20">
        <f t="shared" si="6"/>
        <v>32</v>
      </c>
    </row>
    <row r="126" spans="1:17" ht="15" customHeight="1" x14ac:dyDescent="0.2">
      <c r="A126" s="20" t="s">
        <v>18</v>
      </c>
      <c r="B126" s="63">
        <v>45980</v>
      </c>
      <c r="C126" s="20">
        <f t="shared" si="4"/>
        <v>725</v>
      </c>
      <c r="D126" s="20">
        <v>1</v>
      </c>
      <c r="G126" s="32" t="s">
        <v>102</v>
      </c>
      <c r="H126" s="20" t="s">
        <v>1487</v>
      </c>
      <c r="I126" s="20">
        <v>64276</v>
      </c>
      <c r="J126" s="20">
        <v>331</v>
      </c>
      <c r="K126" s="20" t="s">
        <v>20</v>
      </c>
      <c r="L126" s="20">
        <v>1</v>
      </c>
      <c r="M126" s="34">
        <v>29000</v>
      </c>
      <c r="N126" s="34">
        <f t="shared" si="5"/>
        <v>29000</v>
      </c>
      <c r="O126" s="33" t="s">
        <v>21</v>
      </c>
      <c r="P126" s="20">
        <f t="shared" si="7"/>
        <v>123</v>
      </c>
      <c r="Q126" s="20">
        <f t="shared" si="6"/>
        <v>32</v>
      </c>
    </row>
    <row r="127" spans="1:17" ht="15" customHeight="1" x14ac:dyDescent="0.2">
      <c r="A127" s="20" t="s">
        <v>18</v>
      </c>
      <c r="B127" s="63">
        <v>45980</v>
      </c>
      <c r="C127" s="20">
        <f t="shared" si="4"/>
        <v>726</v>
      </c>
      <c r="D127" s="20">
        <v>1</v>
      </c>
      <c r="G127" s="32" t="s">
        <v>115</v>
      </c>
      <c r="H127" s="20" t="s">
        <v>1488</v>
      </c>
      <c r="I127" s="20">
        <v>64276</v>
      </c>
      <c r="J127" s="20">
        <v>331</v>
      </c>
      <c r="K127" s="20" t="s">
        <v>20</v>
      </c>
      <c r="L127" s="20">
        <v>1</v>
      </c>
      <c r="M127" s="34">
        <v>30000</v>
      </c>
      <c r="N127" s="34">
        <f t="shared" si="5"/>
        <v>30000</v>
      </c>
      <c r="O127" s="33" t="s">
        <v>21</v>
      </c>
      <c r="P127" s="20">
        <f t="shared" si="7"/>
        <v>124</v>
      </c>
      <c r="Q127" s="20">
        <f t="shared" si="6"/>
        <v>33</v>
      </c>
    </row>
    <row r="128" spans="1:17" ht="15" customHeight="1" x14ac:dyDescent="0.2">
      <c r="A128" s="20" t="s">
        <v>18</v>
      </c>
      <c r="B128" s="63">
        <v>45980</v>
      </c>
      <c r="C128" s="20">
        <f t="shared" si="4"/>
        <v>727</v>
      </c>
      <c r="D128" s="20">
        <v>1</v>
      </c>
      <c r="G128" s="32" t="s">
        <v>115</v>
      </c>
      <c r="H128" s="20" t="s">
        <v>1489</v>
      </c>
      <c r="I128" s="20">
        <v>64276</v>
      </c>
      <c r="J128" s="20">
        <v>331</v>
      </c>
      <c r="K128" s="20" t="s">
        <v>20</v>
      </c>
      <c r="L128" s="20">
        <v>1</v>
      </c>
      <c r="M128" s="34">
        <v>13000</v>
      </c>
      <c r="N128" s="34">
        <f t="shared" si="5"/>
        <v>13000</v>
      </c>
      <c r="O128" s="33" t="s">
        <v>21</v>
      </c>
      <c r="P128" s="20">
        <f t="shared" si="7"/>
        <v>125</v>
      </c>
      <c r="Q128" s="20">
        <f t="shared" si="6"/>
        <v>33</v>
      </c>
    </row>
    <row r="129" spans="1:17" ht="15" customHeight="1" x14ac:dyDescent="0.2">
      <c r="A129" s="20" t="s">
        <v>18</v>
      </c>
      <c r="B129" s="63">
        <v>45980</v>
      </c>
      <c r="C129" s="20">
        <f t="shared" si="4"/>
        <v>728</v>
      </c>
      <c r="D129" s="20">
        <v>1</v>
      </c>
      <c r="G129" s="32" t="s">
        <v>115</v>
      </c>
      <c r="H129" s="20" t="s">
        <v>1490</v>
      </c>
      <c r="I129" s="20">
        <v>64276</v>
      </c>
      <c r="J129" s="20">
        <v>331</v>
      </c>
      <c r="K129" s="20" t="s">
        <v>20</v>
      </c>
      <c r="L129" s="20">
        <v>1</v>
      </c>
      <c r="M129" s="34">
        <v>16000</v>
      </c>
      <c r="N129" s="34">
        <f t="shared" si="5"/>
        <v>16000</v>
      </c>
      <c r="O129" s="33" t="s">
        <v>21</v>
      </c>
      <c r="P129" s="20">
        <f t="shared" si="7"/>
        <v>126</v>
      </c>
      <c r="Q129" s="20">
        <f t="shared" si="6"/>
        <v>33</v>
      </c>
    </row>
    <row r="130" spans="1:17" ht="15" customHeight="1" x14ac:dyDescent="0.2">
      <c r="A130" s="20" t="s">
        <v>18</v>
      </c>
      <c r="B130" s="63">
        <v>45980</v>
      </c>
      <c r="C130" s="20">
        <f t="shared" si="4"/>
        <v>729</v>
      </c>
      <c r="D130" s="20">
        <v>1</v>
      </c>
      <c r="G130" s="32" t="s">
        <v>115</v>
      </c>
      <c r="H130" s="20" t="s">
        <v>1491</v>
      </c>
      <c r="I130" s="20">
        <v>64276</v>
      </c>
      <c r="J130" s="20">
        <v>331</v>
      </c>
      <c r="K130" s="20" t="s">
        <v>20</v>
      </c>
      <c r="L130" s="20">
        <v>1</v>
      </c>
      <c r="M130" s="34">
        <v>137000</v>
      </c>
      <c r="N130" s="34">
        <f t="shared" si="5"/>
        <v>137000</v>
      </c>
      <c r="O130" s="33" t="s">
        <v>21</v>
      </c>
      <c r="P130" s="20">
        <f t="shared" si="7"/>
        <v>127</v>
      </c>
      <c r="Q130" s="20">
        <f t="shared" si="6"/>
        <v>33</v>
      </c>
    </row>
    <row r="131" spans="1:17" ht="15" customHeight="1" x14ac:dyDescent="0.2">
      <c r="A131" s="20" t="s">
        <v>18</v>
      </c>
      <c r="B131" s="63">
        <v>45981</v>
      </c>
      <c r="C131" s="20">
        <f t="shared" si="4"/>
        <v>730</v>
      </c>
      <c r="D131" s="20">
        <v>1</v>
      </c>
      <c r="G131" s="32" t="s">
        <v>102</v>
      </c>
      <c r="H131" s="20" t="s">
        <v>1492</v>
      </c>
      <c r="I131" s="20">
        <v>64276</v>
      </c>
      <c r="J131" s="20">
        <v>331</v>
      </c>
      <c r="K131" s="20" t="s">
        <v>20</v>
      </c>
      <c r="L131" s="20">
        <v>1</v>
      </c>
      <c r="M131" s="34">
        <v>32000</v>
      </c>
      <c r="N131" s="34">
        <f t="shared" si="5"/>
        <v>32000</v>
      </c>
      <c r="O131" s="33" t="s">
        <v>21</v>
      </c>
      <c r="P131" s="20">
        <f t="shared" si="7"/>
        <v>128</v>
      </c>
      <c r="Q131" s="20">
        <f t="shared" si="6"/>
        <v>32</v>
      </c>
    </row>
    <row r="132" spans="1:17" ht="15" customHeight="1" x14ac:dyDescent="0.2">
      <c r="A132" s="20" t="s">
        <v>18</v>
      </c>
      <c r="B132" s="63">
        <v>45981</v>
      </c>
      <c r="C132" s="20">
        <f t="shared" ref="C132:C195" si="8">C131+D132</f>
        <v>731</v>
      </c>
      <c r="D132" s="20">
        <v>1</v>
      </c>
      <c r="G132" s="32" t="s">
        <v>102</v>
      </c>
      <c r="H132" s="20" t="s">
        <v>1493</v>
      </c>
      <c r="I132" s="20">
        <v>64276</v>
      </c>
      <c r="J132" s="20">
        <v>331</v>
      </c>
      <c r="K132" s="20" t="s">
        <v>20</v>
      </c>
      <c r="L132" s="20">
        <v>1</v>
      </c>
      <c r="M132" s="34">
        <v>36000</v>
      </c>
      <c r="N132" s="34">
        <f t="shared" ref="N132:N195" si="9">L132*M132</f>
        <v>36000</v>
      </c>
      <c r="O132" s="33" t="s">
        <v>21</v>
      </c>
      <c r="P132" s="20">
        <f t="shared" si="7"/>
        <v>129</v>
      </c>
      <c r="Q132" s="20">
        <f t="shared" si="6"/>
        <v>32</v>
      </c>
    </row>
    <row r="133" spans="1:17" ht="15" customHeight="1" x14ac:dyDescent="0.2">
      <c r="A133" s="20" t="s">
        <v>18</v>
      </c>
      <c r="B133" s="63">
        <v>45981</v>
      </c>
      <c r="C133" s="20">
        <f t="shared" si="8"/>
        <v>732</v>
      </c>
      <c r="D133" s="20">
        <v>1</v>
      </c>
      <c r="G133" s="32" t="s">
        <v>102</v>
      </c>
      <c r="H133" s="20" t="s">
        <v>1494</v>
      </c>
      <c r="I133" s="20">
        <v>64276</v>
      </c>
      <c r="J133" s="20">
        <v>331</v>
      </c>
      <c r="K133" s="20" t="s">
        <v>20</v>
      </c>
      <c r="L133" s="20">
        <v>1</v>
      </c>
      <c r="M133" s="34">
        <v>112000</v>
      </c>
      <c r="N133" s="34">
        <f t="shared" si="9"/>
        <v>112000</v>
      </c>
      <c r="O133" s="33" t="s">
        <v>21</v>
      </c>
      <c r="P133" s="20">
        <f t="shared" si="7"/>
        <v>130</v>
      </c>
      <c r="Q133" s="20">
        <f t="shared" ref="Q133:Q196" si="10">LEN(H133)</f>
        <v>32</v>
      </c>
    </row>
    <row r="134" spans="1:17" ht="15" customHeight="1" x14ac:dyDescent="0.2">
      <c r="A134" s="20" t="s">
        <v>18</v>
      </c>
      <c r="B134" s="63">
        <v>45981</v>
      </c>
      <c r="C134" s="20">
        <f t="shared" si="8"/>
        <v>733</v>
      </c>
      <c r="D134" s="20">
        <v>1</v>
      </c>
      <c r="G134" s="32" t="s">
        <v>102</v>
      </c>
      <c r="H134" s="20" t="s">
        <v>1495</v>
      </c>
      <c r="I134" s="20">
        <v>64276</v>
      </c>
      <c r="J134" s="20">
        <v>331</v>
      </c>
      <c r="K134" s="20" t="s">
        <v>20</v>
      </c>
      <c r="L134" s="20">
        <v>1</v>
      </c>
      <c r="M134" s="34">
        <v>69000</v>
      </c>
      <c r="N134" s="34">
        <f t="shared" si="9"/>
        <v>69000</v>
      </c>
      <c r="O134" s="33" t="s">
        <v>21</v>
      </c>
      <c r="P134" s="20">
        <f t="shared" ref="P134:P197" si="11">P133+D134</f>
        <v>131</v>
      </c>
      <c r="Q134" s="20">
        <f t="shared" si="10"/>
        <v>32</v>
      </c>
    </row>
    <row r="135" spans="1:17" ht="15" customHeight="1" x14ac:dyDescent="0.2">
      <c r="A135" s="20" t="s">
        <v>18</v>
      </c>
      <c r="B135" s="63">
        <v>45982</v>
      </c>
      <c r="C135" s="20">
        <f t="shared" si="8"/>
        <v>734</v>
      </c>
      <c r="D135" s="20">
        <v>1</v>
      </c>
      <c r="G135" s="32" t="s">
        <v>102</v>
      </c>
      <c r="H135" s="20" t="s">
        <v>1496</v>
      </c>
      <c r="I135" s="20">
        <v>64276</v>
      </c>
      <c r="J135" s="20">
        <v>331</v>
      </c>
      <c r="K135" s="20" t="s">
        <v>20</v>
      </c>
      <c r="L135" s="20">
        <v>1</v>
      </c>
      <c r="M135" s="34">
        <v>57000</v>
      </c>
      <c r="N135" s="34">
        <f t="shared" si="9"/>
        <v>57000</v>
      </c>
      <c r="O135" s="33" t="s">
        <v>21</v>
      </c>
      <c r="P135" s="20">
        <f t="shared" si="11"/>
        <v>132</v>
      </c>
      <c r="Q135" s="20">
        <f t="shared" si="10"/>
        <v>32</v>
      </c>
    </row>
    <row r="136" spans="1:17" ht="15" customHeight="1" x14ac:dyDescent="0.2">
      <c r="A136" s="20" t="s">
        <v>18</v>
      </c>
      <c r="B136" s="63">
        <v>45982</v>
      </c>
      <c r="C136" s="20">
        <f t="shared" si="8"/>
        <v>735</v>
      </c>
      <c r="D136" s="20">
        <v>1</v>
      </c>
      <c r="G136" s="32" t="s">
        <v>102</v>
      </c>
      <c r="H136" s="20" t="s">
        <v>1497</v>
      </c>
      <c r="I136" s="20">
        <v>64276</v>
      </c>
      <c r="J136" s="20">
        <v>331</v>
      </c>
      <c r="K136" s="20" t="s">
        <v>20</v>
      </c>
      <c r="L136" s="20">
        <v>1</v>
      </c>
      <c r="M136" s="34">
        <v>51000</v>
      </c>
      <c r="N136" s="34">
        <f t="shared" si="9"/>
        <v>51000</v>
      </c>
      <c r="O136" s="33" t="s">
        <v>21</v>
      </c>
      <c r="P136" s="20">
        <f t="shared" si="11"/>
        <v>133</v>
      </c>
      <c r="Q136" s="20">
        <f t="shared" si="10"/>
        <v>32</v>
      </c>
    </row>
    <row r="137" spans="1:17" ht="15" customHeight="1" x14ac:dyDescent="0.2">
      <c r="A137" s="20" t="s">
        <v>18</v>
      </c>
      <c r="B137" s="63">
        <v>45982</v>
      </c>
      <c r="C137" s="20">
        <f t="shared" si="8"/>
        <v>736</v>
      </c>
      <c r="D137" s="20">
        <v>1</v>
      </c>
      <c r="G137" s="32" t="s">
        <v>102</v>
      </c>
      <c r="H137" s="20" t="s">
        <v>1498</v>
      </c>
      <c r="I137" s="20">
        <v>64276</v>
      </c>
      <c r="J137" s="20">
        <v>331</v>
      </c>
      <c r="K137" s="20" t="s">
        <v>20</v>
      </c>
      <c r="L137" s="20">
        <v>1</v>
      </c>
      <c r="M137" s="34">
        <v>55000</v>
      </c>
      <c r="N137" s="34">
        <f t="shared" si="9"/>
        <v>55000</v>
      </c>
      <c r="O137" s="33" t="s">
        <v>21</v>
      </c>
      <c r="P137" s="20">
        <f t="shared" si="11"/>
        <v>134</v>
      </c>
      <c r="Q137" s="20">
        <f t="shared" si="10"/>
        <v>32</v>
      </c>
    </row>
    <row r="138" spans="1:17" ht="15" customHeight="1" x14ac:dyDescent="0.2">
      <c r="A138" s="20" t="s">
        <v>18</v>
      </c>
      <c r="B138" s="63">
        <v>45982</v>
      </c>
      <c r="C138" s="20">
        <f t="shared" si="8"/>
        <v>737</v>
      </c>
      <c r="D138" s="20">
        <v>1</v>
      </c>
      <c r="G138" s="32" t="s">
        <v>102</v>
      </c>
      <c r="H138" s="20" t="s">
        <v>1499</v>
      </c>
      <c r="I138" s="20">
        <v>64276</v>
      </c>
      <c r="J138" s="20">
        <v>331</v>
      </c>
      <c r="K138" s="20" t="s">
        <v>20</v>
      </c>
      <c r="L138" s="20">
        <v>1</v>
      </c>
      <c r="M138" s="34">
        <v>65000</v>
      </c>
      <c r="N138" s="34">
        <f t="shared" si="9"/>
        <v>65000</v>
      </c>
      <c r="O138" s="33" t="s">
        <v>21</v>
      </c>
      <c r="P138" s="20">
        <f t="shared" si="11"/>
        <v>135</v>
      </c>
      <c r="Q138" s="20">
        <f t="shared" si="10"/>
        <v>32</v>
      </c>
    </row>
    <row r="139" spans="1:17" ht="15" customHeight="1" x14ac:dyDescent="0.2">
      <c r="A139" s="20" t="s">
        <v>18</v>
      </c>
      <c r="B139" s="63">
        <v>45982</v>
      </c>
      <c r="C139" s="20">
        <f t="shared" si="8"/>
        <v>738</v>
      </c>
      <c r="D139" s="20">
        <v>1</v>
      </c>
      <c r="G139" s="32" t="s">
        <v>102</v>
      </c>
      <c r="H139" s="20" t="s">
        <v>1500</v>
      </c>
      <c r="I139" s="20">
        <v>64276</v>
      </c>
      <c r="J139" s="20">
        <v>331</v>
      </c>
      <c r="K139" s="20" t="s">
        <v>20</v>
      </c>
      <c r="L139" s="20">
        <v>1</v>
      </c>
      <c r="M139" s="34">
        <v>53000</v>
      </c>
      <c r="N139" s="34">
        <f t="shared" si="9"/>
        <v>53000</v>
      </c>
      <c r="O139" s="33" t="s">
        <v>21</v>
      </c>
      <c r="P139" s="20">
        <f t="shared" si="11"/>
        <v>136</v>
      </c>
      <c r="Q139" s="20">
        <f t="shared" si="10"/>
        <v>32</v>
      </c>
    </row>
    <row r="140" spans="1:17" ht="15" customHeight="1" x14ac:dyDescent="0.2">
      <c r="A140" s="20" t="s">
        <v>18</v>
      </c>
      <c r="B140" s="63">
        <v>45982</v>
      </c>
      <c r="C140" s="20">
        <f t="shared" si="8"/>
        <v>739</v>
      </c>
      <c r="D140" s="20">
        <v>1</v>
      </c>
      <c r="G140" s="32" t="s">
        <v>102</v>
      </c>
      <c r="H140" s="20" t="s">
        <v>1501</v>
      </c>
      <c r="I140" s="20">
        <v>64276</v>
      </c>
      <c r="J140" s="20">
        <v>331</v>
      </c>
      <c r="K140" s="20" t="s">
        <v>20</v>
      </c>
      <c r="L140" s="20">
        <v>1</v>
      </c>
      <c r="M140" s="34">
        <v>46000</v>
      </c>
      <c r="N140" s="34">
        <f t="shared" si="9"/>
        <v>46000</v>
      </c>
      <c r="O140" s="33" t="s">
        <v>21</v>
      </c>
      <c r="P140" s="20">
        <f t="shared" si="11"/>
        <v>137</v>
      </c>
      <c r="Q140" s="20">
        <f t="shared" si="10"/>
        <v>32</v>
      </c>
    </row>
    <row r="141" spans="1:17" ht="15" customHeight="1" x14ac:dyDescent="0.2">
      <c r="A141" s="20" t="s">
        <v>18</v>
      </c>
      <c r="B141" s="63">
        <v>45983</v>
      </c>
      <c r="C141" s="20">
        <f t="shared" si="8"/>
        <v>740</v>
      </c>
      <c r="D141" s="20">
        <v>1</v>
      </c>
      <c r="G141" s="32" t="s">
        <v>102</v>
      </c>
      <c r="H141" s="20" t="s">
        <v>1502</v>
      </c>
      <c r="I141" s="20">
        <v>64276</v>
      </c>
      <c r="J141" s="20">
        <v>331</v>
      </c>
      <c r="K141" s="20" t="s">
        <v>20</v>
      </c>
      <c r="L141" s="20">
        <v>1</v>
      </c>
      <c r="M141" s="34">
        <v>39000</v>
      </c>
      <c r="N141" s="34">
        <f t="shared" si="9"/>
        <v>39000</v>
      </c>
      <c r="O141" s="33" t="s">
        <v>21</v>
      </c>
      <c r="P141" s="20">
        <f t="shared" si="11"/>
        <v>138</v>
      </c>
      <c r="Q141" s="20">
        <f t="shared" si="10"/>
        <v>32</v>
      </c>
    </row>
    <row r="142" spans="1:17" ht="15" customHeight="1" x14ac:dyDescent="0.2">
      <c r="A142" s="20" t="s">
        <v>18</v>
      </c>
      <c r="B142" s="63">
        <v>45983</v>
      </c>
      <c r="C142" s="20">
        <f t="shared" si="8"/>
        <v>741</v>
      </c>
      <c r="D142" s="20">
        <v>1</v>
      </c>
      <c r="G142" s="32" t="s">
        <v>102</v>
      </c>
      <c r="H142" s="20" t="s">
        <v>1503</v>
      </c>
      <c r="I142" s="20">
        <v>64276</v>
      </c>
      <c r="J142" s="20">
        <v>331</v>
      </c>
      <c r="K142" s="20" t="s">
        <v>20</v>
      </c>
      <c r="L142" s="20">
        <v>1</v>
      </c>
      <c r="M142" s="34">
        <v>30000</v>
      </c>
      <c r="N142" s="34">
        <f t="shared" si="9"/>
        <v>30000</v>
      </c>
      <c r="O142" s="33" t="s">
        <v>21</v>
      </c>
      <c r="P142" s="20">
        <f t="shared" si="11"/>
        <v>139</v>
      </c>
      <c r="Q142" s="20">
        <f t="shared" si="10"/>
        <v>32</v>
      </c>
    </row>
    <row r="143" spans="1:17" ht="15" customHeight="1" x14ac:dyDescent="0.2">
      <c r="A143" s="20" t="s">
        <v>18</v>
      </c>
      <c r="B143" s="63">
        <v>45983</v>
      </c>
      <c r="C143" s="20">
        <f t="shared" si="8"/>
        <v>742</v>
      </c>
      <c r="D143" s="20">
        <v>1</v>
      </c>
      <c r="G143" s="32" t="s">
        <v>102</v>
      </c>
      <c r="H143" s="20" t="s">
        <v>1504</v>
      </c>
      <c r="I143" s="20">
        <v>64276</v>
      </c>
      <c r="J143" s="20">
        <v>331</v>
      </c>
      <c r="K143" s="20" t="s">
        <v>20</v>
      </c>
      <c r="L143" s="20">
        <v>1</v>
      </c>
      <c r="M143" s="34">
        <v>301000</v>
      </c>
      <c r="N143" s="34">
        <f t="shared" si="9"/>
        <v>301000</v>
      </c>
      <c r="O143" s="33" t="s">
        <v>21</v>
      </c>
      <c r="P143" s="20">
        <f t="shared" si="11"/>
        <v>140</v>
      </c>
      <c r="Q143" s="20">
        <f t="shared" si="10"/>
        <v>32</v>
      </c>
    </row>
    <row r="144" spans="1:17" ht="15" customHeight="1" x14ac:dyDescent="0.2">
      <c r="A144" s="20" t="s">
        <v>18</v>
      </c>
      <c r="B144" s="63">
        <v>45984</v>
      </c>
      <c r="C144" s="20">
        <f t="shared" si="8"/>
        <v>743</v>
      </c>
      <c r="D144" s="20">
        <v>1</v>
      </c>
      <c r="G144" s="32" t="s">
        <v>115</v>
      </c>
      <c r="H144" s="20" t="s">
        <v>1505</v>
      </c>
      <c r="I144" s="20">
        <v>64276</v>
      </c>
      <c r="J144" s="20">
        <v>331</v>
      </c>
      <c r="K144" s="20" t="s">
        <v>20</v>
      </c>
      <c r="L144" s="20">
        <v>1</v>
      </c>
      <c r="M144" s="34">
        <v>124000</v>
      </c>
      <c r="N144" s="34">
        <f t="shared" si="9"/>
        <v>124000</v>
      </c>
      <c r="O144" s="33" t="s">
        <v>21</v>
      </c>
      <c r="P144" s="20">
        <f t="shared" si="11"/>
        <v>141</v>
      </c>
      <c r="Q144" s="20">
        <f t="shared" si="10"/>
        <v>31</v>
      </c>
    </row>
    <row r="145" spans="1:17" ht="15" customHeight="1" x14ac:dyDescent="0.2">
      <c r="A145" s="20" t="s">
        <v>18</v>
      </c>
      <c r="B145" s="63">
        <v>45984</v>
      </c>
      <c r="C145" s="20">
        <f t="shared" si="8"/>
        <v>744</v>
      </c>
      <c r="D145" s="20">
        <v>1</v>
      </c>
      <c r="G145" s="32" t="s">
        <v>115</v>
      </c>
      <c r="H145" s="20" t="s">
        <v>1506</v>
      </c>
      <c r="I145" s="20">
        <v>64276</v>
      </c>
      <c r="J145" s="20">
        <v>331</v>
      </c>
      <c r="K145" s="20" t="s">
        <v>20</v>
      </c>
      <c r="L145" s="20">
        <v>1</v>
      </c>
      <c r="M145" s="34">
        <v>131000</v>
      </c>
      <c r="N145" s="34">
        <f t="shared" si="9"/>
        <v>131000</v>
      </c>
      <c r="O145" s="33" t="s">
        <v>21</v>
      </c>
      <c r="P145" s="20">
        <f t="shared" si="11"/>
        <v>142</v>
      </c>
      <c r="Q145" s="20">
        <f t="shared" si="10"/>
        <v>31</v>
      </c>
    </row>
    <row r="146" spans="1:17" ht="15" customHeight="1" x14ac:dyDescent="0.2">
      <c r="A146" s="20" t="s">
        <v>18</v>
      </c>
      <c r="B146" s="63">
        <v>45984</v>
      </c>
      <c r="C146" s="20">
        <f t="shared" si="8"/>
        <v>745</v>
      </c>
      <c r="D146" s="20">
        <v>1</v>
      </c>
      <c r="G146" s="32" t="s">
        <v>115</v>
      </c>
      <c r="H146" s="20" t="s">
        <v>1507</v>
      </c>
      <c r="I146" s="20">
        <v>64276</v>
      </c>
      <c r="J146" s="20">
        <v>331</v>
      </c>
      <c r="K146" s="20" t="s">
        <v>20</v>
      </c>
      <c r="L146" s="20">
        <v>1</v>
      </c>
      <c r="M146" s="34">
        <v>124000</v>
      </c>
      <c r="N146" s="34">
        <f t="shared" si="9"/>
        <v>124000</v>
      </c>
      <c r="O146" s="33" t="s">
        <v>21</v>
      </c>
      <c r="P146" s="20">
        <f t="shared" si="11"/>
        <v>143</v>
      </c>
      <c r="Q146" s="20">
        <f t="shared" si="10"/>
        <v>31</v>
      </c>
    </row>
    <row r="147" spans="1:17" ht="15" customHeight="1" x14ac:dyDescent="0.2">
      <c r="A147" s="20" t="s">
        <v>18</v>
      </c>
      <c r="B147" s="63">
        <v>45984</v>
      </c>
      <c r="C147" s="20">
        <f t="shared" si="8"/>
        <v>746</v>
      </c>
      <c r="D147" s="20">
        <v>1</v>
      </c>
      <c r="G147" s="32" t="s">
        <v>115</v>
      </c>
      <c r="H147" s="20" t="s">
        <v>1508</v>
      </c>
      <c r="I147" s="20">
        <v>64276</v>
      </c>
      <c r="J147" s="20">
        <v>331</v>
      </c>
      <c r="K147" s="20" t="s">
        <v>20</v>
      </c>
      <c r="L147" s="20">
        <v>1</v>
      </c>
      <c r="M147" s="34">
        <v>49000</v>
      </c>
      <c r="N147" s="34">
        <f t="shared" si="9"/>
        <v>49000</v>
      </c>
      <c r="O147" s="33" t="s">
        <v>21</v>
      </c>
      <c r="P147" s="20">
        <f t="shared" si="11"/>
        <v>144</v>
      </c>
      <c r="Q147" s="20">
        <f t="shared" si="10"/>
        <v>31</v>
      </c>
    </row>
    <row r="148" spans="1:17" ht="15" customHeight="1" x14ac:dyDescent="0.2">
      <c r="A148" s="20" t="s">
        <v>18</v>
      </c>
      <c r="B148" s="63">
        <v>45985</v>
      </c>
      <c r="C148" s="20">
        <f t="shared" si="8"/>
        <v>747</v>
      </c>
      <c r="D148" s="20">
        <v>1</v>
      </c>
      <c r="G148" s="32" t="s">
        <v>116</v>
      </c>
      <c r="H148" s="37" t="s">
        <v>1366</v>
      </c>
      <c r="I148" s="38">
        <v>64277</v>
      </c>
      <c r="J148" s="20">
        <v>331</v>
      </c>
      <c r="K148" s="20" t="s">
        <v>20</v>
      </c>
      <c r="L148" s="20">
        <v>1</v>
      </c>
      <c r="M148" s="34">
        <v>10500000</v>
      </c>
      <c r="N148" s="34">
        <f t="shared" si="9"/>
        <v>10500000</v>
      </c>
      <c r="O148" s="33" t="s">
        <v>21</v>
      </c>
      <c r="P148" s="20">
        <f t="shared" si="11"/>
        <v>145</v>
      </c>
      <c r="Q148" s="20">
        <f t="shared" si="10"/>
        <v>29</v>
      </c>
    </row>
    <row r="149" spans="1:17" ht="15" customHeight="1" x14ac:dyDescent="0.2">
      <c r="A149" s="20" t="s">
        <v>18</v>
      </c>
      <c r="B149" s="63">
        <v>45985</v>
      </c>
      <c r="C149" s="20">
        <f t="shared" si="8"/>
        <v>748</v>
      </c>
      <c r="D149" s="20">
        <v>1</v>
      </c>
      <c r="G149" s="32" t="s">
        <v>44</v>
      </c>
      <c r="H149" s="37" t="s">
        <v>1363</v>
      </c>
      <c r="I149" s="38">
        <v>64277</v>
      </c>
      <c r="J149" s="20">
        <v>331</v>
      </c>
      <c r="K149" s="20" t="s">
        <v>20</v>
      </c>
      <c r="L149" s="20">
        <v>1</v>
      </c>
      <c r="M149" s="34">
        <v>2499000</v>
      </c>
      <c r="N149" s="34">
        <f t="shared" si="9"/>
        <v>2499000</v>
      </c>
      <c r="O149" s="33" t="s">
        <v>21</v>
      </c>
      <c r="P149" s="20">
        <f t="shared" si="11"/>
        <v>146</v>
      </c>
      <c r="Q149" s="20">
        <f t="shared" si="10"/>
        <v>30</v>
      </c>
    </row>
    <row r="150" spans="1:17" ht="15" customHeight="1" x14ac:dyDescent="0.2">
      <c r="A150" s="20" t="s">
        <v>18</v>
      </c>
      <c r="B150" s="63">
        <v>45985</v>
      </c>
      <c r="C150" s="20">
        <f t="shared" si="8"/>
        <v>749</v>
      </c>
      <c r="D150" s="20">
        <v>1</v>
      </c>
      <c r="G150" s="32" t="s">
        <v>44</v>
      </c>
      <c r="H150" s="37" t="s">
        <v>1364</v>
      </c>
      <c r="I150" s="38">
        <v>64277</v>
      </c>
      <c r="J150" s="20">
        <v>331</v>
      </c>
      <c r="K150" s="20" t="s">
        <v>20</v>
      </c>
      <c r="L150" s="20">
        <v>1</v>
      </c>
      <c r="M150" s="34">
        <v>2499000</v>
      </c>
      <c r="N150" s="34">
        <f t="shared" si="9"/>
        <v>2499000</v>
      </c>
      <c r="O150" s="33" t="s">
        <v>21</v>
      </c>
      <c r="P150" s="20">
        <f t="shared" si="11"/>
        <v>147</v>
      </c>
      <c r="Q150" s="20">
        <f t="shared" si="10"/>
        <v>30</v>
      </c>
    </row>
    <row r="151" spans="1:17" ht="15" customHeight="1" x14ac:dyDescent="0.2">
      <c r="A151" s="20" t="s">
        <v>18</v>
      </c>
      <c r="B151" s="63">
        <v>45985</v>
      </c>
      <c r="C151" s="20">
        <f t="shared" si="8"/>
        <v>750</v>
      </c>
      <c r="D151" s="20">
        <v>1</v>
      </c>
      <c r="G151" s="32" t="s">
        <v>115</v>
      </c>
      <c r="H151" s="20" t="s">
        <v>1509</v>
      </c>
      <c r="I151" s="20">
        <v>64276</v>
      </c>
      <c r="J151" s="20">
        <v>331</v>
      </c>
      <c r="K151" s="20" t="s">
        <v>20</v>
      </c>
      <c r="L151" s="20">
        <v>1</v>
      </c>
      <c r="M151" s="34">
        <v>36000</v>
      </c>
      <c r="N151" s="34">
        <f t="shared" si="9"/>
        <v>36000</v>
      </c>
      <c r="O151" s="33" t="s">
        <v>21</v>
      </c>
      <c r="P151" s="20">
        <f t="shared" si="11"/>
        <v>148</v>
      </c>
      <c r="Q151" s="20">
        <f t="shared" si="10"/>
        <v>31</v>
      </c>
    </row>
    <row r="152" spans="1:17" ht="15" customHeight="1" x14ac:dyDescent="0.2">
      <c r="A152" s="20" t="s">
        <v>18</v>
      </c>
      <c r="B152" s="63">
        <v>45985</v>
      </c>
      <c r="C152" s="20">
        <f t="shared" si="8"/>
        <v>751</v>
      </c>
      <c r="D152" s="20">
        <v>1</v>
      </c>
      <c r="G152" s="32" t="s">
        <v>115</v>
      </c>
      <c r="H152" s="20" t="s">
        <v>1510</v>
      </c>
      <c r="I152" s="20">
        <v>64276</v>
      </c>
      <c r="J152" s="20">
        <v>331</v>
      </c>
      <c r="K152" s="20" t="s">
        <v>20</v>
      </c>
      <c r="L152" s="20">
        <v>1</v>
      </c>
      <c r="M152" s="34">
        <v>24000</v>
      </c>
      <c r="N152" s="34">
        <f t="shared" si="9"/>
        <v>24000</v>
      </c>
      <c r="O152" s="33" t="s">
        <v>21</v>
      </c>
      <c r="P152" s="20">
        <f t="shared" si="11"/>
        <v>149</v>
      </c>
      <c r="Q152" s="20">
        <f t="shared" si="10"/>
        <v>31</v>
      </c>
    </row>
    <row r="153" spans="1:17" ht="15" customHeight="1" x14ac:dyDescent="0.2">
      <c r="A153" s="20" t="s">
        <v>18</v>
      </c>
      <c r="B153" s="63">
        <v>45986</v>
      </c>
      <c r="C153" s="20">
        <f t="shared" si="8"/>
        <v>752</v>
      </c>
      <c r="D153" s="20">
        <v>1</v>
      </c>
      <c r="G153" s="32" t="s">
        <v>115</v>
      </c>
      <c r="H153" s="20" t="s">
        <v>1511</v>
      </c>
      <c r="I153" s="20">
        <v>64276</v>
      </c>
      <c r="J153" s="20">
        <v>331</v>
      </c>
      <c r="K153" s="20" t="s">
        <v>20</v>
      </c>
      <c r="L153" s="20">
        <v>1</v>
      </c>
      <c r="M153" s="34">
        <v>58000</v>
      </c>
      <c r="N153" s="34">
        <f t="shared" si="9"/>
        <v>58000</v>
      </c>
      <c r="O153" s="33" t="s">
        <v>21</v>
      </c>
      <c r="P153" s="20">
        <f t="shared" si="11"/>
        <v>150</v>
      </c>
      <c r="Q153" s="20">
        <f t="shared" si="10"/>
        <v>31</v>
      </c>
    </row>
    <row r="154" spans="1:17" ht="15" customHeight="1" x14ac:dyDescent="0.2">
      <c r="A154" s="20" t="s">
        <v>18</v>
      </c>
      <c r="B154" s="63">
        <v>45986</v>
      </c>
      <c r="C154" s="20">
        <f t="shared" si="8"/>
        <v>753</v>
      </c>
      <c r="D154" s="20">
        <v>1</v>
      </c>
      <c r="G154" s="32" t="s">
        <v>115</v>
      </c>
      <c r="H154" s="20" t="s">
        <v>1512</v>
      </c>
      <c r="I154" s="20">
        <v>64276</v>
      </c>
      <c r="J154" s="20">
        <v>331</v>
      </c>
      <c r="K154" s="20" t="s">
        <v>20</v>
      </c>
      <c r="L154" s="20">
        <v>1</v>
      </c>
      <c r="M154" s="34">
        <v>28000</v>
      </c>
      <c r="N154" s="34">
        <f t="shared" si="9"/>
        <v>28000</v>
      </c>
      <c r="O154" s="33" t="s">
        <v>21</v>
      </c>
      <c r="P154" s="20">
        <f t="shared" si="11"/>
        <v>151</v>
      </c>
      <c r="Q154" s="20">
        <f t="shared" si="10"/>
        <v>31</v>
      </c>
    </row>
    <row r="155" spans="1:17" ht="15" customHeight="1" x14ac:dyDescent="0.2">
      <c r="A155" s="20" t="s">
        <v>18</v>
      </c>
      <c r="B155" s="63">
        <v>45986</v>
      </c>
      <c r="C155" s="20">
        <f t="shared" si="8"/>
        <v>754</v>
      </c>
      <c r="D155" s="20">
        <v>1</v>
      </c>
      <c r="G155" s="32" t="s">
        <v>115</v>
      </c>
      <c r="H155" s="20" t="s">
        <v>1513</v>
      </c>
      <c r="I155" s="20">
        <v>64276</v>
      </c>
      <c r="J155" s="20">
        <v>331</v>
      </c>
      <c r="K155" s="20" t="s">
        <v>20</v>
      </c>
      <c r="L155" s="20">
        <v>1</v>
      </c>
      <c r="M155" s="34">
        <v>69000</v>
      </c>
      <c r="N155" s="34">
        <f t="shared" si="9"/>
        <v>69000</v>
      </c>
      <c r="O155" s="33" t="s">
        <v>21</v>
      </c>
      <c r="P155" s="20">
        <f t="shared" si="11"/>
        <v>152</v>
      </c>
      <c r="Q155" s="20">
        <f t="shared" si="10"/>
        <v>31</v>
      </c>
    </row>
    <row r="156" spans="1:17" ht="15" customHeight="1" x14ac:dyDescent="0.2">
      <c r="A156" s="20" t="s">
        <v>18</v>
      </c>
      <c r="B156" s="63">
        <v>45986</v>
      </c>
      <c r="C156" s="20">
        <f t="shared" si="8"/>
        <v>755</v>
      </c>
      <c r="D156" s="20">
        <v>1</v>
      </c>
      <c r="G156" s="32" t="s">
        <v>115</v>
      </c>
      <c r="H156" s="20" t="s">
        <v>1514</v>
      </c>
      <c r="I156" s="20">
        <v>64276</v>
      </c>
      <c r="J156" s="20">
        <v>331</v>
      </c>
      <c r="K156" s="20" t="s">
        <v>20</v>
      </c>
      <c r="L156" s="20">
        <v>1</v>
      </c>
      <c r="M156" s="34">
        <v>79000</v>
      </c>
      <c r="N156" s="34">
        <f t="shared" si="9"/>
        <v>79000</v>
      </c>
      <c r="O156" s="33" t="s">
        <v>21</v>
      </c>
      <c r="P156" s="20">
        <f t="shared" si="11"/>
        <v>153</v>
      </c>
      <c r="Q156" s="20">
        <f t="shared" si="10"/>
        <v>31</v>
      </c>
    </row>
    <row r="157" spans="1:17" ht="15" customHeight="1" x14ac:dyDescent="0.2">
      <c r="A157" s="20" t="s">
        <v>18</v>
      </c>
      <c r="B157" s="63">
        <v>45987</v>
      </c>
      <c r="C157" s="20">
        <f t="shared" si="8"/>
        <v>756</v>
      </c>
      <c r="D157" s="20">
        <v>1</v>
      </c>
      <c r="G157" s="32" t="s">
        <v>115</v>
      </c>
      <c r="H157" s="20" t="s">
        <v>1515</v>
      </c>
      <c r="I157" s="20">
        <v>64276</v>
      </c>
      <c r="J157" s="20">
        <v>331</v>
      </c>
      <c r="K157" s="20" t="s">
        <v>20</v>
      </c>
      <c r="L157" s="20">
        <v>1</v>
      </c>
      <c r="M157" s="34">
        <v>65000</v>
      </c>
      <c r="N157" s="34">
        <f t="shared" si="9"/>
        <v>65000</v>
      </c>
      <c r="O157" s="33" t="s">
        <v>21</v>
      </c>
      <c r="P157" s="20">
        <f t="shared" si="11"/>
        <v>154</v>
      </c>
      <c r="Q157" s="20">
        <f t="shared" si="10"/>
        <v>32</v>
      </c>
    </row>
    <row r="158" spans="1:17" ht="15" customHeight="1" x14ac:dyDescent="0.2">
      <c r="A158" s="20" t="s">
        <v>18</v>
      </c>
      <c r="B158" s="63">
        <v>45987</v>
      </c>
      <c r="C158" s="20">
        <f t="shared" si="8"/>
        <v>757</v>
      </c>
      <c r="D158" s="20">
        <v>1</v>
      </c>
      <c r="G158" s="32" t="s">
        <v>115</v>
      </c>
      <c r="H158" s="20" t="s">
        <v>1516</v>
      </c>
      <c r="I158" s="20">
        <v>64276</v>
      </c>
      <c r="J158" s="20">
        <v>331</v>
      </c>
      <c r="K158" s="20" t="s">
        <v>20</v>
      </c>
      <c r="L158" s="20">
        <v>1</v>
      </c>
      <c r="M158" s="34">
        <v>70000</v>
      </c>
      <c r="N158" s="34">
        <f t="shared" si="9"/>
        <v>70000</v>
      </c>
      <c r="O158" s="33" t="s">
        <v>21</v>
      </c>
      <c r="P158" s="20">
        <f t="shared" si="11"/>
        <v>155</v>
      </c>
      <c r="Q158" s="20">
        <f t="shared" si="10"/>
        <v>32</v>
      </c>
    </row>
    <row r="159" spans="1:17" ht="15" customHeight="1" x14ac:dyDescent="0.2">
      <c r="A159" s="20" t="s">
        <v>18</v>
      </c>
      <c r="B159" s="63">
        <v>45987</v>
      </c>
      <c r="C159" s="20">
        <f t="shared" si="8"/>
        <v>758</v>
      </c>
      <c r="D159" s="20">
        <v>1</v>
      </c>
      <c r="G159" s="32" t="s">
        <v>115</v>
      </c>
      <c r="H159" s="20" t="s">
        <v>1517</v>
      </c>
      <c r="I159" s="20">
        <v>64276</v>
      </c>
      <c r="J159" s="20">
        <v>331</v>
      </c>
      <c r="K159" s="20" t="s">
        <v>20</v>
      </c>
      <c r="L159" s="20">
        <v>1</v>
      </c>
      <c r="M159" s="34">
        <v>28000</v>
      </c>
      <c r="N159" s="34">
        <f t="shared" si="9"/>
        <v>28000</v>
      </c>
      <c r="O159" s="33" t="s">
        <v>21</v>
      </c>
      <c r="P159" s="20">
        <f t="shared" si="11"/>
        <v>156</v>
      </c>
      <c r="Q159" s="20">
        <f t="shared" si="10"/>
        <v>32</v>
      </c>
    </row>
    <row r="160" spans="1:17" ht="15" customHeight="1" x14ac:dyDescent="0.2">
      <c r="A160" s="20" t="s">
        <v>18</v>
      </c>
      <c r="B160" s="63">
        <v>45987</v>
      </c>
      <c r="C160" s="20">
        <f t="shared" si="8"/>
        <v>759</v>
      </c>
      <c r="D160" s="20">
        <v>1</v>
      </c>
      <c r="G160" s="32" t="s">
        <v>115</v>
      </c>
      <c r="H160" s="20" t="s">
        <v>1518</v>
      </c>
      <c r="I160" s="20">
        <v>64276</v>
      </c>
      <c r="J160" s="20">
        <v>331</v>
      </c>
      <c r="K160" s="20" t="s">
        <v>20</v>
      </c>
      <c r="L160" s="20">
        <v>1</v>
      </c>
      <c r="M160" s="34">
        <v>77000</v>
      </c>
      <c r="N160" s="34">
        <f t="shared" si="9"/>
        <v>77000</v>
      </c>
      <c r="O160" s="33" t="s">
        <v>21</v>
      </c>
      <c r="P160" s="20">
        <f t="shared" si="11"/>
        <v>157</v>
      </c>
      <c r="Q160" s="20">
        <f t="shared" si="10"/>
        <v>32</v>
      </c>
    </row>
    <row r="161" spans="1:17" ht="15" customHeight="1" x14ac:dyDescent="0.2">
      <c r="A161" s="20" t="s">
        <v>18</v>
      </c>
      <c r="B161" s="63">
        <v>45987</v>
      </c>
      <c r="C161" s="20">
        <f t="shared" si="8"/>
        <v>760</v>
      </c>
      <c r="D161" s="20">
        <v>1</v>
      </c>
      <c r="G161" s="32" t="s">
        <v>115</v>
      </c>
      <c r="H161" s="20" t="s">
        <v>1519</v>
      </c>
      <c r="I161" s="20">
        <v>64276</v>
      </c>
      <c r="J161" s="20">
        <v>331</v>
      </c>
      <c r="K161" s="20" t="s">
        <v>20</v>
      </c>
      <c r="L161" s="20">
        <v>1</v>
      </c>
      <c r="M161" s="34">
        <v>39000</v>
      </c>
      <c r="N161" s="34">
        <f t="shared" si="9"/>
        <v>39000</v>
      </c>
      <c r="O161" s="33" t="s">
        <v>21</v>
      </c>
      <c r="P161" s="20">
        <f t="shared" si="11"/>
        <v>158</v>
      </c>
      <c r="Q161" s="20">
        <f t="shared" si="10"/>
        <v>32</v>
      </c>
    </row>
    <row r="162" spans="1:17" ht="15" customHeight="1" x14ac:dyDescent="0.2">
      <c r="A162" s="20" t="s">
        <v>18</v>
      </c>
      <c r="B162" s="63">
        <v>45988</v>
      </c>
      <c r="C162" s="20">
        <f t="shared" si="8"/>
        <v>761</v>
      </c>
      <c r="D162" s="20">
        <v>1</v>
      </c>
      <c r="G162" s="32" t="s">
        <v>115</v>
      </c>
      <c r="H162" s="20" t="s">
        <v>1520</v>
      </c>
      <c r="I162" s="20">
        <v>64276</v>
      </c>
      <c r="J162" s="20">
        <v>331</v>
      </c>
      <c r="K162" s="20" t="s">
        <v>20</v>
      </c>
      <c r="L162" s="20">
        <v>1</v>
      </c>
      <c r="M162" s="34">
        <v>25000</v>
      </c>
      <c r="N162" s="34">
        <f t="shared" si="9"/>
        <v>25000</v>
      </c>
      <c r="O162" s="33" t="s">
        <v>21</v>
      </c>
      <c r="P162" s="20">
        <f t="shared" si="11"/>
        <v>159</v>
      </c>
      <c r="Q162" s="20">
        <f t="shared" si="10"/>
        <v>32</v>
      </c>
    </row>
    <row r="163" spans="1:17" ht="15" customHeight="1" x14ac:dyDescent="0.2">
      <c r="A163" s="20" t="s">
        <v>18</v>
      </c>
      <c r="B163" s="63">
        <v>45988</v>
      </c>
      <c r="C163" s="20">
        <f t="shared" si="8"/>
        <v>762</v>
      </c>
      <c r="D163" s="20">
        <v>1</v>
      </c>
      <c r="G163" s="32" t="s">
        <v>115</v>
      </c>
      <c r="H163" s="20" t="s">
        <v>1521</v>
      </c>
      <c r="I163" s="20">
        <v>64276</v>
      </c>
      <c r="J163" s="20">
        <v>331</v>
      </c>
      <c r="K163" s="20" t="s">
        <v>20</v>
      </c>
      <c r="L163" s="20">
        <v>1</v>
      </c>
      <c r="M163" s="34">
        <v>61000</v>
      </c>
      <c r="N163" s="34">
        <f t="shared" si="9"/>
        <v>61000</v>
      </c>
      <c r="O163" s="33" t="s">
        <v>21</v>
      </c>
      <c r="P163" s="20">
        <f t="shared" si="11"/>
        <v>160</v>
      </c>
      <c r="Q163" s="20">
        <f t="shared" si="10"/>
        <v>32</v>
      </c>
    </row>
    <row r="164" spans="1:17" ht="15" customHeight="1" x14ac:dyDescent="0.2">
      <c r="A164" s="20" t="s">
        <v>18</v>
      </c>
      <c r="B164" s="63">
        <v>45988</v>
      </c>
      <c r="C164" s="20">
        <f t="shared" si="8"/>
        <v>763</v>
      </c>
      <c r="D164" s="20">
        <v>1</v>
      </c>
      <c r="G164" s="32" t="s">
        <v>115</v>
      </c>
      <c r="H164" s="20" t="s">
        <v>1522</v>
      </c>
      <c r="I164" s="20">
        <v>64276</v>
      </c>
      <c r="J164" s="20">
        <v>331</v>
      </c>
      <c r="K164" s="20" t="s">
        <v>20</v>
      </c>
      <c r="L164" s="20">
        <v>1</v>
      </c>
      <c r="M164" s="34">
        <v>68000</v>
      </c>
      <c r="N164" s="34">
        <f t="shared" si="9"/>
        <v>68000</v>
      </c>
      <c r="O164" s="33" t="s">
        <v>21</v>
      </c>
      <c r="P164" s="20">
        <f t="shared" si="11"/>
        <v>161</v>
      </c>
      <c r="Q164" s="20">
        <f t="shared" si="10"/>
        <v>32</v>
      </c>
    </row>
    <row r="165" spans="1:17" ht="15" customHeight="1" x14ac:dyDescent="0.2">
      <c r="A165" s="20" t="s">
        <v>18</v>
      </c>
      <c r="B165" s="63">
        <v>45988</v>
      </c>
      <c r="C165" s="20">
        <f t="shared" si="8"/>
        <v>764</v>
      </c>
      <c r="D165" s="20">
        <v>1</v>
      </c>
      <c r="G165" s="32" t="s">
        <v>115</v>
      </c>
      <c r="H165" s="20" t="s">
        <v>1523</v>
      </c>
      <c r="I165" s="20">
        <v>64276</v>
      </c>
      <c r="J165" s="20">
        <v>331</v>
      </c>
      <c r="K165" s="20" t="s">
        <v>20</v>
      </c>
      <c r="L165" s="20">
        <v>1</v>
      </c>
      <c r="M165" s="34">
        <v>49000</v>
      </c>
      <c r="N165" s="34">
        <f t="shared" si="9"/>
        <v>49000</v>
      </c>
      <c r="O165" s="33" t="s">
        <v>21</v>
      </c>
      <c r="P165" s="20">
        <f t="shared" si="11"/>
        <v>162</v>
      </c>
      <c r="Q165" s="20">
        <f t="shared" si="10"/>
        <v>32</v>
      </c>
    </row>
    <row r="166" spans="1:17" ht="15" customHeight="1" x14ac:dyDescent="0.2">
      <c r="A166" s="20" t="s">
        <v>18</v>
      </c>
      <c r="B166" s="63">
        <v>45988</v>
      </c>
      <c r="C166" s="20">
        <f t="shared" si="8"/>
        <v>765</v>
      </c>
      <c r="D166" s="20">
        <v>1</v>
      </c>
      <c r="G166" s="32" t="s">
        <v>124</v>
      </c>
      <c r="H166" s="20" t="s">
        <v>1524</v>
      </c>
      <c r="I166" s="20">
        <v>64277</v>
      </c>
      <c r="J166" s="20">
        <v>331</v>
      </c>
      <c r="K166" s="20" t="s">
        <v>20</v>
      </c>
      <c r="L166" s="20">
        <v>1</v>
      </c>
      <c r="M166" s="34">
        <v>1943760</v>
      </c>
      <c r="N166" s="34">
        <f t="shared" si="9"/>
        <v>1943760</v>
      </c>
      <c r="O166" s="33" t="s">
        <v>21</v>
      </c>
      <c r="P166" s="20">
        <f t="shared" si="11"/>
        <v>163</v>
      </c>
      <c r="Q166" s="20">
        <f t="shared" si="10"/>
        <v>41</v>
      </c>
    </row>
    <row r="167" spans="1:17" ht="15" customHeight="1" x14ac:dyDescent="0.2">
      <c r="A167" s="20" t="s">
        <v>18</v>
      </c>
      <c r="B167" s="63">
        <v>45989</v>
      </c>
      <c r="C167" s="20">
        <f t="shared" si="8"/>
        <v>766</v>
      </c>
      <c r="D167" s="20">
        <v>1</v>
      </c>
      <c r="G167" s="32" t="s">
        <v>1358</v>
      </c>
      <c r="H167" s="20" t="s">
        <v>1525</v>
      </c>
      <c r="I167" s="20">
        <v>64276</v>
      </c>
      <c r="J167" s="20">
        <v>331</v>
      </c>
      <c r="K167" s="20" t="s">
        <v>20</v>
      </c>
      <c r="L167" s="20">
        <v>1</v>
      </c>
      <c r="M167" s="34">
        <v>1755180</v>
      </c>
      <c r="N167" s="34">
        <f t="shared" si="9"/>
        <v>1755180</v>
      </c>
      <c r="O167" s="33" t="s">
        <v>21</v>
      </c>
      <c r="P167" s="20">
        <f t="shared" si="11"/>
        <v>164</v>
      </c>
      <c r="Q167" s="20">
        <f t="shared" si="10"/>
        <v>38</v>
      </c>
    </row>
    <row r="168" spans="1:17" ht="15" customHeight="1" x14ac:dyDescent="0.2">
      <c r="A168" s="20" t="s">
        <v>18</v>
      </c>
      <c r="B168" s="63">
        <v>45989</v>
      </c>
      <c r="C168" s="20">
        <f t="shared" si="8"/>
        <v>767</v>
      </c>
      <c r="D168" s="20">
        <v>1</v>
      </c>
      <c r="G168" s="32" t="s">
        <v>115</v>
      </c>
      <c r="H168" s="20" t="s">
        <v>1526</v>
      </c>
      <c r="I168" s="20">
        <v>64276</v>
      </c>
      <c r="J168" s="20">
        <v>331</v>
      </c>
      <c r="K168" s="20" t="s">
        <v>20</v>
      </c>
      <c r="L168" s="20">
        <v>1</v>
      </c>
      <c r="M168" s="34">
        <v>52000</v>
      </c>
      <c r="N168" s="34">
        <f t="shared" si="9"/>
        <v>52000</v>
      </c>
      <c r="O168" s="33" t="s">
        <v>21</v>
      </c>
      <c r="P168" s="20">
        <f t="shared" si="11"/>
        <v>165</v>
      </c>
      <c r="Q168" s="20">
        <f t="shared" si="10"/>
        <v>32</v>
      </c>
    </row>
    <row r="169" spans="1:17" ht="15" customHeight="1" x14ac:dyDescent="0.2">
      <c r="A169" s="20" t="s">
        <v>18</v>
      </c>
      <c r="B169" s="63">
        <v>45989</v>
      </c>
      <c r="C169" s="20">
        <f t="shared" si="8"/>
        <v>768</v>
      </c>
      <c r="D169" s="20">
        <v>1</v>
      </c>
      <c r="G169" s="32" t="s">
        <v>115</v>
      </c>
      <c r="H169" s="20" t="s">
        <v>1527</v>
      </c>
      <c r="I169" s="20">
        <v>64276</v>
      </c>
      <c r="J169" s="20">
        <v>331</v>
      </c>
      <c r="K169" s="20" t="s">
        <v>20</v>
      </c>
      <c r="L169" s="20">
        <v>1</v>
      </c>
      <c r="M169" s="34">
        <v>40000</v>
      </c>
      <c r="N169" s="34">
        <f t="shared" si="9"/>
        <v>40000</v>
      </c>
      <c r="O169" s="33" t="s">
        <v>21</v>
      </c>
      <c r="P169" s="20">
        <f t="shared" si="11"/>
        <v>166</v>
      </c>
      <c r="Q169" s="20">
        <f t="shared" si="10"/>
        <v>32</v>
      </c>
    </row>
    <row r="170" spans="1:17" ht="15" customHeight="1" x14ac:dyDescent="0.2">
      <c r="A170" s="20" t="s">
        <v>18</v>
      </c>
      <c r="B170" s="63">
        <v>45989</v>
      </c>
      <c r="C170" s="20">
        <f t="shared" si="8"/>
        <v>769</v>
      </c>
      <c r="D170" s="20">
        <v>1</v>
      </c>
      <c r="G170" s="32" t="s">
        <v>115</v>
      </c>
      <c r="H170" s="20" t="s">
        <v>1528</v>
      </c>
      <c r="I170" s="20">
        <v>64276</v>
      </c>
      <c r="J170" s="20">
        <v>331</v>
      </c>
      <c r="K170" s="20" t="s">
        <v>20</v>
      </c>
      <c r="L170" s="20">
        <v>1</v>
      </c>
      <c r="M170" s="34">
        <v>35000</v>
      </c>
      <c r="N170" s="34">
        <f t="shared" si="9"/>
        <v>35000</v>
      </c>
      <c r="O170" s="33" t="s">
        <v>21</v>
      </c>
      <c r="P170" s="20">
        <f t="shared" si="11"/>
        <v>167</v>
      </c>
      <c r="Q170" s="20">
        <f t="shared" si="10"/>
        <v>32</v>
      </c>
    </row>
    <row r="171" spans="1:17" ht="15" customHeight="1" x14ac:dyDescent="0.2">
      <c r="A171" s="20" t="s">
        <v>18</v>
      </c>
      <c r="B171" s="63">
        <v>45989</v>
      </c>
      <c r="C171" s="20">
        <f t="shared" si="8"/>
        <v>770</v>
      </c>
      <c r="D171" s="20">
        <v>1</v>
      </c>
      <c r="G171" s="32" t="s">
        <v>115</v>
      </c>
      <c r="H171" s="20" t="s">
        <v>1529</v>
      </c>
      <c r="I171" s="20">
        <v>64276</v>
      </c>
      <c r="J171" s="20">
        <v>331</v>
      </c>
      <c r="K171" s="20" t="s">
        <v>20</v>
      </c>
      <c r="L171" s="20">
        <v>1</v>
      </c>
      <c r="M171" s="34">
        <v>32000</v>
      </c>
      <c r="N171" s="34">
        <f t="shared" si="9"/>
        <v>32000</v>
      </c>
      <c r="O171" s="33" t="s">
        <v>21</v>
      </c>
      <c r="P171" s="20">
        <f t="shared" si="11"/>
        <v>168</v>
      </c>
      <c r="Q171" s="20">
        <f t="shared" si="10"/>
        <v>32</v>
      </c>
    </row>
    <row r="172" spans="1:17" ht="15" customHeight="1" x14ac:dyDescent="0.2">
      <c r="A172" s="20" t="s">
        <v>18</v>
      </c>
      <c r="B172" s="63">
        <v>45989</v>
      </c>
      <c r="C172" s="20">
        <f t="shared" si="8"/>
        <v>771</v>
      </c>
      <c r="D172" s="20">
        <v>1</v>
      </c>
      <c r="G172" s="32" t="s">
        <v>115</v>
      </c>
      <c r="H172" s="20" t="s">
        <v>1530</v>
      </c>
      <c r="I172" s="20">
        <v>64276</v>
      </c>
      <c r="J172" s="20">
        <v>331</v>
      </c>
      <c r="K172" s="20" t="s">
        <v>20</v>
      </c>
      <c r="L172" s="20">
        <v>1</v>
      </c>
      <c r="M172" s="34">
        <v>13000</v>
      </c>
      <c r="N172" s="34">
        <f t="shared" si="9"/>
        <v>13000</v>
      </c>
      <c r="O172" s="33" t="s">
        <v>21</v>
      </c>
      <c r="P172" s="20">
        <f t="shared" si="11"/>
        <v>169</v>
      </c>
      <c r="Q172" s="20">
        <f t="shared" si="10"/>
        <v>32</v>
      </c>
    </row>
    <row r="173" spans="1:17" ht="15" customHeight="1" x14ac:dyDescent="0.2">
      <c r="A173" s="20" t="s">
        <v>18</v>
      </c>
      <c r="B173" s="63">
        <v>45989</v>
      </c>
      <c r="C173" s="20">
        <f t="shared" si="8"/>
        <v>772</v>
      </c>
      <c r="D173" s="20">
        <v>1</v>
      </c>
      <c r="G173" s="32" t="s">
        <v>115</v>
      </c>
      <c r="H173" s="20" t="s">
        <v>1531</v>
      </c>
      <c r="I173" s="20">
        <v>64276</v>
      </c>
      <c r="J173" s="20">
        <v>331</v>
      </c>
      <c r="K173" s="20" t="s">
        <v>20</v>
      </c>
      <c r="L173" s="20">
        <v>1</v>
      </c>
      <c r="M173" s="34">
        <v>60000</v>
      </c>
      <c r="N173" s="34">
        <f t="shared" si="9"/>
        <v>60000</v>
      </c>
      <c r="O173" s="33" t="s">
        <v>21</v>
      </c>
      <c r="P173" s="20">
        <f t="shared" si="11"/>
        <v>170</v>
      </c>
      <c r="Q173" s="20">
        <f t="shared" si="10"/>
        <v>32</v>
      </c>
    </row>
    <row r="174" spans="1:17" ht="15" customHeight="1" x14ac:dyDescent="0.2">
      <c r="A174" s="20" t="s">
        <v>18</v>
      </c>
      <c r="B174" s="63">
        <v>45989</v>
      </c>
      <c r="C174" s="20">
        <f t="shared" si="8"/>
        <v>773</v>
      </c>
      <c r="D174" s="20">
        <v>1</v>
      </c>
      <c r="G174" s="32" t="s">
        <v>121</v>
      </c>
      <c r="H174" s="20" t="s">
        <v>1532</v>
      </c>
      <c r="I174" s="20">
        <v>64277</v>
      </c>
      <c r="J174" s="20">
        <v>331</v>
      </c>
      <c r="K174" s="20" t="s">
        <v>20</v>
      </c>
      <c r="L174" s="20">
        <v>1</v>
      </c>
      <c r="M174" s="34">
        <v>1121040</v>
      </c>
      <c r="N174" s="34">
        <f t="shared" si="9"/>
        <v>1121040</v>
      </c>
      <c r="O174" s="33" t="s">
        <v>21</v>
      </c>
      <c r="P174" s="20">
        <f t="shared" si="11"/>
        <v>171</v>
      </c>
      <c r="Q174" s="20">
        <f t="shared" si="10"/>
        <v>42</v>
      </c>
    </row>
    <row r="175" spans="1:17" ht="15" customHeight="1" x14ac:dyDescent="0.2">
      <c r="A175" s="20" t="s">
        <v>18</v>
      </c>
      <c r="B175" s="63">
        <v>45989</v>
      </c>
      <c r="C175" s="20">
        <f t="shared" si="8"/>
        <v>774</v>
      </c>
      <c r="D175" s="20">
        <v>1</v>
      </c>
      <c r="G175" s="32" t="s">
        <v>1031</v>
      </c>
      <c r="H175" s="20" t="s">
        <v>1533</v>
      </c>
      <c r="I175" s="20">
        <v>64277</v>
      </c>
      <c r="J175" s="20">
        <v>331</v>
      </c>
      <c r="K175" s="20" t="s">
        <v>20</v>
      </c>
      <c r="L175" s="20">
        <v>1</v>
      </c>
      <c r="M175" s="34">
        <v>178200</v>
      </c>
      <c r="N175" s="34">
        <f t="shared" si="9"/>
        <v>178200</v>
      </c>
      <c r="O175" s="33" t="s">
        <v>21</v>
      </c>
      <c r="P175" s="20">
        <f t="shared" si="11"/>
        <v>172</v>
      </c>
      <c r="Q175" s="20">
        <f t="shared" si="10"/>
        <v>42</v>
      </c>
    </row>
    <row r="176" spans="1:17" ht="15" customHeight="1" x14ac:dyDescent="0.2">
      <c r="A176" s="20" t="s">
        <v>18</v>
      </c>
      <c r="B176" s="63">
        <v>45990</v>
      </c>
      <c r="C176" s="20">
        <f t="shared" si="8"/>
        <v>775</v>
      </c>
      <c r="D176" s="20">
        <v>1</v>
      </c>
      <c r="G176" s="32" t="s">
        <v>37</v>
      </c>
      <c r="H176" s="37" t="s">
        <v>1326</v>
      </c>
      <c r="I176" s="20">
        <v>64277</v>
      </c>
      <c r="J176" s="20">
        <v>331</v>
      </c>
      <c r="K176" s="20" t="s">
        <v>20</v>
      </c>
      <c r="L176" s="20">
        <v>1</v>
      </c>
      <c r="M176" s="34">
        <v>3240000</v>
      </c>
      <c r="N176" s="34">
        <f t="shared" si="9"/>
        <v>3240000</v>
      </c>
      <c r="O176" s="33" t="s">
        <v>21</v>
      </c>
      <c r="P176" s="20">
        <f t="shared" si="11"/>
        <v>173</v>
      </c>
      <c r="Q176" s="20">
        <f t="shared" si="10"/>
        <v>42</v>
      </c>
    </row>
    <row r="177" spans="1:17" ht="15" customHeight="1" x14ac:dyDescent="0.2">
      <c r="A177" s="20" t="s">
        <v>18</v>
      </c>
      <c r="B177" s="63">
        <v>45990</v>
      </c>
      <c r="C177" s="20">
        <f t="shared" si="8"/>
        <v>776</v>
      </c>
      <c r="D177" s="20">
        <v>1</v>
      </c>
      <c r="G177" s="32" t="s">
        <v>115</v>
      </c>
      <c r="H177" s="20" t="s">
        <v>1534</v>
      </c>
      <c r="I177" s="20">
        <v>64276</v>
      </c>
      <c r="J177" s="20">
        <v>331</v>
      </c>
      <c r="K177" s="20" t="s">
        <v>20</v>
      </c>
      <c r="L177" s="20">
        <v>1</v>
      </c>
      <c r="M177" s="34">
        <v>32000</v>
      </c>
      <c r="N177" s="34">
        <f t="shared" si="9"/>
        <v>32000</v>
      </c>
      <c r="O177" s="33" t="s">
        <v>21</v>
      </c>
      <c r="P177" s="20">
        <f t="shared" si="11"/>
        <v>174</v>
      </c>
      <c r="Q177" s="20">
        <f t="shared" si="10"/>
        <v>32</v>
      </c>
    </row>
    <row r="178" spans="1:17" ht="15" customHeight="1" x14ac:dyDescent="0.2">
      <c r="A178" s="20" t="s">
        <v>18</v>
      </c>
      <c r="B178" s="63">
        <v>45990</v>
      </c>
      <c r="C178" s="20">
        <f t="shared" si="8"/>
        <v>777</v>
      </c>
      <c r="D178" s="20">
        <v>1</v>
      </c>
      <c r="G178" s="32" t="s">
        <v>115</v>
      </c>
      <c r="H178" s="20" t="s">
        <v>1535</v>
      </c>
      <c r="I178" s="20">
        <v>64276</v>
      </c>
      <c r="J178" s="20">
        <v>331</v>
      </c>
      <c r="K178" s="20" t="s">
        <v>20</v>
      </c>
      <c r="L178" s="20">
        <v>1</v>
      </c>
      <c r="M178" s="34">
        <v>30000</v>
      </c>
      <c r="N178" s="34">
        <f t="shared" si="9"/>
        <v>30000</v>
      </c>
      <c r="O178" s="33" t="s">
        <v>21</v>
      </c>
      <c r="P178" s="20">
        <f t="shared" si="11"/>
        <v>175</v>
      </c>
      <c r="Q178" s="20">
        <f t="shared" si="10"/>
        <v>32</v>
      </c>
    </row>
    <row r="179" spans="1:17" ht="15" customHeight="1" x14ac:dyDescent="0.2">
      <c r="A179" s="20" t="s">
        <v>18</v>
      </c>
      <c r="B179" s="63">
        <v>45991</v>
      </c>
      <c r="C179" s="20">
        <f t="shared" si="8"/>
        <v>778</v>
      </c>
      <c r="D179" s="20">
        <v>1</v>
      </c>
      <c r="G179" s="32" t="s">
        <v>37</v>
      </c>
      <c r="H179" s="37" t="s">
        <v>1327</v>
      </c>
      <c r="I179" s="20">
        <v>64277</v>
      </c>
      <c r="J179" s="20">
        <v>331</v>
      </c>
      <c r="K179" s="20" t="s">
        <v>20</v>
      </c>
      <c r="L179" s="20">
        <v>1</v>
      </c>
      <c r="M179" s="34">
        <v>3240000</v>
      </c>
      <c r="N179" s="34">
        <f t="shared" si="9"/>
        <v>3240000</v>
      </c>
      <c r="O179" s="33" t="s">
        <v>21</v>
      </c>
      <c r="P179" s="20">
        <f t="shared" si="11"/>
        <v>176</v>
      </c>
      <c r="Q179" s="20">
        <f t="shared" si="10"/>
        <v>42</v>
      </c>
    </row>
    <row r="180" spans="1:17" ht="15" customHeight="1" x14ac:dyDescent="0.2">
      <c r="A180" s="20" t="s">
        <v>18</v>
      </c>
      <c r="B180" s="63">
        <v>45991</v>
      </c>
      <c r="C180" s="20">
        <f t="shared" si="8"/>
        <v>779</v>
      </c>
      <c r="D180" s="20">
        <v>1</v>
      </c>
      <c r="G180" s="32" t="s">
        <v>115</v>
      </c>
      <c r="H180" s="20" t="s">
        <v>1536</v>
      </c>
      <c r="I180" s="20">
        <v>64276</v>
      </c>
      <c r="J180" s="20">
        <v>331</v>
      </c>
      <c r="K180" s="20" t="s">
        <v>20</v>
      </c>
      <c r="L180" s="20">
        <v>1</v>
      </c>
      <c r="M180" s="34">
        <v>104000</v>
      </c>
      <c r="N180" s="34">
        <f t="shared" si="9"/>
        <v>104000</v>
      </c>
      <c r="O180" s="33" t="s">
        <v>21</v>
      </c>
      <c r="P180" s="20">
        <f t="shared" si="11"/>
        <v>177</v>
      </c>
      <c r="Q180" s="20">
        <f t="shared" si="10"/>
        <v>32</v>
      </c>
    </row>
    <row r="181" spans="1:17" ht="15" customHeight="1" x14ac:dyDescent="0.2">
      <c r="A181" s="20" t="s">
        <v>18</v>
      </c>
      <c r="B181" s="63">
        <v>45991</v>
      </c>
      <c r="C181" s="20">
        <f t="shared" si="8"/>
        <v>780</v>
      </c>
      <c r="D181" s="20">
        <v>1</v>
      </c>
      <c r="G181" s="32" t="s">
        <v>115</v>
      </c>
      <c r="H181" s="20" t="s">
        <v>1537</v>
      </c>
      <c r="I181" s="20">
        <v>64276</v>
      </c>
      <c r="J181" s="20">
        <v>331</v>
      </c>
      <c r="K181" s="20" t="s">
        <v>20</v>
      </c>
      <c r="L181" s="20">
        <v>1</v>
      </c>
      <c r="M181" s="34">
        <v>58000</v>
      </c>
      <c r="N181" s="34">
        <f t="shared" si="9"/>
        <v>58000</v>
      </c>
      <c r="O181" s="33" t="s">
        <v>21</v>
      </c>
      <c r="P181" s="20">
        <f t="shared" si="11"/>
        <v>178</v>
      </c>
      <c r="Q181" s="20">
        <f t="shared" si="10"/>
        <v>32</v>
      </c>
    </row>
    <row r="182" spans="1:17" ht="15" customHeight="1" x14ac:dyDescent="0.2">
      <c r="A182" s="20" t="s">
        <v>18</v>
      </c>
      <c r="B182" s="63">
        <v>45992</v>
      </c>
      <c r="C182" s="20">
        <f t="shared" si="8"/>
        <v>781</v>
      </c>
      <c r="D182" s="20">
        <v>1</v>
      </c>
      <c r="G182" s="32" t="s">
        <v>115</v>
      </c>
      <c r="H182" s="20" t="s">
        <v>1538</v>
      </c>
      <c r="I182" s="20">
        <v>64276</v>
      </c>
      <c r="J182" s="20">
        <v>331</v>
      </c>
      <c r="K182" s="20" t="s">
        <v>20</v>
      </c>
      <c r="L182" s="20">
        <v>1</v>
      </c>
      <c r="M182" s="34">
        <v>104000</v>
      </c>
      <c r="N182" s="34">
        <f t="shared" si="9"/>
        <v>104000</v>
      </c>
      <c r="O182" s="33" t="s">
        <v>21</v>
      </c>
      <c r="P182" s="20">
        <f t="shared" si="11"/>
        <v>179</v>
      </c>
      <c r="Q182" s="20">
        <f t="shared" si="10"/>
        <v>32</v>
      </c>
    </row>
    <row r="183" spans="1:17" ht="15" customHeight="1" x14ac:dyDescent="0.2">
      <c r="A183" s="20" t="s">
        <v>18</v>
      </c>
      <c r="B183" s="63">
        <v>45995</v>
      </c>
      <c r="C183" s="20">
        <f t="shared" si="8"/>
        <v>782</v>
      </c>
      <c r="D183" s="20">
        <v>1</v>
      </c>
      <c r="G183" s="32" t="s">
        <v>115</v>
      </c>
      <c r="H183" s="20" t="s">
        <v>1539</v>
      </c>
      <c r="I183" s="20">
        <v>64276</v>
      </c>
      <c r="J183" s="20">
        <v>331</v>
      </c>
      <c r="K183" s="20" t="s">
        <v>20</v>
      </c>
      <c r="L183" s="20">
        <v>1</v>
      </c>
      <c r="M183" s="34">
        <v>136000</v>
      </c>
      <c r="N183" s="34">
        <f t="shared" si="9"/>
        <v>136000</v>
      </c>
      <c r="O183" s="33" t="s">
        <v>21</v>
      </c>
      <c r="P183" s="20">
        <f t="shared" si="11"/>
        <v>180</v>
      </c>
      <c r="Q183" s="20">
        <f t="shared" si="10"/>
        <v>32</v>
      </c>
    </row>
    <row r="184" spans="1:17" ht="15" customHeight="1" x14ac:dyDescent="0.2">
      <c r="A184" s="20" t="s">
        <v>18</v>
      </c>
      <c r="B184" s="63">
        <v>45995</v>
      </c>
      <c r="C184" s="20">
        <f t="shared" si="8"/>
        <v>783</v>
      </c>
      <c r="D184" s="20">
        <v>1</v>
      </c>
      <c r="G184" s="32" t="s">
        <v>115</v>
      </c>
      <c r="H184" s="20" t="s">
        <v>1540</v>
      </c>
      <c r="I184" s="20">
        <v>64276</v>
      </c>
      <c r="J184" s="20">
        <v>331</v>
      </c>
      <c r="K184" s="20" t="s">
        <v>20</v>
      </c>
      <c r="L184" s="20">
        <v>1</v>
      </c>
      <c r="M184" s="34">
        <v>21000</v>
      </c>
      <c r="N184" s="34">
        <f t="shared" si="9"/>
        <v>21000</v>
      </c>
      <c r="O184" s="33" t="s">
        <v>21</v>
      </c>
      <c r="P184" s="20">
        <f t="shared" si="11"/>
        <v>181</v>
      </c>
      <c r="Q184" s="20">
        <f t="shared" si="10"/>
        <v>32</v>
      </c>
    </row>
    <row r="185" spans="1:17" ht="15" customHeight="1" x14ac:dyDescent="0.2">
      <c r="A185" s="20" t="s">
        <v>18</v>
      </c>
      <c r="B185" s="63">
        <v>45995</v>
      </c>
      <c r="C185" s="20">
        <f t="shared" si="8"/>
        <v>784</v>
      </c>
      <c r="D185" s="20">
        <v>1</v>
      </c>
      <c r="G185" s="32" t="s">
        <v>115</v>
      </c>
      <c r="H185" s="20" t="s">
        <v>1541</v>
      </c>
      <c r="I185" s="20">
        <v>64276</v>
      </c>
      <c r="J185" s="20">
        <v>331</v>
      </c>
      <c r="K185" s="20" t="s">
        <v>20</v>
      </c>
      <c r="L185" s="20">
        <v>1</v>
      </c>
      <c r="M185" s="34">
        <v>31000</v>
      </c>
      <c r="N185" s="34">
        <f t="shared" si="9"/>
        <v>31000</v>
      </c>
      <c r="O185" s="33" t="s">
        <v>21</v>
      </c>
      <c r="P185" s="20">
        <f t="shared" si="11"/>
        <v>182</v>
      </c>
      <c r="Q185" s="20">
        <f t="shared" si="10"/>
        <v>32</v>
      </c>
    </row>
    <row r="186" spans="1:17" ht="15" customHeight="1" x14ac:dyDescent="0.2">
      <c r="A186" s="20" t="s">
        <v>18</v>
      </c>
      <c r="B186" s="63">
        <v>45995</v>
      </c>
      <c r="C186" s="20">
        <f t="shared" si="8"/>
        <v>785</v>
      </c>
      <c r="D186" s="20">
        <v>1</v>
      </c>
      <c r="G186" s="32" t="s">
        <v>115</v>
      </c>
      <c r="H186" s="20" t="s">
        <v>1542</v>
      </c>
      <c r="I186" s="20">
        <v>64276</v>
      </c>
      <c r="J186" s="20">
        <v>331</v>
      </c>
      <c r="K186" s="20" t="s">
        <v>20</v>
      </c>
      <c r="L186" s="20">
        <v>1</v>
      </c>
      <c r="M186" s="34">
        <v>52000</v>
      </c>
      <c r="N186" s="34">
        <f t="shared" si="9"/>
        <v>52000</v>
      </c>
      <c r="O186" s="33" t="s">
        <v>21</v>
      </c>
      <c r="P186" s="20">
        <f t="shared" si="11"/>
        <v>183</v>
      </c>
      <c r="Q186" s="20">
        <f t="shared" si="10"/>
        <v>32</v>
      </c>
    </row>
    <row r="187" spans="1:17" ht="15" customHeight="1" x14ac:dyDescent="0.2">
      <c r="A187" s="20" t="s">
        <v>18</v>
      </c>
      <c r="B187" s="63">
        <v>45995</v>
      </c>
      <c r="C187" s="20">
        <f t="shared" si="8"/>
        <v>786</v>
      </c>
      <c r="D187" s="20">
        <v>1</v>
      </c>
      <c r="G187" s="32" t="s">
        <v>115</v>
      </c>
      <c r="H187" s="20" t="s">
        <v>1543</v>
      </c>
      <c r="I187" s="20">
        <v>64276</v>
      </c>
      <c r="J187" s="20">
        <v>331</v>
      </c>
      <c r="K187" s="20" t="s">
        <v>20</v>
      </c>
      <c r="L187" s="20">
        <v>1</v>
      </c>
      <c r="M187" s="34">
        <v>59000</v>
      </c>
      <c r="N187" s="34">
        <f t="shared" si="9"/>
        <v>59000</v>
      </c>
      <c r="O187" s="33" t="s">
        <v>21</v>
      </c>
      <c r="P187" s="20">
        <f t="shared" si="11"/>
        <v>184</v>
      </c>
      <c r="Q187" s="20">
        <f t="shared" si="10"/>
        <v>32</v>
      </c>
    </row>
    <row r="188" spans="1:17" ht="15" customHeight="1" x14ac:dyDescent="0.2">
      <c r="A188" s="20" t="s">
        <v>18</v>
      </c>
      <c r="B188" s="63">
        <v>45996</v>
      </c>
      <c r="C188" s="20">
        <f t="shared" si="8"/>
        <v>787</v>
      </c>
      <c r="D188" s="20">
        <v>1</v>
      </c>
      <c r="G188" s="32" t="s">
        <v>115</v>
      </c>
      <c r="H188" s="20" t="s">
        <v>1544</v>
      </c>
      <c r="I188" s="20">
        <v>64276</v>
      </c>
      <c r="J188" s="20">
        <v>331</v>
      </c>
      <c r="K188" s="20" t="s">
        <v>20</v>
      </c>
      <c r="L188" s="20">
        <v>1</v>
      </c>
      <c r="M188" s="34">
        <v>21000</v>
      </c>
      <c r="N188" s="34">
        <f t="shared" si="9"/>
        <v>21000</v>
      </c>
      <c r="O188" s="33" t="s">
        <v>21</v>
      </c>
      <c r="P188" s="20">
        <f t="shared" si="11"/>
        <v>185</v>
      </c>
      <c r="Q188" s="20">
        <f t="shared" si="10"/>
        <v>32</v>
      </c>
    </row>
    <row r="189" spans="1:17" ht="15" customHeight="1" x14ac:dyDescent="0.2">
      <c r="A189" s="20" t="s">
        <v>18</v>
      </c>
      <c r="B189" s="63">
        <v>45996</v>
      </c>
      <c r="C189" s="20">
        <f t="shared" si="8"/>
        <v>788</v>
      </c>
      <c r="D189" s="20">
        <v>1</v>
      </c>
      <c r="G189" s="32" t="s">
        <v>115</v>
      </c>
      <c r="H189" s="20" t="s">
        <v>1545</v>
      </c>
      <c r="I189" s="20">
        <v>64276</v>
      </c>
      <c r="J189" s="20">
        <v>331</v>
      </c>
      <c r="K189" s="20" t="s">
        <v>20</v>
      </c>
      <c r="L189" s="20">
        <v>1</v>
      </c>
      <c r="M189" s="34">
        <v>13000</v>
      </c>
      <c r="N189" s="34">
        <f t="shared" si="9"/>
        <v>13000</v>
      </c>
      <c r="O189" s="33" t="s">
        <v>21</v>
      </c>
      <c r="P189" s="20">
        <f t="shared" si="11"/>
        <v>186</v>
      </c>
      <c r="Q189" s="20">
        <f t="shared" si="10"/>
        <v>32</v>
      </c>
    </row>
    <row r="190" spans="1:17" ht="15" customHeight="1" x14ac:dyDescent="0.2">
      <c r="A190" s="20" t="s">
        <v>18</v>
      </c>
      <c r="B190" s="63">
        <v>45996</v>
      </c>
      <c r="C190" s="20">
        <f t="shared" si="8"/>
        <v>789</v>
      </c>
      <c r="D190" s="20">
        <v>1</v>
      </c>
      <c r="G190" s="32" t="s">
        <v>115</v>
      </c>
      <c r="H190" s="20" t="s">
        <v>1546</v>
      </c>
      <c r="I190" s="20">
        <v>64276</v>
      </c>
      <c r="J190" s="20">
        <v>331</v>
      </c>
      <c r="K190" s="20" t="s">
        <v>20</v>
      </c>
      <c r="L190" s="20">
        <v>1</v>
      </c>
      <c r="M190" s="34">
        <v>36000</v>
      </c>
      <c r="N190" s="34">
        <f t="shared" si="9"/>
        <v>36000</v>
      </c>
      <c r="O190" s="33" t="s">
        <v>21</v>
      </c>
      <c r="P190" s="20">
        <f t="shared" si="11"/>
        <v>187</v>
      </c>
      <c r="Q190" s="20">
        <f t="shared" si="10"/>
        <v>32</v>
      </c>
    </row>
    <row r="191" spans="1:17" ht="15" customHeight="1" x14ac:dyDescent="0.2">
      <c r="A191" s="20" t="s">
        <v>18</v>
      </c>
      <c r="B191" s="63">
        <v>45996</v>
      </c>
      <c r="C191" s="20">
        <f t="shared" si="8"/>
        <v>790</v>
      </c>
      <c r="D191" s="20">
        <v>1</v>
      </c>
      <c r="G191" s="32" t="s">
        <v>115</v>
      </c>
      <c r="H191" s="20" t="s">
        <v>1547</v>
      </c>
      <c r="I191" s="20">
        <v>64276</v>
      </c>
      <c r="J191" s="20">
        <v>331</v>
      </c>
      <c r="K191" s="20" t="s">
        <v>20</v>
      </c>
      <c r="L191" s="20">
        <v>1</v>
      </c>
      <c r="M191" s="34">
        <v>65000</v>
      </c>
      <c r="N191" s="34">
        <f t="shared" si="9"/>
        <v>65000</v>
      </c>
      <c r="O191" s="33" t="s">
        <v>21</v>
      </c>
      <c r="P191" s="20">
        <f t="shared" si="11"/>
        <v>188</v>
      </c>
      <c r="Q191" s="20">
        <f t="shared" si="10"/>
        <v>32</v>
      </c>
    </row>
    <row r="192" spans="1:17" ht="15" customHeight="1" x14ac:dyDescent="0.2">
      <c r="A192" s="20" t="s">
        <v>18</v>
      </c>
      <c r="B192" s="63">
        <v>45997</v>
      </c>
      <c r="C192" s="20">
        <f t="shared" si="8"/>
        <v>791</v>
      </c>
      <c r="D192" s="20">
        <v>1</v>
      </c>
      <c r="G192" s="32" t="s">
        <v>115</v>
      </c>
      <c r="H192" s="20" t="s">
        <v>1548</v>
      </c>
      <c r="I192" s="20">
        <v>64276</v>
      </c>
      <c r="J192" s="20">
        <v>331</v>
      </c>
      <c r="K192" s="20" t="s">
        <v>20</v>
      </c>
      <c r="L192" s="20">
        <v>1</v>
      </c>
      <c r="M192" s="34">
        <v>121000</v>
      </c>
      <c r="N192" s="34">
        <f t="shared" si="9"/>
        <v>121000</v>
      </c>
      <c r="O192" s="33" t="s">
        <v>21</v>
      </c>
      <c r="P192" s="20">
        <f t="shared" si="11"/>
        <v>189</v>
      </c>
      <c r="Q192" s="20">
        <f t="shared" si="10"/>
        <v>32</v>
      </c>
    </row>
    <row r="193" spans="1:17" ht="15" customHeight="1" x14ac:dyDescent="0.2">
      <c r="A193" s="20" t="s">
        <v>18</v>
      </c>
      <c r="B193" s="63">
        <v>45997</v>
      </c>
      <c r="C193" s="20">
        <f t="shared" si="8"/>
        <v>792</v>
      </c>
      <c r="D193" s="20">
        <v>1</v>
      </c>
      <c r="G193" s="32" t="s">
        <v>115</v>
      </c>
      <c r="H193" s="20" t="s">
        <v>1549</v>
      </c>
      <c r="I193" s="20">
        <v>64276</v>
      </c>
      <c r="J193" s="20">
        <v>331</v>
      </c>
      <c r="K193" s="20" t="s">
        <v>20</v>
      </c>
      <c r="L193" s="20">
        <v>1</v>
      </c>
      <c r="M193" s="34">
        <v>111000</v>
      </c>
      <c r="N193" s="34">
        <f t="shared" si="9"/>
        <v>111000</v>
      </c>
      <c r="O193" s="33" t="s">
        <v>21</v>
      </c>
      <c r="P193" s="20">
        <f t="shared" si="11"/>
        <v>190</v>
      </c>
      <c r="Q193" s="20">
        <f t="shared" si="10"/>
        <v>32</v>
      </c>
    </row>
    <row r="194" spans="1:17" ht="15" customHeight="1" x14ac:dyDescent="0.2">
      <c r="A194" s="20" t="s">
        <v>18</v>
      </c>
      <c r="B194" s="63">
        <v>45997</v>
      </c>
      <c r="C194" s="20">
        <f t="shared" si="8"/>
        <v>793</v>
      </c>
      <c r="D194" s="20">
        <v>1</v>
      </c>
      <c r="G194" s="32" t="s">
        <v>115</v>
      </c>
      <c r="H194" s="20" t="s">
        <v>1550</v>
      </c>
      <c r="I194" s="20">
        <v>64276</v>
      </c>
      <c r="J194" s="20">
        <v>331</v>
      </c>
      <c r="K194" s="20" t="s">
        <v>20</v>
      </c>
      <c r="L194" s="20">
        <v>1</v>
      </c>
      <c r="M194" s="34">
        <v>100000</v>
      </c>
      <c r="N194" s="34">
        <f t="shared" si="9"/>
        <v>100000</v>
      </c>
      <c r="O194" s="33" t="s">
        <v>21</v>
      </c>
      <c r="P194" s="20">
        <f t="shared" si="11"/>
        <v>191</v>
      </c>
      <c r="Q194" s="20">
        <f t="shared" si="10"/>
        <v>32</v>
      </c>
    </row>
    <row r="195" spans="1:17" ht="15" customHeight="1" x14ac:dyDescent="0.2">
      <c r="A195" s="20" t="s">
        <v>18</v>
      </c>
      <c r="B195" s="63">
        <v>45997</v>
      </c>
      <c r="C195" s="20">
        <f t="shared" si="8"/>
        <v>794</v>
      </c>
      <c r="D195" s="20">
        <v>1</v>
      </c>
      <c r="G195" s="32" t="s">
        <v>115</v>
      </c>
      <c r="H195" s="20" t="s">
        <v>1551</v>
      </c>
      <c r="I195" s="20">
        <v>64276</v>
      </c>
      <c r="J195" s="20">
        <v>331</v>
      </c>
      <c r="K195" s="20" t="s">
        <v>20</v>
      </c>
      <c r="L195" s="20">
        <v>1</v>
      </c>
      <c r="M195" s="34">
        <v>41000</v>
      </c>
      <c r="N195" s="34">
        <f t="shared" si="9"/>
        <v>41000</v>
      </c>
      <c r="O195" s="33" t="s">
        <v>21</v>
      </c>
      <c r="P195" s="20">
        <f t="shared" si="11"/>
        <v>192</v>
      </c>
      <c r="Q195" s="20">
        <f t="shared" si="10"/>
        <v>32</v>
      </c>
    </row>
    <row r="196" spans="1:17" ht="15" customHeight="1" x14ac:dyDescent="0.2">
      <c r="A196" s="20" t="s">
        <v>18</v>
      </c>
      <c r="B196" s="63">
        <v>45997</v>
      </c>
      <c r="C196" s="20">
        <f t="shared" ref="C196:C259" si="12">C195+D196</f>
        <v>795</v>
      </c>
      <c r="D196" s="20">
        <v>1</v>
      </c>
      <c r="G196" s="32" t="s">
        <v>115</v>
      </c>
      <c r="H196" s="20" t="s">
        <v>1552</v>
      </c>
      <c r="I196" s="20">
        <v>64276</v>
      </c>
      <c r="J196" s="20">
        <v>331</v>
      </c>
      <c r="K196" s="20" t="s">
        <v>20</v>
      </c>
      <c r="L196" s="20">
        <v>1</v>
      </c>
      <c r="M196" s="34">
        <v>40000</v>
      </c>
      <c r="N196" s="34">
        <f t="shared" ref="N196:N259" si="13">L196*M196</f>
        <v>40000</v>
      </c>
      <c r="O196" s="33" t="s">
        <v>21</v>
      </c>
      <c r="P196" s="20">
        <f t="shared" si="11"/>
        <v>193</v>
      </c>
      <c r="Q196" s="20">
        <f t="shared" si="10"/>
        <v>32</v>
      </c>
    </row>
    <row r="197" spans="1:17" ht="15" customHeight="1" x14ac:dyDescent="0.2">
      <c r="A197" s="20" t="s">
        <v>18</v>
      </c>
      <c r="B197" s="63">
        <v>45997</v>
      </c>
      <c r="C197" s="20">
        <f t="shared" si="12"/>
        <v>796</v>
      </c>
      <c r="D197" s="20">
        <v>1</v>
      </c>
      <c r="G197" s="32" t="s">
        <v>1354</v>
      </c>
      <c r="H197" s="20" t="s">
        <v>1553</v>
      </c>
      <c r="I197" s="20">
        <v>64277</v>
      </c>
      <c r="J197" s="20">
        <v>331</v>
      </c>
      <c r="K197" s="20" t="s">
        <v>20</v>
      </c>
      <c r="L197" s="20">
        <v>1</v>
      </c>
      <c r="M197" s="34">
        <v>2499630</v>
      </c>
      <c r="N197" s="34">
        <f t="shared" si="13"/>
        <v>2499630</v>
      </c>
      <c r="O197" s="33" t="s">
        <v>21</v>
      </c>
      <c r="P197" s="20">
        <f t="shared" si="11"/>
        <v>194</v>
      </c>
      <c r="Q197" s="20">
        <f t="shared" ref="Q197:Q260" si="14">LEN(H197)</f>
        <v>41</v>
      </c>
    </row>
    <row r="198" spans="1:17" ht="15" customHeight="1" x14ac:dyDescent="0.2">
      <c r="A198" s="20" t="s">
        <v>18</v>
      </c>
      <c r="B198" s="63">
        <v>45998</v>
      </c>
      <c r="C198" s="20">
        <f t="shared" si="12"/>
        <v>797</v>
      </c>
      <c r="D198" s="20">
        <v>1</v>
      </c>
      <c r="G198" s="32" t="s">
        <v>115</v>
      </c>
      <c r="H198" s="20" t="s">
        <v>1554</v>
      </c>
      <c r="I198" s="20">
        <v>64276</v>
      </c>
      <c r="J198" s="20">
        <v>331</v>
      </c>
      <c r="K198" s="20" t="s">
        <v>20</v>
      </c>
      <c r="L198" s="20">
        <v>1</v>
      </c>
      <c r="M198" s="34">
        <v>32000</v>
      </c>
      <c r="N198" s="34">
        <f t="shared" si="13"/>
        <v>32000</v>
      </c>
      <c r="O198" s="33" t="s">
        <v>21</v>
      </c>
      <c r="P198" s="20">
        <f t="shared" ref="P198:P261" si="15">P197+D198</f>
        <v>195</v>
      </c>
      <c r="Q198" s="20">
        <f t="shared" si="14"/>
        <v>32</v>
      </c>
    </row>
    <row r="199" spans="1:17" ht="15" customHeight="1" x14ac:dyDescent="0.2">
      <c r="A199" s="20" t="s">
        <v>18</v>
      </c>
      <c r="B199" s="63">
        <v>45998</v>
      </c>
      <c r="C199" s="20">
        <f t="shared" si="12"/>
        <v>798</v>
      </c>
      <c r="D199" s="20">
        <v>1</v>
      </c>
      <c r="G199" s="32" t="s">
        <v>115</v>
      </c>
      <c r="H199" s="20" t="s">
        <v>1555</v>
      </c>
      <c r="I199" s="20">
        <v>64276</v>
      </c>
      <c r="J199" s="20">
        <v>331</v>
      </c>
      <c r="K199" s="20" t="s">
        <v>20</v>
      </c>
      <c r="L199" s="20">
        <v>1</v>
      </c>
      <c r="M199" s="34">
        <v>63000</v>
      </c>
      <c r="N199" s="34">
        <f t="shared" si="13"/>
        <v>63000</v>
      </c>
      <c r="O199" s="33" t="s">
        <v>21</v>
      </c>
      <c r="P199" s="20">
        <f t="shared" si="15"/>
        <v>196</v>
      </c>
      <c r="Q199" s="20">
        <f t="shared" si="14"/>
        <v>32</v>
      </c>
    </row>
    <row r="200" spans="1:17" ht="15" customHeight="1" x14ac:dyDescent="0.2">
      <c r="A200" s="20" t="s">
        <v>18</v>
      </c>
      <c r="B200" s="63">
        <v>45998</v>
      </c>
      <c r="C200" s="20">
        <f t="shared" si="12"/>
        <v>799</v>
      </c>
      <c r="D200" s="20">
        <v>1</v>
      </c>
      <c r="G200" s="32" t="s">
        <v>28</v>
      </c>
      <c r="H200" s="20" t="s">
        <v>1556</v>
      </c>
      <c r="I200" s="20">
        <v>64277</v>
      </c>
      <c r="J200" s="20">
        <v>331</v>
      </c>
      <c r="K200" s="20" t="s">
        <v>20</v>
      </c>
      <c r="L200" s="20">
        <v>1</v>
      </c>
      <c r="M200" s="34">
        <v>572400</v>
      </c>
      <c r="N200" s="34">
        <f t="shared" si="13"/>
        <v>572400</v>
      </c>
      <c r="O200" s="33" t="s">
        <v>21</v>
      </c>
      <c r="P200" s="20">
        <f t="shared" si="15"/>
        <v>197</v>
      </c>
      <c r="Q200" s="20">
        <f t="shared" si="14"/>
        <v>42</v>
      </c>
    </row>
    <row r="201" spans="1:17" ht="15" customHeight="1" x14ac:dyDescent="0.2">
      <c r="A201" s="20" t="s">
        <v>18</v>
      </c>
      <c r="B201" s="63">
        <v>45998</v>
      </c>
      <c r="C201" s="20">
        <f t="shared" si="12"/>
        <v>800</v>
      </c>
      <c r="D201" s="20">
        <v>1</v>
      </c>
      <c r="G201" s="32" t="s">
        <v>1353</v>
      </c>
      <c r="H201" s="20" t="s">
        <v>1557</v>
      </c>
      <c r="I201" s="20">
        <v>64276</v>
      </c>
      <c r="J201" s="20">
        <v>331</v>
      </c>
      <c r="K201" s="20" t="s">
        <v>20</v>
      </c>
      <c r="L201" s="20">
        <v>1</v>
      </c>
      <c r="M201" s="34">
        <v>2547000</v>
      </c>
      <c r="N201" s="34">
        <f t="shared" si="13"/>
        <v>2547000</v>
      </c>
      <c r="O201" s="33" t="s">
        <v>21</v>
      </c>
      <c r="P201" s="20">
        <f t="shared" si="15"/>
        <v>198</v>
      </c>
      <c r="Q201" s="20">
        <f t="shared" si="14"/>
        <v>38</v>
      </c>
    </row>
    <row r="202" spans="1:17" ht="15" customHeight="1" x14ac:dyDescent="0.2">
      <c r="A202" s="20" t="s">
        <v>18</v>
      </c>
      <c r="B202" s="69">
        <v>45999</v>
      </c>
      <c r="C202" s="20">
        <f t="shared" si="12"/>
        <v>801</v>
      </c>
      <c r="D202" s="20">
        <v>1</v>
      </c>
      <c r="G202" s="59" t="s">
        <v>115</v>
      </c>
      <c r="H202" s="20" t="s">
        <v>1558</v>
      </c>
      <c r="I202" s="20">
        <v>64276</v>
      </c>
      <c r="J202" s="20">
        <v>331</v>
      </c>
      <c r="K202" s="20" t="s">
        <v>20</v>
      </c>
      <c r="L202" s="20">
        <v>1</v>
      </c>
      <c r="M202" s="67">
        <v>39000</v>
      </c>
      <c r="N202" s="34">
        <f t="shared" si="13"/>
        <v>39000</v>
      </c>
      <c r="O202" s="33" t="s">
        <v>21</v>
      </c>
      <c r="P202" s="20">
        <f t="shared" si="15"/>
        <v>199</v>
      </c>
      <c r="Q202" s="20">
        <f t="shared" si="14"/>
        <v>32</v>
      </c>
    </row>
    <row r="203" spans="1:17" ht="15" customHeight="1" x14ac:dyDescent="0.2">
      <c r="A203" s="20" t="s">
        <v>18</v>
      </c>
      <c r="B203" s="69">
        <v>45999</v>
      </c>
      <c r="C203" s="20">
        <f t="shared" si="12"/>
        <v>802</v>
      </c>
      <c r="D203" s="20">
        <v>1</v>
      </c>
      <c r="G203" s="59" t="s">
        <v>1359</v>
      </c>
      <c r="H203" s="20" t="s">
        <v>1559</v>
      </c>
      <c r="I203" s="20">
        <v>64277</v>
      </c>
      <c r="J203" s="20">
        <v>331</v>
      </c>
      <c r="K203" s="20" t="s">
        <v>20</v>
      </c>
      <c r="L203" s="20">
        <v>1</v>
      </c>
      <c r="M203" s="67">
        <v>1275750</v>
      </c>
      <c r="N203" s="34">
        <f t="shared" si="13"/>
        <v>1275750</v>
      </c>
      <c r="O203" s="33" t="s">
        <v>21</v>
      </c>
      <c r="P203" s="20">
        <f t="shared" si="15"/>
        <v>200</v>
      </c>
      <c r="Q203" s="20">
        <f t="shared" si="14"/>
        <v>42</v>
      </c>
    </row>
    <row r="204" spans="1:17" ht="15" customHeight="1" x14ac:dyDescent="0.2">
      <c r="A204" s="20" t="s">
        <v>18</v>
      </c>
      <c r="B204" s="69">
        <v>46002</v>
      </c>
      <c r="C204" s="20">
        <f t="shared" si="12"/>
        <v>803</v>
      </c>
      <c r="D204" s="20">
        <v>1</v>
      </c>
      <c r="G204" s="59" t="s">
        <v>115</v>
      </c>
      <c r="H204" s="20" t="s">
        <v>1560</v>
      </c>
      <c r="I204" s="20">
        <v>64276</v>
      </c>
      <c r="J204" s="20">
        <v>331</v>
      </c>
      <c r="K204" s="20" t="s">
        <v>20</v>
      </c>
      <c r="L204" s="20">
        <v>1</v>
      </c>
      <c r="M204" s="67">
        <v>68000</v>
      </c>
      <c r="N204" s="34">
        <f t="shared" si="13"/>
        <v>68000</v>
      </c>
      <c r="O204" s="33" t="s">
        <v>21</v>
      </c>
      <c r="P204" s="20">
        <f t="shared" si="15"/>
        <v>201</v>
      </c>
      <c r="Q204" s="20">
        <f t="shared" si="14"/>
        <v>32</v>
      </c>
    </row>
    <row r="205" spans="1:17" ht="15" customHeight="1" x14ac:dyDescent="0.2">
      <c r="A205" s="20" t="s">
        <v>18</v>
      </c>
      <c r="B205" s="63">
        <v>46002</v>
      </c>
      <c r="C205" s="20">
        <f t="shared" si="12"/>
        <v>804</v>
      </c>
      <c r="D205" s="20">
        <v>1</v>
      </c>
      <c r="G205" s="32" t="s">
        <v>115</v>
      </c>
      <c r="H205" s="20" t="s">
        <v>1561</v>
      </c>
      <c r="I205" s="20">
        <v>64276</v>
      </c>
      <c r="J205" s="20">
        <v>331</v>
      </c>
      <c r="K205" s="20" t="s">
        <v>20</v>
      </c>
      <c r="L205" s="20">
        <v>1</v>
      </c>
      <c r="M205" s="34">
        <v>146000</v>
      </c>
      <c r="N205" s="34">
        <f t="shared" si="13"/>
        <v>146000</v>
      </c>
      <c r="O205" s="33" t="s">
        <v>21</v>
      </c>
      <c r="P205" s="20">
        <f t="shared" si="15"/>
        <v>202</v>
      </c>
      <c r="Q205" s="20">
        <f t="shared" si="14"/>
        <v>32</v>
      </c>
    </row>
    <row r="206" spans="1:17" ht="15" customHeight="1" x14ac:dyDescent="0.2">
      <c r="A206" s="20" t="s">
        <v>18</v>
      </c>
      <c r="B206" s="63">
        <v>46004</v>
      </c>
      <c r="C206" s="20">
        <f t="shared" si="12"/>
        <v>805</v>
      </c>
      <c r="D206" s="20">
        <v>1</v>
      </c>
      <c r="G206" s="32" t="s">
        <v>115</v>
      </c>
      <c r="H206" s="20" t="s">
        <v>1562</v>
      </c>
      <c r="I206" s="20">
        <v>64276</v>
      </c>
      <c r="J206" s="20">
        <v>331</v>
      </c>
      <c r="K206" s="20" t="s">
        <v>20</v>
      </c>
      <c r="L206" s="20">
        <v>1</v>
      </c>
      <c r="M206" s="34">
        <v>38000</v>
      </c>
      <c r="N206" s="34">
        <f t="shared" si="13"/>
        <v>38000</v>
      </c>
      <c r="O206" s="33" t="s">
        <v>21</v>
      </c>
      <c r="P206" s="20">
        <f t="shared" si="15"/>
        <v>203</v>
      </c>
      <c r="Q206" s="20">
        <f t="shared" si="14"/>
        <v>32</v>
      </c>
    </row>
    <row r="207" spans="1:17" ht="15" customHeight="1" x14ac:dyDescent="0.2">
      <c r="A207" s="20" t="s">
        <v>18</v>
      </c>
      <c r="B207" s="63">
        <v>46004</v>
      </c>
      <c r="C207" s="20">
        <f t="shared" si="12"/>
        <v>806</v>
      </c>
      <c r="D207" s="20">
        <v>1</v>
      </c>
      <c r="G207" s="32" t="s">
        <v>115</v>
      </c>
      <c r="H207" s="20" t="s">
        <v>1563</v>
      </c>
      <c r="I207" s="20">
        <v>64276</v>
      </c>
      <c r="J207" s="20">
        <v>331</v>
      </c>
      <c r="K207" s="20" t="s">
        <v>20</v>
      </c>
      <c r="L207" s="20">
        <v>1</v>
      </c>
      <c r="M207" s="34">
        <v>18000</v>
      </c>
      <c r="N207" s="34">
        <f t="shared" si="13"/>
        <v>18000</v>
      </c>
      <c r="O207" s="33" t="s">
        <v>21</v>
      </c>
      <c r="P207" s="20">
        <f t="shared" si="15"/>
        <v>204</v>
      </c>
      <c r="Q207" s="20">
        <f t="shared" si="14"/>
        <v>32</v>
      </c>
    </row>
    <row r="208" spans="1:17" ht="15" customHeight="1" x14ac:dyDescent="0.2">
      <c r="A208" s="20" t="s">
        <v>18</v>
      </c>
      <c r="B208" s="63">
        <v>46004</v>
      </c>
      <c r="C208" s="20">
        <f t="shared" si="12"/>
        <v>807</v>
      </c>
      <c r="D208" s="20">
        <v>1</v>
      </c>
      <c r="G208" s="32" t="s">
        <v>115</v>
      </c>
      <c r="H208" s="20" t="s">
        <v>1564</v>
      </c>
      <c r="I208" s="20">
        <v>64276</v>
      </c>
      <c r="J208" s="20">
        <v>331</v>
      </c>
      <c r="K208" s="20" t="s">
        <v>20</v>
      </c>
      <c r="L208" s="20">
        <v>1</v>
      </c>
      <c r="M208" s="34">
        <v>13000</v>
      </c>
      <c r="N208" s="34">
        <f t="shared" si="13"/>
        <v>13000</v>
      </c>
      <c r="O208" s="33" t="s">
        <v>21</v>
      </c>
      <c r="P208" s="20">
        <f t="shared" si="15"/>
        <v>205</v>
      </c>
      <c r="Q208" s="20">
        <f t="shared" si="14"/>
        <v>32</v>
      </c>
    </row>
    <row r="209" spans="1:17" ht="15" customHeight="1" x14ac:dyDescent="0.2">
      <c r="A209" s="20" t="s">
        <v>18</v>
      </c>
      <c r="B209" s="63">
        <v>46004</v>
      </c>
      <c r="C209" s="20">
        <f t="shared" si="12"/>
        <v>808</v>
      </c>
      <c r="D209" s="20">
        <v>1</v>
      </c>
      <c r="G209" s="32" t="s">
        <v>115</v>
      </c>
      <c r="H209" s="20" t="s">
        <v>1565</v>
      </c>
      <c r="I209" s="20">
        <v>64276</v>
      </c>
      <c r="J209" s="20">
        <v>331</v>
      </c>
      <c r="K209" s="20" t="s">
        <v>20</v>
      </c>
      <c r="L209" s="20">
        <v>1</v>
      </c>
      <c r="M209" s="34">
        <v>15000</v>
      </c>
      <c r="N209" s="34">
        <f t="shared" si="13"/>
        <v>15000</v>
      </c>
      <c r="O209" s="33" t="s">
        <v>21</v>
      </c>
      <c r="P209" s="20">
        <f t="shared" si="15"/>
        <v>206</v>
      </c>
      <c r="Q209" s="20">
        <f t="shared" si="14"/>
        <v>32</v>
      </c>
    </row>
    <row r="210" spans="1:17" ht="15" customHeight="1" x14ac:dyDescent="0.2">
      <c r="A210" s="20" t="s">
        <v>18</v>
      </c>
      <c r="B210" s="63">
        <v>46004</v>
      </c>
      <c r="C210" s="20">
        <f t="shared" si="12"/>
        <v>809</v>
      </c>
      <c r="D210" s="20">
        <v>1</v>
      </c>
      <c r="G210" s="32" t="s">
        <v>115</v>
      </c>
      <c r="H210" s="20" t="s">
        <v>1566</v>
      </c>
      <c r="I210" s="20">
        <v>64276</v>
      </c>
      <c r="J210" s="20">
        <v>331</v>
      </c>
      <c r="K210" s="20" t="s">
        <v>20</v>
      </c>
      <c r="L210" s="20">
        <v>1</v>
      </c>
      <c r="M210" s="34">
        <v>35000</v>
      </c>
      <c r="N210" s="34">
        <f t="shared" si="13"/>
        <v>35000</v>
      </c>
      <c r="O210" s="33" t="s">
        <v>21</v>
      </c>
      <c r="P210" s="20">
        <f t="shared" si="15"/>
        <v>207</v>
      </c>
      <c r="Q210" s="20">
        <f t="shared" si="14"/>
        <v>32</v>
      </c>
    </row>
    <row r="211" spans="1:17" ht="15" customHeight="1" x14ac:dyDescent="0.2">
      <c r="A211" s="20" t="s">
        <v>18</v>
      </c>
      <c r="B211" s="63">
        <v>46004</v>
      </c>
      <c r="C211" s="20">
        <f t="shared" si="12"/>
        <v>810</v>
      </c>
      <c r="D211" s="20">
        <v>1</v>
      </c>
      <c r="G211" s="32" t="s">
        <v>115</v>
      </c>
      <c r="H211" s="20" t="s">
        <v>1567</v>
      </c>
      <c r="I211" s="20">
        <v>64276</v>
      </c>
      <c r="J211" s="20">
        <v>331</v>
      </c>
      <c r="K211" s="20" t="s">
        <v>20</v>
      </c>
      <c r="L211" s="20">
        <v>1</v>
      </c>
      <c r="M211" s="34">
        <v>30000</v>
      </c>
      <c r="N211" s="34">
        <f t="shared" si="13"/>
        <v>30000</v>
      </c>
      <c r="O211" s="33" t="s">
        <v>21</v>
      </c>
      <c r="P211" s="20">
        <f t="shared" si="15"/>
        <v>208</v>
      </c>
      <c r="Q211" s="20">
        <f t="shared" si="14"/>
        <v>32</v>
      </c>
    </row>
    <row r="212" spans="1:17" ht="15" customHeight="1" x14ac:dyDescent="0.2">
      <c r="A212" s="20" t="s">
        <v>18</v>
      </c>
      <c r="B212" s="63">
        <v>46004</v>
      </c>
      <c r="C212" s="20">
        <f t="shared" si="12"/>
        <v>811</v>
      </c>
      <c r="D212" s="20">
        <v>1</v>
      </c>
      <c r="G212" s="32" t="s">
        <v>115</v>
      </c>
      <c r="H212" s="20" t="s">
        <v>1568</v>
      </c>
      <c r="I212" s="20">
        <v>64276</v>
      </c>
      <c r="J212" s="20">
        <v>331</v>
      </c>
      <c r="K212" s="20" t="s">
        <v>20</v>
      </c>
      <c r="L212" s="20">
        <v>1</v>
      </c>
      <c r="M212" s="34">
        <v>14000</v>
      </c>
      <c r="N212" s="34">
        <f t="shared" si="13"/>
        <v>14000</v>
      </c>
      <c r="O212" s="33" t="s">
        <v>21</v>
      </c>
      <c r="P212" s="20">
        <f t="shared" si="15"/>
        <v>209</v>
      </c>
      <c r="Q212" s="20">
        <f t="shared" si="14"/>
        <v>32</v>
      </c>
    </row>
    <row r="213" spans="1:17" ht="15" customHeight="1" x14ac:dyDescent="0.2">
      <c r="A213" s="20" t="s">
        <v>18</v>
      </c>
      <c r="B213" s="63">
        <v>46004</v>
      </c>
      <c r="C213" s="20">
        <f t="shared" si="12"/>
        <v>812</v>
      </c>
      <c r="D213" s="20">
        <v>1</v>
      </c>
      <c r="G213" s="32" t="s">
        <v>115</v>
      </c>
      <c r="H213" s="20" t="s">
        <v>1569</v>
      </c>
      <c r="I213" s="20">
        <v>64276</v>
      </c>
      <c r="J213" s="20">
        <v>331</v>
      </c>
      <c r="K213" s="20" t="s">
        <v>20</v>
      </c>
      <c r="L213" s="20">
        <v>1</v>
      </c>
      <c r="M213" s="34">
        <v>30000</v>
      </c>
      <c r="N213" s="34">
        <f t="shared" si="13"/>
        <v>30000</v>
      </c>
      <c r="O213" s="33" t="s">
        <v>21</v>
      </c>
      <c r="P213" s="20">
        <f t="shared" si="15"/>
        <v>210</v>
      </c>
      <c r="Q213" s="20">
        <f t="shared" si="14"/>
        <v>32</v>
      </c>
    </row>
    <row r="214" spans="1:17" ht="15" customHeight="1" x14ac:dyDescent="0.2">
      <c r="A214" s="20" t="s">
        <v>18</v>
      </c>
      <c r="B214" s="63">
        <v>46004</v>
      </c>
      <c r="C214" s="20">
        <f t="shared" si="12"/>
        <v>813</v>
      </c>
      <c r="D214" s="20">
        <v>1</v>
      </c>
      <c r="G214" s="32" t="s">
        <v>115</v>
      </c>
      <c r="H214" s="20" t="s">
        <v>1570</v>
      </c>
      <c r="I214" s="20">
        <v>64276</v>
      </c>
      <c r="J214" s="20">
        <v>331</v>
      </c>
      <c r="K214" s="20" t="s">
        <v>20</v>
      </c>
      <c r="L214" s="20">
        <v>1</v>
      </c>
      <c r="M214" s="34">
        <v>85000</v>
      </c>
      <c r="N214" s="34">
        <f t="shared" si="13"/>
        <v>85000</v>
      </c>
      <c r="O214" s="33" t="s">
        <v>21</v>
      </c>
      <c r="P214" s="20">
        <f t="shared" si="15"/>
        <v>211</v>
      </c>
      <c r="Q214" s="20">
        <f t="shared" si="14"/>
        <v>32</v>
      </c>
    </row>
    <row r="215" spans="1:17" ht="15" customHeight="1" x14ac:dyDescent="0.2">
      <c r="A215" s="20" t="s">
        <v>18</v>
      </c>
      <c r="B215" s="63">
        <v>46009</v>
      </c>
      <c r="C215" s="20">
        <f t="shared" si="12"/>
        <v>814</v>
      </c>
      <c r="D215" s="20">
        <v>1</v>
      </c>
      <c r="G215" s="32" t="s">
        <v>115</v>
      </c>
      <c r="H215" s="20" t="s">
        <v>1571</v>
      </c>
      <c r="I215" s="20">
        <v>64276</v>
      </c>
      <c r="J215" s="20">
        <v>331</v>
      </c>
      <c r="K215" s="20" t="s">
        <v>20</v>
      </c>
      <c r="L215" s="20">
        <v>1</v>
      </c>
      <c r="M215" s="34">
        <v>-46000</v>
      </c>
      <c r="N215" s="34">
        <f t="shared" si="13"/>
        <v>-46000</v>
      </c>
      <c r="O215" s="33" t="s">
        <v>21</v>
      </c>
      <c r="P215" s="20">
        <f t="shared" si="15"/>
        <v>212</v>
      </c>
      <c r="Q215" s="20">
        <f t="shared" si="14"/>
        <v>33</v>
      </c>
    </row>
    <row r="216" spans="1:17" ht="15" customHeight="1" x14ac:dyDescent="0.2">
      <c r="A216" s="20" t="s">
        <v>18</v>
      </c>
      <c r="B216" s="63">
        <v>46010</v>
      </c>
      <c r="C216" s="20">
        <f t="shared" si="12"/>
        <v>815</v>
      </c>
      <c r="D216" s="20">
        <v>1</v>
      </c>
      <c r="G216" s="32" t="s">
        <v>115</v>
      </c>
      <c r="H216" s="20" t="s">
        <v>1572</v>
      </c>
      <c r="I216" s="20">
        <v>64276</v>
      </c>
      <c r="J216" s="20">
        <v>331</v>
      </c>
      <c r="K216" s="20" t="s">
        <v>20</v>
      </c>
      <c r="L216" s="20">
        <v>1</v>
      </c>
      <c r="M216" s="34">
        <v>-74000</v>
      </c>
      <c r="N216" s="34">
        <f t="shared" si="13"/>
        <v>-74000</v>
      </c>
      <c r="O216" s="33" t="s">
        <v>21</v>
      </c>
      <c r="P216" s="20">
        <f t="shared" si="15"/>
        <v>213</v>
      </c>
      <c r="Q216" s="20">
        <f t="shared" si="14"/>
        <v>33</v>
      </c>
    </row>
    <row r="217" spans="1:17" ht="15" customHeight="1" x14ac:dyDescent="0.2">
      <c r="A217" s="20" t="s">
        <v>18</v>
      </c>
      <c r="B217" s="63">
        <v>46010</v>
      </c>
      <c r="C217" s="20">
        <f t="shared" si="12"/>
        <v>816</v>
      </c>
      <c r="D217" s="20">
        <v>1</v>
      </c>
      <c r="G217" s="32" t="s">
        <v>115</v>
      </c>
      <c r="H217" s="20" t="s">
        <v>1573</v>
      </c>
      <c r="I217" s="20">
        <v>64276</v>
      </c>
      <c r="J217" s="20">
        <v>331</v>
      </c>
      <c r="K217" s="20" t="s">
        <v>20</v>
      </c>
      <c r="L217" s="20">
        <v>1</v>
      </c>
      <c r="M217" s="34">
        <v>-74000</v>
      </c>
      <c r="N217" s="34">
        <f t="shared" si="13"/>
        <v>-74000</v>
      </c>
      <c r="O217" s="33" t="s">
        <v>21</v>
      </c>
      <c r="P217" s="20">
        <f t="shared" si="15"/>
        <v>214</v>
      </c>
      <c r="Q217" s="20">
        <f t="shared" si="14"/>
        <v>33</v>
      </c>
    </row>
    <row r="218" spans="1:17" ht="15" customHeight="1" x14ac:dyDescent="0.2">
      <c r="A218" s="20" t="s">
        <v>18</v>
      </c>
      <c r="B218" s="63">
        <v>46010</v>
      </c>
      <c r="C218" s="20">
        <f t="shared" si="12"/>
        <v>817</v>
      </c>
      <c r="D218" s="20">
        <v>1</v>
      </c>
      <c r="G218" s="32" t="s">
        <v>115</v>
      </c>
      <c r="H218" s="20" t="s">
        <v>1574</v>
      </c>
      <c r="I218" s="20">
        <v>64276</v>
      </c>
      <c r="J218" s="20">
        <v>331</v>
      </c>
      <c r="K218" s="20" t="s">
        <v>20</v>
      </c>
      <c r="L218" s="20">
        <v>1</v>
      </c>
      <c r="M218" s="34">
        <v>-74000</v>
      </c>
      <c r="N218" s="34">
        <f t="shared" si="13"/>
        <v>-74000</v>
      </c>
      <c r="O218" s="33" t="s">
        <v>21</v>
      </c>
      <c r="P218" s="20">
        <f t="shared" si="15"/>
        <v>215</v>
      </c>
      <c r="Q218" s="20">
        <f t="shared" si="14"/>
        <v>33</v>
      </c>
    </row>
    <row r="219" spans="1:17" ht="15" customHeight="1" x14ac:dyDescent="0.2">
      <c r="A219" s="20" t="s">
        <v>18</v>
      </c>
      <c r="B219" s="63">
        <v>46010</v>
      </c>
      <c r="C219" s="20">
        <f t="shared" si="12"/>
        <v>818</v>
      </c>
      <c r="D219" s="20">
        <v>1</v>
      </c>
      <c r="G219" s="32" t="s">
        <v>115</v>
      </c>
      <c r="H219" s="20" t="s">
        <v>1575</v>
      </c>
      <c r="I219" s="20">
        <v>64276</v>
      </c>
      <c r="J219" s="20">
        <v>331</v>
      </c>
      <c r="K219" s="20" t="s">
        <v>20</v>
      </c>
      <c r="L219" s="20">
        <v>1</v>
      </c>
      <c r="M219" s="34">
        <v>-26000</v>
      </c>
      <c r="N219" s="34">
        <f t="shared" si="13"/>
        <v>-26000</v>
      </c>
      <c r="O219" s="33" t="s">
        <v>21</v>
      </c>
      <c r="P219" s="20">
        <f t="shared" si="15"/>
        <v>216</v>
      </c>
      <c r="Q219" s="20">
        <f t="shared" si="14"/>
        <v>33</v>
      </c>
    </row>
    <row r="220" spans="1:17" ht="15" customHeight="1" x14ac:dyDescent="0.2">
      <c r="A220" s="20" t="s">
        <v>18</v>
      </c>
      <c r="B220" s="63">
        <v>46011</v>
      </c>
      <c r="C220" s="20">
        <f t="shared" si="12"/>
        <v>819</v>
      </c>
      <c r="D220" s="20">
        <v>1</v>
      </c>
      <c r="G220" s="32" t="s">
        <v>115</v>
      </c>
      <c r="H220" s="20" t="s">
        <v>1576</v>
      </c>
      <c r="I220" s="20">
        <v>64276</v>
      </c>
      <c r="J220" s="20">
        <v>331</v>
      </c>
      <c r="K220" s="20" t="s">
        <v>20</v>
      </c>
      <c r="L220" s="20">
        <v>1</v>
      </c>
      <c r="M220" s="34">
        <v>-74000</v>
      </c>
      <c r="N220" s="34">
        <f t="shared" si="13"/>
        <v>-74000</v>
      </c>
      <c r="O220" s="33" t="s">
        <v>21</v>
      </c>
      <c r="P220" s="20">
        <f t="shared" si="15"/>
        <v>217</v>
      </c>
      <c r="Q220" s="20">
        <f t="shared" si="14"/>
        <v>33</v>
      </c>
    </row>
    <row r="221" spans="1:17" ht="15" customHeight="1" x14ac:dyDescent="0.2">
      <c r="A221" s="20" t="s">
        <v>18</v>
      </c>
      <c r="B221" s="63">
        <v>46011</v>
      </c>
      <c r="C221" s="20">
        <f t="shared" si="12"/>
        <v>820</v>
      </c>
      <c r="D221" s="20">
        <v>1</v>
      </c>
      <c r="G221" s="32" t="s">
        <v>115</v>
      </c>
      <c r="H221" s="20" t="s">
        <v>1577</v>
      </c>
      <c r="I221" s="20">
        <v>64276</v>
      </c>
      <c r="J221" s="20">
        <v>331</v>
      </c>
      <c r="K221" s="20" t="s">
        <v>20</v>
      </c>
      <c r="L221" s="20">
        <v>1</v>
      </c>
      <c r="M221" s="34">
        <v>-74000</v>
      </c>
      <c r="N221" s="34">
        <f t="shared" si="13"/>
        <v>-74000</v>
      </c>
      <c r="O221" s="33" t="s">
        <v>21</v>
      </c>
      <c r="P221" s="20">
        <f t="shared" si="15"/>
        <v>218</v>
      </c>
      <c r="Q221" s="20">
        <f t="shared" si="14"/>
        <v>33</v>
      </c>
    </row>
    <row r="222" spans="1:17" ht="15" customHeight="1" x14ac:dyDescent="0.2">
      <c r="A222" s="20" t="s">
        <v>18</v>
      </c>
      <c r="B222" s="63">
        <v>46011</v>
      </c>
      <c r="C222" s="20">
        <f t="shared" si="12"/>
        <v>821</v>
      </c>
      <c r="D222" s="20">
        <v>1</v>
      </c>
      <c r="G222" s="32" t="s">
        <v>115</v>
      </c>
      <c r="H222" s="20" t="s">
        <v>1578</v>
      </c>
      <c r="I222" s="20">
        <v>64276</v>
      </c>
      <c r="J222" s="20">
        <v>331</v>
      </c>
      <c r="K222" s="20" t="s">
        <v>20</v>
      </c>
      <c r="L222" s="20">
        <v>1</v>
      </c>
      <c r="M222" s="34">
        <v>-74000</v>
      </c>
      <c r="N222" s="34">
        <f t="shared" si="13"/>
        <v>-74000</v>
      </c>
      <c r="O222" s="33" t="s">
        <v>21</v>
      </c>
      <c r="P222" s="20">
        <f t="shared" si="15"/>
        <v>219</v>
      </c>
      <c r="Q222" s="20">
        <f t="shared" si="14"/>
        <v>33</v>
      </c>
    </row>
    <row r="223" spans="1:17" ht="15" customHeight="1" x14ac:dyDescent="0.2">
      <c r="A223" s="20" t="s">
        <v>18</v>
      </c>
      <c r="B223" s="63">
        <v>46011</v>
      </c>
      <c r="C223" s="20">
        <f t="shared" si="12"/>
        <v>822</v>
      </c>
      <c r="D223" s="20">
        <v>1</v>
      </c>
      <c r="G223" s="32" t="s">
        <v>115</v>
      </c>
      <c r="H223" s="20" t="s">
        <v>1579</v>
      </c>
      <c r="I223" s="20">
        <v>64276</v>
      </c>
      <c r="J223" s="20">
        <v>331</v>
      </c>
      <c r="K223" s="20" t="s">
        <v>20</v>
      </c>
      <c r="L223" s="20">
        <v>1</v>
      </c>
      <c r="M223" s="34">
        <v>-74000</v>
      </c>
      <c r="N223" s="34">
        <f t="shared" si="13"/>
        <v>-74000</v>
      </c>
      <c r="O223" s="33" t="s">
        <v>21</v>
      </c>
      <c r="P223" s="20">
        <f t="shared" si="15"/>
        <v>220</v>
      </c>
      <c r="Q223" s="20">
        <f t="shared" si="14"/>
        <v>33</v>
      </c>
    </row>
    <row r="224" spans="1:17" ht="15" customHeight="1" x14ac:dyDescent="0.2">
      <c r="A224" s="20" t="s">
        <v>18</v>
      </c>
      <c r="B224" s="63">
        <v>46011</v>
      </c>
      <c r="C224" s="20">
        <f t="shared" si="12"/>
        <v>823</v>
      </c>
      <c r="D224" s="20">
        <v>1</v>
      </c>
      <c r="G224" s="32" t="s">
        <v>115</v>
      </c>
      <c r="H224" s="20" t="s">
        <v>1580</v>
      </c>
      <c r="I224" s="20">
        <v>64276</v>
      </c>
      <c r="J224" s="20">
        <v>331</v>
      </c>
      <c r="K224" s="20" t="s">
        <v>20</v>
      </c>
      <c r="L224" s="20">
        <v>1</v>
      </c>
      <c r="M224" s="34">
        <v>-74000</v>
      </c>
      <c r="N224" s="34">
        <f t="shared" si="13"/>
        <v>-74000</v>
      </c>
      <c r="O224" s="33" t="s">
        <v>21</v>
      </c>
      <c r="P224" s="20">
        <f t="shared" si="15"/>
        <v>221</v>
      </c>
      <c r="Q224" s="20">
        <f t="shared" si="14"/>
        <v>33</v>
      </c>
    </row>
    <row r="225" spans="1:17" ht="15" customHeight="1" x14ac:dyDescent="0.2">
      <c r="A225" s="20" t="s">
        <v>18</v>
      </c>
      <c r="B225" s="63">
        <v>46011</v>
      </c>
      <c r="C225" s="20">
        <f t="shared" si="12"/>
        <v>824</v>
      </c>
      <c r="D225" s="20">
        <v>1</v>
      </c>
      <c r="G225" s="32" t="s">
        <v>115</v>
      </c>
      <c r="H225" s="20" t="s">
        <v>1581</v>
      </c>
      <c r="I225" s="20">
        <v>64276</v>
      </c>
      <c r="J225" s="20">
        <v>331</v>
      </c>
      <c r="K225" s="20" t="s">
        <v>20</v>
      </c>
      <c r="L225" s="20">
        <v>1</v>
      </c>
      <c r="M225" s="34">
        <v>-74000</v>
      </c>
      <c r="N225" s="34">
        <f t="shared" si="13"/>
        <v>-74000</v>
      </c>
      <c r="O225" s="33" t="s">
        <v>21</v>
      </c>
      <c r="P225" s="20">
        <f t="shared" si="15"/>
        <v>222</v>
      </c>
      <c r="Q225" s="20">
        <f t="shared" si="14"/>
        <v>33</v>
      </c>
    </row>
    <row r="226" spans="1:17" ht="15" customHeight="1" x14ac:dyDescent="0.2">
      <c r="A226" s="20" t="s">
        <v>18</v>
      </c>
      <c r="B226" s="63">
        <v>46011</v>
      </c>
      <c r="C226" s="20">
        <f t="shared" si="12"/>
        <v>825</v>
      </c>
      <c r="D226" s="20">
        <v>1</v>
      </c>
      <c r="G226" s="32" t="s">
        <v>115</v>
      </c>
      <c r="H226" s="20" t="s">
        <v>1582</v>
      </c>
      <c r="I226" s="20">
        <v>64276</v>
      </c>
      <c r="J226" s="20">
        <v>331</v>
      </c>
      <c r="K226" s="20" t="s">
        <v>20</v>
      </c>
      <c r="L226" s="20">
        <v>1</v>
      </c>
      <c r="M226" s="34">
        <v>-74000</v>
      </c>
      <c r="N226" s="34">
        <f t="shared" si="13"/>
        <v>-74000</v>
      </c>
      <c r="O226" s="33" t="s">
        <v>21</v>
      </c>
      <c r="P226" s="20">
        <f t="shared" si="15"/>
        <v>223</v>
      </c>
      <c r="Q226" s="20">
        <f t="shared" si="14"/>
        <v>33</v>
      </c>
    </row>
    <row r="227" spans="1:17" ht="15" customHeight="1" x14ac:dyDescent="0.2">
      <c r="A227" s="20" t="s">
        <v>18</v>
      </c>
      <c r="B227" s="63">
        <v>46011</v>
      </c>
      <c r="C227" s="20">
        <f t="shared" si="12"/>
        <v>826</v>
      </c>
      <c r="D227" s="20">
        <v>1</v>
      </c>
      <c r="G227" s="32" t="s">
        <v>115</v>
      </c>
      <c r="H227" s="20" t="s">
        <v>1583</v>
      </c>
      <c r="I227" s="20">
        <v>64276</v>
      </c>
      <c r="J227" s="20">
        <v>331</v>
      </c>
      <c r="K227" s="20" t="s">
        <v>20</v>
      </c>
      <c r="L227" s="20">
        <v>1</v>
      </c>
      <c r="M227" s="34">
        <v>-74000</v>
      </c>
      <c r="N227" s="34">
        <f t="shared" si="13"/>
        <v>-74000</v>
      </c>
      <c r="O227" s="33" t="s">
        <v>21</v>
      </c>
      <c r="P227" s="20">
        <f t="shared" si="15"/>
        <v>224</v>
      </c>
      <c r="Q227" s="20">
        <f t="shared" si="14"/>
        <v>33</v>
      </c>
    </row>
    <row r="228" spans="1:17" ht="15" customHeight="1" x14ac:dyDescent="0.2">
      <c r="A228" s="20" t="s">
        <v>18</v>
      </c>
      <c r="B228" s="63">
        <v>46013</v>
      </c>
      <c r="C228" s="20">
        <f t="shared" si="12"/>
        <v>827</v>
      </c>
      <c r="D228" s="20">
        <v>1</v>
      </c>
      <c r="G228" s="32" t="s">
        <v>115</v>
      </c>
      <c r="H228" s="20" t="s">
        <v>1584</v>
      </c>
      <c r="I228" s="20">
        <v>64276</v>
      </c>
      <c r="J228" s="20">
        <v>331</v>
      </c>
      <c r="K228" s="20" t="s">
        <v>20</v>
      </c>
      <c r="L228" s="20">
        <v>1</v>
      </c>
      <c r="M228" s="34">
        <v>-74000</v>
      </c>
      <c r="N228" s="34">
        <f t="shared" si="13"/>
        <v>-74000</v>
      </c>
      <c r="O228" s="33" t="s">
        <v>21</v>
      </c>
      <c r="P228" s="20">
        <f t="shared" si="15"/>
        <v>225</v>
      </c>
      <c r="Q228" s="20">
        <f t="shared" si="14"/>
        <v>33</v>
      </c>
    </row>
    <row r="229" spans="1:17" ht="15" customHeight="1" x14ac:dyDescent="0.2">
      <c r="A229" s="20" t="s">
        <v>18</v>
      </c>
      <c r="B229" s="63">
        <v>46014</v>
      </c>
      <c r="C229" s="20">
        <f t="shared" si="12"/>
        <v>828</v>
      </c>
      <c r="D229" s="20">
        <v>1</v>
      </c>
      <c r="G229" s="32" t="s">
        <v>115</v>
      </c>
      <c r="H229" s="20" t="s">
        <v>1585</v>
      </c>
      <c r="I229" s="20">
        <v>64276</v>
      </c>
      <c r="J229" s="20">
        <v>331</v>
      </c>
      <c r="K229" s="20" t="s">
        <v>20</v>
      </c>
      <c r="L229" s="20">
        <v>1</v>
      </c>
      <c r="M229" s="34">
        <v>120000</v>
      </c>
      <c r="N229" s="34">
        <f t="shared" si="13"/>
        <v>120000</v>
      </c>
      <c r="O229" s="33" t="s">
        <v>21</v>
      </c>
      <c r="P229" s="20">
        <f t="shared" si="15"/>
        <v>226</v>
      </c>
      <c r="Q229" s="20">
        <f t="shared" si="14"/>
        <v>32</v>
      </c>
    </row>
    <row r="230" spans="1:17" ht="15" customHeight="1" x14ac:dyDescent="0.2">
      <c r="A230" s="20" t="s">
        <v>18</v>
      </c>
      <c r="B230" s="63">
        <v>46014</v>
      </c>
      <c r="C230" s="20">
        <f t="shared" si="12"/>
        <v>829</v>
      </c>
      <c r="D230" s="20">
        <v>1</v>
      </c>
      <c r="G230" s="32" t="s">
        <v>115</v>
      </c>
      <c r="H230" s="20" t="s">
        <v>1586</v>
      </c>
      <c r="I230" s="20">
        <v>64276</v>
      </c>
      <c r="J230" s="20">
        <v>331</v>
      </c>
      <c r="K230" s="20" t="s">
        <v>20</v>
      </c>
      <c r="L230" s="20">
        <v>1</v>
      </c>
      <c r="M230" s="34">
        <v>-21000</v>
      </c>
      <c r="N230" s="34">
        <f t="shared" si="13"/>
        <v>-21000</v>
      </c>
      <c r="O230" s="33" t="s">
        <v>21</v>
      </c>
      <c r="P230" s="20">
        <f t="shared" si="15"/>
        <v>227</v>
      </c>
      <c r="Q230" s="20">
        <f t="shared" si="14"/>
        <v>33</v>
      </c>
    </row>
    <row r="231" spans="1:17" ht="15" customHeight="1" x14ac:dyDescent="0.2">
      <c r="A231" s="20" t="s">
        <v>18</v>
      </c>
      <c r="B231" s="63">
        <v>46014</v>
      </c>
      <c r="C231" s="20">
        <f t="shared" si="12"/>
        <v>830</v>
      </c>
      <c r="D231" s="20">
        <v>1</v>
      </c>
      <c r="G231" s="32" t="s">
        <v>115</v>
      </c>
      <c r="H231" s="20" t="s">
        <v>1587</v>
      </c>
      <c r="I231" s="20">
        <v>64276</v>
      </c>
      <c r="J231" s="20">
        <v>331</v>
      </c>
      <c r="K231" s="20" t="s">
        <v>20</v>
      </c>
      <c r="L231" s="20">
        <v>1</v>
      </c>
      <c r="M231" s="34">
        <v>-21000</v>
      </c>
      <c r="N231" s="34">
        <f t="shared" si="13"/>
        <v>-21000</v>
      </c>
      <c r="O231" s="33" t="s">
        <v>21</v>
      </c>
      <c r="P231" s="20">
        <f t="shared" si="15"/>
        <v>228</v>
      </c>
      <c r="Q231" s="20">
        <f t="shared" si="14"/>
        <v>33</v>
      </c>
    </row>
    <row r="232" spans="1:17" ht="15" customHeight="1" x14ac:dyDescent="0.2">
      <c r="A232" s="20" t="s">
        <v>18</v>
      </c>
      <c r="B232" s="63">
        <v>46014</v>
      </c>
      <c r="C232" s="20">
        <f t="shared" si="12"/>
        <v>831</v>
      </c>
      <c r="D232" s="20">
        <v>1</v>
      </c>
      <c r="G232" s="32" t="s">
        <v>115</v>
      </c>
      <c r="H232" s="20" t="s">
        <v>1588</v>
      </c>
      <c r="I232" s="20">
        <v>64276</v>
      </c>
      <c r="J232" s="20">
        <v>331</v>
      </c>
      <c r="K232" s="20" t="s">
        <v>20</v>
      </c>
      <c r="L232" s="20">
        <v>1</v>
      </c>
      <c r="M232" s="34">
        <v>-21000</v>
      </c>
      <c r="N232" s="34">
        <f t="shared" si="13"/>
        <v>-21000</v>
      </c>
      <c r="O232" s="33" t="s">
        <v>21</v>
      </c>
      <c r="P232" s="20">
        <f t="shared" si="15"/>
        <v>229</v>
      </c>
      <c r="Q232" s="20">
        <f t="shared" si="14"/>
        <v>33</v>
      </c>
    </row>
    <row r="233" spans="1:17" ht="15" customHeight="1" x14ac:dyDescent="0.2">
      <c r="A233" s="20" t="s">
        <v>18</v>
      </c>
      <c r="B233" s="63">
        <v>46014</v>
      </c>
      <c r="C233" s="20">
        <f t="shared" si="12"/>
        <v>832</v>
      </c>
      <c r="D233" s="20">
        <v>1</v>
      </c>
      <c r="G233" s="32" t="s">
        <v>115</v>
      </c>
      <c r="H233" s="20" t="s">
        <v>1589</v>
      </c>
      <c r="I233" s="20">
        <v>64276</v>
      </c>
      <c r="J233" s="20">
        <v>331</v>
      </c>
      <c r="K233" s="20" t="s">
        <v>20</v>
      </c>
      <c r="L233" s="20">
        <v>1</v>
      </c>
      <c r="M233" s="34">
        <v>-21000</v>
      </c>
      <c r="N233" s="34">
        <f t="shared" si="13"/>
        <v>-21000</v>
      </c>
      <c r="O233" s="33" t="s">
        <v>21</v>
      </c>
      <c r="P233" s="20">
        <f t="shared" si="15"/>
        <v>230</v>
      </c>
      <c r="Q233" s="20">
        <f t="shared" si="14"/>
        <v>33</v>
      </c>
    </row>
    <row r="234" spans="1:17" ht="15" customHeight="1" x14ac:dyDescent="0.2">
      <c r="A234" s="20" t="s">
        <v>18</v>
      </c>
      <c r="B234" s="63">
        <v>46015</v>
      </c>
      <c r="C234" s="20">
        <f t="shared" si="12"/>
        <v>833</v>
      </c>
      <c r="D234" s="20">
        <v>1</v>
      </c>
      <c r="G234" s="32" t="s">
        <v>115</v>
      </c>
      <c r="H234" s="20" t="s">
        <v>1590</v>
      </c>
      <c r="I234" s="20">
        <v>64276</v>
      </c>
      <c r="J234" s="20">
        <v>331</v>
      </c>
      <c r="K234" s="20" t="s">
        <v>20</v>
      </c>
      <c r="L234" s="20">
        <v>1</v>
      </c>
      <c r="M234" s="34">
        <v>-36000</v>
      </c>
      <c r="N234" s="34">
        <f t="shared" si="13"/>
        <v>-36000</v>
      </c>
      <c r="O234" s="33" t="s">
        <v>21</v>
      </c>
      <c r="P234" s="20">
        <f t="shared" si="15"/>
        <v>231</v>
      </c>
      <c r="Q234" s="20">
        <f t="shared" si="14"/>
        <v>33</v>
      </c>
    </row>
    <row r="235" spans="1:17" ht="15" customHeight="1" x14ac:dyDescent="0.2">
      <c r="A235" s="20" t="s">
        <v>18</v>
      </c>
      <c r="B235" s="63">
        <v>46015</v>
      </c>
      <c r="C235" s="20">
        <f t="shared" si="12"/>
        <v>834</v>
      </c>
      <c r="D235" s="20">
        <v>1</v>
      </c>
      <c r="G235" s="32" t="s">
        <v>115</v>
      </c>
      <c r="H235" s="20" t="s">
        <v>1591</v>
      </c>
      <c r="I235" s="20">
        <v>64276</v>
      </c>
      <c r="J235" s="20">
        <v>331</v>
      </c>
      <c r="K235" s="20" t="s">
        <v>20</v>
      </c>
      <c r="L235" s="20">
        <v>1</v>
      </c>
      <c r="M235" s="34">
        <v>-21000</v>
      </c>
      <c r="N235" s="34">
        <f t="shared" si="13"/>
        <v>-21000</v>
      </c>
      <c r="O235" s="33" t="s">
        <v>21</v>
      </c>
      <c r="P235" s="20">
        <f t="shared" si="15"/>
        <v>232</v>
      </c>
      <c r="Q235" s="20">
        <f t="shared" si="14"/>
        <v>33</v>
      </c>
    </row>
    <row r="236" spans="1:17" ht="15" customHeight="1" x14ac:dyDescent="0.2">
      <c r="A236" s="20" t="s">
        <v>18</v>
      </c>
      <c r="B236" s="63">
        <v>46016</v>
      </c>
      <c r="C236" s="20">
        <f t="shared" si="12"/>
        <v>835</v>
      </c>
      <c r="D236" s="20">
        <v>1</v>
      </c>
      <c r="G236" s="32" t="s">
        <v>115</v>
      </c>
      <c r="H236" s="20" t="s">
        <v>1592</v>
      </c>
      <c r="I236" s="20">
        <v>64276</v>
      </c>
      <c r="J236" s="20">
        <v>331</v>
      </c>
      <c r="K236" s="20" t="s">
        <v>20</v>
      </c>
      <c r="L236" s="20">
        <v>1</v>
      </c>
      <c r="M236" s="34">
        <v>28000</v>
      </c>
      <c r="N236" s="34">
        <f t="shared" si="13"/>
        <v>28000</v>
      </c>
      <c r="O236" s="33" t="s">
        <v>21</v>
      </c>
      <c r="P236" s="20">
        <f t="shared" si="15"/>
        <v>233</v>
      </c>
      <c r="Q236" s="20">
        <f t="shared" si="14"/>
        <v>32</v>
      </c>
    </row>
    <row r="237" spans="1:17" ht="15" customHeight="1" x14ac:dyDescent="0.2">
      <c r="A237" s="20" t="s">
        <v>18</v>
      </c>
      <c r="B237" s="63">
        <v>46016</v>
      </c>
      <c r="C237" s="20">
        <f t="shared" si="12"/>
        <v>836</v>
      </c>
      <c r="D237" s="20">
        <v>1</v>
      </c>
      <c r="G237" s="32" t="s">
        <v>115</v>
      </c>
      <c r="H237" s="20" t="s">
        <v>1593</v>
      </c>
      <c r="I237" s="20">
        <v>64276</v>
      </c>
      <c r="J237" s="20">
        <v>331</v>
      </c>
      <c r="K237" s="20" t="s">
        <v>20</v>
      </c>
      <c r="L237" s="20">
        <v>1</v>
      </c>
      <c r="M237" s="34">
        <v>45000</v>
      </c>
      <c r="N237" s="34">
        <f t="shared" si="13"/>
        <v>45000</v>
      </c>
      <c r="O237" s="33" t="s">
        <v>21</v>
      </c>
      <c r="P237" s="20">
        <f t="shared" si="15"/>
        <v>234</v>
      </c>
      <c r="Q237" s="20">
        <f t="shared" si="14"/>
        <v>32</v>
      </c>
    </row>
    <row r="238" spans="1:17" ht="15" customHeight="1" x14ac:dyDescent="0.2">
      <c r="A238" s="20" t="s">
        <v>18</v>
      </c>
      <c r="B238" s="63">
        <v>46016</v>
      </c>
      <c r="C238" s="20">
        <f t="shared" si="12"/>
        <v>837</v>
      </c>
      <c r="D238" s="20">
        <v>1</v>
      </c>
      <c r="G238" s="32" t="s">
        <v>115</v>
      </c>
      <c r="H238" s="20" t="s">
        <v>1594</v>
      </c>
      <c r="I238" s="20">
        <v>64276</v>
      </c>
      <c r="J238" s="20">
        <v>331</v>
      </c>
      <c r="K238" s="20" t="s">
        <v>20</v>
      </c>
      <c r="L238" s="20">
        <v>1</v>
      </c>
      <c r="M238" s="34">
        <v>131000</v>
      </c>
      <c r="N238" s="34">
        <f t="shared" si="13"/>
        <v>131000</v>
      </c>
      <c r="O238" s="33" t="s">
        <v>21</v>
      </c>
      <c r="P238" s="20">
        <f t="shared" si="15"/>
        <v>235</v>
      </c>
      <c r="Q238" s="20">
        <f t="shared" si="14"/>
        <v>32</v>
      </c>
    </row>
    <row r="239" spans="1:17" ht="15" customHeight="1" x14ac:dyDescent="0.2">
      <c r="A239" s="20" t="s">
        <v>18</v>
      </c>
      <c r="B239" s="63">
        <v>46017</v>
      </c>
      <c r="C239" s="20">
        <f t="shared" si="12"/>
        <v>838</v>
      </c>
      <c r="D239" s="20">
        <v>1</v>
      </c>
      <c r="G239" s="32" t="s">
        <v>58</v>
      </c>
      <c r="H239" s="20" t="s">
        <v>1595</v>
      </c>
      <c r="I239" s="20">
        <v>64276</v>
      </c>
      <c r="J239" s="20">
        <v>331</v>
      </c>
      <c r="K239" s="20" t="s">
        <v>20</v>
      </c>
      <c r="L239" s="20">
        <v>1</v>
      </c>
      <c r="M239" s="34">
        <v>302400</v>
      </c>
      <c r="N239" s="34">
        <f t="shared" si="13"/>
        <v>302400</v>
      </c>
      <c r="O239" s="33" t="s">
        <v>21</v>
      </c>
      <c r="P239" s="20">
        <f t="shared" si="15"/>
        <v>236</v>
      </c>
      <c r="Q239" s="20">
        <f t="shared" si="14"/>
        <v>36</v>
      </c>
    </row>
    <row r="240" spans="1:17" ht="15" customHeight="1" x14ac:dyDescent="0.2">
      <c r="A240" s="20" t="s">
        <v>18</v>
      </c>
      <c r="B240" s="63">
        <v>46017</v>
      </c>
      <c r="C240" s="20">
        <f t="shared" si="12"/>
        <v>839</v>
      </c>
      <c r="D240" s="20">
        <v>1</v>
      </c>
      <c r="G240" s="32" t="s">
        <v>115</v>
      </c>
      <c r="H240" s="20" t="s">
        <v>1596</v>
      </c>
      <c r="I240" s="20">
        <v>64276</v>
      </c>
      <c r="J240" s="20">
        <v>331</v>
      </c>
      <c r="K240" s="20" t="s">
        <v>20</v>
      </c>
      <c r="L240" s="20">
        <v>1</v>
      </c>
      <c r="M240" s="34">
        <v>28000</v>
      </c>
      <c r="N240" s="34">
        <f t="shared" si="13"/>
        <v>28000</v>
      </c>
      <c r="O240" s="33" t="s">
        <v>21</v>
      </c>
      <c r="P240" s="20">
        <f t="shared" si="15"/>
        <v>237</v>
      </c>
      <c r="Q240" s="20">
        <f t="shared" si="14"/>
        <v>32</v>
      </c>
    </row>
    <row r="241" spans="1:17" ht="15" customHeight="1" x14ac:dyDescent="0.2">
      <c r="A241" s="20" t="s">
        <v>18</v>
      </c>
      <c r="B241" s="63">
        <v>46017</v>
      </c>
      <c r="C241" s="20">
        <f t="shared" si="12"/>
        <v>840</v>
      </c>
      <c r="D241" s="20">
        <v>1</v>
      </c>
      <c r="G241" s="32" t="s">
        <v>115</v>
      </c>
      <c r="H241" s="20" t="s">
        <v>1597</v>
      </c>
      <c r="I241" s="20">
        <v>64276</v>
      </c>
      <c r="J241" s="20">
        <v>331</v>
      </c>
      <c r="K241" s="20" t="s">
        <v>20</v>
      </c>
      <c r="L241" s="20">
        <v>1</v>
      </c>
      <c r="M241" s="34">
        <v>13000</v>
      </c>
      <c r="N241" s="34">
        <f t="shared" si="13"/>
        <v>13000</v>
      </c>
      <c r="O241" s="33" t="s">
        <v>21</v>
      </c>
      <c r="P241" s="20">
        <f t="shared" si="15"/>
        <v>238</v>
      </c>
      <c r="Q241" s="20">
        <f t="shared" si="14"/>
        <v>32</v>
      </c>
    </row>
    <row r="242" spans="1:17" ht="15" customHeight="1" x14ac:dyDescent="0.2">
      <c r="A242" s="20" t="s">
        <v>18</v>
      </c>
      <c r="B242" s="63">
        <v>46017</v>
      </c>
      <c r="C242" s="20">
        <f t="shared" si="12"/>
        <v>841</v>
      </c>
      <c r="D242" s="20">
        <v>1</v>
      </c>
      <c r="G242" s="32" t="s">
        <v>115</v>
      </c>
      <c r="H242" s="20" t="s">
        <v>1598</v>
      </c>
      <c r="I242" s="20">
        <v>64276</v>
      </c>
      <c r="J242" s="20">
        <v>331</v>
      </c>
      <c r="K242" s="20" t="s">
        <v>20</v>
      </c>
      <c r="L242" s="20">
        <v>1</v>
      </c>
      <c r="M242" s="34">
        <v>32000</v>
      </c>
      <c r="N242" s="34">
        <f t="shared" si="13"/>
        <v>32000</v>
      </c>
      <c r="O242" s="33" t="s">
        <v>21</v>
      </c>
      <c r="P242" s="20">
        <f t="shared" si="15"/>
        <v>239</v>
      </c>
      <c r="Q242" s="20">
        <f t="shared" si="14"/>
        <v>32</v>
      </c>
    </row>
    <row r="243" spans="1:17" ht="15" customHeight="1" x14ac:dyDescent="0.2">
      <c r="A243" s="20" t="s">
        <v>18</v>
      </c>
      <c r="B243" s="63">
        <v>46017</v>
      </c>
      <c r="C243" s="20">
        <f t="shared" si="12"/>
        <v>842</v>
      </c>
      <c r="D243" s="20">
        <v>1</v>
      </c>
      <c r="G243" s="32" t="s">
        <v>115</v>
      </c>
      <c r="H243" s="20" t="s">
        <v>1599</v>
      </c>
      <c r="I243" s="20">
        <v>64276</v>
      </c>
      <c r="J243" s="20">
        <v>331</v>
      </c>
      <c r="K243" s="20" t="s">
        <v>20</v>
      </c>
      <c r="L243" s="20">
        <v>1</v>
      </c>
      <c r="M243" s="34">
        <v>29000</v>
      </c>
      <c r="N243" s="34">
        <f t="shared" si="13"/>
        <v>29000</v>
      </c>
      <c r="O243" s="33" t="s">
        <v>21</v>
      </c>
      <c r="P243" s="20">
        <f t="shared" si="15"/>
        <v>240</v>
      </c>
      <c r="Q243" s="20">
        <f t="shared" si="14"/>
        <v>32</v>
      </c>
    </row>
    <row r="244" spans="1:17" ht="15" customHeight="1" x14ac:dyDescent="0.2">
      <c r="A244" s="20" t="s">
        <v>18</v>
      </c>
      <c r="B244" s="63">
        <v>46017</v>
      </c>
      <c r="C244" s="20">
        <f t="shared" si="12"/>
        <v>843</v>
      </c>
      <c r="D244" s="20">
        <v>1</v>
      </c>
      <c r="G244" s="32" t="s">
        <v>115</v>
      </c>
      <c r="H244" s="20" t="s">
        <v>1600</v>
      </c>
      <c r="I244" s="20">
        <v>64276</v>
      </c>
      <c r="J244" s="20">
        <v>331</v>
      </c>
      <c r="K244" s="20" t="s">
        <v>20</v>
      </c>
      <c r="L244" s="20">
        <v>1</v>
      </c>
      <c r="M244" s="34">
        <v>87000</v>
      </c>
      <c r="N244" s="34">
        <f t="shared" si="13"/>
        <v>87000</v>
      </c>
      <c r="O244" s="33" t="s">
        <v>21</v>
      </c>
      <c r="P244" s="20">
        <f t="shared" si="15"/>
        <v>241</v>
      </c>
      <c r="Q244" s="20">
        <f t="shared" si="14"/>
        <v>32</v>
      </c>
    </row>
    <row r="245" spans="1:17" ht="15" customHeight="1" x14ac:dyDescent="0.2">
      <c r="A245" s="20" t="s">
        <v>18</v>
      </c>
      <c r="B245" s="63">
        <v>46017</v>
      </c>
      <c r="C245" s="20">
        <f t="shared" si="12"/>
        <v>844</v>
      </c>
      <c r="D245" s="20">
        <v>1</v>
      </c>
      <c r="G245" s="32" t="s">
        <v>115</v>
      </c>
      <c r="H245" s="20" t="s">
        <v>1601</v>
      </c>
      <c r="I245" s="20">
        <v>64276</v>
      </c>
      <c r="J245" s="20">
        <v>331</v>
      </c>
      <c r="K245" s="20" t="s">
        <v>20</v>
      </c>
      <c r="L245" s="20">
        <v>1</v>
      </c>
      <c r="M245" s="34">
        <v>64000</v>
      </c>
      <c r="N245" s="34">
        <f t="shared" si="13"/>
        <v>64000</v>
      </c>
      <c r="O245" s="33" t="s">
        <v>21</v>
      </c>
      <c r="P245" s="20">
        <f t="shared" si="15"/>
        <v>242</v>
      </c>
      <c r="Q245" s="20">
        <f t="shared" si="14"/>
        <v>32</v>
      </c>
    </row>
    <row r="246" spans="1:17" ht="15" customHeight="1" x14ac:dyDescent="0.2">
      <c r="A246" s="20" t="s">
        <v>18</v>
      </c>
      <c r="B246" s="63">
        <v>46017</v>
      </c>
      <c r="C246" s="20">
        <f t="shared" si="12"/>
        <v>845</v>
      </c>
      <c r="D246" s="20">
        <v>1</v>
      </c>
      <c r="G246" s="32" t="s">
        <v>115</v>
      </c>
      <c r="H246" s="20" t="s">
        <v>1602</v>
      </c>
      <c r="I246" s="20">
        <v>64276</v>
      </c>
      <c r="J246" s="20">
        <v>331</v>
      </c>
      <c r="K246" s="20" t="s">
        <v>20</v>
      </c>
      <c r="L246" s="20">
        <v>1</v>
      </c>
      <c r="M246" s="34">
        <v>30000</v>
      </c>
      <c r="N246" s="34">
        <f t="shared" si="13"/>
        <v>30000</v>
      </c>
      <c r="O246" s="33" t="s">
        <v>21</v>
      </c>
      <c r="P246" s="20">
        <f t="shared" si="15"/>
        <v>243</v>
      </c>
      <c r="Q246" s="20">
        <f t="shared" si="14"/>
        <v>32</v>
      </c>
    </row>
    <row r="247" spans="1:17" ht="15" customHeight="1" x14ac:dyDescent="0.2">
      <c r="A247" s="20" t="s">
        <v>18</v>
      </c>
      <c r="B247" s="63">
        <v>46018</v>
      </c>
      <c r="C247" s="20">
        <f t="shared" si="12"/>
        <v>846</v>
      </c>
      <c r="D247" s="20">
        <v>1</v>
      </c>
      <c r="G247" s="32" t="s">
        <v>115</v>
      </c>
      <c r="H247" s="20" t="s">
        <v>1603</v>
      </c>
      <c r="I247" s="20">
        <v>64276</v>
      </c>
      <c r="J247" s="20">
        <v>331</v>
      </c>
      <c r="K247" s="20" t="s">
        <v>20</v>
      </c>
      <c r="L247" s="20">
        <v>1</v>
      </c>
      <c r="M247" s="34">
        <v>46000</v>
      </c>
      <c r="N247" s="34">
        <f t="shared" si="13"/>
        <v>46000</v>
      </c>
      <c r="O247" s="33" t="s">
        <v>21</v>
      </c>
      <c r="P247" s="20">
        <f t="shared" si="15"/>
        <v>244</v>
      </c>
      <c r="Q247" s="20">
        <f t="shared" si="14"/>
        <v>32</v>
      </c>
    </row>
    <row r="248" spans="1:17" ht="15" customHeight="1" x14ac:dyDescent="0.2">
      <c r="A248" s="20" t="s">
        <v>18</v>
      </c>
      <c r="B248" s="63">
        <v>46018</v>
      </c>
      <c r="C248" s="20">
        <f t="shared" si="12"/>
        <v>847</v>
      </c>
      <c r="D248" s="20">
        <v>1</v>
      </c>
      <c r="G248" s="32" t="s">
        <v>115</v>
      </c>
      <c r="H248" s="20" t="s">
        <v>1604</v>
      </c>
      <c r="I248" s="20">
        <v>64276</v>
      </c>
      <c r="J248" s="20">
        <v>331</v>
      </c>
      <c r="K248" s="20" t="s">
        <v>20</v>
      </c>
      <c r="L248" s="20">
        <v>1</v>
      </c>
      <c r="M248" s="34">
        <v>51000</v>
      </c>
      <c r="N248" s="34">
        <f t="shared" si="13"/>
        <v>51000</v>
      </c>
      <c r="O248" s="33" t="s">
        <v>21</v>
      </c>
      <c r="P248" s="20">
        <f t="shared" si="15"/>
        <v>245</v>
      </c>
      <c r="Q248" s="20">
        <f t="shared" si="14"/>
        <v>32</v>
      </c>
    </row>
    <row r="249" spans="1:17" ht="15" customHeight="1" x14ac:dyDescent="0.2">
      <c r="A249" s="20" t="s">
        <v>18</v>
      </c>
      <c r="B249" s="63" t="s">
        <v>1930</v>
      </c>
      <c r="C249" s="20">
        <f t="shared" si="12"/>
        <v>848</v>
      </c>
      <c r="D249" s="20">
        <v>1</v>
      </c>
      <c r="G249" s="32" t="s">
        <v>115</v>
      </c>
      <c r="H249" s="20" t="s">
        <v>2623</v>
      </c>
      <c r="I249" s="20">
        <v>64276</v>
      </c>
      <c r="J249" s="20">
        <v>331</v>
      </c>
      <c r="K249" s="20" t="s">
        <v>20</v>
      </c>
      <c r="L249" s="20">
        <v>1</v>
      </c>
      <c r="M249" s="34">
        <v>30000</v>
      </c>
      <c r="N249" s="34">
        <f t="shared" si="13"/>
        <v>30000</v>
      </c>
      <c r="O249" s="33" t="s">
        <v>21</v>
      </c>
      <c r="P249" s="20">
        <f t="shared" si="15"/>
        <v>246</v>
      </c>
      <c r="Q249" s="20">
        <f t="shared" si="14"/>
        <v>32</v>
      </c>
    </row>
    <row r="250" spans="1:17" ht="15" customHeight="1" x14ac:dyDescent="0.2">
      <c r="A250" s="20" t="s">
        <v>18</v>
      </c>
      <c r="B250" s="63" t="s">
        <v>1930</v>
      </c>
      <c r="C250" s="20">
        <f t="shared" si="12"/>
        <v>849</v>
      </c>
      <c r="D250" s="20">
        <v>1</v>
      </c>
      <c r="G250" s="32" t="s">
        <v>115</v>
      </c>
      <c r="H250" s="20" t="s">
        <v>2624</v>
      </c>
      <c r="I250" s="20">
        <v>64276</v>
      </c>
      <c r="J250" s="20">
        <v>331</v>
      </c>
      <c r="K250" s="20" t="s">
        <v>20</v>
      </c>
      <c r="L250" s="20">
        <v>1</v>
      </c>
      <c r="M250" s="34">
        <v>27000</v>
      </c>
      <c r="N250" s="34">
        <f t="shared" si="13"/>
        <v>27000</v>
      </c>
      <c r="O250" s="33" t="s">
        <v>21</v>
      </c>
      <c r="P250" s="20">
        <f t="shared" si="15"/>
        <v>247</v>
      </c>
      <c r="Q250" s="20">
        <f t="shared" si="14"/>
        <v>32</v>
      </c>
    </row>
    <row r="251" spans="1:17" ht="15" customHeight="1" x14ac:dyDescent="0.2">
      <c r="A251" s="20" t="s">
        <v>18</v>
      </c>
      <c r="B251" s="63" t="s">
        <v>1930</v>
      </c>
      <c r="C251" s="20">
        <f t="shared" si="12"/>
        <v>850</v>
      </c>
      <c r="D251" s="20">
        <v>1</v>
      </c>
      <c r="G251" s="32" t="s">
        <v>115</v>
      </c>
      <c r="H251" s="20" t="s">
        <v>2625</v>
      </c>
      <c r="I251" s="20">
        <v>64276</v>
      </c>
      <c r="J251" s="20">
        <v>331</v>
      </c>
      <c r="K251" s="20" t="s">
        <v>20</v>
      </c>
      <c r="L251" s="20">
        <v>1</v>
      </c>
      <c r="M251" s="34">
        <v>43000</v>
      </c>
      <c r="N251" s="34">
        <f t="shared" si="13"/>
        <v>43000</v>
      </c>
      <c r="O251" s="33" t="s">
        <v>21</v>
      </c>
      <c r="P251" s="20">
        <f t="shared" si="15"/>
        <v>248</v>
      </c>
      <c r="Q251" s="20">
        <f t="shared" si="14"/>
        <v>32</v>
      </c>
    </row>
    <row r="252" spans="1:17" ht="15" customHeight="1" x14ac:dyDescent="0.2">
      <c r="A252" s="20" t="s">
        <v>18</v>
      </c>
      <c r="B252" s="63" t="s">
        <v>1930</v>
      </c>
      <c r="C252" s="20">
        <f t="shared" si="12"/>
        <v>851</v>
      </c>
      <c r="D252" s="20">
        <v>1</v>
      </c>
      <c r="G252" s="32" t="s">
        <v>124</v>
      </c>
      <c r="H252" s="20" t="s">
        <v>2637</v>
      </c>
      <c r="I252" s="20">
        <v>64277</v>
      </c>
      <c r="J252" s="20">
        <v>331</v>
      </c>
      <c r="K252" s="20" t="s">
        <v>20</v>
      </c>
      <c r="L252" s="20">
        <v>1</v>
      </c>
      <c r="M252" s="34">
        <v>3112620</v>
      </c>
      <c r="N252" s="34">
        <f t="shared" si="13"/>
        <v>3112620</v>
      </c>
      <c r="O252" s="33" t="s">
        <v>21</v>
      </c>
      <c r="P252" s="20">
        <f t="shared" si="15"/>
        <v>249</v>
      </c>
      <c r="Q252" s="20">
        <f t="shared" si="14"/>
        <v>41</v>
      </c>
    </row>
    <row r="253" spans="1:17" ht="15" customHeight="1" x14ac:dyDescent="0.2">
      <c r="A253" s="20" t="s">
        <v>18</v>
      </c>
      <c r="B253" s="63" t="s">
        <v>1930</v>
      </c>
      <c r="C253" s="20">
        <f t="shared" si="12"/>
        <v>852</v>
      </c>
      <c r="D253" s="20">
        <v>1</v>
      </c>
      <c r="G253" s="32" t="s">
        <v>2373</v>
      </c>
      <c r="H253" s="20" t="s">
        <v>2638</v>
      </c>
      <c r="I253" s="20">
        <v>64276</v>
      </c>
      <c r="J253" s="20">
        <v>331</v>
      </c>
      <c r="K253" s="20" t="s">
        <v>20</v>
      </c>
      <c r="L253" s="20">
        <v>1</v>
      </c>
      <c r="M253" s="34">
        <v>5610000</v>
      </c>
      <c r="N253" s="34">
        <f t="shared" si="13"/>
        <v>5610000</v>
      </c>
      <c r="O253" s="33" t="s">
        <v>21</v>
      </c>
      <c r="P253" s="20">
        <f t="shared" si="15"/>
        <v>250</v>
      </c>
      <c r="Q253" s="20">
        <f t="shared" si="14"/>
        <v>36</v>
      </c>
    </row>
    <row r="254" spans="1:17" ht="15" customHeight="1" x14ac:dyDescent="0.2">
      <c r="A254" s="20" t="s">
        <v>18</v>
      </c>
      <c r="B254" s="63" t="s">
        <v>1930</v>
      </c>
      <c r="C254" s="20">
        <f t="shared" si="12"/>
        <v>853</v>
      </c>
      <c r="D254" s="20">
        <v>1</v>
      </c>
      <c r="G254" s="32" t="s">
        <v>281</v>
      </c>
      <c r="H254" s="20" t="s">
        <v>2639</v>
      </c>
      <c r="I254" s="20">
        <v>64276</v>
      </c>
      <c r="J254" s="20">
        <v>331</v>
      </c>
      <c r="K254" s="20" t="s">
        <v>20</v>
      </c>
      <c r="L254" s="20">
        <v>1</v>
      </c>
      <c r="M254" s="34">
        <v>2160000</v>
      </c>
      <c r="N254" s="34">
        <f t="shared" si="13"/>
        <v>2160000</v>
      </c>
      <c r="O254" s="33" t="s">
        <v>21</v>
      </c>
      <c r="P254" s="20">
        <f t="shared" si="15"/>
        <v>251</v>
      </c>
      <c r="Q254" s="20">
        <f t="shared" si="14"/>
        <v>37</v>
      </c>
    </row>
    <row r="255" spans="1:17" ht="15" customHeight="1" x14ac:dyDescent="0.2">
      <c r="A255" s="20" t="s">
        <v>18</v>
      </c>
      <c r="B255" s="63" t="s">
        <v>2561</v>
      </c>
      <c r="C255" s="20">
        <f t="shared" si="12"/>
        <v>854</v>
      </c>
      <c r="D255" s="20">
        <v>1</v>
      </c>
      <c r="G255" s="32" t="s">
        <v>115</v>
      </c>
      <c r="H255" s="20" t="s">
        <v>2626</v>
      </c>
      <c r="I255" s="20">
        <v>64276</v>
      </c>
      <c r="J255" s="20">
        <v>331</v>
      </c>
      <c r="K255" s="20" t="s">
        <v>20</v>
      </c>
      <c r="L255" s="20">
        <v>1</v>
      </c>
      <c r="M255" s="34">
        <v>39000</v>
      </c>
      <c r="N255" s="34">
        <f t="shared" si="13"/>
        <v>39000</v>
      </c>
      <c r="O255" s="33" t="s">
        <v>21</v>
      </c>
      <c r="P255" s="20">
        <f t="shared" si="15"/>
        <v>252</v>
      </c>
      <c r="Q255" s="20">
        <f t="shared" si="14"/>
        <v>32</v>
      </c>
    </row>
    <row r="256" spans="1:17" ht="15" customHeight="1" x14ac:dyDescent="0.2">
      <c r="A256" s="20" t="s">
        <v>18</v>
      </c>
      <c r="B256" s="63" t="s">
        <v>2561</v>
      </c>
      <c r="C256" s="20">
        <f t="shared" si="12"/>
        <v>855</v>
      </c>
      <c r="D256" s="20">
        <v>1</v>
      </c>
      <c r="G256" s="32" t="s">
        <v>115</v>
      </c>
      <c r="H256" s="20" t="s">
        <v>2627</v>
      </c>
      <c r="I256" s="20">
        <v>64276</v>
      </c>
      <c r="J256" s="20">
        <v>331</v>
      </c>
      <c r="K256" s="20" t="s">
        <v>20</v>
      </c>
      <c r="L256" s="20">
        <v>1</v>
      </c>
      <c r="M256" s="34">
        <v>21000</v>
      </c>
      <c r="N256" s="34">
        <f t="shared" si="13"/>
        <v>21000</v>
      </c>
      <c r="O256" s="33" t="s">
        <v>21</v>
      </c>
      <c r="P256" s="20">
        <f t="shared" si="15"/>
        <v>253</v>
      </c>
      <c r="Q256" s="20">
        <f t="shared" si="14"/>
        <v>32</v>
      </c>
    </row>
    <row r="257" spans="1:17" ht="15" customHeight="1" x14ac:dyDescent="0.2">
      <c r="A257" s="20" t="s">
        <v>18</v>
      </c>
      <c r="B257" s="63" t="s">
        <v>2561</v>
      </c>
      <c r="C257" s="20">
        <f t="shared" si="12"/>
        <v>856</v>
      </c>
      <c r="D257" s="20">
        <v>1</v>
      </c>
      <c r="G257" s="32" t="s">
        <v>115</v>
      </c>
      <c r="H257" s="20" t="s">
        <v>2628</v>
      </c>
      <c r="I257" s="20">
        <v>64276</v>
      </c>
      <c r="J257" s="20">
        <v>331</v>
      </c>
      <c r="K257" s="20" t="s">
        <v>20</v>
      </c>
      <c r="L257" s="20">
        <v>1</v>
      </c>
      <c r="M257" s="34">
        <v>21000</v>
      </c>
      <c r="N257" s="34">
        <f t="shared" si="13"/>
        <v>21000</v>
      </c>
      <c r="O257" s="33" t="s">
        <v>21</v>
      </c>
      <c r="P257" s="20">
        <f t="shared" si="15"/>
        <v>254</v>
      </c>
      <c r="Q257" s="20">
        <f t="shared" si="14"/>
        <v>32</v>
      </c>
    </row>
    <row r="258" spans="1:17" ht="15" customHeight="1" x14ac:dyDescent="0.2">
      <c r="A258" s="20" t="s">
        <v>18</v>
      </c>
      <c r="B258" s="63" t="s">
        <v>2382</v>
      </c>
      <c r="C258" s="20">
        <f t="shared" si="12"/>
        <v>857</v>
      </c>
      <c r="D258" s="20">
        <v>1</v>
      </c>
      <c r="G258" s="32" t="s">
        <v>115</v>
      </c>
      <c r="H258" s="20" t="s">
        <v>2629</v>
      </c>
      <c r="I258" s="20">
        <v>64276</v>
      </c>
      <c r="J258" s="20">
        <v>331</v>
      </c>
      <c r="K258" s="20" t="s">
        <v>20</v>
      </c>
      <c r="L258" s="20">
        <v>1</v>
      </c>
      <c r="M258" s="34">
        <v>30000</v>
      </c>
      <c r="N258" s="34">
        <f t="shared" si="13"/>
        <v>30000</v>
      </c>
      <c r="O258" s="33" t="s">
        <v>21</v>
      </c>
      <c r="P258" s="20">
        <f t="shared" si="15"/>
        <v>255</v>
      </c>
      <c r="Q258" s="20">
        <f t="shared" si="14"/>
        <v>32</v>
      </c>
    </row>
    <row r="259" spans="1:17" ht="15" customHeight="1" x14ac:dyDescent="0.2">
      <c r="A259" s="20" t="s">
        <v>18</v>
      </c>
      <c r="B259" s="63" t="s">
        <v>2382</v>
      </c>
      <c r="C259" s="20">
        <f t="shared" si="12"/>
        <v>858</v>
      </c>
      <c r="D259" s="20">
        <v>1</v>
      </c>
      <c r="G259" s="32" t="s">
        <v>115</v>
      </c>
      <c r="H259" s="20" t="s">
        <v>2630</v>
      </c>
      <c r="I259" s="20">
        <v>64276</v>
      </c>
      <c r="J259" s="20">
        <v>331</v>
      </c>
      <c r="K259" s="20" t="s">
        <v>20</v>
      </c>
      <c r="L259" s="20">
        <v>1</v>
      </c>
      <c r="M259" s="34">
        <v>19000</v>
      </c>
      <c r="N259" s="34">
        <f t="shared" si="13"/>
        <v>19000</v>
      </c>
      <c r="O259" s="33" t="s">
        <v>21</v>
      </c>
      <c r="P259" s="20">
        <f t="shared" si="15"/>
        <v>256</v>
      </c>
      <c r="Q259" s="20">
        <f t="shared" si="14"/>
        <v>32</v>
      </c>
    </row>
    <row r="260" spans="1:17" ht="15" customHeight="1" x14ac:dyDescent="0.2">
      <c r="A260" s="20" t="s">
        <v>18</v>
      </c>
      <c r="B260" s="63" t="s">
        <v>2382</v>
      </c>
      <c r="C260" s="20">
        <f t="shared" ref="C260:C293" si="16">C259+D260</f>
        <v>859</v>
      </c>
      <c r="D260" s="20">
        <v>1</v>
      </c>
      <c r="G260" s="32" t="s">
        <v>115</v>
      </c>
      <c r="H260" s="20" t="s">
        <v>2631</v>
      </c>
      <c r="I260" s="20">
        <v>64276</v>
      </c>
      <c r="J260" s="20">
        <v>331</v>
      </c>
      <c r="K260" s="20" t="s">
        <v>20</v>
      </c>
      <c r="L260" s="20">
        <v>1</v>
      </c>
      <c r="M260" s="34">
        <v>35000</v>
      </c>
      <c r="N260" s="34">
        <f t="shared" ref="N260:N323" si="17">L260*M260</f>
        <v>35000</v>
      </c>
      <c r="O260" s="33" t="s">
        <v>21</v>
      </c>
      <c r="P260" s="20">
        <f t="shared" si="15"/>
        <v>257</v>
      </c>
      <c r="Q260" s="20">
        <f t="shared" si="14"/>
        <v>32</v>
      </c>
    </row>
    <row r="261" spans="1:17" ht="15" customHeight="1" x14ac:dyDescent="0.2">
      <c r="A261" s="20" t="s">
        <v>18</v>
      </c>
      <c r="B261" s="63" t="s">
        <v>2504</v>
      </c>
      <c r="C261" s="20">
        <f t="shared" si="16"/>
        <v>860</v>
      </c>
      <c r="D261" s="20">
        <v>1</v>
      </c>
      <c r="G261" s="32" t="s">
        <v>115</v>
      </c>
      <c r="H261" s="20" t="s">
        <v>2632</v>
      </c>
      <c r="I261" s="20">
        <v>64276</v>
      </c>
      <c r="J261" s="20">
        <v>331</v>
      </c>
      <c r="K261" s="20" t="s">
        <v>20</v>
      </c>
      <c r="L261" s="20">
        <v>1</v>
      </c>
      <c r="M261" s="34">
        <v>25000</v>
      </c>
      <c r="N261" s="34">
        <f t="shared" si="17"/>
        <v>25000</v>
      </c>
      <c r="O261" s="33" t="s">
        <v>21</v>
      </c>
      <c r="P261" s="20">
        <f t="shared" si="15"/>
        <v>258</v>
      </c>
      <c r="Q261" s="20">
        <f t="shared" ref="Q261:Q325" si="18">LEN(H261)</f>
        <v>32</v>
      </c>
    </row>
    <row r="262" spans="1:17" ht="15" customHeight="1" x14ac:dyDescent="0.2">
      <c r="A262" s="20" t="s">
        <v>18</v>
      </c>
      <c r="B262" s="63" t="s">
        <v>2504</v>
      </c>
      <c r="C262" s="20">
        <f t="shared" si="16"/>
        <v>861</v>
      </c>
      <c r="D262" s="20">
        <v>1</v>
      </c>
      <c r="G262" s="32" t="s">
        <v>115</v>
      </c>
      <c r="H262" s="20" t="s">
        <v>2633</v>
      </c>
      <c r="I262" s="20">
        <v>64276</v>
      </c>
      <c r="J262" s="20">
        <v>331</v>
      </c>
      <c r="K262" s="20" t="s">
        <v>20</v>
      </c>
      <c r="L262" s="20">
        <v>1</v>
      </c>
      <c r="M262" s="34">
        <v>22000</v>
      </c>
      <c r="N262" s="34">
        <f t="shared" si="17"/>
        <v>22000</v>
      </c>
      <c r="O262" s="33" t="s">
        <v>21</v>
      </c>
      <c r="P262" s="20">
        <f t="shared" ref="P262:P325" si="19">P261+D262</f>
        <v>259</v>
      </c>
      <c r="Q262" s="20">
        <f t="shared" si="18"/>
        <v>32</v>
      </c>
    </row>
    <row r="263" spans="1:17" ht="15" customHeight="1" x14ac:dyDescent="0.2">
      <c r="A263" s="20" t="s">
        <v>18</v>
      </c>
      <c r="B263" s="63" t="s">
        <v>2504</v>
      </c>
      <c r="C263" s="20">
        <f t="shared" si="16"/>
        <v>862</v>
      </c>
      <c r="D263" s="20">
        <v>1</v>
      </c>
      <c r="G263" s="32" t="s">
        <v>1024</v>
      </c>
      <c r="H263" s="20" t="s">
        <v>2640</v>
      </c>
      <c r="I263" s="20">
        <v>64276</v>
      </c>
      <c r="J263" s="20">
        <v>331</v>
      </c>
      <c r="K263" s="20" t="s">
        <v>20</v>
      </c>
      <c r="L263" s="20">
        <v>1</v>
      </c>
      <c r="M263" s="34">
        <v>12340000</v>
      </c>
      <c r="N263" s="34">
        <f t="shared" si="17"/>
        <v>12340000</v>
      </c>
      <c r="O263" s="33" t="s">
        <v>21</v>
      </c>
      <c r="P263" s="20">
        <f t="shared" si="19"/>
        <v>260</v>
      </c>
      <c r="Q263" s="20">
        <f t="shared" si="18"/>
        <v>40</v>
      </c>
    </row>
    <row r="264" spans="1:17" ht="15" customHeight="1" x14ac:dyDescent="0.2">
      <c r="A264" s="20" t="s">
        <v>18</v>
      </c>
      <c r="B264" s="63" t="s">
        <v>2513</v>
      </c>
      <c r="C264" s="20">
        <f t="shared" si="16"/>
        <v>863</v>
      </c>
      <c r="D264" s="20">
        <v>1</v>
      </c>
      <c r="G264" s="32" t="s">
        <v>115</v>
      </c>
      <c r="H264" s="20" t="s">
        <v>2634</v>
      </c>
      <c r="I264" s="20">
        <v>64276</v>
      </c>
      <c r="J264" s="20">
        <v>331</v>
      </c>
      <c r="K264" s="20" t="s">
        <v>20</v>
      </c>
      <c r="L264" s="20">
        <v>1</v>
      </c>
      <c r="M264" s="34">
        <v>37000</v>
      </c>
      <c r="N264" s="34">
        <f t="shared" si="17"/>
        <v>37000</v>
      </c>
      <c r="O264" s="33" t="s">
        <v>21</v>
      </c>
      <c r="P264" s="20">
        <f t="shared" si="19"/>
        <v>261</v>
      </c>
      <c r="Q264" s="20">
        <f t="shared" si="18"/>
        <v>32</v>
      </c>
    </row>
    <row r="265" spans="1:17" ht="15" customHeight="1" x14ac:dyDescent="0.2">
      <c r="A265" s="20" t="s">
        <v>18</v>
      </c>
      <c r="B265" s="63" t="s">
        <v>2513</v>
      </c>
      <c r="C265" s="20">
        <f t="shared" si="16"/>
        <v>864</v>
      </c>
      <c r="D265" s="20">
        <v>1</v>
      </c>
      <c r="G265" s="32" t="s">
        <v>115</v>
      </c>
      <c r="H265" s="20" t="s">
        <v>2635</v>
      </c>
      <c r="I265" s="20">
        <v>64276</v>
      </c>
      <c r="J265" s="20">
        <v>331</v>
      </c>
      <c r="K265" s="20" t="s">
        <v>20</v>
      </c>
      <c r="L265" s="20">
        <v>1</v>
      </c>
      <c r="M265" s="34">
        <v>29000</v>
      </c>
      <c r="N265" s="34">
        <f t="shared" si="17"/>
        <v>29000</v>
      </c>
      <c r="O265" s="33" t="s">
        <v>21</v>
      </c>
      <c r="P265" s="20">
        <f t="shared" si="19"/>
        <v>262</v>
      </c>
      <c r="Q265" s="20">
        <f t="shared" si="18"/>
        <v>32</v>
      </c>
    </row>
    <row r="266" spans="1:17" ht="15" customHeight="1" x14ac:dyDescent="0.2">
      <c r="A266" s="20" t="s">
        <v>18</v>
      </c>
      <c r="B266" s="63" t="s">
        <v>2513</v>
      </c>
      <c r="C266" s="20">
        <f t="shared" si="16"/>
        <v>865</v>
      </c>
      <c r="D266" s="20">
        <v>1</v>
      </c>
      <c r="G266" s="32" t="s">
        <v>115</v>
      </c>
      <c r="H266" s="20" t="s">
        <v>2636</v>
      </c>
      <c r="I266" s="20">
        <v>64276</v>
      </c>
      <c r="J266" s="20">
        <v>331</v>
      </c>
      <c r="K266" s="20" t="s">
        <v>20</v>
      </c>
      <c r="L266" s="20">
        <v>1</v>
      </c>
      <c r="M266" s="34">
        <v>80000</v>
      </c>
      <c r="N266" s="34">
        <f t="shared" si="17"/>
        <v>80000</v>
      </c>
      <c r="O266" s="33" t="s">
        <v>21</v>
      </c>
      <c r="P266" s="20">
        <f t="shared" si="19"/>
        <v>263</v>
      </c>
      <c r="Q266" s="20">
        <f t="shared" si="18"/>
        <v>32</v>
      </c>
    </row>
    <row r="267" spans="1:17" ht="15" customHeight="1" x14ac:dyDescent="0.2">
      <c r="A267" s="20" t="s">
        <v>18</v>
      </c>
      <c r="B267" s="63">
        <v>45931</v>
      </c>
      <c r="C267" s="20">
        <f t="shared" si="16"/>
        <v>866</v>
      </c>
      <c r="D267" s="20">
        <v>1</v>
      </c>
      <c r="G267" s="20" t="s">
        <v>130</v>
      </c>
      <c r="H267" s="37" t="s">
        <v>1328</v>
      </c>
      <c r="I267" s="38">
        <v>131</v>
      </c>
      <c r="J267" s="38">
        <v>5113</v>
      </c>
      <c r="K267" s="20" t="s">
        <v>20</v>
      </c>
      <c r="L267" s="20">
        <v>1</v>
      </c>
      <c r="M267" s="34">
        <v>56989247</v>
      </c>
      <c r="N267" s="34">
        <f t="shared" si="17"/>
        <v>56989247</v>
      </c>
      <c r="O267" s="33" t="s">
        <v>21</v>
      </c>
      <c r="P267" s="20">
        <f t="shared" si="19"/>
        <v>264</v>
      </c>
      <c r="Q267" s="20">
        <f t="shared" si="18"/>
        <v>125</v>
      </c>
    </row>
    <row r="268" spans="1:17" ht="15" customHeight="1" x14ac:dyDescent="0.2">
      <c r="A268" s="20" t="s">
        <v>18</v>
      </c>
      <c r="B268" s="63">
        <v>45931</v>
      </c>
      <c r="C268" s="20">
        <f t="shared" si="16"/>
        <v>866</v>
      </c>
      <c r="D268" s="20">
        <v>0</v>
      </c>
      <c r="G268" s="20" t="s">
        <v>130</v>
      </c>
      <c r="H268" s="37" t="s">
        <v>1337</v>
      </c>
      <c r="I268" s="38">
        <v>333821</v>
      </c>
      <c r="J268" s="38">
        <v>131</v>
      </c>
      <c r="K268" s="20" t="s">
        <v>20</v>
      </c>
      <c r="L268" s="20">
        <v>1</v>
      </c>
      <c r="M268" s="34">
        <v>569892</v>
      </c>
      <c r="N268" s="34">
        <f t="shared" si="17"/>
        <v>569892</v>
      </c>
      <c r="O268" s="33" t="s">
        <v>21</v>
      </c>
      <c r="P268" s="20">
        <f t="shared" si="19"/>
        <v>264</v>
      </c>
      <c r="Q268" s="20">
        <f t="shared" si="18"/>
        <v>141</v>
      </c>
    </row>
    <row r="269" spans="1:17" ht="15" customHeight="1" x14ac:dyDescent="0.2">
      <c r="A269" s="20" t="s">
        <v>18</v>
      </c>
      <c r="B269" s="63">
        <v>45931</v>
      </c>
      <c r="C269" s="20">
        <f t="shared" si="16"/>
        <v>867</v>
      </c>
      <c r="D269" s="20">
        <v>1</v>
      </c>
      <c r="G269" s="20" t="s">
        <v>66</v>
      </c>
      <c r="H269" s="37" t="s">
        <v>1329</v>
      </c>
      <c r="I269" s="38">
        <v>131</v>
      </c>
      <c r="J269" s="38">
        <v>5113</v>
      </c>
      <c r="K269" s="20" t="s">
        <v>20</v>
      </c>
      <c r="L269" s="20">
        <v>1</v>
      </c>
      <c r="M269" s="34">
        <v>28494623</v>
      </c>
      <c r="N269" s="34">
        <f t="shared" si="17"/>
        <v>28494623</v>
      </c>
      <c r="O269" s="33" t="s">
        <v>21</v>
      </c>
      <c r="P269" s="20">
        <f t="shared" si="19"/>
        <v>265</v>
      </c>
      <c r="Q269" s="20">
        <f t="shared" si="18"/>
        <v>128</v>
      </c>
    </row>
    <row r="270" spans="1:17" ht="15" customHeight="1" x14ac:dyDescent="0.2">
      <c r="A270" s="20" t="s">
        <v>18</v>
      </c>
      <c r="B270" s="63">
        <v>45931</v>
      </c>
      <c r="C270" s="20">
        <f t="shared" si="16"/>
        <v>867</v>
      </c>
      <c r="D270" s="20">
        <v>0</v>
      </c>
      <c r="G270" s="20" t="s">
        <v>66</v>
      </c>
      <c r="H270" s="37" t="s">
        <v>1338</v>
      </c>
      <c r="I270" s="38">
        <v>333821</v>
      </c>
      <c r="J270" s="38">
        <v>131</v>
      </c>
      <c r="K270" s="20" t="s">
        <v>20</v>
      </c>
      <c r="L270" s="20">
        <v>1</v>
      </c>
      <c r="M270" s="34">
        <v>284946</v>
      </c>
      <c r="N270" s="34">
        <f t="shared" si="17"/>
        <v>284946</v>
      </c>
      <c r="O270" s="33" t="s">
        <v>21</v>
      </c>
      <c r="P270" s="20">
        <f t="shared" si="19"/>
        <v>265</v>
      </c>
      <c r="Q270" s="20">
        <f t="shared" si="18"/>
        <v>144</v>
      </c>
    </row>
    <row r="271" spans="1:17" ht="15" customHeight="1" x14ac:dyDescent="0.2">
      <c r="A271" s="20" t="s">
        <v>18</v>
      </c>
      <c r="B271" s="63">
        <v>45940</v>
      </c>
      <c r="C271" s="20">
        <f t="shared" si="16"/>
        <v>868</v>
      </c>
      <c r="D271" s="20">
        <v>1</v>
      </c>
      <c r="G271" s="20" t="s">
        <v>66</v>
      </c>
      <c r="H271" s="37" t="s">
        <v>1330</v>
      </c>
      <c r="I271" s="38">
        <v>131</v>
      </c>
      <c r="J271" s="38">
        <v>5113</v>
      </c>
      <c r="K271" s="20" t="s">
        <v>20</v>
      </c>
      <c r="L271" s="20">
        <v>1</v>
      </c>
      <c r="M271" s="34">
        <v>28494624</v>
      </c>
      <c r="N271" s="34">
        <f t="shared" si="17"/>
        <v>28494624</v>
      </c>
      <c r="O271" s="33" t="s">
        <v>21</v>
      </c>
      <c r="P271" s="20">
        <f t="shared" si="19"/>
        <v>266</v>
      </c>
      <c r="Q271" s="20">
        <f t="shared" si="18"/>
        <v>170</v>
      </c>
    </row>
    <row r="272" spans="1:17" ht="15" customHeight="1" x14ac:dyDescent="0.2">
      <c r="A272" s="20" t="s">
        <v>18</v>
      </c>
      <c r="B272" s="63">
        <v>45940</v>
      </c>
      <c r="C272" s="20">
        <f t="shared" si="16"/>
        <v>868</v>
      </c>
      <c r="D272" s="20">
        <v>0</v>
      </c>
      <c r="G272" s="20" t="s">
        <v>66</v>
      </c>
      <c r="H272" s="37" t="s">
        <v>1339</v>
      </c>
      <c r="I272" s="38">
        <v>333821</v>
      </c>
      <c r="J272" s="38">
        <v>131</v>
      </c>
      <c r="K272" s="20" t="s">
        <v>20</v>
      </c>
      <c r="L272" s="20">
        <v>1</v>
      </c>
      <c r="M272" s="34">
        <v>284946</v>
      </c>
      <c r="N272" s="34">
        <f t="shared" si="17"/>
        <v>284946</v>
      </c>
      <c r="O272" s="33" t="s">
        <v>21</v>
      </c>
      <c r="P272" s="20">
        <f t="shared" si="19"/>
        <v>266</v>
      </c>
      <c r="Q272" s="20">
        <f t="shared" si="18"/>
        <v>186</v>
      </c>
    </row>
    <row r="273" spans="1:17" ht="15" customHeight="1" x14ac:dyDescent="0.2">
      <c r="A273" s="20" t="s">
        <v>18</v>
      </c>
      <c r="B273" s="63">
        <v>45958</v>
      </c>
      <c r="C273" s="20">
        <f t="shared" si="16"/>
        <v>869</v>
      </c>
      <c r="D273" s="20">
        <v>1</v>
      </c>
      <c r="G273" s="20" t="s">
        <v>1360</v>
      </c>
      <c r="H273" s="37" t="s">
        <v>1331</v>
      </c>
      <c r="I273" s="38">
        <v>131</v>
      </c>
      <c r="J273" s="38">
        <v>5113</v>
      </c>
      <c r="K273" s="20" t="s">
        <v>20</v>
      </c>
      <c r="L273" s="20">
        <v>1</v>
      </c>
      <c r="M273" s="34">
        <v>62365591</v>
      </c>
      <c r="N273" s="34">
        <f t="shared" si="17"/>
        <v>62365591</v>
      </c>
      <c r="O273" s="33" t="s">
        <v>21</v>
      </c>
      <c r="P273" s="20">
        <f t="shared" si="19"/>
        <v>267</v>
      </c>
      <c r="Q273" s="20">
        <f t="shared" si="18"/>
        <v>120</v>
      </c>
    </row>
    <row r="274" spans="1:17" ht="15" customHeight="1" x14ac:dyDescent="0.2">
      <c r="A274" s="20" t="s">
        <v>18</v>
      </c>
      <c r="B274" s="63">
        <v>45958</v>
      </c>
      <c r="C274" s="20">
        <f t="shared" si="16"/>
        <v>869</v>
      </c>
      <c r="D274" s="20">
        <v>0</v>
      </c>
      <c r="G274" s="20" t="s">
        <v>1360</v>
      </c>
      <c r="H274" s="37" t="s">
        <v>1340</v>
      </c>
      <c r="I274" s="38">
        <v>333821</v>
      </c>
      <c r="J274" s="38">
        <v>131</v>
      </c>
      <c r="K274" s="20" t="s">
        <v>20</v>
      </c>
      <c r="L274" s="20">
        <v>1</v>
      </c>
      <c r="M274" s="34">
        <v>623656</v>
      </c>
      <c r="N274" s="34">
        <f t="shared" si="17"/>
        <v>623656</v>
      </c>
      <c r="O274" s="33" t="s">
        <v>21</v>
      </c>
      <c r="P274" s="20">
        <f t="shared" si="19"/>
        <v>267</v>
      </c>
      <c r="Q274" s="20">
        <f t="shared" si="18"/>
        <v>136</v>
      </c>
    </row>
    <row r="275" spans="1:17" ht="15" customHeight="1" x14ac:dyDescent="0.2">
      <c r="A275" s="20" t="s">
        <v>18</v>
      </c>
      <c r="B275" s="63">
        <v>45960</v>
      </c>
      <c r="C275" s="20">
        <f t="shared" si="16"/>
        <v>870</v>
      </c>
      <c r="D275" s="20">
        <v>1</v>
      </c>
      <c r="G275" s="20" t="s">
        <v>1361</v>
      </c>
      <c r="H275" s="37" t="s">
        <v>3599</v>
      </c>
      <c r="I275" s="38">
        <v>131</v>
      </c>
      <c r="J275" s="38">
        <v>5113</v>
      </c>
      <c r="K275" s="20" t="s">
        <v>20</v>
      </c>
      <c r="L275" s="20">
        <v>1</v>
      </c>
      <c r="M275" s="34">
        <v>424848376</v>
      </c>
      <c r="N275" s="34">
        <f t="shared" si="17"/>
        <v>424848376</v>
      </c>
      <c r="O275" s="33" t="s">
        <v>21</v>
      </c>
      <c r="P275" s="20">
        <f t="shared" si="19"/>
        <v>268</v>
      </c>
      <c r="Q275" s="20">
        <f t="shared" si="18"/>
        <v>182</v>
      </c>
    </row>
    <row r="276" spans="1:17" ht="15" customHeight="1" x14ac:dyDescent="0.2">
      <c r="A276" s="20" t="s">
        <v>18</v>
      </c>
      <c r="B276" s="63">
        <v>45960</v>
      </c>
      <c r="C276" s="20">
        <f t="shared" si="16"/>
        <v>870</v>
      </c>
      <c r="D276" s="20">
        <v>0</v>
      </c>
      <c r="G276" s="20" t="s">
        <v>1361</v>
      </c>
      <c r="H276" s="37" t="s">
        <v>3600</v>
      </c>
      <c r="I276" s="38">
        <v>333821</v>
      </c>
      <c r="J276" s="38">
        <v>131</v>
      </c>
      <c r="K276" s="20" t="s">
        <v>20</v>
      </c>
      <c r="L276" s="20">
        <v>1</v>
      </c>
      <c r="M276" s="34">
        <v>4248484</v>
      </c>
      <c r="N276" s="34">
        <f t="shared" si="17"/>
        <v>4248484</v>
      </c>
      <c r="O276" s="33" t="s">
        <v>21</v>
      </c>
      <c r="P276" s="20">
        <f t="shared" si="19"/>
        <v>268</v>
      </c>
      <c r="Q276" s="20">
        <f t="shared" si="18"/>
        <v>179</v>
      </c>
    </row>
    <row r="277" spans="1:17" ht="15" customHeight="1" x14ac:dyDescent="0.2">
      <c r="A277" s="20" t="s">
        <v>18</v>
      </c>
      <c r="B277" s="63">
        <v>45994</v>
      </c>
      <c r="C277" s="20">
        <f t="shared" si="16"/>
        <v>871</v>
      </c>
      <c r="D277" s="20">
        <v>1</v>
      </c>
      <c r="G277" s="20" t="s">
        <v>1362</v>
      </c>
      <c r="H277" s="37" t="s">
        <v>1332</v>
      </c>
      <c r="I277" s="38">
        <v>131</v>
      </c>
      <c r="J277" s="38">
        <v>5113</v>
      </c>
      <c r="K277" s="20" t="s">
        <v>20</v>
      </c>
      <c r="L277" s="20">
        <v>1</v>
      </c>
      <c r="M277" s="34">
        <v>37634409</v>
      </c>
      <c r="N277" s="34">
        <f t="shared" si="17"/>
        <v>37634409</v>
      </c>
      <c r="O277" s="33" t="s">
        <v>21</v>
      </c>
      <c r="P277" s="20">
        <f t="shared" si="19"/>
        <v>269</v>
      </c>
      <c r="Q277" s="20">
        <f t="shared" si="18"/>
        <v>152</v>
      </c>
    </row>
    <row r="278" spans="1:17" ht="15" customHeight="1" x14ac:dyDescent="0.2">
      <c r="A278" s="20" t="s">
        <v>18</v>
      </c>
      <c r="B278" s="63">
        <v>45994</v>
      </c>
      <c r="C278" s="20">
        <f t="shared" si="16"/>
        <v>871</v>
      </c>
      <c r="D278" s="20">
        <v>0</v>
      </c>
      <c r="G278" s="20" t="s">
        <v>1362</v>
      </c>
      <c r="H278" s="37" t="s">
        <v>1341</v>
      </c>
      <c r="I278" s="38">
        <v>333821</v>
      </c>
      <c r="J278" s="38">
        <v>131</v>
      </c>
      <c r="K278" s="20" t="s">
        <v>20</v>
      </c>
      <c r="L278" s="20">
        <v>1</v>
      </c>
      <c r="M278" s="34">
        <v>376345</v>
      </c>
      <c r="N278" s="34">
        <f t="shared" si="17"/>
        <v>376345</v>
      </c>
      <c r="O278" s="33" t="s">
        <v>21</v>
      </c>
      <c r="P278" s="20">
        <f t="shared" si="19"/>
        <v>269</v>
      </c>
      <c r="Q278" s="20">
        <f t="shared" si="18"/>
        <v>168</v>
      </c>
    </row>
    <row r="279" spans="1:17" ht="15" customHeight="1" x14ac:dyDescent="0.2">
      <c r="A279" s="20" t="s">
        <v>18</v>
      </c>
      <c r="B279" s="63">
        <v>45995</v>
      </c>
      <c r="C279" s="20">
        <f t="shared" si="16"/>
        <v>872</v>
      </c>
      <c r="D279" s="20">
        <v>1</v>
      </c>
      <c r="G279" s="20" t="s">
        <v>1360</v>
      </c>
      <c r="H279" s="37" t="s">
        <v>1333</v>
      </c>
      <c r="I279" s="38">
        <v>131</v>
      </c>
      <c r="J279" s="38">
        <v>5113</v>
      </c>
      <c r="K279" s="20" t="s">
        <v>20</v>
      </c>
      <c r="L279" s="20">
        <v>1</v>
      </c>
      <c r="M279" s="34">
        <v>53763440</v>
      </c>
      <c r="N279" s="34">
        <f t="shared" si="17"/>
        <v>53763440</v>
      </c>
      <c r="O279" s="33" t="s">
        <v>21</v>
      </c>
      <c r="P279" s="20">
        <f t="shared" si="19"/>
        <v>270</v>
      </c>
      <c r="Q279" s="20">
        <f t="shared" si="18"/>
        <v>118</v>
      </c>
    </row>
    <row r="280" spans="1:17" ht="15" customHeight="1" x14ac:dyDescent="0.2">
      <c r="A280" s="20" t="s">
        <v>18</v>
      </c>
      <c r="B280" s="63">
        <v>45995</v>
      </c>
      <c r="C280" s="20">
        <f t="shared" si="16"/>
        <v>872</v>
      </c>
      <c r="D280" s="20">
        <v>0</v>
      </c>
      <c r="G280" s="20" t="s">
        <v>1360</v>
      </c>
      <c r="H280" s="37" t="s">
        <v>1342</v>
      </c>
      <c r="I280" s="38">
        <v>333821</v>
      </c>
      <c r="J280" s="38">
        <v>131</v>
      </c>
      <c r="K280" s="20" t="s">
        <v>20</v>
      </c>
      <c r="L280" s="20">
        <v>1</v>
      </c>
      <c r="M280" s="34">
        <v>537634</v>
      </c>
      <c r="N280" s="34">
        <f t="shared" si="17"/>
        <v>537634</v>
      </c>
      <c r="O280" s="33" t="s">
        <v>21</v>
      </c>
      <c r="P280" s="20">
        <f t="shared" si="19"/>
        <v>270</v>
      </c>
      <c r="Q280" s="20">
        <f t="shared" si="18"/>
        <v>134</v>
      </c>
    </row>
    <row r="281" spans="1:17" ht="15" customHeight="1" x14ac:dyDescent="0.2">
      <c r="A281" s="20" t="s">
        <v>18</v>
      </c>
      <c r="B281" s="63">
        <v>46002</v>
      </c>
      <c r="C281" s="20">
        <f t="shared" si="16"/>
        <v>873</v>
      </c>
      <c r="D281" s="20">
        <v>1</v>
      </c>
      <c r="G281" s="20" t="s">
        <v>29</v>
      </c>
      <c r="H281" s="37" t="s">
        <v>1334</v>
      </c>
      <c r="I281" s="38">
        <v>131</v>
      </c>
      <c r="J281" s="38">
        <v>5113</v>
      </c>
      <c r="K281" s="20" t="s">
        <v>20</v>
      </c>
      <c r="L281" s="20">
        <v>1</v>
      </c>
      <c r="M281" s="34">
        <v>97741935</v>
      </c>
      <c r="N281" s="34">
        <f t="shared" si="17"/>
        <v>97741935</v>
      </c>
      <c r="O281" s="33" t="s">
        <v>21</v>
      </c>
      <c r="P281" s="20">
        <f t="shared" si="19"/>
        <v>271</v>
      </c>
      <c r="Q281" s="20">
        <f t="shared" si="18"/>
        <v>150</v>
      </c>
    </row>
    <row r="282" spans="1:17" ht="15" customHeight="1" x14ac:dyDescent="0.2">
      <c r="A282" s="20" t="s">
        <v>18</v>
      </c>
      <c r="B282" s="63">
        <v>46002</v>
      </c>
      <c r="C282" s="20">
        <f t="shared" si="16"/>
        <v>873</v>
      </c>
      <c r="D282" s="20">
        <v>0</v>
      </c>
      <c r="G282" s="20" t="s">
        <v>29</v>
      </c>
      <c r="H282" s="37" t="s">
        <v>1343</v>
      </c>
      <c r="I282" s="38">
        <v>333821</v>
      </c>
      <c r="J282" s="38">
        <v>131</v>
      </c>
      <c r="K282" s="20" t="s">
        <v>20</v>
      </c>
      <c r="L282" s="20">
        <v>1</v>
      </c>
      <c r="M282" s="34">
        <v>977419</v>
      </c>
      <c r="N282" s="34">
        <f t="shared" si="17"/>
        <v>977419</v>
      </c>
      <c r="O282" s="33" t="s">
        <v>21</v>
      </c>
      <c r="P282" s="20">
        <f t="shared" si="19"/>
        <v>271</v>
      </c>
      <c r="Q282" s="20">
        <f t="shared" si="18"/>
        <v>166</v>
      </c>
    </row>
    <row r="283" spans="1:17" ht="15" customHeight="1" x14ac:dyDescent="0.2">
      <c r="A283" s="20" t="s">
        <v>18</v>
      </c>
      <c r="B283" s="63">
        <v>46002</v>
      </c>
      <c r="C283" s="20">
        <f t="shared" si="16"/>
        <v>874</v>
      </c>
      <c r="D283" s="20">
        <v>1</v>
      </c>
      <c r="G283" s="20" t="s">
        <v>29</v>
      </c>
      <c r="H283" s="37" t="s">
        <v>1335</v>
      </c>
      <c r="I283" s="38">
        <v>131</v>
      </c>
      <c r="J283" s="38">
        <v>5113</v>
      </c>
      <c r="K283" s="20" t="s">
        <v>20</v>
      </c>
      <c r="L283" s="20">
        <v>1</v>
      </c>
      <c r="M283" s="34">
        <v>56989247</v>
      </c>
      <c r="N283" s="34">
        <f t="shared" si="17"/>
        <v>56989247</v>
      </c>
      <c r="O283" s="33" t="s">
        <v>21</v>
      </c>
      <c r="P283" s="20">
        <f t="shared" si="19"/>
        <v>272</v>
      </c>
      <c r="Q283" s="20">
        <f t="shared" si="18"/>
        <v>154</v>
      </c>
    </row>
    <row r="284" spans="1:17" ht="15" customHeight="1" x14ac:dyDescent="0.2">
      <c r="A284" s="20" t="s">
        <v>18</v>
      </c>
      <c r="B284" s="63">
        <v>46002</v>
      </c>
      <c r="C284" s="20">
        <f t="shared" si="16"/>
        <v>874</v>
      </c>
      <c r="D284" s="20">
        <v>0</v>
      </c>
      <c r="G284" s="20" t="s">
        <v>29</v>
      </c>
      <c r="H284" s="37" t="s">
        <v>1344</v>
      </c>
      <c r="I284" s="38">
        <v>333821</v>
      </c>
      <c r="J284" s="38">
        <v>131</v>
      </c>
      <c r="K284" s="20" t="s">
        <v>20</v>
      </c>
      <c r="L284" s="20">
        <v>1</v>
      </c>
      <c r="M284" s="34">
        <v>569892</v>
      </c>
      <c r="N284" s="34">
        <f t="shared" si="17"/>
        <v>569892</v>
      </c>
      <c r="O284" s="33" t="s">
        <v>21</v>
      </c>
      <c r="P284" s="20">
        <f t="shared" si="19"/>
        <v>272</v>
      </c>
      <c r="Q284" s="20">
        <f t="shared" si="18"/>
        <v>170</v>
      </c>
    </row>
    <row r="285" spans="1:17" ht="15" customHeight="1" x14ac:dyDescent="0.2">
      <c r="A285" s="20" t="s">
        <v>18</v>
      </c>
      <c r="B285" s="63">
        <v>46010</v>
      </c>
      <c r="C285" s="20">
        <f t="shared" si="16"/>
        <v>875</v>
      </c>
      <c r="D285" s="20">
        <v>1</v>
      </c>
      <c r="G285" s="20" t="s">
        <v>58</v>
      </c>
      <c r="H285" s="37" t="s">
        <v>1336</v>
      </c>
      <c r="I285" s="38">
        <v>131</v>
      </c>
      <c r="J285" s="38">
        <v>5113</v>
      </c>
      <c r="K285" s="20" t="s">
        <v>20</v>
      </c>
      <c r="L285" s="20">
        <v>1</v>
      </c>
      <c r="M285" s="34">
        <v>2172260</v>
      </c>
      <c r="N285" s="34">
        <f t="shared" si="17"/>
        <v>2172260</v>
      </c>
      <c r="O285" s="33" t="s">
        <v>21</v>
      </c>
      <c r="P285" s="20">
        <f t="shared" si="19"/>
        <v>273</v>
      </c>
      <c r="Q285" s="20">
        <f t="shared" si="18"/>
        <v>155</v>
      </c>
    </row>
    <row r="286" spans="1:17" ht="15" customHeight="1" x14ac:dyDescent="0.2">
      <c r="A286" s="20" t="s">
        <v>18</v>
      </c>
      <c r="B286" s="63">
        <v>46010</v>
      </c>
      <c r="C286" s="20">
        <f t="shared" si="16"/>
        <v>875</v>
      </c>
      <c r="D286" s="20">
        <v>0</v>
      </c>
      <c r="G286" s="20" t="s">
        <v>58</v>
      </c>
      <c r="H286" s="37" t="s">
        <v>1345</v>
      </c>
      <c r="I286" s="38">
        <v>333821</v>
      </c>
      <c r="J286" s="38">
        <v>131</v>
      </c>
      <c r="K286" s="20" t="s">
        <v>20</v>
      </c>
      <c r="L286" s="20">
        <v>1</v>
      </c>
      <c r="M286" s="34">
        <v>21723</v>
      </c>
      <c r="N286" s="34">
        <f t="shared" si="17"/>
        <v>21723</v>
      </c>
      <c r="O286" s="33" t="s">
        <v>21</v>
      </c>
      <c r="P286" s="20">
        <f t="shared" si="19"/>
        <v>273</v>
      </c>
      <c r="Q286" s="20">
        <f t="shared" si="18"/>
        <v>171</v>
      </c>
    </row>
    <row r="287" spans="1:17" ht="15" customHeight="1" x14ac:dyDescent="0.2">
      <c r="A287" s="20" t="s">
        <v>18</v>
      </c>
      <c r="B287" s="63" t="s">
        <v>2513</v>
      </c>
      <c r="C287" s="20">
        <f t="shared" si="16"/>
        <v>876</v>
      </c>
      <c r="D287" s="20">
        <v>1</v>
      </c>
      <c r="G287" s="20" t="s">
        <v>605</v>
      </c>
      <c r="H287" s="37" t="s">
        <v>2641</v>
      </c>
      <c r="I287" s="38">
        <v>131</v>
      </c>
      <c r="J287" s="38">
        <v>5113</v>
      </c>
      <c r="K287" s="20" t="s">
        <v>20</v>
      </c>
      <c r="L287" s="20">
        <v>1</v>
      </c>
      <c r="M287" s="34">
        <v>25252525</v>
      </c>
      <c r="N287" s="34">
        <f t="shared" si="17"/>
        <v>25252525</v>
      </c>
      <c r="O287" s="33" t="s">
        <v>21</v>
      </c>
      <c r="P287" s="20">
        <f t="shared" si="19"/>
        <v>274</v>
      </c>
      <c r="Q287" s="20">
        <f t="shared" si="18"/>
        <v>123</v>
      </c>
    </row>
    <row r="288" spans="1:17" ht="15" customHeight="1" x14ac:dyDescent="0.2">
      <c r="A288" s="20" t="s">
        <v>18</v>
      </c>
      <c r="B288" s="63" t="s">
        <v>2513</v>
      </c>
      <c r="C288" s="20">
        <f t="shared" si="16"/>
        <v>876</v>
      </c>
      <c r="D288" s="20">
        <v>0</v>
      </c>
      <c r="G288" s="20" t="s">
        <v>605</v>
      </c>
      <c r="H288" s="37" t="s">
        <v>2643</v>
      </c>
      <c r="I288" s="38">
        <v>333821</v>
      </c>
      <c r="J288" s="38">
        <v>131</v>
      </c>
      <c r="K288" s="20" t="s">
        <v>20</v>
      </c>
      <c r="L288" s="20">
        <v>1</v>
      </c>
      <c r="M288" s="34">
        <v>252525</v>
      </c>
      <c r="N288" s="34">
        <f t="shared" si="17"/>
        <v>252525</v>
      </c>
      <c r="O288" s="33" t="s">
        <v>21</v>
      </c>
      <c r="P288" s="20">
        <f t="shared" si="19"/>
        <v>274</v>
      </c>
      <c r="Q288" s="20">
        <f t="shared" si="18"/>
        <v>139</v>
      </c>
    </row>
    <row r="289" spans="1:22" ht="15" customHeight="1" x14ac:dyDescent="0.2">
      <c r="A289" s="20" t="s">
        <v>18</v>
      </c>
      <c r="B289" s="63" t="s">
        <v>2513</v>
      </c>
      <c r="C289" s="20">
        <f t="shared" si="16"/>
        <v>877</v>
      </c>
      <c r="D289" s="20">
        <v>1</v>
      </c>
      <c r="G289" s="20" t="s">
        <v>29</v>
      </c>
      <c r="H289" s="37" t="s">
        <v>2642</v>
      </c>
      <c r="I289" s="38">
        <v>131</v>
      </c>
      <c r="J289" s="38">
        <v>5113</v>
      </c>
      <c r="K289" s="20" t="s">
        <v>20</v>
      </c>
      <c r="L289" s="20">
        <v>1</v>
      </c>
      <c r="M289" s="34">
        <v>51612903</v>
      </c>
      <c r="N289" s="34">
        <f t="shared" si="17"/>
        <v>51612903</v>
      </c>
      <c r="O289" s="33" t="s">
        <v>21</v>
      </c>
      <c r="P289" s="20">
        <f t="shared" si="19"/>
        <v>275</v>
      </c>
      <c r="Q289" s="20">
        <f t="shared" si="18"/>
        <v>143</v>
      </c>
    </row>
    <row r="290" spans="1:22" ht="15" customHeight="1" x14ac:dyDescent="0.2">
      <c r="A290" s="20" t="s">
        <v>18</v>
      </c>
      <c r="B290" s="63" t="s">
        <v>2513</v>
      </c>
      <c r="C290" s="20">
        <f t="shared" si="16"/>
        <v>877</v>
      </c>
      <c r="D290" s="20">
        <v>0</v>
      </c>
      <c r="G290" s="20" t="s">
        <v>29</v>
      </c>
      <c r="H290" s="37" t="s">
        <v>2644</v>
      </c>
      <c r="I290" s="38">
        <v>333821</v>
      </c>
      <c r="J290" s="38">
        <v>131</v>
      </c>
      <c r="K290" s="20" t="s">
        <v>20</v>
      </c>
      <c r="L290" s="20">
        <v>1</v>
      </c>
      <c r="M290" s="34">
        <v>516129</v>
      </c>
      <c r="N290" s="34">
        <f t="shared" si="17"/>
        <v>516129</v>
      </c>
      <c r="O290" s="33" t="s">
        <v>21</v>
      </c>
      <c r="P290" s="20">
        <f t="shared" si="19"/>
        <v>275</v>
      </c>
      <c r="Q290" s="20">
        <f t="shared" si="18"/>
        <v>159</v>
      </c>
    </row>
    <row r="291" spans="1:22" ht="15" customHeight="1" x14ac:dyDescent="0.2">
      <c r="A291" s="20" t="s">
        <v>18</v>
      </c>
      <c r="B291" s="63">
        <v>45961</v>
      </c>
      <c r="C291" s="20">
        <f t="shared" si="16"/>
        <v>878</v>
      </c>
      <c r="D291" s="20">
        <v>1</v>
      </c>
      <c r="G291" s="32" t="s">
        <v>3011</v>
      </c>
      <c r="H291" s="37" t="s">
        <v>371</v>
      </c>
      <c r="I291" s="38">
        <v>64271</v>
      </c>
      <c r="J291" s="38">
        <v>3383</v>
      </c>
      <c r="K291" s="20" t="s">
        <v>20</v>
      </c>
      <c r="L291" s="20">
        <v>1</v>
      </c>
      <c r="M291" s="34">
        <v>690300</v>
      </c>
      <c r="N291" s="34">
        <f t="shared" si="17"/>
        <v>690300</v>
      </c>
      <c r="O291" s="33" t="s">
        <v>21</v>
      </c>
      <c r="P291" s="20">
        <f t="shared" si="19"/>
        <v>276</v>
      </c>
      <c r="Q291" s="20">
        <f t="shared" si="18"/>
        <v>30</v>
      </c>
    </row>
    <row r="292" spans="1:22" ht="15" customHeight="1" x14ac:dyDescent="0.2">
      <c r="A292" s="20" t="s">
        <v>18</v>
      </c>
      <c r="B292" s="63">
        <v>45991</v>
      </c>
      <c r="C292" s="20">
        <f t="shared" si="16"/>
        <v>879</v>
      </c>
      <c r="D292" s="20">
        <v>1</v>
      </c>
      <c r="G292" s="32" t="s">
        <v>3011</v>
      </c>
      <c r="H292" s="37" t="s">
        <v>372</v>
      </c>
      <c r="I292" s="38">
        <v>64271</v>
      </c>
      <c r="J292" s="38">
        <v>3383</v>
      </c>
      <c r="K292" s="20" t="s">
        <v>20</v>
      </c>
      <c r="L292" s="20">
        <v>1</v>
      </c>
      <c r="M292" s="34">
        <v>690300</v>
      </c>
      <c r="N292" s="34">
        <f t="shared" si="17"/>
        <v>690300</v>
      </c>
      <c r="O292" s="33" t="s">
        <v>21</v>
      </c>
      <c r="P292" s="20">
        <f t="shared" si="19"/>
        <v>277</v>
      </c>
      <c r="Q292" s="20">
        <f t="shared" si="18"/>
        <v>30</v>
      </c>
    </row>
    <row r="293" spans="1:22" ht="15" customHeight="1" x14ac:dyDescent="0.2">
      <c r="A293" s="20" t="s">
        <v>18</v>
      </c>
      <c r="B293" s="63">
        <v>46022</v>
      </c>
      <c r="C293" s="20">
        <f t="shared" si="16"/>
        <v>880</v>
      </c>
      <c r="D293" s="20">
        <v>1</v>
      </c>
      <c r="G293" s="32" t="s">
        <v>3011</v>
      </c>
      <c r="H293" s="37" t="s">
        <v>373</v>
      </c>
      <c r="I293" s="38">
        <v>64271</v>
      </c>
      <c r="J293" s="38">
        <v>3383</v>
      </c>
      <c r="K293" s="20" t="s">
        <v>20</v>
      </c>
      <c r="L293" s="20">
        <v>1</v>
      </c>
      <c r="M293" s="34">
        <v>690300</v>
      </c>
      <c r="N293" s="34">
        <f t="shared" si="17"/>
        <v>690300</v>
      </c>
      <c r="O293" s="33" t="s">
        <v>21</v>
      </c>
      <c r="P293" s="20">
        <f t="shared" si="19"/>
        <v>278</v>
      </c>
      <c r="Q293" s="20">
        <f t="shared" si="18"/>
        <v>30</v>
      </c>
    </row>
    <row r="294" spans="1:22" ht="15" customHeight="1" x14ac:dyDescent="0.25">
      <c r="A294" s="20" t="s">
        <v>2679</v>
      </c>
      <c r="B294" s="63">
        <v>45959.49722222222</v>
      </c>
      <c r="C294" s="20">
        <f t="shared" ref="C294:C310" si="20">C293+D294</f>
        <v>881</v>
      </c>
      <c r="D294" s="20">
        <v>1</v>
      </c>
      <c r="G294" s="32" t="s">
        <v>149</v>
      </c>
      <c r="H294" s="20" t="s">
        <v>3165</v>
      </c>
      <c r="I294" s="20">
        <v>112121</v>
      </c>
      <c r="J294" s="20">
        <v>112111</v>
      </c>
      <c r="K294" s="20" t="s">
        <v>20</v>
      </c>
      <c r="L294" s="20">
        <v>1</v>
      </c>
      <c r="M294" s="34">
        <v>10000000</v>
      </c>
      <c r="N294" s="34">
        <f t="shared" si="17"/>
        <v>10000000</v>
      </c>
      <c r="O294" s="33" t="s">
        <v>21</v>
      </c>
      <c r="P294" s="20">
        <f t="shared" si="19"/>
        <v>279</v>
      </c>
      <c r="Q294" s="20">
        <f t="shared" si="18"/>
        <v>18</v>
      </c>
      <c r="R294"/>
      <c r="S294"/>
      <c r="T294"/>
      <c r="U294"/>
      <c r="V294"/>
    </row>
    <row r="295" spans="1:22" ht="15" customHeight="1" x14ac:dyDescent="0.25">
      <c r="A295" s="20" t="s">
        <v>2678</v>
      </c>
      <c r="B295" s="63">
        <v>45959.5</v>
      </c>
      <c r="C295" s="20">
        <f t="shared" si="20"/>
        <v>882</v>
      </c>
      <c r="D295" s="20">
        <v>1</v>
      </c>
      <c r="G295" s="32" t="s">
        <v>148</v>
      </c>
      <c r="H295" s="20" t="s">
        <v>3586</v>
      </c>
      <c r="I295" s="20">
        <v>331</v>
      </c>
      <c r="J295" s="20">
        <v>112121</v>
      </c>
      <c r="K295" s="20" t="s">
        <v>20</v>
      </c>
      <c r="L295" s="20">
        <v>1</v>
      </c>
      <c r="M295" s="34">
        <v>7380000</v>
      </c>
      <c r="N295" s="34">
        <f t="shared" si="17"/>
        <v>7380000</v>
      </c>
      <c r="O295" s="33" t="s">
        <v>21</v>
      </c>
      <c r="P295" s="20">
        <f t="shared" si="19"/>
        <v>280</v>
      </c>
      <c r="Q295" s="20">
        <f t="shared" si="18"/>
        <v>46</v>
      </c>
      <c r="R295"/>
      <c r="S295"/>
      <c r="T295"/>
      <c r="U295"/>
      <c r="V295"/>
    </row>
    <row r="296" spans="1:22" ht="15" customHeight="1" x14ac:dyDescent="0.25">
      <c r="A296" s="20" t="s">
        <v>2679</v>
      </c>
      <c r="B296" s="63">
        <v>45961.063888888886</v>
      </c>
      <c r="C296" s="20">
        <f t="shared" si="20"/>
        <v>883</v>
      </c>
      <c r="D296" s="20">
        <v>1</v>
      </c>
      <c r="G296" s="32" t="s">
        <v>149</v>
      </c>
      <c r="H296" s="20" t="s">
        <v>2687</v>
      </c>
      <c r="I296" s="20">
        <v>112121</v>
      </c>
      <c r="J296" s="20">
        <v>5154</v>
      </c>
      <c r="K296" s="20" t="s">
        <v>20</v>
      </c>
      <c r="L296" s="20">
        <v>1</v>
      </c>
      <c r="M296" s="34">
        <v>14</v>
      </c>
      <c r="N296" s="34">
        <f t="shared" si="17"/>
        <v>14</v>
      </c>
      <c r="O296" s="33" t="s">
        <v>21</v>
      </c>
      <c r="P296" s="20">
        <f t="shared" si="19"/>
        <v>281</v>
      </c>
      <c r="Q296" s="20">
        <f t="shared" si="18"/>
        <v>12</v>
      </c>
      <c r="R296"/>
      <c r="S296"/>
      <c r="T296"/>
      <c r="U296"/>
      <c r="V296"/>
    </row>
    <row r="297" spans="1:22" ht="15" customHeight="1" x14ac:dyDescent="0.25">
      <c r="A297" s="20" t="s">
        <v>2679</v>
      </c>
      <c r="B297" s="63">
        <v>45980.431944444441</v>
      </c>
      <c r="C297" s="20">
        <f t="shared" si="20"/>
        <v>884</v>
      </c>
      <c r="D297" s="20">
        <v>1</v>
      </c>
      <c r="G297" s="32" t="s">
        <v>1360</v>
      </c>
      <c r="H297" s="20" t="s">
        <v>3588</v>
      </c>
      <c r="I297" s="20">
        <v>112121</v>
      </c>
      <c r="J297" s="20">
        <v>131</v>
      </c>
      <c r="K297" s="20" t="s">
        <v>20</v>
      </c>
      <c r="L297" s="20">
        <v>1</v>
      </c>
      <c r="M297" s="34">
        <v>53225806</v>
      </c>
      <c r="N297" s="34">
        <f t="shared" si="17"/>
        <v>53225806</v>
      </c>
      <c r="O297" s="33" t="s">
        <v>21</v>
      </c>
      <c r="P297" s="20">
        <f t="shared" si="19"/>
        <v>282</v>
      </c>
      <c r="Q297" s="20">
        <f t="shared" si="18"/>
        <v>123</v>
      </c>
      <c r="R297"/>
      <c r="S297"/>
      <c r="T297"/>
      <c r="U297"/>
      <c r="V297"/>
    </row>
    <row r="298" spans="1:22" ht="15" customHeight="1" x14ac:dyDescent="0.25">
      <c r="A298" s="20" t="s">
        <v>2678</v>
      </c>
      <c r="B298" s="63">
        <v>45989.523611111108</v>
      </c>
      <c r="C298" s="20">
        <f t="shared" si="20"/>
        <v>885</v>
      </c>
      <c r="D298" s="20">
        <v>1</v>
      </c>
      <c r="G298" s="32" t="s">
        <v>149</v>
      </c>
      <c r="H298" s="20" t="s">
        <v>3094</v>
      </c>
      <c r="I298" s="20">
        <v>64277</v>
      </c>
      <c r="J298" s="20">
        <v>112121</v>
      </c>
      <c r="K298" s="20" t="s">
        <v>20</v>
      </c>
      <c r="L298" s="20">
        <v>1</v>
      </c>
      <c r="M298" s="34">
        <v>5000</v>
      </c>
      <c r="N298" s="34">
        <f t="shared" si="17"/>
        <v>5000</v>
      </c>
      <c r="O298" s="33" t="s">
        <v>21</v>
      </c>
      <c r="P298" s="20">
        <f t="shared" si="19"/>
        <v>283</v>
      </c>
      <c r="Q298" s="20">
        <f t="shared" si="18"/>
        <v>13</v>
      </c>
      <c r="R298"/>
      <c r="S298"/>
      <c r="T298"/>
      <c r="U298"/>
      <c r="V298"/>
    </row>
    <row r="299" spans="1:22" ht="15" customHeight="1" x14ac:dyDescent="0.25">
      <c r="A299" s="20" t="s">
        <v>2679</v>
      </c>
      <c r="B299" s="63">
        <v>45991.071527777778</v>
      </c>
      <c r="C299" s="20">
        <f t="shared" si="20"/>
        <v>886</v>
      </c>
      <c r="D299" s="20">
        <v>1</v>
      </c>
      <c r="G299" s="32" t="s">
        <v>149</v>
      </c>
      <c r="H299" s="20" t="s">
        <v>2687</v>
      </c>
      <c r="I299" s="20">
        <v>112121</v>
      </c>
      <c r="J299" s="20">
        <v>5154</v>
      </c>
      <c r="K299" s="20" t="s">
        <v>20</v>
      </c>
      <c r="L299" s="20">
        <v>1</v>
      </c>
      <c r="M299" s="34">
        <v>1819</v>
      </c>
      <c r="N299" s="34">
        <f t="shared" si="17"/>
        <v>1819</v>
      </c>
      <c r="O299" s="33" t="s">
        <v>21</v>
      </c>
      <c r="P299" s="20">
        <f t="shared" si="19"/>
        <v>284</v>
      </c>
      <c r="Q299" s="20">
        <f t="shared" si="18"/>
        <v>12</v>
      </c>
      <c r="R299"/>
      <c r="S299"/>
      <c r="T299"/>
      <c r="U299"/>
      <c r="V299"/>
    </row>
    <row r="300" spans="1:22" ht="15" customHeight="1" x14ac:dyDescent="0.25">
      <c r="A300" s="20" t="s">
        <v>2679</v>
      </c>
      <c r="B300" s="63">
        <v>45993.518750000003</v>
      </c>
      <c r="C300" s="20">
        <f t="shared" si="20"/>
        <v>887</v>
      </c>
      <c r="D300" s="20">
        <v>1</v>
      </c>
      <c r="G300" s="32" t="s">
        <v>1361</v>
      </c>
      <c r="H300" s="20" t="s">
        <v>3601</v>
      </c>
      <c r="I300" s="20">
        <v>112121</v>
      </c>
      <c r="J300" s="20">
        <v>131</v>
      </c>
      <c r="K300" s="20" t="s">
        <v>20</v>
      </c>
      <c r="L300" s="20">
        <v>1</v>
      </c>
      <c r="M300" s="34">
        <v>420599892</v>
      </c>
      <c r="N300" s="34">
        <f t="shared" si="17"/>
        <v>420599892</v>
      </c>
      <c r="O300" s="33" t="s">
        <v>21</v>
      </c>
      <c r="P300" s="20">
        <f t="shared" si="19"/>
        <v>285</v>
      </c>
      <c r="Q300" s="20">
        <f t="shared" si="18"/>
        <v>177</v>
      </c>
      <c r="R300"/>
      <c r="S300"/>
      <c r="T300"/>
      <c r="U300"/>
      <c r="V300"/>
    </row>
    <row r="301" spans="1:22" ht="15" customHeight="1" x14ac:dyDescent="0.25">
      <c r="A301" s="20" t="s">
        <v>2679</v>
      </c>
      <c r="B301" s="63">
        <v>45999.348611111112</v>
      </c>
      <c r="C301" s="20">
        <f t="shared" si="20"/>
        <v>888</v>
      </c>
      <c r="D301" s="20">
        <v>1</v>
      </c>
      <c r="G301" s="32" t="s">
        <v>1362</v>
      </c>
      <c r="H301" s="20" t="s">
        <v>3589</v>
      </c>
      <c r="I301" s="20">
        <v>112121</v>
      </c>
      <c r="J301" s="20">
        <v>131</v>
      </c>
      <c r="K301" s="20" t="s">
        <v>20</v>
      </c>
      <c r="L301" s="20">
        <v>1</v>
      </c>
      <c r="M301" s="34">
        <v>37258064</v>
      </c>
      <c r="N301" s="34">
        <f t="shared" si="17"/>
        <v>37258064</v>
      </c>
      <c r="O301" s="33" t="s">
        <v>21</v>
      </c>
      <c r="P301" s="20">
        <f t="shared" si="19"/>
        <v>286</v>
      </c>
      <c r="Q301" s="20">
        <f t="shared" si="18"/>
        <v>157</v>
      </c>
      <c r="R301"/>
      <c r="S301"/>
      <c r="T301"/>
      <c r="U301"/>
      <c r="V301"/>
    </row>
    <row r="302" spans="1:22" ht="15" customHeight="1" x14ac:dyDescent="0.25">
      <c r="A302" s="20" t="s">
        <v>2678</v>
      </c>
      <c r="B302" s="63">
        <v>46004.434027777781</v>
      </c>
      <c r="C302" s="20">
        <f t="shared" si="20"/>
        <v>889</v>
      </c>
      <c r="D302" s="20">
        <v>1</v>
      </c>
      <c r="G302" s="32" t="s">
        <v>149</v>
      </c>
      <c r="H302" s="20" t="s">
        <v>2681</v>
      </c>
      <c r="I302" s="20">
        <v>1111</v>
      </c>
      <c r="J302" s="20">
        <v>112121</v>
      </c>
      <c r="K302" s="20" t="s">
        <v>20</v>
      </c>
      <c r="L302" s="20">
        <v>1</v>
      </c>
      <c r="M302" s="34">
        <v>400000000</v>
      </c>
      <c r="N302" s="34">
        <f t="shared" si="17"/>
        <v>400000000</v>
      </c>
      <c r="O302" s="33" t="s">
        <v>21</v>
      </c>
      <c r="P302" s="20">
        <f t="shared" si="19"/>
        <v>287</v>
      </c>
      <c r="Q302" s="20">
        <f t="shared" si="18"/>
        <v>21</v>
      </c>
      <c r="R302"/>
      <c r="S302"/>
      <c r="T302"/>
      <c r="U302"/>
      <c r="V302"/>
    </row>
    <row r="303" spans="1:22" ht="15" customHeight="1" x14ac:dyDescent="0.25">
      <c r="A303" s="20" t="s">
        <v>2678</v>
      </c>
      <c r="B303" s="63">
        <v>46014.790972222225</v>
      </c>
      <c r="C303" s="20">
        <f t="shared" si="20"/>
        <v>890</v>
      </c>
      <c r="D303" s="20">
        <v>1</v>
      </c>
      <c r="G303" s="32" t="s">
        <v>149</v>
      </c>
      <c r="H303" s="20" t="s">
        <v>2681</v>
      </c>
      <c r="I303" s="20">
        <v>1111</v>
      </c>
      <c r="J303" s="20">
        <v>112121</v>
      </c>
      <c r="K303" s="20" t="s">
        <v>20</v>
      </c>
      <c r="L303" s="20">
        <v>1</v>
      </c>
      <c r="M303" s="34">
        <v>50000000</v>
      </c>
      <c r="N303" s="34">
        <f t="shared" si="17"/>
        <v>50000000</v>
      </c>
      <c r="O303" s="33" t="s">
        <v>21</v>
      </c>
      <c r="P303" s="20">
        <f t="shared" si="19"/>
        <v>288</v>
      </c>
      <c r="Q303" s="20">
        <f t="shared" si="18"/>
        <v>21</v>
      </c>
      <c r="R303"/>
      <c r="S303"/>
      <c r="T303"/>
      <c r="U303"/>
      <c r="V303"/>
    </row>
    <row r="304" spans="1:22" ht="15" customHeight="1" x14ac:dyDescent="0.25">
      <c r="A304" s="20" t="s">
        <v>2679</v>
      </c>
      <c r="B304" s="63">
        <v>46016.713888888888</v>
      </c>
      <c r="C304" s="20">
        <f t="shared" si="20"/>
        <v>891</v>
      </c>
      <c r="D304" s="20">
        <v>1</v>
      </c>
      <c r="G304" s="32" t="s">
        <v>58</v>
      </c>
      <c r="H304" s="20" t="s">
        <v>3590</v>
      </c>
      <c r="I304" s="20">
        <v>112121</v>
      </c>
      <c r="J304" s="20">
        <v>131</v>
      </c>
      <c r="K304" s="20" t="s">
        <v>20</v>
      </c>
      <c r="L304" s="20">
        <v>1</v>
      </c>
      <c r="M304" s="34">
        <v>2150537</v>
      </c>
      <c r="N304" s="34">
        <f t="shared" si="17"/>
        <v>2150537</v>
      </c>
      <c r="O304" s="33" t="s">
        <v>21</v>
      </c>
      <c r="P304" s="20">
        <f t="shared" si="19"/>
        <v>289</v>
      </c>
      <c r="Q304" s="20">
        <f t="shared" si="18"/>
        <v>160</v>
      </c>
      <c r="R304"/>
      <c r="S304"/>
      <c r="T304"/>
      <c r="U304"/>
      <c r="V304"/>
    </row>
    <row r="305" spans="1:22" ht="15" customHeight="1" x14ac:dyDescent="0.25">
      <c r="A305" s="20" t="s">
        <v>2679</v>
      </c>
      <c r="B305" s="63">
        <v>46016.780555555553</v>
      </c>
      <c r="C305" s="20">
        <f t="shared" si="20"/>
        <v>892</v>
      </c>
      <c r="D305" s="20">
        <v>1</v>
      </c>
      <c r="G305" s="32" t="s">
        <v>605</v>
      </c>
      <c r="H305" s="20" t="s">
        <v>3591</v>
      </c>
      <c r="I305" s="20">
        <v>112121</v>
      </c>
      <c r="J305" s="20">
        <v>131</v>
      </c>
      <c r="K305" s="20" t="s">
        <v>20</v>
      </c>
      <c r="L305" s="20">
        <v>1</v>
      </c>
      <c r="M305" s="34">
        <v>25000000</v>
      </c>
      <c r="N305" s="34">
        <f t="shared" si="17"/>
        <v>25000000</v>
      </c>
      <c r="O305" s="33" t="s">
        <v>21</v>
      </c>
      <c r="P305" s="20">
        <f t="shared" si="19"/>
        <v>290</v>
      </c>
      <c r="Q305" s="20">
        <f t="shared" si="18"/>
        <v>128</v>
      </c>
      <c r="R305"/>
      <c r="S305"/>
      <c r="T305"/>
      <c r="U305"/>
      <c r="V305"/>
    </row>
    <row r="306" spans="1:22" ht="15" customHeight="1" x14ac:dyDescent="0.25">
      <c r="A306" s="20" t="s">
        <v>2678</v>
      </c>
      <c r="B306" s="63">
        <v>46019.345833333333</v>
      </c>
      <c r="C306" s="20">
        <f t="shared" si="20"/>
        <v>893</v>
      </c>
      <c r="D306" s="20">
        <v>1</v>
      </c>
      <c r="G306" s="32" t="s">
        <v>149</v>
      </c>
      <c r="H306" s="20" t="s">
        <v>3094</v>
      </c>
      <c r="I306" s="20">
        <v>64277</v>
      </c>
      <c r="J306" s="20">
        <v>112121</v>
      </c>
      <c r="K306" s="20" t="s">
        <v>20</v>
      </c>
      <c r="L306" s="20">
        <v>1</v>
      </c>
      <c r="M306" s="34">
        <v>5000</v>
      </c>
      <c r="N306" s="34">
        <f t="shared" si="17"/>
        <v>5000</v>
      </c>
      <c r="O306" s="33" t="s">
        <v>21</v>
      </c>
      <c r="P306" s="20">
        <f t="shared" si="19"/>
        <v>291</v>
      </c>
      <c r="Q306" s="20">
        <f t="shared" si="18"/>
        <v>13</v>
      </c>
      <c r="R306"/>
      <c r="S306"/>
      <c r="T306"/>
      <c r="U306"/>
      <c r="V306"/>
    </row>
    <row r="307" spans="1:22" ht="15" customHeight="1" x14ac:dyDescent="0.25">
      <c r="A307" s="20" t="s">
        <v>2678</v>
      </c>
      <c r="B307" s="63">
        <v>46020.758333333331</v>
      </c>
      <c r="C307" s="20">
        <f t="shared" si="20"/>
        <v>894</v>
      </c>
      <c r="D307" s="20">
        <v>1</v>
      </c>
      <c r="G307" s="32" t="s">
        <v>149</v>
      </c>
      <c r="H307" s="20" t="s">
        <v>2681</v>
      </c>
      <c r="I307" s="20">
        <v>1111</v>
      </c>
      <c r="J307" s="20">
        <v>112121</v>
      </c>
      <c r="K307" s="20" t="s">
        <v>20</v>
      </c>
      <c r="L307" s="20">
        <v>1</v>
      </c>
      <c r="M307" s="34">
        <v>70000000</v>
      </c>
      <c r="N307" s="34">
        <f t="shared" si="17"/>
        <v>70000000</v>
      </c>
      <c r="O307" s="33" t="s">
        <v>21</v>
      </c>
      <c r="P307" s="20">
        <f t="shared" si="19"/>
        <v>292</v>
      </c>
      <c r="Q307" s="20">
        <f t="shared" si="18"/>
        <v>21</v>
      </c>
      <c r="R307"/>
      <c r="S307"/>
      <c r="T307"/>
      <c r="U307"/>
      <c r="V307"/>
    </row>
    <row r="308" spans="1:22" ht="15" customHeight="1" x14ac:dyDescent="0.25">
      <c r="A308" s="20" t="s">
        <v>2679</v>
      </c>
      <c r="B308" s="63">
        <v>46021.495833333334</v>
      </c>
      <c r="C308" s="20">
        <f t="shared" si="20"/>
        <v>895</v>
      </c>
      <c r="D308" s="20">
        <v>1</v>
      </c>
      <c r="G308" s="32" t="s">
        <v>29</v>
      </c>
      <c r="H308" s="20" t="s">
        <v>3592</v>
      </c>
      <c r="I308" s="20">
        <v>112121</v>
      </c>
      <c r="J308" s="20">
        <v>131</v>
      </c>
      <c r="K308" s="20" t="s">
        <v>20</v>
      </c>
      <c r="L308" s="20">
        <v>1</v>
      </c>
      <c r="M308" s="34">
        <v>56419355</v>
      </c>
      <c r="N308" s="34">
        <f t="shared" si="17"/>
        <v>56419355</v>
      </c>
      <c r="O308" s="33" t="s">
        <v>21</v>
      </c>
      <c r="P308" s="20">
        <f t="shared" si="19"/>
        <v>293</v>
      </c>
      <c r="Q308" s="20">
        <f t="shared" si="18"/>
        <v>159</v>
      </c>
      <c r="R308"/>
      <c r="S308"/>
      <c r="T308"/>
      <c r="U308"/>
      <c r="V308"/>
    </row>
    <row r="309" spans="1:22" ht="15" customHeight="1" x14ac:dyDescent="0.25">
      <c r="A309" s="20" t="s">
        <v>2679</v>
      </c>
      <c r="B309" s="63">
        <v>46021.53402777778</v>
      </c>
      <c r="C309" s="20">
        <f t="shared" si="20"/>
        <v>896</v>
      </c>
      <c r="D309" s="20">
        <v>1</v>
      </c>
      <c r="G309" s="32" t="s">
        <v>29</v>
      </c>
      <c r="H309" s="20" t="s">
        <v>3593</v>
      </c>
      <c r="I309" s="20">
        <v>112121</v>
      </c>
      <c r="J309" s="20">
        <v>131</v>
      </c>
      <c r="K309" s="20" t="s">
        <v>20</v>
      </c>
      <c r="L309" s="20">
        <v>1</v>
      </c>
      <c r="M309" s="34">
        <v>96764516</v>
      </c>
      <c r="N309" s="34">
        <f t="shared" si="17"/>
        <v>96764516</v>
      </c>
      <c r="O309" s="33" t="s">
        <v>21</v>
      </c>
      <c r="P309" s="20">
        <f t="shared" si="19"/>
        <v>294</v>
      </c>
      <c r="Q309" s="20">
        <f t="shared" si="18"/>
        <v>155</v>
      </c>
      <c r="R309"/>
      <c r="S309"/>
      <c r="T309"/>
      <c r="U309"/>
      <c r="V309"/>
    </row>
    <row r="310" spans="1:22" ht="15" customHeight="1" x14ac:dyDescent="0.25">
      <c r="A310" s="20" t="s">
        <v>2678</v>
      </c>
      <c r="B310" s="63">
        <v>46021.708333333336</v>
      </c>
      <c r="C310" s="20">
        <f t="shared" si="20"/>
        <v>897</v>
      </c>
      <c r="D310" s="20">
        <v>1</v>
      </c>
      <c r="G310" s="32" t="s">
        <v>1024</v>
      </c>
      <c r="H310" s="20" t="s">
        <v>3587</v>
      </c>
      <c r="I310" s="20">
        <v>331</v>
      </c>
      <c r="J310" s="20">
        <v>112121</v>
      </c>
      <c r="K310" s="20" t="s">
        <v>20</v>
      </c>
      <c r="L310" s="20">
        <v>1</v>
      </c>
      <c r="M310" s="34">
        <v>12340000</v>
      </c>
      <c r="N310" s="34">
        <f t="shared" si="17"/>
        <v>12340000</v>
      </c>
      <c r="O310" s="33" t="s">
        <v>21</v>
      </c>
      <c r="P310" s="20">
        <f t="shared" si="19"/>
        <v>295</v>
      </c>
      <c r="Q310" s="20">
        <f t="shared" si="18"/>
        <v>51</v>
      </c>
      <c r="R310"/>
      <c r="S310"/>
      <c r="T310"/>
      <c r="U310"/>
      <c r="V310"/>
    </row>
    <row r="311" spans="1:22" ht="15" customHeight="1" x14ac:dyDescent="0.25">
      <c r="A311" s="20" t="s">
        <v>2679</v>
      </c>
      <c r="B311" s="63">
        <v>45931</v>
      </c>
      <c r="C311" s="20">
        <f t="shared" ref="C311:C374" si="21">C310+D311</f>
        <v>898</v>
      </c>
      <c r="D311" s="20">
        <v>1</v>
      </c>
      <c r="G311" s="32" t="s">
        <v>130</v>
      </c>
      <c r="H311" s="20" t="s">
        <v>3594</v>
      </c>
      <c r="I311" s="20">
        <v>112111</v>
      </c>
      <c r="J311" s="20">
        <v>131</v>
      </c>
      <c r="K311" s="20" t="s">
        <v>20</v>
      </c>
      <c r="L311" s="20">
        <v>1</v>
      </c>
      <c r="M311" s="34">
        <v>56419355</v>
      </c>
      <c r="N311" s="34">
        <f t="shared" si="17"/>
        <v>56419355</v>
      </c>
      <c r="O311" s="33" t="s">
        <v>21</v>
      </c>
      <c r="P311" s="20">
        <f t="shared" si="19"/>
        <v>296</v>
      </c>
      <c r="Q311" s="20">
        <f t="shared" si="18"/>
        <v>130</v>
      </c>
      <c r="R311"/>
      <c r="S311"/>
      <c r="T311"/>
      <c r="U311"/>
      <c r="V311"/>
    </row>
    <row r="312" spans="1:22" ht="15" customHeight="1" x14ac:dyDescent="0.25">
      <c r="A312" s="20" t="s">
        <v>2678</v>
      </c>
      <c r="B312" s="63">
        <v>45932</v>
      </c>
      <c r="C312" s="20">
        <f t="shared" si="21"/>
        <v>899</v>
      </c>
      <c r="D312" s="20">
        <v>1</v>
      </c>
      <c r="G312" s="32" t="s">
        <v>3011</v>
      </c>
      <c r="H312" s="20" t="s">
        <v>3164</v>
      </c>
      <c r="I312" s="20">
        <v>3383</v>
      </c>
      <c r="J312" s="20">
        <v>112111</v>
      </c>
      <c r="K312" s="20" t="s">
        <v>20</v>
      </c>
      <c r="L312" s="20">
        <v>1</v>
      </c>
      <c r="M312" s="34">
        <v>690300</v>
      </c>
      <c r="N312" s="34">
        <f t="shared" si="17"/>
        <v>690300</v>
      </c>
      <c r="O312" s="33" t="s">
        <v>21</v>
      </c>
      <c r="P312" s="20">
        <f t="shared" si="19"/>
        <v>297</v>
      </c>
      <c r="Q312" s="20">
        <f t="shared" si="18"/>
        <v>34</v>
      </c>
      <c r="R312"/>
      <c r="S312"/>
      <c r="T312"/>
      <c r="U312"/>
      <c r="V312"/>
    </row>
    <row r="313" spans="1:22" ht="15" customHeight="1" x14ac:dyDescent="0.25">
      <c r="A313" s="20" t="s">
        <v>2679</v>
      </c>
      <c r="B313" s="63">
        <v>45933</v>
      </c>
      <c r="C313" s="20">
        <f t="shared" si="21"/>
        <v>900</v>
      </c>
      <c r="D313" s="20">
        <v>1</v>
      </c>
      <c r="G313" s="32" t="s">
        <v>66</v>
      </c>
      <c r="H313" s="20" t="s">
        <v>3595</v>
      </c>
      <c r="I313" s="20">
        <v>112111</v>
      </c>
      <c r="J313" s="20">
        <v>131</v>
      </c>
      <c r="K313" s="20" t="s">
        <v>20</v>
      </c>
      <c r="L313" s="20">
        <v>1</v>
      </c>
      <c r="M313" s="34">
        <v>28209677</v>
      </c>
      <c r="N313" s="34">
        <f t="shared" si="17"/>
        <v>28209677</v>
      </c>
      <c r="O313" s="33" t="s">
        <v>21</v>
      </c>
      <c r="P313" s="20">
        <f t="shared" si="19"/>
        <v>298</v>
      </c>
      <c r="Q313" s="20">
        <f t="shared" si="18"/>
        <v>133</v>
      </c>
      <c r="R313"/>
      <c r="S313"/>
      <c r="T313"/>
      <c r="U313"/>
      <c r="V313"/>
    </row>
    <row r="314" spans="1:22" ht="15" customHeight="1" x14ac:dyDescent="0.25">
      <c r="A314" s="20" t="s">
        <v>2678</v>
      </c>
      <c r="B314" s="63">
        <v>45943</v>
      </c>
      <c r="C314" s="20">
        <f t="shared" si="21"/>
        <v>901</v>
      </c>
      <c r="D314" s="20">
        <v>1</v>
      </c>
      <c r="G314" s="32" t="s">
        <v>149</v>
      </c>
      <c r="H314" s="20" t="s">
        <v>2681</v>
      </c>
      <c r="I314" s="20">
        <v>1111</v>
      </c>
      <c r="J314" s="20">
        <v>112111</v>
      </c>
      <c r="K314" s="20" t="s">
        <v>20</v>
      </c>
      <c r="L314" s="20">
        <v>1</v>
      </c>
      <c r="M314" s="34">
        <v>100000000</v>
      </c>
      <c r="N314" s="34">
        <f t="shared" si="17"/>
        <v>100000000</v>
      </c>
      <c r="O314" s="33" t="s">
        <v>21</v>
      </c>
      <c r="P314" s="20">
        <f t="shared" si="19"/>
        <v>299</v>
      </c>
      <c r="Q314" s="20">
        <f t="shared" si="18"/>
        <v>21</v>
      </c>
      <c r="R314"/>
      <c r="S314"/>
      <c r="T314"/>
      <c r="U314"/>
      <c r="V314"/>
    </row>
    <row r="315" spans="1:22" ht="15" customHeight="1" x14ac:dyDescent="0.25">
      <c r="A315" s="20" t="s">
        <v>2679</v>
      </c>
      <c r="B315" s="63">
        <v>45951</v>
      </c>
      <c r="C315" s="20">
        <f t="shared" si="21"/>
        <v>902</v>
      </c>
      <c r="D315" s="20">
        <v>1</v>
      </c>
      <c r="G315" s="32" t="s">
        <v>66</v>
      </c>
      <c r="H315" s="20" t="s">
        <v>3597</v>
      </c>
      <c r="I315" s="20">
        <v>112111</v>
      </c>
      <c r="J315" s="20">
        <v>131</v>
      </c>
      <c r="K315" s="20" t="s">
        <v>20</v>
      </c>
      <c r="L315" s="20">
        <v>1</v>
      </c>
      <c r="M315" s="34">
        <v>28209677</v>
      </c>
      <c r="N315" s="34">
        <f t="shared" si="17"/>
        <v>28209677</v>
      </c>
      <c r="O315" s="33" t="s">
        <v>21</v>
      </c>
      <c r="P315" s="20">
        <f t="shared" si="19"/>
        <v>300</v>
      </c>
      <c r="Q315" s="20">
        <f t="shared" si="18"/>
        <v>175</v>
      </c>
      <c r="R315"/>
      <c r="S315"/>
      <c r="T315"/>
      <c r="U315"/>
      <c r="V315"/>
    </row>
    <row r="316" spans="1:22" ht="15" customHeight="1" x14ac:dyDescent="0.25">
      <c r="A316" s="20" t="s">
        <v>2679</v>
      </c>
      <c r="B316" s="63">
        <v>45951</v>
      </c>
      <c r="C316" s="20">
        <f t="shared" ref="C316:C317" si="22">C315+D316</f>
        <v>902</v>
      </c>
      <c r="D316" s="20">
        <v>0</v>
      </c>
      <c r="G316" s="32" t="s">
        <v>66</v>
      </c>
      <c r="H316" s="20" t="s">
        <v>3597</v>
      </c>
      <c r="I316" s="20">
        <v>8118</v>
      </c>
      <c r="J316" s="20">
        <v>131</v>
      </c>
      <c r="K316" s="20" t="s">
        <v>20</v>
      </c>
      <c r="L316" s="20">
        <v>1</v>
      </c>
      <c r="M316" s="34">
        <v>1</v>
      </c>
      <c r="N316" s="34">
        <f t="shared" ref="N316" si="23">L316*M316</f>
        <v>1</v>
      </c>
      <c r="O316" s="33" t="s">
        <v>21</v>
      </c>
      <c r="P316" s="20">
        <f t="shared" si="19"/>
        <v>300</v>
      </c>
      <c r="Q316" s="20">
        <f t="shared" si="18"/>
        <v>175</v>
      </c>
      <c r="R316"/>
      <c r="S316"/>
      <c r="T316"/>
      <c r="U316"/>
      <c r="V316"/>
    </row>
    <row r="317" spans="1:22" ht="15" customHeight="1" x14ac:dyDescent="0.25">
      <c r="A317" s="20" t="s">
        <v>2679</v>
      </c>
      <c r="B317" s="63">
        <v>45954</v>
      </c>
      <c r="C317" s="20">
        <f t="shared" si="22"/>
        <v>903</v>
      </c>
      <c r="D317" s="20">
        <v>1</v>
      </c>
      <c r="G317" s="32" t="s">
        <v>1360</v>
      </c>
      <c r="H317" s="20" t="s">
        <v>3598</v>
      </c>
      <c r="I317" s="20">
        <v>112111</v>
      </c>
      <c r="J317" s="20">
        <v>131</v>
      </c>
      <c r="K317" s="20" t="s">
        <v>20</v>
      </c>
      <c r="L317" s="20">
        <v>1</v>
      </c>
      <c r="M317" s="34">
        <v>66107526</v>
      </c>
      <c r="N317" s="34">
        <f t="shared" si="17"/>
        <v>66107526</v>
      </c>
      <c r="O317" s="33" t="s">
        <v>21</v>
      </c>
      <c r="P317" s="20">
        <f t="shared" si="19"/>
        <v>301</v>
      </c>
      <c r="Q317" s="20">
        <f t="shared" si="18"/>
        <v>125</v>
      </c>
      <c r="R317"/>
      <c r="S317"/>
      <c r="T317"/>
      <c r="U317"/>
      <c r="V317"/>
    </row>
    <row r="318" spans="1:22" ht="15" customHeight="1" x14ac:dyDescent="0.25">
      <c r="A318" s="20" t="s">
        <v>2679</v>
      </c>
      <c r="B318" s="63">
        <v>45955</v>
      </c>
      <c r="C318" s="20">
        <f t="shared" si="21"/>
        <v>904</v>
      </c>
      <c r="D318" s="20">
        <v>1</v>
      </c>
      <c r="G318" s="32" t="s">
        <v>149</v>
      </c>
      <c r="H318" s="20" t="s">
        <v>2687</v>
      </c>
      <c r="I318" s="20">
        <v>112111</v>
      </c>
      <c r="J318" s="20">
        <v>5154</v>
      </c>
      <c r="K318" s="20" t="s">
        <v>20</v>
      </c>
      <c r="L318" s="20">
        <v>1</v>
      </c>
      <c r="M318" s="34">
        <v>5824</v>
      </c>
      <c r="N318" s="34">
        <f t="shared" si="17"/>
        <v>5824</v>
      </c>
      <c r="O318" s="33" t="s">
        <v>21</v>
      </c>
      <c r="P318" s="20">
        <f t="shared" si="19"/>
        <v>302</v>
      </c>
      <c r="Q318" s="20">
        <f t="shared" si="18"/>
        <v>12</v>
      </c>
      <c r="R318"/>
      <c r="S318"/>
      <c r="T318"/>
      <c r="U318"/>
      <c r="V318"/>
    </row>
    <row r="319" spans="1:22" ht="15" customHeight="1" x14ac:dyDescent="0.25">
      <c r="A319" s="20" t="s">
        <v>2678</v>
      </c>
      <c r="B319" s="63">
        <v>45959</v>
      </c>
      <c r="C319" s="20">
        <f t="shared" si="21"/>
        <v>905</v>
      </c>
      <c r="D319" s="20">
        <v>1</v>
      </c>
      <c r="G319" s="32" t="s">
        <v>2717</v>
      </c>
      <c r="H319" s="20" t="s">
        <v>3596</v>
      </c>
      <c r="I319" s="20">
        <v>333821</v>
      </c>
      <c r="J319" s="20">
        <v>112111</v>
      </c>
      <c r="K319" s="20" t="s">
        <v>20</v>
      </c>
      <c r="L319" s="20">
        <v>1</v>
      </c>
      <c r="M319" s="34">
        <v>30901270</v>
      </c>
      <c r="N319" s="34">
        <f t="shared" si="17"/>
        <v>30901270</v>
      </c>
      <c r="O319" s="33" t="s">
        <v>21</v>
      </c>
      <c r="P319" s="20">
        <f t="shared" si="19"/>
        <v>303</v>
      </c>
      <c r="Q319" s="20">
        <f t="shared" si="18"/>
        <v>36</v>
      </c>
      <c r="R319"/>
      <c r="S319"/>
      <c r="T319"/>
      <c r="U319"/>
      <c r="V319"/>
    </row>
    <row r="320" spans="1:22" ht="15" customHeight="1" x14ac:dyDescent="0.25">
      <c r="A320" s="20" t="s">
        <v>2678</v>
      </c>
      <c r="B320" s="63">
        <v>45979</v>
      </c>
      <c r="C320" s="20">
        <f t="shared" si="21"/>
        <v>906</v>
      </c>
      <c r="D320" s="20">
        <v>1</v>
      </c>
      <c r="G320" s="32" t="s">
        <v>149</v>
      </c>
      <c r="H320" s="20" t="s">
        <v>2681</v>
      </c>
      <c r="I320" s="20">
        <v>1111</v>
      </c>
      <c r="J320" s="20">
        <v>112111</v>
      </c>
      <c r="K320" s="20" t="s">
        <v>20</v>
      </c>
      <c r="L320" s="20">
        <v>1</v>
      </c>
      <c r="M320" s="34">
        <v>50000000</v>
      </c>
      <c r="N320" s="34">
        <f t="shared" si="17"/>
        <v>50000000</v>
      </c>
      <c r="O320" s="33" t="s">
        <v>21</v>
      </c>
      <c r="P320" s="20">
        <f t="shared" si="19"/>
        <v>304</v>
      </c>
      <c r="Q320" s="20">
        <f t="shared" si="18"/>
        <v>21</v>
      </c>
      <c r="R320"/>
      <c r="S320"/>
      <c r="T320"/>
      <c r="U320"/>
      <c r="V320"/>
    </row>
    <row r="321" spans="1:22" ht="15" customHeight="1" x14ac:dyDescent="0.25">
      <c r="A321" s="20" t="s">
        <v>2678</v>
      </c>
      <c r="B321" s="63">
        <v>45981</v>
      </c>
      <c r="C321" s="20">
        <f t="shared" si="21"/>
        <v>907</v>
      </c>
      <c r="D321" s="20">
        <v>1</v>
      </c>
      <c r="G321" s="32" t="s">
        <v>149</v>
      </c>
      <c r="H321" s="20" t="s">
        <v>2681</v>
      </c>
      <c r="I321" s="20">
        <v>1111</v>
      </c>
      <c r="J321" s="20">
        <v>112111</v>
      </c>
      <c r="K321" s="20" t="s">
        <v>20</v>
      </c>
      <c r="L321" s="20">
        <v>1</v>
      </c>
      <c r="M321" s="34">
        <v>10000000</v>
      </c>
      <c r="N321" s="34">
        <f t="shared" si="17"/>
        <v>10000000</v>
      </c>
      <c r="O321" s="33" t="s">
        <v>21</v>
      </c>
      <c r="P321" s="20">
        <f t="shared" si="19"/>
        <v>305</v>
      </c>
      <c r="Q321" s="20">
        <f t="shared" si="18"/>
        <v>21</v>
      </c>
      <c r="R321"/>
      <c r="S321"/>
      <c r="T321"/>
      <c r="U321"/>
      <c r="V321"/>
    </row>
    <row r="322" spans="1:22" ht="15" customHeight="1" x14ac:dyDescent="0.25">
      <c r="A322" s="20" t="s">
        <v>2678</v>
      </c>
      <c r="B322" s="63">
        <v>45985</v>
      </c>
      <c r="C322" s="20">
        <f t="shared" si="21"/>
        <v>908</v>
      </c>
      <c r="D322" s="20">
        <v>1</v>
      </c>
      <c r="G322" s="32" t="s">
        <v>149</v>
      </c>
      <c r="H322" s="20" t="s">
        <v>2681</v>
      </c>
      <c r="I322" s="20">
        <v>1111</v>
      </c>
      <c r="J322" s="20">
        <v>112111</v>
      </c>
      <c r="K322" s="20" t="s">
        <v>20</v>
      </c>
      <c r="L322" s="20">
        <v>1</v>
      </c>
      <c r="M322" s="34">
        <v>30000000</v>
      </c>
      <c r="N322" s="34">
        <f t="shared" si="17"/>
        <v>30000000</v>
      </c>
      <c r="O322" s="33" t="s">
        <v>21</v>
      </c>
      <c r="P322" s="20">
        <f t="shared" si="19"/>
        <v>306</v>
      </c>
      <c r="Q322" s="20">
        <f t="shared" si="18"/>
        <v>21</v>
      </c>
      <c r="R322"/>
      <c r="S322"/>
      <c r="T322"/>
      <c r="U322"/>
      <c r="V322"/>
    </row>
    <row r="323" spans="1:22" ht="15" customHeight="1" x14ac:dyDescent="0.25">
      <c r="A323" s="20" t="s">
        <v>2679</v>
      </c>
      <c r="B323" s="63">
        <v>45990</v>
      </c>
      <c r="C323" s="20">
        <f t="shared" si="21"/>
        <v>909</v>
      </c>
      <c r="D323" s="20">
        <v>1</v>
      </c>
      <c r="G323" s="32" t="s">
        <v>149</v>
      </c>
      <c r="H323" s="20" t="s">
        <v>2687</v>
      </c>
      <c r="I323" s="20">
        <v>112111</v>
      </c>
      <c r="J323" s="20">
        <v>5154</v>
      </c>
      <c r="K323" s="20" t="s">
        <v>20</v>
      </c>
      <c r="L323" s="20">
        <v>1</v>
      </c>
      <c r="M323" s="34">
        <v>6201</v>
      </c>
      <c r="N323" s="34">
        <f t="shared" si="17"/>
        <v>6201</v>
      </c>
      <c r="O323" s="33" t="s">
        <v>21</v>
      </c>
      <c r="P323" s="20">
        <f t="shared" si="19"/>
        <v>307</v>
      </c>
      <c r="Q323" s="20">
        <f t="shared" si="18"/>
        <v>12</v>
      </c>
      <c r="R323"/>
      <c r="S323"/>
      <c r="T323"/>
      <c r="U323"/>
      <c r="V323"/>
    </row>
    <row r="324" spans="1:22" ht="15" customHeight="1" x14ac:dyDescent="0.25">
      <c r="A324" s="20" t="s">
        <v>2678</v>
      </c>
      <c r="B324" s="63">
        <v>45992</v>
      </c>
      <c r="C324" s="20">
        <f t="shared" si="21"/>
        <v>910</v>
      </c>
      <c r="D324" s="20">
        <v>1</v>
      </c>
      <c r="G324" s="32" t="s">
        <v>149</v>
      </c>
      <c r="H324" s="20" t="s">
        <v>2681</v>
      </c>
      <c r="I324" s="20">
        <v>1111</v>
      </c>
      <c r="J324" s="20">
        <v>112111</v>
      </c>
      <c r="K324" s="20" t="s">
        <v>20</v>
      </c>
      <c r="L324" s="20">
        <v>1</v>
      </c>
      <c r="M324" s="34">
        <v>59849420</v>
      </c>
      <c r="N324" s="34">
        <f t="shared" ref="N324:N387" si="24">L324*M324</f>
        <v>59849420</v>
      </c>
      <c r="O324" s="33" t="s">
        <v>21</v>
      </c>
      <c r="P324" s="20">
        <f t="shared" si="19"/>
        <v>308</v>
      </c>
      <c r="Q324" s="20">
        <f t="shared" si="18"/>
        <v>21</v>
      </c>
      <c r="R324"/>
      <c r="S324"/>
      <c r="T324"/>
      <c r="U324"/>
      <c r="V324"/>
    </row>
    <row r="325" spans="1:22" ht="15" customHeight="1" x14ac:dyDescent="0.2">
      <c r="A325" s="20" t="s">
        <v>2719</v>
      </c>
      <c r="B325" s="63">
        <v>45932</v>
      </c>
      <c r="C325" s="20">
        <f t="shared" si="21"/>
        <v>911</v>
      </c>
      <c r="D325" s="20">
        <v>1</v>
      </c>
      <c r="G325" s="32" t="s">
        <v>115</v>
      </c>
      <c r="H325" s="20" t="s">
        <v>3602</v>
      </c>
      <c r="I325" s="20">
        <v>331</v>
      </c>
      <c r="J325" s="20">
        <v>1111</v>
      </c>
      <c r="K325" s="20" t="s">
        <v>20</v>
      </c>
      <c r="L325" s="20">
        <v>1</v>
      </c>
      <c r="M325" s="34">
        <v>13000</v>
      </c>
      <c r="N325" s="34">
        <f t="shared" si="24"/>
        <v>13000</v>
      </c>
      <c r="O325" s="33" t="s">
        <v>21</v>
      </c>
      <c r="P325" s="20">
        <f t="shared" si="19"/>
        <v>309</v>
      </c>
      <c r="Q325" s="20">
        <f t="shared" si="18"/>
        <v>44</v>
      </c>
    </row>
    <row r="326" spans="1:22" ht="15" customHeight="1" x14ac:dyDescent="0.2">
      <c r="A326" s="20" t="s">
        <v>2719</v>
      </c>
      <c r="B326" s="63">
        <v>45932</v>
      </c>
      <c r="C326" s="20">
        <f t="shared" si="21"/>
        <v>912</v>
      </c>
      <c r="D326" s="20">
        <v>1</v>
      </c>
      <c r="G326" s="32" t="s">
        <v>115</v>
      </c>
      <c r="H326" s="20" t="s">
        <v>3603</v>
      </c>
      <c r="I326" s="20">
        <v>331</v>
      </c>
      <c r="J326" s="20">
        <v>1111</v>
      </c>
      <c r="K326" s="20" t="s">
        <v>20</v>
      </c>
      <c r="L326" s="20">
        <v>1</v>
      </c>
      <c r="M326" s="34">
        <v>143000</v>
      </c>
      <c r="N326" s="34">
        <f t="shared" si="24"/>
        <v>143000</v>
      </c>
      <c r="O326" s="33" t="s">
        <v>21</v>
      </c>
      <c r="P326" s="20">
        <f t="shared" ref="P326:P389" si="25">P325+D326</f>
        <v>310</v>
      </c>
      <c r="Q326" s="20">
        <f t="shared" ref="Q326:Q389" si="26">LEN(H326)</f>
        <v>44</v>
      </c>
    </row>
    <row r="327" spans="1:22" ht="15" customHeight="1" x14ac:dyDescent="0.2">
      <c r="A327" s="20" t="s">
        <v>2719</v>
      </c>
      <c r="B327" s="63">
        <v>45932</v>
      </c>
      <c r="C327" s="20">
        <f t="shared" si="21"/>
        <v>913</v>
      </c>
      <c r="D327" s="20">
        <v>1</v>
      </c>
      <c r="G327" s="32" t="s">
        <v>115</v>
      </c>
      <c r="H327" s="20" t="s">
        <v>3604</v>
      </c>
      <c r="I327" s="20">
        <v>331</v>
      </c>
      <c r="J327" s="20">
        <v>1111</v>
      </c>
      <c r="K327" s="20" t="s">
        <v>20</v>
      </c>
      <c r="L327" s="20">
        <v>1</v>
      </c>
      <c r="M327" s="34">
        <v>144000</v>
      </c>
      <c r="N327" s="34">
        <f t="shared" si="24"/>
        <v>144000</v>
      </c>
      <c r="O327" s="33" t="s">
        <v>21</v>
      </c>
      <c r="P327" s="20">
        <f t="shared" si="25"/>
        <v>311</v>
      </c>
      <c r="Q327" s="20">
        <f t="shared" si="26"/>
        <v>44</v>
      </c>
    </row>
    <row r="328" spans="1:22" ht="15" customHeight="1" x14ac:dyDescent="0.2">
      <c r="A328" s="20" t="s">
        <v>2719</v>
      </c>
      <c r="B328" s="63">
        <v>45933</v>
      </c>
      <c r="C328" s="20">
        <f t="shared" si="21"/>
        <v>914</v>
      </c>
      <c r="D328" s="20">
        <v>1</v>
      </c>
      <c r="G328" s="32" t="s">
        <v>37</v>
      </c>
      <c r="H328" s="20" t="s">
        <v>3605</v>
      </c>
      <c r="I328" s="20">
        <v>331</v>
      </c>
      <c r="J328" s="20">
        <v>1111</v>
      </c>
      <c r="K328" s="20" t="s">
        <v>20</v>
      </c>
      <c r="L328" s="20">
        <v>1</v>
      </c>
      <c r="M328" s="34">
        <v>3240000</v>
      </c>
      <c r="N328" s="34">
        <f t="shared" si="24"/>
        <v>3240000</v>
      </c>
      <c r="O328" s="33" t="s">
        <v>21</v>
      </c>
      <c r="P328" s="20">
        <f t="shared" si="25"/>
        <v>312</v>
      </c>
      <c r="Q328" s="20">
        <f t="shared" si="26"/>
        <v>53</v>
      </c>
    </row>
    <row r="329" spans="1:22" ht="15" customHeight="1" x14ac:dyDescent="0.2">
      <c r="A329" s="20" t="s">
        <v>2719</v>
      </c>
      <c r="B329" s="63">
        <v>45933</v>
      </c>
      <c r="C329" s="20">
        <f t="shared" si="21"/>
        <v>915</v>
      </c>
      <c r="D329" s="20">
        <v>1</v>
      </c>
      <c r="G329" s="32" t="s">
        <v>1346</v>
      </c>
      <c r="H329" s="20" t="s">
        <v>3606</v>
      </c>
      <c r="I329" s="20">
        <v>331</v>
      </c>
      <c r="J329" s="20">
        <v>1111</v>
      </c>
      <c r="K329" s="20" t="s">
        <v>20</v>
      </c>
      <c r="L329" s="20">
        <v>1</v>
      </c>
      <c r="M329" s="34">
        <v>2387070</v>
      </c>
      <c r="N329" s="34">
        <f t="shared" si="24"/>
        <v>2387070</v>
      </c>
      <c r="O329" s="33" t="s">
        <v>21</v>
      </c>
      <c r="P329" s="20">
        <f t="shared" si="25"/>
        <v>313</v>
      </c>
      <c r="Q329" s="20">
        <f t="shared" si="26"/>
        <v>51</v>
      </c>
    </row>
    <row r="330" spans="1:22" ht="15" customHeight="1" x14ac:dyDescent="0.2">
      <c r="A330" s="20" t="s">
        <v>2719</v>
      </c>
      <c r="B330" s="63">
        <v>45933</v>
      </c>
      <c r="C330" s="20">
        <f t="shared" si="21"/>
        <v>916</v>
      </c>
      <c r="D330" s="20">
        <v>1</v>
      </c>
      <c r="G330" s="32" t="s">
        <v>123</v>
      </c>
      <c r="H330" s="20" t="s">
        <v>3607</v>
      </c>
      <c r="I330" s="20">
        <v>331</v>
      </c>
      <c r="J330" s="20">
        <v>1111</v>
      </c>
      <c r="K330" s="20" t="s">
        <v>20</v>
      </c>
      <c r="L330" s="20">
        <v>1</v>
      </c>
      <c r="M330" s="34">
        <v>619920</v>
      </c>
      <c r="N330" s="34">
        <f t="shared" si="24"/>
        <v>619920</v>
      </c>
      <c r="O330" s="33" t="s">
        <v>21</v>
      </c>
      <c r="P330" s="20">
        <f t="shared" si="25"/>
        <v>314</v>
      </c>
      <c r="Q330" s="20">
        <f t="shared" si="26"/>
        <v>53</v>
      </c>
    </row>
    <row r="331" spans="1:22" ht="15" customHeight="1" x14ac:dyDescent="0.2">
      <c r="A331" s="20" t="s">
        <v>2719</v>
      </c>
      <c r="B331" s="63">
        <v>45934</v>
      </c>
      <c r="C331" s="20">
        <f t="shared" si="21"/>
        <v>917</v>
      </c>
      <c r="D331" s="20">
        <v>1</v>
      </c>
      <c r="G331" s="32" t="s">
        <v>115</v>
      </c>
      <c r="H331" s="20" t="s">
        <v>3608</v>
      </c>
      <c r="I331" s="20">
        <v>331</v>
      </c>
      <c r="J331" s="20">
        <v>1111</v>
      </c>
      <c r="K331" s="20" t="s">
        <v>20</v>
      </c>
      <c r="L331" s="20">
        <v>1</v>
      </c>
      <c r="M331" s="34">
        <v>37000</v>
      </c>
      <c r="N331" s="34">
        <f t="shared" si="24"/>
        <v>37000</v>
      </c>
      <c r="O331" s="33" t="s">
        <v>21</v>
      </c>
      <c r="P331" s="20">
        <f t="shared" si="25"/>
        <v>315</v>
      </c>
      <c r="Q331" s="20">
        <f t="shared" si="26"/>
        <v>44</v>
      </c>
    </row>
    <row r="332" spans="1:22" ht="15" customHeight="1" x14ac:dyDescent="0.2">
      <c r="A332" s="20" t="s">
        <v>2719</v>
      </c>
      <c r="B332" s="63">
        <v>45935</v>
      </c>
      <c r="C332" s="20">
        <f t="shared" si="21"/>
        <v>918</v>
      </c>
      <c r="D332" s="20">
        <v>1</v>
      </c>
      <c r="G332" s="32" t="s">
        <v>115</v>
      </c>
      <c r="H332" s="20" t="s">
        <v>3609</v>
      </c>
      <c r="I332" s="20">
        <v>331</v>
      </c>
      <c r="J332" s="20">
        <v>1111</v>
      </c>
      <c r="K332" s="20" t="s">
        <v>20</v>
      </c>
      <c r="L332" s="20">
        <v>1</v>
      </c>
      <c r="M332" s="34">
        <v>70000</v>
      </c>
      <c r="N332" s="34">
        <f t="shared" si="24"/>
        <v>70000</v>
      </c>
      <c r="O332" s="33" t="s">
        <v>21</v>
      </c>
      <c r="P332" s="20">
        <f t="shared" si="25"/>
        <v>316</v>
      </c>
      <c r="Q332" s="20">
        <f t="shared" si="26"/>
        <v>44</v>
      </c>
    </row>
    <row r="333" spans="1:22" ht="15" customHeight="1" x14ac:dyDescent="0.2">
      <c r="A333" s="20" t="s">
        <v>2719</v>
      </c>
      <c r="B333" s="63">
        <v>45935</v>
      </c>
      <c r="C333" s="20">
        <f t="shared" si="21"/>
        <v>919</v>
      </c>
      <c r="D333" s="20">
        <v>1</v>
      </c>
      <c r="G333" s="32" t="s">
        <v>115</v>
      </c>
      <c r="H333" s="20" t="s">
        <v>3610</v>
      </c>
      <c r="I333" s="20">
        <v>331</v>
      </c>
      <c r="J333" s="20">
        <v>1111</v>
      </c>
      <c r="K333" s="20" t="s">
        <v>20</v>
      </c>
      <c r="L333" s="20">
        <v>1</v>
      </c>
      <c r="M333" s="34">
        <v>82000</v>
      </c>
      <c r="N333" s="34">
        <f t="shared" si="24"/>
        <v>82000</v>
      </c>
      <c r="O333" s="33" t="s">
        <v>21</v>
      </c>
      <c r="P333" s="20">
        <f t="shared" si="25"/>
        <v>317</v>
      </c>
      <c r="Q333" s="20">
        <f t="shared" si="26"/>
        <v>44</v>
      </c>
    </row>
    <row r="334" spans="1:22" ht="15" customHeight="1" x14ac:dyDescent="0.2">
      <c r="A334" s="20" t="s">
        <v>2719</v>
      </c>
      <c r="B334" s="63">
        <v>45935</v>
      </c>
      <c r="C334" s="20">
        <f t="shared" si="21"/>
        <v>920</v>
      </c>
      <c r="D334" s="20">
        <v>1</v>
      </c>
      <c r="G334" s="32" t="s">
        <v>115</v>
      </c>
      <c r="H334" s="20" t="s">
        <v>3611</v>
      </c>
      <c r="I334" s="20">
        <v>331</v>
      </c>
      <c r="J334" s="20">
        <v>1111</v>
      </c>
      <c r="K334" s="20" t="s">
        <v>20</v>
      </c>
      <c r="L334" s="20">
        <v>1</v>
      </c>
      <c r="M334" s="34">
        <v>42000</v>
      </c>
      <c r="N334" s="34">
        <f t="shared" si="24"/>
        <v>42000</v>
      </c>
      <c r="O334" s="33" t="s">
        <v>21</v>
      </c>
      <c r="P334" s="20">
        <f t="shared" si="25"/>
        <v>318</v>
      </c>
      <c r="Q334" s="20">
        <f t="shared" si="26"/>
        <v>44</v>
      </c>
    </row>
    <row r="335" spans="1:22" ht="15" customHeight="1" x14ac:dyDescent="0.2">
      <c r="A335" s="20" t="s">
        <v>2719</v>
      </c>
      <c r="B335" s="63">
        <v>45935</v>
      </c>
      <c r="C335" s="20">
        <f t="shared" si="21"/>
        <v>921</v>
      </c>
      <c r="D335" s="20">
        <v>1</v>
      </c>
      <c r="G335" s="32" t="s">
        <v>115</v>
      </c>
      <c r="H335" s="20" t="s">
        <v>3612</v>
      </c>
      <c r="I335" s="20">
        <v>331</v>
      </c>
      <c r="J335" s="20">
        <v>1111</v>
      </c>
      <c r="K335" s="20" t="s">
        <v>20</v>
      </c>
      <c r="L335" s="20">
        <v>1</v>
      </c>
      <c r="M335" s="34">
        <v>63000</v>
      </c>
      <c r="N335" s="34">
        <f t="shared" si="24"/>
        <v>63000</v>
      </c>
      <c r="O335" s="33" t="s">
        <v>21</v>
      </c>
      <c r="P335" s="20">
        <f t="shared" si="25"/>
        <v>319</v>
      </c>
      <c r="Q335" s="20">
        <f t="shared" si="26"/>
        <v>44</v>
      </c>
    </row>
    <row r="336" spans="1:22" ht="15" customHeight="1" x14ac:dyDescent="0.2">
      <c r="A336" s="20" t="s">
        <v>2719</v>
      </c>
      <c r="B336" s="63">
        <v>45936</v>
      </c>
      <c r="C336" s="20">
        <f t="shared" si="21"/>
        <v>922</v>
      </c>
      <c r="D336" s="20">
        <v>1</v>
      </c>
      <c r="G336" s="32" t="s">
        <v>115</v>
      </c>
      <c r="H336" s="20" t="s">
        <v>3613</v>
      </c>
      <c r="I336" s="20">
        <v>331</v>
      </c>
      <c r="J336" s="20">
        <v>1111</v>
      </c>
      <c r="K336" s="20" t="s">
        <v>20</v>
      </c>
      <c r="L336" s="20">
        <v>1</v>
      </c>
      <c r="M336" s="34">
        <v>32000</v>
      </c>
      <c r="N336" s="34">
        <f t="shared" si="24"/>
        <v>32000</v>
      </c>
      <c r="O336" s="33" t="s">
        <v>21</v>
      </c>
      <c r="P336" s="20">
        <f t="shared" si="25"/>
        <v>320</v>
      </c>
      <c r="Q336" s="20">
        <f t="shared" si="26"/>
        <v>44</v>
      </c>
    </row>
    <row r="337" spans="1:17" ht="15" customHeight="1" x14ac:dyDescent="0.2">
      <c r="A337" s="20" t="s">
        <v>2719</v>
      </c>
      <c r="B337" s="63">
        <v>45936</v>
      </c>
      <c r="C337" s="20">
        <f t="shared" si="21"/>
        <v>923</v>
      </c>
      <c r="D337" s="20">
        <v>1</v>
      </c>
      <c r="G337" s="32" t="s">
        <v>1347</v>
      </c>
      <c r="H337" s="20" t="s">
        <v>3614</v>
      </c>
      <c r="I337" s="20">
        <v>331</v>
      </c>
      <c r="J337" s="20">
        <v>1111</v>
      </c>
      <c r="K337" s="20" t="s">
        <v>20</v>
      </c>
      <c r="L337" s="20">
        <v>1</v>
      </c>
      <c r="M337" s="34">
        <v>2949000</v>
      </c>
      <c r="N337" s="34">
        <f t="shared" si="24"/>
        <v>2949000</v>
      </c>
      <c r="O337" s="33" t="s">
        <v>21</v>
      </c>
      <c r="P337" s="20">
        <f t="shared" si="25"/>
        <v>321</v>
      </c>
      <c r="Q337" s="20">
        <f t="shared" si="26"/>
        <v>48</v>
      </c>
    </row>
    <row r="338" spans="1:17" ht="15" customHeight="1" x14ac:dyDescent="0.2">
      <c r="A338" s="20" t="s">
        <v>2719</v>
      </c>
      <c r="B338" s="63">
        <v>45938</v>
      </c>
      <c r="C338" s="20">
        <f t="shared" si="21"/>
        <v>924</v>
      </c>
      <c r="D338" s="20">
        <v>1</v>
      </c>
      <c r="G338" s="32" t="s">
        <v>115</v>
      </c>
      <c r="H338" s="20" t="s">
        <v>3615</v>
      </c>
      <c r="I338" s="20">
        <v>331</v>
      </c>
      <c r="J338" s="20">
        <v>1111</v>
      </c>
      <c r="K338" s="20" t="s">
        <v>20</v>
      </c>
      <c r="L338" s="20">
        <v>1</v>
      </c>
      <c r="M338" s="34">
        <v>21000</v>
      </c>
      <c r="N338" s="34">
        <f t="shared" si="24"/>
        <v>21000</v>
      </c>
      <c r="O338" s="33" t="s">
        <v>21</v>
      </c>
      <c r="P338" s="20">
        <f t="shared" si="25"/>
        <v>322</v>
      </c>
      <c r="Q338" s="20">
        <f t="shared" si="26"/>
        <v>44</v>
      </c>
    </row>
    <row r="339" spans="1:17" ht="15" customHeight="1" x14ac:dyDescent="0.2">
      <c r="A339" s="20" t="s">
        <v>2719</v>
      </c>
      <c r="B339" s="63">
        <v>45938</v>
      </c>
      <c r="C339" s="20">
        <f t="shared" si="21"/>
        <v>925</v>
      </c>
      <c r="D339" s="20">
        <v>1</v>
      </c>
      <c r="G339" s="32" t="s">
        <v>115</v>
      </c>
      <c r="H339" s="20" t="s">
        <v>3616</v>
      </c>
      <c r="I339" s="20">
        <v>331</v>
      </c>
      <c r="J339" s="20">
        <v>1111</v>
      </c>
      <c r="K339" s="20" t="s">
        <v>20</v>
      </c>
      <c r="L339" s="20">
        <v>1</v>
      </c>
      <c r="M339" s="34">
        <v>13000</v>
      </c>
      <c r="N339" s="34">
        <f t="shared" si="24"/>
        <v>13000</v>
      </c>
      <c r="O339" s="33" t="s">
        <v>21</v>
      </c>
      <c r="P339" s="20">
        <f t="shared" si="25"/>
        <v>323</v>
      </c>
      <c r="Q339" s="20">
        <f t="shared" si="26"/>
        <v>44</v>
      </c>
    </row>
    <row r="340" spans="1:17" ht="15" customHeight="1" x14ac:dyDescent="0.2">
      <c r="A340" s="20" t="s">
        <v>2719</v>
      </c>
      <c r="B340" s="63">
        <v>45939</v>
      </c>
      <c r="C340" s="20">
        <f t="shared" si="21"/>
        <v>926</v>
      </c>
      <c r="D340" s="20">
        <v>1</v>
      </c>
      <c r="G340" s="32" t="s">
        <v>115</v>
      </c>
      <c r="H340" s="20" t="s">
        <v>3617</v>
      </c>
      <c r="I340" s="20">
        <v>331</v>
      </c>
      <c r="J340" s="20">
        <v>1111</v>
      </c>
      <c r="K340" s="20" t="s">
        <v>20</v>
      </c>
      <c r="L340" s="20">
        <v>1</v>
      </c>
      <c r="M340" s="34">
        <v>32000</v>
      </c>
      <c r="N340" s="34">
        <f t="shared" si="24"/>
        <v>32000</v>
      </c>
      <c r="O340" s="33" t="s">
        <v>21</v>
      </c>
      <c r="P340" s="20">
        <f t="shared" si="25"/>
        <v>324</v>
      </c>
      <c r="Q340" s="20">
        <f t="shared" si="26"/>
        <v>44</v>
      </c>
    </row>
    <row r="341" spans="1:17" ht="15" customHeight="1" x14ac:dyDescent="0.2">
      <c r="A341" s="20" t="s">
        <v>2719</v>
      </c>
      <c r="B341" s="63">
        <v>45939</v>
      </c>
      <c r="C341" s="20">
        <f t="shared" si="21"/>
        <v>927</v>
      </c>
      <c r="D341" s="20">
        <v>1</v>
      </c>
      <c r="G341" s="32" t="s">
        <v>115</v>
      </c>
      <c r="H341" s="20" t="s">
        <v>3618</v>
      </c>
      <c r="I341" s="20">
        <v>331</v>
      </c>
      <c r="J341" s="20">
        <v>1111</v>
      </c>
      <c r="K341" s="20" t="s">
        <v>20</v>
      </c>
      <c r="L341" s="20">
        <v>1</v>
      </c>
      <c r="M341" s="34">
        <v>26000</v>
      </c>
      <c r="N341" s="34">
        <f t="shared" si="24"/>
        <v>26000</v>
      </c>
      <c r="O341" s="33" t="s">
        <v>21</v>
      </c>
      <c r="P341" s="20">
        <f t="shared" si="25"/>
        <v>325</v>
      </c>
      <c r="Q341" s="20">
        <f t="shared" si="26"/>
        <v>44</v>
      </c>
    </row>
    <row r="342" spans="1:17" ht="15" customHeight="1" x14ac:dyDescent="0.2">
      <c r="A342" s="20" t="s">
        <v>2719</v>
      </c>
      <c r="B342" s="63">
        <v>45939</v>
      </c>
      <c r="C342" s="20">
        <f t="shared" si="21"/>
        <v>928</v>
      </c>
      <c r="D342" s="20">
        <v>1</v>
      </c>
      <c r="G342" s="32" t="s">
        <v>115</v>
      </c>
      <c r="H342" s="20" t="s">
        <v>3619</v>
      </c>
      <c r="I342" s="20">
        <v>331</v>
      </c>
      <c r="J342" s="20">
        <v>1111</v>
      </c>
      <c r="K342" s="20" t="s">
        <v>20</v>
      </c>
      <c r="L342" s="20">
        <v>1</v>
      </c>
      <c r="M342" s="34">
        <v>144000</v>
      </c>
      <c r="N342" s="34">
        <f t="shared" si="24"/>
        <v>144000</v>
      </c>
      <c r="O342" s="33" t="s">
        <v>21</v>
      </c>
      <c r="P342" s="20">
        <f t="shared" si="25"/>
        <v>326</v>
      </c>
      <c r="Q342" s="20">
        <f t="shared" si="26"/>
        <v>44</v>
      </c>
    </row>
    <row r="343" spans="1:17" ht="15" customHeight="1" x14ac:dyDescent="0.2">
      <c r="A343" s="20" t="s">
        <v>2719</v>
      </c>
      <c r="B343" s="63">
        <v>45940</v>
      </c>
      <c r="C343" s="20">
        <f t="shared" si="21"/>
        <v>929</v>
      </c>
      <c r="D343" s="20">
        <v>1</v>
      </c>
      <c r="G343" s="32" t="s">
        <v>115</v>
      </c>
      <c r="H343" s="20" t="s">
        <v>3620</v>
      </c>
      <c r="I343" s="20">
        <v>331</v>
      </c>
      <c r="J343" s="20">
        <v>1111</v>
      </c>
      <c r="K343" s="20" t="s">
        <v>20</v>
      </c>
      <c r="L343" s="20">
        <v>1</v>
      </c>
      <c r="M343" s="34">
        <v>28000</v>
      </c>
      <c r="N343" s="34">
        <f t="shared" si="24"/>
        <v>28000</v>
      </c>
      <c r="O343" s="33" t="s">
        <v>21</v>
      </c>
      <c r="P343" s="20">
        <f t="shared" si="25"/>
        <v>327</v>
      </c>
      <c r="Q343" s="20">
        <f t="shared" si="26"/>
        <v>44</v>
      </c>
    </row>
    <row r="344" spans="1:17" ht="15" customHeight="1" x14ac:dyDescent="0.2">
      <c r="A344" s="20" t="s">
        <v>2719</v>
      </c>
      <c r="B344" s="63">
        <v>45940</v>
      </c>
      <c r="C344" s="20">
        <f t="shared" si="21"/>
        <v>930</v>
      </c>
      <c r="D344" s="20">
        <v>1</v>
      </c>
      <c r="G344" s="32" t="s">
        <v>115</v>
      </c>
      <c r="H344" s="20" t="s">
        <v>3621</v>
      </c>
      <c r="I344" s="20">
        <v>331</v>
      </c>
      <c r="J344" s="20">
        <v>1111</v>
      </c>
      <c r="K344" s="20" t="s">
        <v>20</v>
      </c>
      <c r="L344" s="20">
        <v>1</v>
      </c>
      <c r="M344" s="34">
        <v>108000</v>
      </c>
      <c r="N344" s="34">
        <f t="shared" si="24"/>
        <v>108000</v>
      </c>
      <c r="O344" s="33" t="s">
        <v>21</v>
      </c>
      <c r="P344" s="20">
        <f t="shared" si="25"/>
        <v>328</v>
      </c>
      <c r="Q344" s="20">
        <f t="shared" si="26"/>
        <v>44</v>
      </c>
    </row>
    <row r="345" spans="1:17" ht="15" customHeight="1" x14ac:dyDescent="0.2">
      <c r="A345" s="20" t="s">
        <v>2719</v>
      </c>
      <c r="B345" s="63">
        <v>45940</v>
      </c>
      <c r="C345" s="20">
        <f t="shared" si="21"/>
        <v>931</v>
      </c>
      <c r="D345" s="20">
        <v>1</v>
      </c>
      <c r="G345" s="32" t="s">
        <v>115</v>
      </c>
      <c r="H345" s="20" t="s">
        <v>3622</v>
      </c>
      <c r="I345" s="20">
        <v>331</v>
      </c>
      <c r="J345" s="20">
        <v>1111</v>
      </c>
      <c r="K345" s="20" t="s">
        <v>20</v>
      </c>
      <c r="L345" s="20">
        <v>1</v>
      </c>
      <c r="M345" s="34">
        <v>36000</v>
      </c>
      <c r="N345" s="34">
        <f t="shared" si="24"/>
        <v>36000</v>
      </c>
      <c r="O345" s="33" t="s">
        <v>21</v>
      </c>
      <c r="P345" s="20">
        <f t="shared" si="25"/>
        <v>329</v>
      </c>
      <c r="Q345" s="20">
        <f t="shared" si="26"/>
        <v>44</v>
      </c>
    </row>
    <row r="346" spans="1:17" ht="15" customHeight="1" x14ac:dyDescent="0.2">
      <c r="A346" s="20" t="s">
        <v>2719</v>
      </c>
      <c r="B346" s="63">
        <v>45940</v>
      </c>
      <c r="C346" s="20">
        <f t="shared" si="21"/>
        <v>932</v>
      </c>
      <c r="D346" s="20">
        <v>1</v>
      </c>
      <c r="G346" s="32" t="s">
        <v>115</v>
      </c>
      <c r="H346" s="20" t="s">
        <v>3623</v>
      </c>
      <c r="I346" s="20">
        <v>331</v>
      </c>
      <c r="J346" s="20">
        <v>1111</v>
      </c>
      <c r="K346" s="20" t="s">
        <v>20</v>
      </c>
      <c r="L346" s="20">
        <v>1</v>
      </c>
      <c r="M346" s="34">
        <v>24000</v>
      </c>
      <c r="N346" s="34">
        <f t="shared" si="24"/>
        <v>24000</v>
      </c>
      <c r="O346" s="33" t="s">
        <v>21</v>
      </c>
      <c r="P346" s="20">
        <f t="shared" si="25"/>
        <v>330</v>
      </c>
      <c r="Q346" s="20">
        <f t="shared" si="26"/>
        <v>44</v>
      </c>
    </row>
    <row r="347" spans="1:17" ht="15" customHeight="1" x14ac:dyDescent="0.2">
      <c r="A347" s="20" t="s">
        <v>2719</v>
      </c>
      <c r="B347" s="63">
        <v>45940</v>
      </c>
      <c r="C347" s="20">
        <f t="shared" si="21"/>
        <v>933</v>
      </c>
      <c r="D347" s="20">
        <v>1</v>
      </c>
      <c r="G347" s="32" t="s">
        <v>1348</v>
      </c>
      <c r="H347" s="20" t="s">
        <v>3624</v>
      </c>
      <c r="I347" s="20">
        <v>331</v>
      </c>
      <c r="J347" s="20">
        <v>1111</v>
      </c>
      <c r="K347" s="20" t="s">
        <v>20</v>
      </c>
      <c r="L347" s="20">
        <v>1</v>
      </c>
      <c r="M347" s="34">
        <v>579960</v>
      </c>
      <c r="N347" s="34">
        <f t="shared" si="24"/>
        <v>579960</v>
      </c>
      <c r="O347" s="33" t="s">
        <v>21</v>
      </c>
      <c r="P347" s="20">
        <f t="shared" si="25"/>
        <v>331</v>
      </c>
      <c r="Q347" s="20">
        <f t="shared" si="26"/>
        <v>51</v>
      </c>
    </row>
    <row r="348" spans="1:17" ht="15" customHeight="1" x14ac:dyDescent="0.2">
      <c r="A348" s="20" t="s">
        <v>2719</v>
      </c>
      <c r="B348" s="63">
        <v>45941</v>
      </c>
      <c r="C348" s="20">
        <f t="shared" si="21"/>
        <v>934</v>
      </c>
      <c r="D348" s="20">
        <v>1</v>
      </c>
      <c r="G348" s="32" t="s">
        <v>115</v>
      </c>
      <c r="H348" s="20" t="s">
        <v>3625</v>
      </c>
      <c r="I348" s="20">
        <v>331</v>
      </c>
      <c r="J348" s="20">
        <v>1111</v>
      </c>
      <c r="K348" s="20" t="s">
        <v>20</v>
      </c>
      <c r="L348" s="20">
        <v>1</v>
      </c>
      <c r="M348" s="34">
        <v>21000</v>
      </c>
      <c r="N348" s="34">
        <f t="shared" si="24"/>
        <v>21000</v>
      </c>
      <c r="O348" s="33" t="s">
        <v>21</v>
      </c>
      <c r="P348" s="20">
        <f t="shared" si="25"/>
        <v>332</v>
      </c>
      <c r="Q348" s="20">
        <f t="shared" si="26"/>
        <v>44</v>
      </c>
    </row>
    <row r="349" spans="1:17" ht="15" customHeight="1" x14ac:dyDescent="0.2">
      <c r="A349" s="20" t="s">
        <v>2719</v>
      </c>
      <c r="B349" s="63">
        <v>45941</v>
      </c>
      <c r="C349" s="20">
        <f t="shared" si="21"/>
        <v>935</v>
      </c>
      <c r="D349" s="20">
        <v>1</v>
      </c>
      <c r="G349" s="32" t="s">
        <v>115</v>
      </c>
      <c r="H349" s="20" t="s">
        <v>3626</v>
      </c>
      <c r="I349" s="20">
        <v>331</v>
      </c>
      <c r="J349" s="20">
        <v>1111</v>
      </c>
      <c r="K349" s="20" t="s">
        <v>20</v>
      </c>
      <c r="L349" s="20">
        <v>1</v>
      </c>
      <c r="M349" s="34">
        <v>33000</v>
      </c>
      <c r="N349" s="34">
        <f t="shared" si="24"/>
        <v>33000</v>
      </c>
      <c r="O349" s="33" t="s">
        <v>21</v>
      </c>
      <c r="P349" s="20">
        <f t="shared" si="25"/>
        <v>333</v>
      </c>
      <c r="Q349" s="20">
        <f t="shared" si="26"/>
        <v>44</v>
      </c>
    </row>
    <row r="350" spans="1:17" ht="15" customHeight="1" x14ac:dyDescent="0.2">
      <c r="A350" s="20" t="s">
        <v>2719</v>
      </c>
      <c r="B350" s="63">
        <v>45941</v>
      </c>
      <c r="C350" s="20">
        <f t="shared" si="21"/>
        <v>936</v>
      </c>
      <c r="D350" s="20">
        <v>1</v>
      </c>
      <c r="G350" s="32" t="s">
        <v>1349</v>
      </c>
      <c r="H350" s="20" t="s">
        <v>3627</v>
      </c>
      <c r="I350" s="20">
        <v>331</v>
      </c>
      <c r="J350" s="20">
        <v>1111</v>
      </c>
      <c r="K350" s="20" t="s">
        <v>20</v>
      </c>
      <c r="L350" s="20">
        <v>1</v>
      </c>
      <c r="M350" s="34">
        <v>2169930</v>
      </c>
      <c r="N350" s="34">
        <f t="shared" si="24"/>
        <v>2169930</v>
      </c>
      <c r="O350" s="33" t="s">
        <v>21</v>
      </c>
      <c r="P350" s="20">
        <f t="shared" si="25"/>
        <v>334</v>
      </c>
      <c r="Q350" s="20">
        <f t="shared" si="26"/>
        <v>51</v>
      </c>
    </row>
    <row r="351" spans="1:17" ht="15" customHeight="1" x14ac:dyDescent="0.2">
      <c r="A351" s="20" t="s">
        <v>2719</v>
      </c>
      <c r="B351" s="63">
        <v>45942</v>
      </c>
      <c r="C351" s="20">
        <f t="shared" si="21"/>
        <v>937</v>
      </c>
      <c r="D351" s="20">
        <v>1</v>
      </c>
      <c r="G351" s="32" t="s">
        <v>115</v>
      </c>
      <c r="H351" s="20" t="s">
        <v>3628</v>
      </c>
      <c r="I351" s="20">
        <v>331</v>
      </c>
      <c r="J351" s="20">
        <v>1111</v>
      </c>
      <c r="K351" s="20" t="s">
        <v>20</v>
      </c>
      <c r="L351" s="20">
        <v>1</v>
      </c>
      <c r="M351" s="34">
        <v>108000</v>
      </c>
      <c r="N351" s="34">
        <f t="shared" si="24"/>
        <v>108000</v>
      </c>
      <c r="O351" s="33" t="s">
        <v>21</v>
      </c>
      <c r="P351" s="20">
        <f t="shared" si="25"/>
        <v>335</v>
      </c>
      <c r="Q351" s="20">
        <f t="shared" si="26"/>
        <v>44</v>
      </c>
    </row>
    <row r="352" spans="1:17" ht="15" customHeight="1" x14ac:dyDescent="0.2">
      <c r="A352" s="20" t="s">
        <v>2719</v>
      </c>
      <c r="B352" s="63">
        <v>45943</v>
      </c>
      <c r="C352" s="20">
        <f t="shared" si="21"/>
        <v>938</v>
      </c>
      <c r="D352" s="20">
        <v>1</v>
      </c>
      <c r="G352" s="32" t="s">
        <v>115</v>
      </c>
      <c r="H352" s="20" t="s">
        <v>3629</v>
      </c>
      <c r="I352" s="20">
        <v>331</v>
      </c>
      <c r="J352" s="20">
        <v>1111</v>
      </c>
      <c r="K352" s="20" t="s">
        <v>20</v>
      </c>
      <c r="L352" s="20">
        <v>1</v>
      </c>
      <c r="M352" s="34">
        <v>21000</v>
      </c>
      <c r="N352" s="34">
        <f t="shared" si="24"/>
        <v>21000</v>
      </c>
      <c r="O352" s="33" t="s">
        <v>21</v>
      </c>
      <c r="P352" s="20">
        <f t="shared" si="25"/>
        <v>336</v>
      </c>
      <c r="Q352" s="20">
        <f t="shared" si="26"/>
        <v>44</v>
      </c>
    </row>
    <row r="353" spans="1:17" ht="15" customHeight="1" x14ac:dyDescent="0.2">
      <c r="A353" s="20" t="s">
        <v>2719</v>
      </c>
      <c r="B353" s="63">
        <v>45943</v>
      </c>
      <c r="C353" s="20">
        <f t="shared" si="21"/>
        <v>939</v>
      </c>
      <c r="D353" s="20">
        <v>1</v>
      </c>
      <c r="G353" s="32" t="s">
        <v>115</v>
      </c>
      <c r="H353" s="20" t="s">
        <v>3630</v>
      </c>
      <c r="I353" s="20">
        <v>331</v>
      </c>
      <c r="J353" s="20">
        <v>1111</v>
      </c>
      <c r="K353" s="20" t="s">
        <v>20</v>
      </c>
      <c r="L353" s="20">
        <v>1</v>
      </c>
      <c r="M353" s="34">
        <v>37000</v>
      </c>
      <c r="N353" s="34">
        <f t="shared" si="24"/>
        <v>37000</v>
      </c>
      <c r="O353" s="33" t="s">
        <v>21</v>
      </c>
      <c r="P353" s="20">
        <f t="shared" si="25"/>
        <v>337</v>
      </c>
      <c r="Q353" s="20">
        <f t="shared" si="26"/>
        <v>44</v>
      </c>
    </row>
    <row r="354" spans="1:17" ht="15" customHeight="1" x14ac:dyDescent="0.2">
      <c r="A354" s="20" t="s">
        <v>2719</v>
      </c>
      <c r="B354" s="63">
        <v>45943</v>
      </c>
      <c r="C354" s="20">
        <f t="shared" si="21"/>
        <v>940</v>
      </c>
      <c r="D354" s="20">
        <v>1</v>
      </c>
      <c r="G354" s="32" t="s">
        <v>115</v>
      </c>
      <c r="H354" s="20" t="s">
        <v>3631</v>
      </c>
      <c r="I354" s="20">
        <v>331</v>
      </c>
      <c r="J354" s="20">
        <v>1111</v>
      </c>
      <c r="K354" s="20" t="s">
        <v>20</v>
      </c>
      <c r="L354" s="20">
        <v>1</v>
      </c>
      <c r="M354" s="34">
        <v>68000</v>
      </c>
      <c r="N354" s="34">
        <f t="shared" si="24"/>
        <v>68000</v>
      </c>
      <c r="O354" s="33" t="s">
        <v>21</v>
      </c>
      <c r="P354" s="20">
        <f t="shared" si="25"/>
        <v>338</v>
      </c>
      <c r="Q354" s="20">
        <f t="shared" si="26"/>
        <v>44</v>
      </c>
    </row>
    <row r="355" spans="1:17" ht="15" customHeight="1" x14ac:dyDescent="0.2">
      <c r="A355" s="20" t="s">
        <v>2719</v>
      </c>
      <c r="B355" s="63">
        <v>45943</v>
      </c>
      <c r="C355" s="20">
        <f t="shared" si="21"/>
        <v>941</v>
      </c>
      <c r="D355" s="20">
        <v>1</v>
      </c>
      <c r="G355" s="32" t="s">
        <v>115</v>
      </c>
      <c r="H355" s="20" t="s">
        <v>3632</v>
      </c>
      <c r="I355" s="20">
        <v>331</v>
      </c>
      <c r="J355" s="20">
        <v>1111</v>
      </c>
      <c r="K355" s="20" t="s">
        <v>20</v>
      </c>
      <c r="L355" s="20">
        <v>1</v>
      </c>
      <c r="M355" s="34">
        <v>14000</v>
      </c>
      <c r="N355" s="34">
        <f t="shared" si="24"/>
        <v>14000</v>
      </c>
      <c r="O355" s="33" t="s">
        <v>21</v>
      </c>
      <c r="P355" s="20">
        <f t="shared" si="25"/>
        <v>339</v>
      </c>
      <c r="Q355" s="20">
        <f t="shared" si="26"/>
        <v>44</v>
      </c>
    </row>
    <row r="356" spans="1:17" ht="15" customHeight="1" x14ac:dyDescent="0.2">
      <c r="A356" s="20" t="s">
        <v>2719</v>
      </c>
      <c r="B356" s="69">
        <v>45943</v>
      </c>
      <c r="C356" s="20">
        <f t="shared" si="21"/>
        <v>942</v>
      </c>
      <c r="D356" s="20">
        <v>1</v>
      </c>
      <c r="E356" s="38"/>
      <c r="G356" s="59" t="s">
        <v>115</v>
      </c>
      <c r="H356" s="20" t="s">
        <v>3633</v>
      </c>
      <c r="I356" s="20">
        <v>331</v>
      </c>
      <c r="J356" s="20">
        <v>1111</v>
      </c>
      <c r="K356" s="20" t="s">
        <v>20</v>
      </c>
      <c r="L356" s="20">
        <v>1</v>
      </c>
      <c r="M356" s="67">
        <v>69000</v>
      </c>
      <c r="N356" s="34">
        <f t="shared" si="24"/>
        <v>69000</v>
      </c>
      <c r="O356" s="33" t="s">
        <v>21</v>
      </c>
      <c r="P356" s="20">
        <f t="shared" si="25"/>
        <v>340</v>
      </c>
      <c r="Q356" s="20">
        <f t="shared" si="26"/>
        <v>44</v>
      </c>
    </row>
    <row r="357" spans="1:17" ht="15" customHeight="1" x14ac:dyDescent="0.2">
      <c r="A357" s="20" t="s">
        <v>2719</v>
      </c>
      <c r="B357" s="69">
        <v>45943</v>
      </c>
      <c r="C357" s="20">
        <f t="shared" si="21"/>
        <v>943</v>
      </c>
      <c r="D357" s="20">
        <v>1</v>
      </c>
      <c r="E357" s="38"/>
      <c r="G357" s="59" t="s">
        <v>115</v>
      </c>
      <c r="H357" s="20" t="s">
        <v>3634</v>
      </c>
      <c r="I357" s="20">
        <v>331</v>
      </c>
      <c r="J357" s="20">
        <v>1111</v>
      </c>
      <c r="K357" s="20" t="s">
        <v>20</v>
      </c>
      <c r="L357" s="20">
        <v>1</v>
      </c>
      <c r="M357" s="67">
        <v>48000</v>
      </c>
      <c r="N357" s="34">
        <f t="shared" si="24"/>
        <v>48000</v>
      </c>
      <c r="O357" s="33" t="s">
        <v>21</v>
      </c>
      <c r="P357" s="20">
        <f t="shared" si="25"/>
        <v>341</v>
      </c>
      <c r="Q357" s="20">
        <f t="shared" si="26"/>
        <v>44</v>
      </c>
    </row>
    <row r="358" spans="1:17" ht="15" customHeight="1" x14ac:dyDescent="0.2">
      <c r="A358" s="20" t="s">
        <v>2719</v>
      </c>
      <c r="B358" s="69">
        <v>45944</v>
      </c>
      <c r="C358" s="20">
        <f t="shared" si="21"/>
        <v>944</v>
      </c>
      <c r="D358" s="20">
        <v>1</v>
      </c>
      <c r="E358" s="38"/>
      <c r="G358" s="59" t="s">
        <v>115</v>
      </c>
      <c r="H358" s="20" t="s">
        <v>3635</v>
      </c>
      <c r="I358" s="20">
        <v>331</v>
      </c>
      <c r="J358" s="20">
        <v>1111</v>
      </c>
      <c r="K358" s="20" t="s">
        <v>20</v>
      </c>
      <c r="L358" s="20">
        <v>1</v>
      </c>
      <c r="M358" s="67">
        <v>48000</v>
      </c>
      <c r="N358" s="34">
        <f t="shared" si="24"/>
        <v>48000</v>
      </c>
      <c r="O358" s="33" t="s">
        <v>21</v>
      </c>
      <c r="P358" s="20">
        <f t="shared" si="25"/>
        <v>342</v>
      </c>
      <c r="Q358" s="20">
        <f t="shared" si="26"/>
        <v>44</v>
      </c>
    </row>
    <row r="359" spans="1:17" ht="15" customHeight="1" x14ac:dyDescent="0.2">
      <c r="A359" s="20" t="s">
        <v>2719</v>
      </c>
      <c r="B359" s="63">
        <v>45944</v>
      </c>
      <c r="C359" s="20">
        <f t="shared" si="21"/>
        <v>945</v>
      </c>
      <c r="D359" s="20">
        <v>1</v>
      </c>
      <c r="G359" s="32" t="s">
        <v>115</v>
      </c>
      <c r="H359" s="20" t="s">
        <v>3636</v>
      </c>
      <c r="I359" s="20">
        <v>331</v>
      </c>
      <c r="J359" s="20">
        <v>1111</v>
      </c>
      <c r="K359" s="20" t="s">
        <v>20</v>
      </c>
      <c r="L359" s="20">
        <v>1</v>
      </c>
      <c r="M359" s="34">
        <v>27000</v>
      </c>
      <c r="N359" s="34">
        <f t="shared" si="24"/>
        <v>27000</v>
      </c>
      <c r="O359" s="33" t="s">
        <v>21</v>
      </c>
      <c r="P359" s="20">
        <f t="shared" si="25"/>
        <v>343</v>
      </c>
      <c r="Q359" s="20">
        <f t="shared" si="26"/>
        <v>44</v>
      </c>
    </row>
    <row r="360" spans="1:17" ht="15" customHeight="1" x14ac:dyDescent="0.2">
      <c r="A360" s="20" t="s">
        <v>2719</v>
      </c>
      <c r="B360" s="63">
        <v>45946</v>
      </c>
      <c r="C360" s="20">
        <f t="shared" si="21"/>
        <v>946</v>
      </c>
      <c r="D360" s="20">
        <v>1</v>
      </c>
      <c r="G360" s="32" t="s">
        <v>115</v>
      </c>
      <c r="H360" s="20" t="s">
        <v>3637</v>
      </c>
      <c r="I360" s="20">
        <v>331</v>
      </c>
      <c r="J360" s="20">
        <v>1111</v>
      </c>
      <c r="K360" s="20" t="s">
        <v>20</v>
      </c>
      <c r="L360" s="20">
        <v>1</v>
      </c>
      <c r="M360" s="34">
        <v>27000</v>
      </c>
      <c r="N360" s="34">
        <f t="shared" si="24"/>
        <v>27000</v>
      </c>
      <c r="O360" s="33" t="s">
        <v>21</v>
      </c>
      <c r="P360" s="20">
        <f t="shared" si="25"/>
        <v>344</v>
      </c>
      <c r="Q360" s="20">
        <f t="shared" si="26"/>
        <v>44</v>
      </c>
    </row>
    <row r="361" spans="1:17" ht="15" customHeight="1" x14ac:dyDescent="0.2">
      <c r="A361" s="20" t="s">
        <v>2719</v>
      </c>
      <c r="B361" s="63">
        <v>45946</v>
      </c>
      <c r="C361" s="20">
        <f t="shared" si="21"/>
        <v>947</v>
      </c>
      <c r="D361" s="20">
        <v>1</v>
      </c>
      <c r="G361" s="32" t="s">
        <v>115</v>
      </c>
      <c r="H361" s="20" t="s">
        <v>3638</v>
      </c>
      <c r="I361" s="20">
        <v>331</v>
      </c>
      <c r="J361" s="20">
        <v>1111</v>
      </c>
      <c r="K361" s="20" t="s">
        <v>20</v>
      </c>
      <c r="L361" s="20">
        <v>1</v>
      </c>
      <c r="M361" s="34">
        <v>55000</v>
      </c>
      <c r="N361" s="34">
        <f t="shared" si="24"/>
        <v>55000</v>
      </c>
      <c r="O361" s="33" t="s">
        <v>21</v>
      </c>
      <c r="P361" s="20">
        <f t="shared" si="25"/>
        <v>345</v>
      </c>
      <c r="Q361" s="20">
        <f t="shared" si="26"/>
        <v>44</v>
      </c>
    </row>
    <row r="362" spans="1:17" ht="15" customHeight="1" x14ac:dyDescent="0.2">
      <c r="A362" s="20" t="s">
        <v>2719</v>
      </c>
      <c r="B362" s="63">
        <v>45946</v>
      </c>
      <c r="C362" s="20">
        <f t="shared" si="21"/>
        <v>948</v>
      </c>
      <c r="D362" s="20">
        <v>1</v>
      </c>
      <c r="G362" s="32" t="s">
        <v>115</v>
      </c>
      <c r="H362" s="20" t="s">
        <v>3639</v>
      </c>
      <c r="I362" s="20">
        <v>331</v>
      </c>
      <c r="J362" s="20">
        <v>1111</v>
      </c>
      <c r="K362" s="20" t="s">
        <v>20</v>
      </c>
      <c r="L362" s="20">
        <v>1</v>
      </c>
      <c r="M362" s="34">
        <v>34000</v>
      </c>
      <c r="N362" s="34">
        <f t="shared" si="24"/>
        <v>34000</v>
      </c>
      <c r="O362" s="33" t="s">
        <v>21</v>
      </c>
      <c r="P362" s="20">
        <f t="shared" si="25"/>
        <v>346</v>
      </c>
      <c r="Q362" s="20">
        <f t="shared" si="26"/>
        <v>44</v>
      </c>
    </row>
    <row r="363" spans="1:17" ht="15" customHeight="1" x14ac:dyDescent="0.2">
      <c r="A363" s="20" t="s">
        <v>2719</v>
      </c>
      <c r="B363" s="63">
        <v>45948</v>
      </c>
      <c r="C363" s="20">
        <f t="shared" si="21"/>
        <v>949</v>
      </c>
      <c r="D363" s="20">
        <v>1</v>
      </c>
      <c r="G363" s="32" t="s">
        <v>115</v>
      </c>
      <c r="H363" s="20" t="s">
        <v>3640</v>
      </c>
      <c r="I363" s="20">
        <v>331</v>
      </c>
      <c r="J363" s="20">
        <v>1111</v>
      </c>
      <c r="K363" s="20" t="s">
        <v>20</v>
      </c>
      <c r="L363" s="20">
        <v>1</v>
      </c>
      <c r="M363" s="34">
        <v>15000</v>
      </c>
      <c r="N363" s="34">
        <f t="shared" si="24"/>
        <v>15000</v>
      </c>
      <c r="O363" s="33" t="s">
        <v>21</v>
      </c>
      <c r="P363" s="20">
        <f t="shared" si="25"/>
        <v>347</v>
      </c>
      <c r="Q363" s="20">
        <f t="shared" si="26"/>
        <v>44</v>
      </c>
    </row>
    <row r="364" spans="1:17" ht="15" customHeight="1" x14ac:dyDescent="0.2">
      <c r="A364" s="20" t="s">
        <v>2719</v>
      </c>
      <c r="B364" s="63">
        <v>45948</v>
      </c>
      <c r="C364" s="20">
        <f t="shared" si="21"/>
        <v>950</v>
      </c>
      <c r="D364" s="20">
        <v>1</v>
      </c>
      <c r="G364" s="32" t="s">
        <v>115</v>
      </c>
      <c r="H364" s="20" t="s">
        <v>3641</v>
      </c>
      <c r="I364" s="20">
        <v>331</v>
      </c>
      <c r="J364" s="20">
        <v>1111</v>
      </c>
      <c r="K364" s="20" t="s">
        <v>20</v>
      </c>
      <c r="L364" s="20">
        <v>1</v>
      </c>
      <c r="M364" s="34">
        <v>13000</v>
      </c>
      <c r="N364" s="34">
        <f t="shared" si="24"/>
        <v>13000</v>
      </c>
      <c r="O364" s="33" t="s">
        <v>21</v>
      </c>
      <c r="P364" s="20">
        <f t="shared" si="25"/>
        <v>348</v>
      </c>
      <c r="Q364" s="20">
        <f t="shared" si="26"/>
        <v>44</v>
      </c>
    </row>
    <row r="365" spans="1:17" ht="15" customHeight="1" x14ac:dyDescent="0.2">
      <c r="A365" s="20" t="s">
        <v>2719</v>
      </c>
      <c r="B365" s="63">
        <v>45949</v>
      </c>
      <c r="C365" s="20">
        <f t="shared" si="21"/>
        <v>951</v>
      </c>
      <c r="D365" s="20">
        <v>1</v>
      </c>
      <c r="G365" s="32" t="s">
        <v>115</v>
      </c>
      <c r="H365" s="20" t="s">
        <v>3642</v>
      </c>
      <c r="I365" s="20">
        <v>331</v>
      </c>
      <c r="J365" s="20">
        <v>1111</v>
      </c>
      <c r="K365" s="20" t="s">
        <v>20</v>
      </c>
      <c r="L365" s="20">
        <v>1</v>
      </c>
      <c r="M365" s="34">
        <v>25000</v>
      </c>
      <c r="N365" s="34">
        <f t="shared" si="24"/>
        <v>25000</v>
      </c>
      <c r="O365" s="33" t="s">
        <v>21</v>
      </c>
      <c r="P365" s="20">
        <f t="shared" si="25"/>
        <v>349</v>
      </c>
      <c r="Q365" s="20">
        <f t="shared" si="26"/>
        <v>44</v>
      </c>
    </row>
    <row r="366" spans="1:17" ht="15" customHeight="1" x14ac:dyDescent="0.2">
      <c r="A366" s="20" t="s">
        <v>2719</v>
      </c>
      <c r="B366" s="63">
        <v>45949</v>
      </c>
      <c r="C366" s="20">
        <f t="shared" si="21"/>
        <v>952</v>
      </c>
      <c r="D366" s="20">
        <v>1</v>
      </c>
      <c r="G366" s="32" t="s">
        <v>115</v>
      </c>
      <c r="H366" s="20" t="s">
        <v>3643</v>
      </c>
      <c r="I366" s="20">
        <v>331</v>
      </c>
      <c r="J366" s="20">
        <v>1111</v>
      </c>
      <c r="K366" s="20" t="s">
        <v>20</v>
      </c>
      <c r="L366" s="20">
        <v>1</v>
      </c>
      <c r="M366" s="34">
        <v>80000</v>
      </c>
      <c r="N366" s="34">
        <f t="shared" si="24"/>
        <v>80000</v>
      </c>
      <c r="O366" s="33" t="s">
        <v>21</v>
      </c>
      <c r="P366" s="20">
        <f t="shared" si="25"/>
        <v>350</v>
      </c>
      <c r="Q366" s="20">
        <f t="shared" si="26"/>
        <v>44</v>
      </c>
    </row>
    <row r="367" spans="1:17" ht="15" customHeight="1" x14ac:dyDescent="0.2">
      <c r="A367" s="20" t="s">
        <v>2719</v>
      </c>
      <c r="B367" s="63">
        <v>45949</v>
      </c>
      <c r="C367" s="20">
        <f t="shared" si="21"/>
        <v>953</v>
      </c>
      <c r="D367" s="20">
        <v>1</v>
      </c>
      <c r="G367" s="32" t="s">
        <v>115</v>
      </c>
      <c r="H367" s="20" t="s">
        <v>3644</v>
      </c>
      <c r="I367" s="20">
        <v>331</v>
      </c>
      <c r="J367" s="20">
        <v>1111</v>
      </c>
      <c r="K367" s="20" t="s">
        <v>20</v>
      </c>
      <c r="L367" s="20">
        <v>1</v>
      </c>
      <c r="M367" s="34">
        <v>100000</v>
      </c>
      <c r="N367" s="34">
        <f t="shared" si="24"/>
        <v>100000</v>
      </c>
      <c r="O367" s="33" t="s">
        <v>21</v>
      </c>
      <c r="P367" s="20">
        <f t="shared" si="25"/>
        <v>351</v>
      </c>
      <c r="Q367" s="20">
        <f t="shared" si="26"/>
        <v>44</v>
      </c>
    </row>
    <row r="368" spans="1:17" ht="15" customHeight="1" x14ac:dyDescent="0.2">
      <c r="A368" s="20" t="s">
        <v>2719</v>
      </c>
      <c r="B368" s="63">
        <v>45952</v>
      </c>
      <c r="C368" s="20">
        <f t="shared" si="21"/>
        <v>954</v>
      </c>
      <c r="D368" s="20">
        <v>1</v>
      </c>
      <c r="G368" s="32" t="s">
        <v>1350</v>
      </c>
      <c r="H368" s="20" t="s">
        <v>3645</v>
      </c>
      <c r="I368" s="20">
        <v>331</v>
      </c>
      <c r="J368" s="20">
        <v>1111</v>
      </c>
      <c r="K368" s="20" t="s">
        <v>20</v>
      </c>
      <c r="L368" s="20">
        <v>1</v>
      </c>
      <c r="M368" s="34">
        <v>1507896</v>
      </c>
      <c r="N368" s="34">
        <f t="shared" si="24"/>
        <v>1507896</v>
      </c>
      <c r="O368" s="33" t="s">
        <v>21</v>
      </c>
      <c r="P368" s="20">
        <f t="shared" si="25"/>
        <v>352</v>
      </c>
      <c r="Q368" s="20">
        <f t="shared" si="26"/>
        <v>53</v>
      </c>
    </row>
    <row r="369" spans="1:17" ht="15" customHeight="1" x14ac:dyDescent="0.2">
      <c r="A369" s="20" t="s">
        <v>2719</v>
      </c>
      <c r="B369" s="63">
        <v>45954</v>
      </c>
      <c r="C369" s="20">
        <f t="shared" si="21"/>
        <v>955</v>
      </c>
      <c r="D369" s="20">
        <v>1</v>
      </c>
      <c r="G369" s="32" t="s">
        <v>1351</v>
      </c>
      <c r="H369" s="20" t="s">
        <v>3646</v>
      </c>
      <c r="I369" s="20">
        <v>331</v>
      </c>
      <c r="J369" s="20">
        <v>1111</v>
      </c>
      <c r="K369" s="20" t="s">
        <v>20</v>
      </c>
      <c r="L369" s="20">
        <v>1</v>
      </c>
      <c r="M369" s="34">
        <v>49000</v>
      </c>
      <c r="N369" s="34">
        <f t="shared" si="24"/>
        <v>49000</v>
      </c>
      <c r="O369" s="33" t="s">
        <v>21</v>
      </c>
      <c r="P369" s="20">
        <f t="shared" si="25"/>
        <v>353</v>
      </c>
      <c r="Q369" s="20">
        <f t="shared" si="26"/>
        <v>41</v>
      </c>
    </row>
    <row r="370" spans="1:17" ht="15" customHeight="1" x14ac:dyDescent="0.2">
      <c r="A370" s="20" t="s">
        <v>2719</v>
      </c>
      <c r="B370" s="63">
        <v>45954</v>
      </c>
      <c r="C370" s="20">
        <f t="shared" si="21"/>
        <v>956</v>
      </c>
      <c r="D370" s="20">
        <v>1</v>
      </c>
      <c r="G370" s="32" t="s">
        <v>1351</v>
      </c>
      <c r="H370" s="20" t="s">
        <v>3647</v>
      </c>
      <c r="I370" s="20">
        <v>331</v>
      </c>
      <c r="J370" s="20">
        <v>1111</v>
      </c>
      <c r="K370" s="20" t="s">
        <v>20</v>
      </c>
      <c r="L370" s="20">
        <v>1</v>
      </c>
      <c r="M370" s="34">
        <v>60000</v>
      </c>
      <c r="N370" s="34">
        <f t="shared" si="24"/>
        <v>60000</v>
      </c>
      <c r="O370" s="33" t="s">
        <v>21</v>
      </c>
      <c r="P370" s="20">
        <f t="shared" si="25"/>
        <v>354</v>
      </c>
      <c r="Q370" s="20">
        <f t="shared" si="26"/>
        <v>41</v>
      </c>
    </row>
    <row r="371" spans="1:17" ht="15" customHeight="1" x14ac:dyDescent="0.2">
      <c r="A371" s="20" t="s">
        <v>2719</v>
      </c>
      <c r="B371" s="63">
        <v>45954</v>
      </c>
      <c r="C371" s="20">
        <f t="shared" si="21"/>
        <v>957</v>
      </c>
      <c r="D371" s="20">
        <v>1</v>
      </c>
      <c r="G371" s="32" t="s">
        <v>115</v>
      </c>
      <c r="H371" s="20" t="s">
        <v>3648</v>
      </c>
      <c r="I371" s="20">
        <v>331</v>
      </c>
      <c r="J371" s="20">
        <v>1111</v>
      </c>
      <c r="K371" s="20" t="s">
        <v>20</v>
      </c>
      <c r="L371" s="20">
        <v>1</v>
      </c>
      <c r="M371" s="34">
        <v>18000</v>
      </c>
      <c r="N371" s="34">
        <f t="shared" si="24"/>
        <v>18000</v>
      </c>
      <c r="O371" s="33" t="s">
        <v>21</v>
      </c>
      <c r="P371" s="20">
        <f t="shared" si="25"/>
        <v>355</v>
      </c>
      <c r="Q371" s="20">
        <f t="shared" si="26"/>
        <v>44</v>
      </c>
    </row>
    <row r="372" spans="1:17" ht="15" customHeight="1" x14ac:dyDescent="0.2">
      <c r="A372" s="20" t="s">
        <v>2719</v>
      </c>
      <c r="B372" s="63">
        <v>45954</v>
      </c>
      <c r="C372" s="20">
        <f t="shared" si="21"/>
        <v>958</v>
      </c>
      <c r="D372" s="20">
        <v>1</v>
      </c>
      <c r="G372" s="32" t="s">
        <v>115</v>
      </c>
      <c r="H372" s="20" t="s">
        <v>3649</v>
      </c>
      <c r="I372" s="20">
        <v>331</v>
      </c>
      <c r="J372" s="20">
        <v>1111</v>
      </c>
      <c r="K372" s="20" t="s">
        <v>20</v>
      </c>
      <c r="L372" s="20">
        <v>1</v>
      </c>
      <c r="M372" s="34">
        <v>98000</v>
      </c>
      <c r="N372" s="34">
        <f t="shared" si="24"/>
        <v>98000</v>
      </c>
      <c r="O372" s="33" t="s">
        <v>21</v>
      </c>
      <c r="P372" s="20">
        <f t="shared" si="25"/>
        <v>356</v>
      </c>
      <c r="Q372" s="20">
        <f t="shared" si="26"/>
        <v>44</v>
      </c>
    </row>
    <row r="373" spans="1:17" ht="15" customHeight="1" x14ac:dyDescent="0.2">
      <c r="A373" s="20" t="s">
        <v>2719</v>
      </c>
      <c r="B373" s="63">
        <v>45955</v>
      </c>
      <c r="C373" s="20">
        <f t="shared" si="21"/>
        <v>959</v>
      </c>
      <c r="D373" s="20">
        <v>1</v>
      </c>
      <c r="G373" s="32" t="s">
        <v>1351</v>
      </c>
      <c r="H373" s="20" t="s">
        <v>3650</v>
      </c>
      <c r="I373" s="20">
        <v>331</v>
      </c>
      <c r="J373" s="20">
        <v>1111</v>
      </c>
      <c r="K373" s="20" t="s">
        <v>20</v>
      </c>
      <c r="L373" s="20">
        <v>1</v>
      </c>
      <c r="M373" s="34">
        <v>26000</v>
      </c>
      <c r="N373" s="34">
        <f t="shared" si="24"/>
        <v>26000</v>
      </c>
      <c r="O373" s="33" t="s">
        <v>21</v>
      </c>
      <c r="P373" s="20">
        <f t="shared" si="25"/>
        <v>357</v>
      </c>
      <c r="Q373" s="20">
        <f t="shared" si="26"/>
        <v>41</v>
      </c>
    </row>
    <row r="374" spans="1:17" ht="15" customHeight="1" x14ac:dyDescent="0.2">
      <c r="A374" s="20" t="s">
        <v>2719</v>
      </c>
      <c r="B374" s="63">
        <v>45955</v>
      </c>
      <c r="C374" s="20">
        <f t="shared" si="21"/>
        <v>960</v>
      </c>
      <c r="D374" s="20">
        <v>1</v>
      </c>
      <c r="G374" s="32" t="s">
        <v>1351</v>
      </c>
      <c r="H374" s="20" t="s">
        <v>3651</v>
      </c>
      <c r="I374" s="20">
        <v>331</v>
      </c>
      <c r="J374" s="20">
        <v>1111</v>
      </c>
      <c r="K374" s="20" t="s">
        <v>20</v>
      </c>
      <c r="L374" s="20">
        <v>1</v>
      </c>
      <c r="M374" s="34">
        <v>59000</v>
      </c>
      <c r="N374" s="34">
        <f t="shared" si="24"/>
        <v>59000</v>
      </c>
      <c r="O374" s="33" t="s">
        <v>21</v>
      </c>
      <c r="P374" s="20">
        <f t="shared" si="25"/>
        <v>358</v>
      </c>
      <c r="Q374" s="20">
        <f t="shared" si="26"/>
        <v>41</v>
      </c>
    </row>
    <row r="375" spans="1:17" ht="15" customHeight="1" x14ac:dyDescent="0.2">
      <c r="A375" s="20" t="s">
        <v>2719</v>
      </c>
      <c r="B375" s="63">
        <v>45955</v>
      </c>
      <c r="C375" s="20">
        <f t="shared" ref="C375:C438" si="27">C374+D375</f>
        <v>961</v>
      </c>
      <c r="D375" s="20">
        <v>1</v>
      </c>
      <c r="G375" s="32" t="s">
        <v>1351</v>
      </c>
      <c r="H375" s="20" t="s">
        <v>3652</v>
      </c>
      <c r="I375" s="20">
        <v>331</v>
      </c>
      <c r="J375" s="20">
        <v>1111</v>
      </c>
      <c r="K375" s="20" t="s">
        <v>20</v>
      </c>
      <c r="L375" s="20">
        <v>1</v>
      </c>
      <c r="M375" s="34">
        <v>26000</v>
      </c>
      <c r="N375" s="34">
        <f t="shared" si="24"/>
        <v>26000</v>
      </c>
      <c r="O375" s="33" t="s">
        <v>21</v>
      </c>
      <c r="P375" s="20">
        <f t="shared" si="25"/>
        <v>359</v>
      </c>
      <c r="Q375" s="20">
        <f t="shared" si="26"/>
        <v>41</v>
      </c>
    </row>
    <row r="376" spans="1:17" ht="15" customHeight="1" x14ac:dyDescent="0.2">
      <c r="A376" s="20" t="s">
        <v>2719</v>
      </c>
      <c r="B376" s="63">
        <v>45955</v>
      </c>
      <c r="C376" s="20">
        <f t="shared" si="27"/>
        <v>962</v>
      </c>
      <c r="D376" s="20">
        <v>1</v>
      </c>
      <c r="G376" s="32" t="s">
        <v>1351</v>
      </c>
      <c r="H376" s="20" t="s">
        <v>3653</v>
      </c>
      <c r="I376" s="20">
        <v>331</v>
      </c>
      <c r="J376" s="20">
        <v>1111</v>
      </c>
      <c r="K376" s="20" t="s">
        <v>20</v>
      </c>
      <c r="L376" s="20">
        <v>1</v>
      </c>
      <c r="M376" s="34">
        <v>26000</v>
      </c>
      <c r="N376" s="34">
        <f t="shared" si="24"/>
        <v>26000</v>
      </c>
      <c r="O376" s="33" t="s">
        <v>21</v>
      </c>
      <c r="P376" s="20">
        <f t="shared" si="25"/>
        <v>360</v>
      </c>
      <c r="Q376" s="20">
        <f t="shared" si="26"/>
        <v>41</v>
      </c>
    </row>
    <row r="377" spans="1:17" ht="15" customHeight="1" x14ac:dyDescent="0.2">
      <c r="A377" s="20" t="s">
        <v>2719</v>
      </c>
      <c r="B377" s="63">
        <v>45955</v>
      </c>
      <c r="C377" s="20">
        <f t="shared" si="27"/>
        <v>963</v>
      </c>
      <c r="D377" s="20">
        <v>1</v>
      </c>
      <c r="G377" s="32" t="s">
        <v>115</v>
      </c>
      <c r="H377" s="20" t="s">
        <v>3654</v>
      </c>
      <c r="I377" s="20">
        <v>331</v>
      </c>
      <c r="J377" s="20">
        <v>1111</v>
      </c>
      <c r="K377" s="20" t="s">
        <v>20</v>
      </c>
      <c r="L377" s="20">
        <v>1</v>
      </c>
      <c r="M377" s="34">
        <v>98000</v>
      </c>
      <c r="N377" s="34">
        <f t="shared" si="24"/>
        <v>98000</v>
      </c>
      <c r="O377" s="33" t="s">
        <v>21</v>
      </c>
      <c r="P377" s="20">
        <f t="shared" si="25"/>
        <v>361</v>
      </c>
      <c r="Q377" s="20">
        <f t="shared" si="26"/>
        <v>44</v>
      </c>
    </row>
    <row r="378" spans="1:17" ht="15" customHeight="1" x14ac:dyDescent="0.2">
      <c r="A378" s="20" t="s">
        <v>2719</v>
      </c>
      <c r="B378" s="63">
        <v>45955</v>
      </c>
      <c r="C378" s="20">
        <f t="shared" si="27"/>
        <v>964</v>
      </c>
      <c r="D378" s="20">
        <v>1</v>
      </c>
      <c r="G378" s="32" t="s">
        <v>115</v>
      </c>
      <c r="H378" s="20" t="s">
        <v>3655</v>
      </c>
      <c r="I378" s="20">
        <v>331</v>
      </c>
      <c r="J378" s="20">
        <v>1111</v>
      </c>
      <c r="K378" s="20" t="s">
        <v>20</v>
      </c>
      <c r="L378" s="20">
        <v>1</v>
      </c>
      <c r="M378" s="34">
        <v>38000</v>
      </c>
      <c r="N378" s="34">
        <f t="shared" si="24"/>
        <v>38000</v>
      </c>
      <c r="O378" s="33" t="s">
        <v>21</v>
      </c>
      <c r="P378" s="20">
        <f t="shared" si="25"/>
        <v>362</v>
      </c>
      <c r="Q378" s="20">
        <f t="shared" si="26"/>
        <v>44</v>
      </c>
    </row>
    <row r="379" spans="1:17" ht="15" customHeight="1" x14ac:dyDescent="0.2">
      <c r="A379" s="20" t="s">
        <v>2719</v>
      </c>
      <c r="B379" s="63">
        <v>45955</v>
      </c>
      <c r="C379" s="20">
        <f t="shared" si="27"/>
        <v>965</v>
      </c>
      <c r="D379" s="20">
        <v>1</v>
      </c>
      <c r="G379" s="32" t="s">
        <v>115</v>
      </c>
      <c r="H379" s="20" t="s">
        <v>3656</v>
      </c>
      <c r="I379" s="20">
        <v>331</v>
      </c>
      <c r="J379" s="20">
        <v>1111</v>
      </c>
      <c r="K379" s="20" t="s">
        <v>20</v>
      </c>
      <c r="L379" s="20">
        <v>1</v>
      </c>
      <c r="M379" s="34">
        <v>105000</v>
      </c>
      <c r="N379" s="34">
        <f t="shared" si="24"/>
        <v>105000</v>
      </c>
      <c r="O379" s="33" t="s">
        <v>21</v>
      </c>
      <c r="P379" s="20">
        <f t="shared" si="25"/>
        <v>363</v>
      </c>
      <c r="Q379" s="20">
        <f t="shared" si="26"/>
        <v>44</v>
      </c>
    </row>
    <row r="380" spans="1:17" ht="15" customHeight="1" x14ac:dyDescent="0.2">
      <c r="A380" s="20" t="s">
        <v>2719</v>
      </c>
      <c r="B380" s="63">
        <v>45955</v>
      </c>
      <c r="C380" s="20">
        <f t="shared" si="27"/>
        <v>966</v>
      </c>
      <c r="D380" s="20">
        <v>1</v>
      </c>
      <c r="G380" s="32" t="s">
        <v>115</v>
      </c>
      <c r="H380" s="20" t="s">
        <v>3657</v>
      </c>
      <c r="I380" s="20">
        <v>331</v>
      </c>
      <c r="J380" s="20">
        <v>1111</v>
      </c>
      <c r="K380" s="20" t="s">
        <v>20</v>
      </c>
      <c r="L380" s="20">
        <v>1</v>
      </c>
      <c r="M380" s="34">
        <v>191000</v>
      </c>
      <c r="N380" s="34">
        <f t="shared" si="24"/>
        <v>191000</v>
      </c>
      <c r="O380" s="33" t="s">
        <v>21</v>
      </c>
      <c r="P380" s="20">
        <f t="shared" si="25"/>
        <v>364</v>
      </c>
      <c r="Q380" s="20">
        <f t="shared" si="26"/>
        <v>44</v>
      </c>
    </row>
    <row r="381" spans="1:17" ht="15" customHeight="1" x14ac:dyDescent="0.2">
      <c r="A381" s="20" t="s">
        <v>2719</v>
      </c>
      <c r="B381" s="63">
        <v>45955</v>
      </c>
      <c r="C381" s="20">
        <f t="shared" si="27"/>
        <v>967</v>
      </c>
      <c r="D381" s="20">
        <v>1</v>
      </c>
      <c r="G381" s="32" t="s">
        <v>115</v>
      </c>
      <c r="H381" s="20" t="s">
        <v>3658</v>
      </c>
      <c r="I381" s="20">
        <v>331</v>
      </c>
      <c r="J381" s="20">
        <v>1111</v>
      </c>
      <c r="K381" s="20" t="s">
        <v>20</v>
      </c>
      <c r="L381" s="20">
        <v>1</v>
      </c>
      <c r="M381" s="34">
        <v>144000</v>
      </c>
      <c r="N381" s="34">
        <f t="shared" si="24"/>
        <v>144000</v>
      </c>
      <c r="O381" s="33" t="s">
        <v>21</v>
      </c>
      <c r="P381" s="20">
        <f t="shared" si="25"/>
        <v>365</v>
      </c>
      <c r="Q381" s="20">
        <f t="shared" si="26"/>
        <v>44</v>
      </c>
    </row>
    <row r="382" spans="1:17" ht="15" customHeight="1" x14ac:dyDescent="0.2">
      <c r="A382" s="20" t="s">
        <v>2719</v>
      </c>
      <c r="B382" s="63">
        <v>45955</v>
      </c>
      <c r="C382" s="20">
        <f t="shared" si="27"/>
        <v>968</v>
      </c>
      <c r="D382" s="20">
        <v>1</v>
      </c>
      <c r="G382" s="32" t="s">
        <v>115</v>
      </c>
      <c r="H382" s="20" t="s">
        <v>3659</v>
      </c>
      <c r="I382" s="20">
        <v>331</v>
      </c>
      <c r="J382" s="20">
        <v>1111</v>
      </c>
      <c r="K382" s="20" t="s">
        <v>20</v>
      </c>
      <c r="L382" s="20">
        <v>1</v>
      </c>
      <c r="M382" s="34">
        <v>139000</v>
      </c>
      <c r="N382" s="34">
        <f t="shared" si="24"/>
        <v>139000</v>
      </c>
      <c r="O382" s="33" t="s">
        <v>21</v>
      </c>
      <c r="P382" s="20">
        <f t="shared" si="25"/>
        <v>366</v>
      </c>
      <c r="Q382" s="20">
        <f t="shared" si="26"/>
        <v>44</v>
      </c>
    </row>
    <row r="383" spans="1:17" ht="15" customHeight="1" x14ac:dyDescent="0.2">
      <c r="A383" s="20" t="s">
        <v>2719</v>
      </c>
      <c r="B383" s="63">
        <v>45955</v>
      </c>
      <c r="C383" s="20">
        <f t="shared" si="27"/>
        <v>969</v>
      </c>
      <c r="D383" s="20">
        <v>1</v>
      </c>
      <c r="G383" s="32" t="s">
        <v>115</v>
      </c>
      <c r="H383" s="20" t="s">
        <v>3660</v>
      </c>
      <c r="I383" s="20">
        <v>331</v>
      </c>
      <c r="J383" s="20">
        <v>1111</v>
      </c>
      <c r="K383" s="20" t="s">
        <v>20</v>
      </c>
      <c r="L383" s="20">
        <v>1</v>
      </c>
      <c r="M383" s="34">
        <v>27000</v>
      </c>
      <c r="N383" s="34">
        <f t="shared" si="24"/>
        <v>27000</v>
      </c>
      <c r="O383" s="33" t="s">
        <v>21</v>
      </c>
      <c r="P383" s="20">
        <f t="shared" si="25"/>
        <v>367</v>
      </c>
      <c r="Q383" s="20">
        <f t="shared" si="26"/>
        <v>44</v>
      </c>
    </row>
    <row r="384" spans="1:17" ht="15" customHeight="1" x14ac:dyDescent="0.2">
      <c r="A384" s="20" t="s">
        <v>2719</v>
      </c>
      <c r="B384" s="63">
        <v>45956</v>
      </c>
      <c r="C384" s="20">
        <f t="shared" si="27"/>
        <v>970</v>
      </c>
      <c r="D384" s="20">
        <v>1</v>
      </c>
      <c r="G384" s="32" t="s">
        <v>115</v>
      </c>
      <c r="H384" s="20" t="s">
        <v>3661</v>
      </c>
      <c r="I384" s="20">
        <v>331</v>
      </c>
      <c r="J384" s="20">
        <v>1111</v>
      </c>
      <c r="K384" s="20" t="s">
        <v>20</v>
      </c>
      <c r="L384" s="20">
        <v>1</v>
      </c>
      <c r="M384" s="34">
        <v>39000</v>
      </c>
      <c r="N384" s="34">
        <f t="shared" si="24"/>
        <v>39000</v>
      </c>
      <c r="O384" s="33" t="s">
        <v>21</v>
      </c>
      <c r="P384" s="20">
        <f t="shared" si="25"/>
        <v>368</v>
      </c>
      <c r="Q384" s="20">
        <f t="shared" si="26"/>
        <v>44</v>
      </c>
    </row>
    <row r="385" spans="1:17" ht="15" customHeight="1" x14ac:dyDescent="0.2">
      <c r="A385" s="20" t="s">
        <v>2719</v>
      </c>
      <c r="B385" s="63">
        <v>45956</v>
      </c>
      <c r="C385" s="20">
        <f t="shared" si="27"/>
        <v>971</v>
      </c>
      <c r="D385" s="20">
        <v>1</v>
      </c>
      <c r="G385" s="32" t="s">
        <v>1352</v>
      </c>
      <c r="H385" s="20" t="s">
        <v>3662</v>
      </c>
      <c r="I385" s="20">
        <v>331</v>
      </c>
      <c r="J385" s="20">
        <v>1111</v>
      </c>
      <c r="K385" s="20" t="s">
        <v>20</v>
      </c>
      <c r="L385" s="20">
        <v>1</v>
      </c>
      <c r="M385" s="34">
        <v>1280880</v>
      </c>
      <c r="N385" s="34">
        <f t="shared" si="24"/>
        <v>1280880</v>
      </c>
      <c r="O385" s="33" t="s">
        <v>21</v>
      </c>
      <c r="P385" s="20">
        <f t="shared" si="25"/>
        <v>369</v>
      </c>
      <c r="Q385" s="20">
        <f t="shared" si="26"/>
        <v>52</v>
      </c>
    </row>
    <row r="386" spans="1:17" ht="15" customHeight="1" x14ac:dyDescent="0.2">
      <c r="A386" s="20" t="s">
        <v>2719</v>
      </c>
      <c r="B386" s="63">
        <v>45956</v>
      </c>
      <c r="C386" s="20">
        <f t="shared" si="27"/>
        <v>972</v>
      </c>
      <c r="D386" s="20">
        <v>1</v>
      </c>
      <c r="G386" s="32" t="s">
        <v>1353</v>
      </c>
      <c r="H386" s="20" t="s">
        <v>3663</v>
      </c>
      <c r="I386" s="20">
        <v>331</v>
      </c>
      <c r="J386" s="20">
        <v>1111</v>
      </c>
      <c r="K386" s="20" t="s">
        <v>20</v>
      </c>
      <c r="L386" s="20">
        <v>1</v>
      </c>
      <c r="M386" s="34">
        <v>4596000</v>
      </c>
      <c r="N386" s="34">
        <f t="shared" si="24"/>
        <v>4596000</v>
      </c>
      <c r="O386" s="33" t="s">
        <v>21</v>
      </c>
      <c r="P386" s="20">
        <f t="shared" si="25"/>
        <v>370</v>
      </c>
      <c r="Q386" s="20">
        <f t="shared" si="26"/>
        <v>49</v>
      </c>
    </row>
    <row r="387" spans="1:17" ht="15" customHeight="1" x14ac:dyDescent="0.2">
      <c r="A387" s="20" t="s">
        <v>2719</v>
      </c>
      <c r="B387" s="63">
        <v>45957</v>
      </c>
      <c r="C387" s="20">
        <f t="shared" si="27"/>
        <v>973</v>
      </c>
      <c r="D387" s="20">
        <v>1</v>
      </c>
      <c r="G387" s="32" t="s">
        <v>115</v>
      </c>
      <c r="H387" s="20" t="s">
        <v>3664</v>
      </c>
      <c r="I387" s="20">
        <v>331</v>
      </c>
      <c r="J387" s="20">
        <v>1111</v>
      </c>
      <c r="K387" s="20" t="s">
        <v>20</v>
      </c>
      <c r="L387" s="20">
        <v>1</v>
      </c>
      <c r="M387" s="34">
        <v>30000</v>
      </c>
      <c r="N387" s="34">
        <f t="shared" si="24"/>
        <v>30000</v>
      </c>
      <c r="O387" s="33" t="s">
        <v>21</v>
      </c>
      <c r="P387" s="20">
        <f t="shared" si="25"/>
        <v>371</v>
      </c>
      <c r="Q387" s="20">
        <f t="shared" si="26"/>
        <v>44</v>
      </c>
    </row>
    <row r="388" spans="1:17" ht="15" customHeight="1" x14ac:dyDescent="0.2">
      <c r="A388" s="20" t="s">
        <v>2719</v>
      </c>
      <c r="B388" s="63">
        <v>45957</v>
      </c>
      <c r="C388" s="20">
        <f t="shared" si="27"/>
        <v>974</v>
      </c>
      <c r="D388" s="20">
        <v>1</v>
      </c>
      <c r="G388" s="32" t="s">
        <v>115</v>
      </c>
      <c r="H388" s="20" t="s">
        <v>3665</v>
      </c>
      <c r="I388" s="20">
        <v>331</v>
      </c>
      <c r="J388" s="20">
        <v>1111</v>
      </c>
      <c r="K388" s="20" t="s">
        <v>20</v>
      </c>
      <c r="L388" s="20">
        <v>1</v>
      </c>
      <c r="M388" s="34">
        <v>103000</v>
      </c>
      <c r="N388" s="34">
        <f t="shared" ref="N388:N450" si="28">L388*M388</f>
        <v>103000</v>
      </c>
      <c r="O388" s="33" t="s">
        <v>21</v>
      </c>
      <c r="P388" s="20">
        <f t="shared" si="25"/>
        <v>372</v>
      </c>
      <c r="Q388" s="20">
        <f t="shared" si="26"/>
        <v>44</v>
      </c>
    </row>
    <row r="389" spans="1:17" ht="15" customHeight="1" x14ac:dyDescent="0.2">
      <c r="A389" s="20" t="s">
        <v>2719</v>
      </c>
      <c r="B389" s="63">
        <v>45957</v>
      </c>
      <c r="C389" s="20">
        <f t="shared" si="27"/>
        <v>975</v>
      </c>
      <c r="D389" s="20">
        <v>1</v>
      </c>
      <c r="G389" s="32" t="s">
        <v>115</v>
      </c>
      <c r="H389" s="20" t="s">
        <v>3666</v>
      </c>
      <c r="I389" s="20">
        <v>331</v>
      </c>
      <c r="J389" s="20">
        <v>1111</v>
      </c>
      <c r="K389" s="20" t="s">
        <v>20</v>
      </c>
      <c r="L389" s="20">
        <v>1</v>
      </c>
      <c r="M389" s="34">
        <v>66000</v>
      </c>
      <c r="N389" s="34">
        <f t="shared" si="28"/>
        <v>66000</v>
      </c>
      <c r="O389" s="33" t="s">
        <v>21</v>
      </c>
      <c r="P389" s="20">
        <f t="shared" si="25"/>
        <v>373</v>
      </c>
      <c r="Q389" s="20">
        <f t="shared" si="26"/>
        <v>44</v>
      </c>
    </row>
    <row r="390" spans="1:17" ht="15" customHeight="1" x14ac:dyDescent="0.2">
      <c r="A390" s="20" t="s">
        <v>2719</v>
      </c>
      <c r="B390" s="63">
        <v>45957</v>
      </c>
      <c r="C390" s="20">
        <f t="shared" si="27"/>
        <v>976</v>
      </c>
      <c r="D390" s="20">
        <v>1</v>
      </c>
      <c r="G390" s="32" t="s">
        <v>115</v>
      </c>
      <c r="H390" s="20" t="s">
        <v>3667</v>
      </c>
      <c r="I390" s="20">
        <v>331</v>
      </c>
      <c r="J390" s="20">
        <v>1111</v>
      </c>
      <c r="K390" s="20" t="s">
        <v>20</v>
      </c>
      <c r="L390" s="20">
        <v>1</v>
      </c>
      <c r="M390" s="34">
        <v>122000</v>
      </c>
      <c r="N390" s="34">
        <f t="shared" si="28"/>
        <v>122000</v>
      </c>
      <c r="O390" s="33" t="s">
        <v>21</v>
      </c>
      <c r="P390" s="20">
        <f t="shared" ref="P390:P453" si="29">P389+D390</f>
        <v>374</v>
      </c>
      <c r="Q390" s="20">
        <f t="shared" ref="Q390:Q452" si="30">LEN(H390)</f>
        <v>44</v>
      </c>
    </row>
    <row r="391" spans="1:17" ht="15" customHeight="1" x14ac:dyDescent="0.2">
      <c r="A391" s="20" t="s">
        <v>2719</v>
      </c>
      <c r="B391" s="63">
        <v>45957</v>
      </c>
      <c r="C391" s="20">
        <f t="shared" si="27"/>
        <v>977</v>
      </c>
      <c r="D391" s="20">
        <v>1</v>
      </c>
      <c r="G391" s="32" t="s">
        <v>1354</v>
      </c>
      <c r="H391" s="20" t="s">
        <v>3668</v>
      </c>
      <c r="I391" s="20">
        <v>331</v>
      </c>
      <c r="J391" s="20">
        <v>1111</v>
      </c>
      <c r="K391" s="20" t="s">
        <v>20</v>
      </c>
      <c r="L391" s="20">
        <v>1</v>
      </c>
      <c r="M391" s="34">
        <v>2533230</v>
      </c>
      <c r="N391" s="34">
        <f t="shared" si="28"/>
        <v>2533230</v>
      </c>
      <c r="O391" s="33" t="s">
        <v>21</v>
      </c>
      <c r="P391" s="20">
        <f t="shared" si="29"/>
        <v>375</v>
      </c>
      <c r="Q391" s="20">
        <f t="shared" si="30"/>
        <v>52</v>
      </c>
    </row>
    <row r="392" spans="1:17" ht="15" customHeight="1" x14ac:dyDescent="0.2">
      <c r="A392" s="20" t="s">
        <v>2719</v>
      </c>
      <c r="B392" s="63">
        <v>45957</v>
      </c>
      <c r="C392" s="20">
        <f t="shared" si="27"/>
        <v>978</v>
      </c>
      <c r="D392" s="20">
        <v>1</v>
      </c>
      <c r="G392" s="32" t="s">
        <v>28</v>
      </c>
      <c r="H392" s="20" t="s">
        <v>3669</v>
      </c>
      <c r="I392" s="20">
        <v>331</v>
      </c>
      <c r="J392" s="20">
        <v>1111</v>
      </c>
      <c r="K392" s="20" t="s">
        <v>20</v>
      </c>
      <c r="L392" s="20">
        <v>1</v>
      </c>
      <c r="M392" s="34">
        <v>1645002</v>
      </c>
      <c r="N392" s="34">
        <f t="shared" si="28"/>
        <v>1645002</v>
      </c>
      <c r="O392" s="33" t="s">
        <v>21</v>
      </c>
      <c r="P392" s="20">
        <f t="shared" si="29"/>
        <v>376</v>
      </c>
      <c r="Q392" s="20">
        <f t="shared" si="30"/>
        <v>53</v>
      </c>
    </row>
    <row r="393" spans="1:17" ht="15" customHeight="1" x14ac:dyDescent="0.2">
      <c r="A393" s="20" t="s">
        <v>2719</v>
      </c>
      <c r="B393" s="63">
        <v>45958</v>
      </c>
      <c r="C393" s="20">
        <f t="shared" si="27"/>
        <v>979</v>
      </c>
      <c r="D393" s="20">
        <v>1</v>
      </c>
      <c r="G393" s="32" t="s">
        <v>115</v>
      </c>
      <c r="H393" s="20" t="s">
        <v>3670</v>
      </c>
      <c r="I393" s="20">
        <v>331</v>
      </c>
      <c r="J393" s="20">
        <v>1111</v>
      </c>
      <c r="K393" s="20" t="s">
        <v>20</v>
      </c>
      <c r="L393" s="20">
        <v>1</v>
      </c>
      <c r="M393" s="34">
        <v>49000</v>
      </c>
      <c r="N393" s="34">
        <f t="shared" si="28"/>
        <v>49000</v>
      </c>
      <c r="O393" s="33" t="s">
        <v>21</v>
      </c>
      <c r="P393" s="20">
        <f t="shared" si="29"/>
        <v>377</v>
      </c>
      <c r="Q393" s="20">
        <f t="shared" si="30"/>
        <v>44</v>
      </c>
    </row>
    <row r="394" spans="1:17" ht="15" customHeight="1" x14ac:dyDescent="0.2">
      <c r="A394" s="20" t="s">
        <v>2719</v>
      </c>
      <c r="B394" s="63">
        <v>45958</v>
      </c>
      <c r="C394" s="20">
        <f t="shared" si="27"/>
        <v>980</v>
      </c>
      <c r="D394" s="20">
        <v>1</v>
      </c>
      <c r="G394" s="32" t="s">
        <v>115</v>
      </c>
      <c r="H394" s="20" t="s">
        <v>3671</v>
      </c>
      <c r="I394" s="20">
        <v>331</v>
      </c>
      <c r="J394" s="20">
        <v>1111</v>
      </c>
      <c r="K394" s="20" t="s">
        <v>20</v>
      </c>
      <c r="L394" s="20">
        <v>1</v>
      </c>
      <c r="M394" s="34">
        <v>29000</v>
      </c>
      <c r="N394" s="34">
        <f t="shared" si="28"/>
        <v>29000</v>
      </c>
      <c r="O394" s="33" t="s">
        <v>21</v>
      </c>
      <c r="P394" s="20">
        <f t="shared" si="29"/>
        <v>378</v>
      </c>
      <c r="Q394" s="20">
        <f t="shared" si="30"/>
        <v>44</v>
      </c>
    </row>
    <row r="395" spans="1:17" ht="15" customHeight="1" x14ac:dyDescent="0.2">
      <c r="A395" s="20" t="s">
        <v>2719</v>
      </c>
      <c r="B395" s="63">
        <v>45958</v>
      </c>
      <c r="C395" s="20">
        <f t="shared" si="27"/>
        <v>981</v>
      </c>
      <c r="D395" s="20">
        <v>1</v>
      </c>
      <c r="G395" s="32" t="s">
        <v>115</v>
      </c>
      <c r="H395" s="20" t="s">
        <v>3672</v>
      </c>
      <c r="I395" s="20">
        <v>331</v>
      </c>
      <c r="J395" s="20">
        <v>1111</v>
      </c>
      <c r="K395" s="20" t="s">
        <v>20</v>
      </c>
      <c r="L395" s="20">
        <v>1</v>
      </c>
      <c r="M395" s="34">
        <v>148000</v>
      </c>
      <c r="N395" s="34">
        <f t="shared" si="28"/>
        <v>148000</v>
      </c>
      <c r="O395" s="33" t="s">
        <v>21</v>
      </c>
      <c r="P395" s="20">
        <f t="shared" si="29"/>
        <v>379</v>
      </c>
      <c r="Q395" s="20">
        <f t="shared" si="30"/>
        <v>44</v>
      </c>
    </row>
    <row r="396" spans="1:17" ht="15" customHeight="1" x14ac:dyDescent="0.2">
      <c r="A396" s="20" t="s">
        <v>2719</v>
      </c>
      <c r="B396" s="63">
        <v>45958</v>
      </c>
      <c r="C396" s="20">
        <f t="shared" si="27"/>
        <v>982</v>
      </c>
      <c r="D396" s="20">
        <v>1</v>
      </c>
      <c r="G396" s="32" t="s">
        <v>115</v>
      </c>
      <c r="H396" s="20" t="s">
        <v>3673</v>
      </c>
      <c r="I396" s="20">
        <v>331</v>
      </c>
      <c r="J396" s="20">
        <v>1111</v>
      </c>
      <c r="K396" s="20" t="s">
        <v>20</v>
      </c>
      <c r="L396" s="20">
        <v>1</v>
      </c>
      <c r="M396" s="34">
        <v>102000</v>
      </c>
      <c r="N396" s="34">
        <f t="shared" si="28"/>
        <v>102000</v>
      </c>
      <c r="O396" s="33" t="s">
        <v>21</v>
      </c>
      <c r="P396" s="20">
        <f t="shared" si="29"/>
        <v>380</v>
      </c>
      <c r="Q396" s="20">
        <f t="shared" si="30"/>
        <v>44</v>
      </c>
    </row>
    <row r="397" spans="1:17" ht="15" customHeight="1" x14ac:dyDescent="0.2">
      <c r="A397" s="20" t="s">
        <v>2719</v>
      </c>
      <c r="B397" s="63">
        <v>45958</v>
      </c>
      <c r="C397" s="20">
        <f t="shared" si="27"/>
        <v>983</v>
      </c>
      <c r="D397" s="20">
        <v>1</v>
      </c>
      <c r="G397" s="32" t="s">
        <v>115</v>
      </c>
      <c r="H397" s="20" t="s">
        <v>3674</v>
      </c>
      <c r="I397" s="20">
        <v>331</v>
      </c>
      <c r="J397" s="20">
        <v>1111</v>
      </c>
      <c r="K397" s="20" t="s">
        <v>20</v>
      </c>
      <c r="L397" s="20">
        <v>1</v>
      </c>
      <c r="M397" s="34">
        <v>84000</v>
      </c>
      <c r="N397" s="34">
        <f t="shared" si="28"/>
        <v>84000</v>
      </c>
      <c r="O397" s="33" t="s">
        <v>21</v>
      </c>
      <c r="P397" s="20">
        <f t="shared" si="29"/>
        <v>381</v>
      </c>
      <c r="Q397" s="20">
        <f t="shared" si="30"/>
        <v>44</v>
      </c>
    </row>
    <row r="398" spans="1:17" ht="15" customHeight="1" x14ac:dyDescent="0.2">
      <c r="A398" s="20" t="s">
        <v>2719</v>
      </c>
      <c r="B398" s="63">
        <v>45958</v>
      </c>
      <c r="C398" s="20">
        <f t="shared" si="27"/>
        <v>984</v>
      </c>
      <c r="D398" s="20">
        <v>1</v>
      </c>
      <c r="G398" s="32" t="s">
        <v>115</v>
      </c>
      <c r="H398" s="20" t="s">
        <v>3675</v>
      </c>
      <c r="I398" s="20">
        <v>331</v>
      </c>
      <c r="J398" s="20">
        <v>1111</v>
      </c>
      <c r="K398" s="20" t="s">
        <v>20</v>
      </c>
      <c r="L398" s="20">
        <v>1</v>
      </c>
      <c r="M398" s="34">
        <v>97000</v>
      </c>
      <c r="N398" s="34">
        <f t="shared" si="28"/>
        <v>97000</v>
      </c>
      <c r="O398" s="33" t="s">
        <v>21</v>
      </c>
      <c r="P398" s="20">
        <f t="shared" si="29"/>
        <v>382</v>
      </c>
      <c r="Q398" s="20">
        <f t="shared" si="30"/>
        <v>44</v>
      </c>
    </row>
    <row r="399" spans="1:17" ht="15" customHeight="1" x14ac:dyDescent="0.2">
      <c r="A399" s="20" t="s">
        <v>2719</v>
      </c>
      <c r="B399" s="63">
        <v>45958</v>
      </c>
      <c r="C399" s="20">
        <f t="shared" si="27"/>
        <v>985</v>
      </c>
      <c r="D399" s="20">
        <v>1</v>
      </c>
      <c r="G399" s="32" t="s">
        <v>1355</v>
      </c>
      <c r="H399" s="20" t="s">
        <v>3676</v>
      </c>
      <c r="I399" s="20">
        <v>331</v>
      </c>
      <c r="J399" s="20">
        <v>1111</v>
      </c>
      <c r="K399" s="20" t="s">
        <v>20</v>
      </c>
      <c r="L399" s="20">
        <v>1</v>
      </c>
      <c r="M399" s="34">
        <v>1350000</v>
      </c>
      <c r="N399" s="34">
        <f t="shared" si="28"/>
        <v>1350000</v>
      </c>
      <c r="O399" s="33" t="s">
        <v>21</v>
      </c>
      <c r="P399" s="20">
        <f t="shared" si="29"/>
        <v>383</v>
      </c>
      <c r="Q399" s="20">
        <f t="shared" si="30"/>
        <v>53</v>
      </c>
    </row>
    <row r="400" spans="1:17" ht="15" customHeight="1" x14ac:dyDescent="0.2">
      <c r="A400" s="20" t="s">
        <v>2719</v>
      </c>
      <c r="B400" s="63">
        <v>45959</v>
      </c>
      <c r="C400" s="20">
        <f t="shared" si="27"/>
        <v>986</v>
      </c>
      <c r="D400" s="20">
        <v>1</v>
      </c>
      <c r="G400" s="32" t="s">
        <v>75</v>
      </c>
      <c r="H400" s="20" t="s">
        <v>3677</v>
      </c>
      <c r="I400" s="20">
        <v>331</v>
      </c>
      <c r="J400" s="20">
        <v>1111</v>
      </c>
      <c r="K400" s="20" t="s">
        <v>20</v>
      </c>
      <c r="L400" s="20">
        <v>1</v>
      </c>
      <c r="M400" s="34">
        <v>2900000</v>
      </c>
      <c r="N400" s="34">
        <f t="shared" si="28"/>
        <v>2900000</v>
      </c>
      <c r="O400" s="33" t="s">
        <v>21</v>
      </c>
      <c r="P400" s="20">
        <f t="shared" si="29"/>
        <v>384</v>
      </c>
      <c r="Q400" s="20">
        <f t="shared" si="30"/>
        <v>48</v>
      </c>
    </row>
    <row r="401" spans="1:17" ht="15" customHeight="1" x14ac:dyDescent="0.2">
      <c r="A401" s="20" t="s">
        <v>2719</v>
      </c>
      <c r="B401" s="63">
        <v>45959</v>
      </c>
      <c r="C401" s="20">
        <f t="shared" si="27"/>
        <v>987</v>
      </c>
      <c r="D401" s="20">
        <v>1</v>
      </c>
      <c r="G401" s="32" t="s">
        <v>120</v>
      </c>
      <c r="H401" s="20" t="s">
        <v>3678</v>
      </c>
      <c r="I401" s="20">
        <v>331</v>
      </c>
      <c r="J401" s="20">
        <v>1111</v>
      </c>
      <c r="K401" s="20" t="s">
        <v>20</v>
      </c>
      <c r="L401" s="20">
        <v>1</v>
      </c>
      <c r="M401" s="34">
        <v>2303581</v>
      </c>
      <c r="N401" s="34">
        <f t="shared" si="28"/>
        <v>2303581</v>
      </c>
      <c r="O401" s="33" t="s">
        <v>21</v>
      </c>
      <c r="P401" s="20">
        <f t="shared" si="29"/>
        <v>385</v>
      </c>
      <c r="Q401" s="20">
        <f t="shared" si="30"/>
        <v>49</v>
      </c>
    </row>
    <row r="402" spans="1:17" ht="15" customHeight="1" x14ac:dyDescent="0.2">
      <c r="A402" s="20" t="s">
        <v>2719</v>
      </c>
      <c r="B402" s="63">
        <v>45960</v>
      </c>
      <c r="C402" s="20">
        <f t="shared" si="27"/>
        <v>988</v>
      </c>
      <c r="D402" s="20">
        <v>1</v>
      </c>
      <c r="G402" s="32" t="s">
        <v>115</v>
      </c>
      <c r="H402" s="20" t="s">
        <v>3679</v>
      </c>
      <c r="I402" s="20">
        <v>331</v>
      </c>
      <c r="J402" s="20">
        <v>1111</v>
      </c>
      <c r="K402" s="20" t="s">
        <v>20</v>
      </c>
      <c r="L402" s="20">
        <v>1</v>
      </c>
      <c r="M402" s="34">
        <v>13000</v>
      </c>
      <c r="N402" s="34">
        <f t="shared" si="28"/>
        <v>13000</v>
      </c>
      <c r="O402" s="33" t="s">
        <v>21</v>
      </c>
      <c r="P402" s="20">
        <f t="shared" si="29"/>
        <v>386</v>
      </c>
      <c r="Q402" s="20">
        <f t="shared" si="30"/>
        <v>44</v>
      </c>
    </row>
    <row r="403" spans="1:17" ht="15" customHeight="1" x14ac:dyDescent="0.2">
      <c r="A403" s="20" t="s">
        <v>2719</v>
      </c>
      <c r="B403" s="63">
        <v>45961</v>
      </c>
      <c r="C403" s="20">
        <f t="shared" si="27"/>
        <v>989</v>
      </c>
      <c r="D403" s="20">
        <v>1</v>
      </c>
      <c r="G403" s="32" t="s">
        <v>115</v>
      </c>
      <c r="H403" s="20" t="s">
        <v>3680</v>
      </c>
      <c r="I403" s="20">
        <v>331</v>
      </c>
      <c r="J403" s="20">
        <v>1111</v>
      </c>
      <c r="K403" s="20" t="s">
        <v>20</v>
      </c>
      <c r="L403" s="20">
        <v>1</v>
      </c>
      <c r="M403" s="34">
        <v>126000</v>
      </c>
      <c r="N403" s="34">
        <f t="shared" si="28"/>
        <v>126000</v>
      </c>
      <c r="O403" s="33" t="s">
        <v>21</v>
      </c>
      <c r="P403" s="20">
        <f t="shared" si="29"/>
        <v>387</v>
      </c>
      <c r="Q403" s="20">
        <f t="shared" si="30"/>
        <v>44</v>
      </c>
    </row>
    <row r="404" spans="1:17" ht="15" customHeight="1" x14ac:dyDescent="0.2">
      <c r="A404" s="20" t="s">
        <v>2719</v>
      </c>
      <c r="B404" s="63">
        <v>45961</v>
      </c>
      <c r="C404" s="20">
        <f t="shared" si="27"/>
        <v>990</v>
      </c>
      <c r="D404" s="20">
        <v>1</v>
      </c>
      <c r="G404" s="32" t="s">
        <v>115</v>
      </c>
      <c r="H404" s="20" t="s">
        <v>3681</v>
      </c>
      <c r="I404" s="20">
        <v>331</v>
      </c>
      <c r="J404" s="20">
        <v>1111</v>
      </c>
      <c r="K404" s="20" t="s">
        <v>20</v>
      </c>
      <c r="L404" s="20">
        <v>1</v>
      </c>
      <c r="M404" s="34">
        <v>89000</v>
      </c>
      <c r="N404" s="34">
        <f t="shared" si="28"/>
        <v>89000</v>
      </c>
      <c r="O404" s="33" t="s">
        <v>21</v>
      </c>
      <c r="P404" s="20">
        <f t="shared" si="29"/>
        <v>388</v>
      </c>
      <c r="Q404" s="20">
        <f t="shared" si="30"/>
        <v>44</v>
      </c>
    </row>
    <row r="405" spans="1:17" ht="15" customHeight="1" x14ac:dyDescent="0.2">
      <c r="A405" s="20" t="s">
        <v>2719</v>
      </c>
      <c r="B405" s="63">
        <v>45961</v>
      </c>
      <c r="C405" s="20">
        <f t="shared" si="27"/>
        <v>991</v>
      </c>
      <c r="D405" s="20">
        <v>1</v>
      </c>
      <c r="G405" s="32" t="s">
        <v>115</v>
      </c>
      <c r="H405" s="20" t="s">
        <v>3682</v>
      </c>
      <c r="I405" s="20">
        <v>331</v>
      </c>
      <c r="J405" s="20">
        <v>1111</v>
      </c>
      <c r="K405" s="20" t="s">
        <v>20</v>
      </c>
      <c r="L405" s="20">
        <v>1</v>
      </c>
      <c r="M405" s="34">
        <v>103000</v>
      </c>
      <c r="N405" s="34">
        <f t="shared" si="28"/>
        <v>103000</v>
      </c>
      <c r="O405" s="33" t="s">
        <v>21</v>
      </c>
      <c r="P405" s="20">
        <f t="shared" si="29"/>
        <v>389</v>
      </c>
      <c r="Q405" s="20">
        <f t="shared" si="30"/>
        <v>44</v>
      </c>
    </row>
    <row r="406" spans="1:17" ht="15" customHeight="1" x14ac:dyDescent="0.2">
      <c r="A406" s="20" t="s">
        <v>2719</v>
      </c>
      <c r="B406" s="63">
        <v>45961</v>
      </c>
      <c r="C406" s="20">
        <f t="shared" si="27"/>
        <v>992</v>
      </c>
      <c r="D406" s="20">
        <v>1</v>
      </c>
      <c r="G406" s="32" t="s">
        <v>115</v>
      </c>
      <c r="H406" s="20" t="s">
        <v>3683</v>
      </c>
      <c r="I406" s="20">
        <v>331</v>
      </c>
      <c r="J406" s="20">
        <v>1111</v>
      </c>
      <c r="K406" s="20" t="s">
        <v>20</v>
      </c>
      <c r="L406" s="20">
        <v>1</v>
      </c>
      <c r="M406" s="34">
        <v>46000</v>
      </c>
      <c r="N406" s="34">
        <f t="shared" si="28"/>
        <v>46000</v>
      </c>
      <c r="O406" s="33" t="s">
        <v>21</v>
      </c>
      <c r="P406" s="20">
        <f t="shared" si="29"/>
        <v>390</v>
      </c>
      <c r="Q406" s="20">
        <f t="shared" si="30"/>
        <v>44</v>
      </c>
    </row>
    <row r="407" spans="1:17" ht="15" customHeight="1" x14ac:dyDescent="0.2">
      <c r="A407" s="20" t="s">
        <v>2719</v>
      </c>
      <c r="B407" s="63">
        <v>45961</v>
      </c>
      <c r="C407" s="20">
        <f t="shared" si="27"/>
        <v>993</v>
      </c>
      <c r="D407" s="20">
        <v>1</v>
      </c>
      <c r="G407" s="32" t="s">
        <v>115</v>
      </c>
      <c r="H407" s="20" t="s">
        <v>3684</v>
      </c>
      <c r="I407" s="20">
        <v>331</v>
      </c>
      <c r="J407" s="20">
        <v>1111</v>
      </c>
      <c r="K407" s="20" t="s">
        <v>20</v>
      </c>
      <c r="L407" s="20">
        <v>1</v>
      </c>
      <c r="M407" s="34">
        <v>34000</v>
      </c>
      <c r="N407" s="34">
        <f t="shared" si="28"/>
        <v>34000</v>
      </c>
      <c r="O407" s="33" t="s">
        <v>21</v>
      </c>
      <c r="P407" s="20">
        <f t="shared" si="29"/>
        <v>391</v>
      </c>
      <c r="Q407" s="20">
        <f t="shared" si="30"/>
        <v>44</v>
      </c>
    </row>
    <row r="408" spans="1:17" ht="15" customHeight="1" x14ac:dyDescent="0.2">
      <c r="A408" s="20" t="s">
        <v>2719</v>
      </c>
      <c r="B408" s="63">
        <v>45961</v>
      </c>
      <c r="C408" s="20">
        <f t="shared" si="27"/>
        <v>994</v>
      </c>
      <c r="D408" s="20">
        <v>1</v>
      </c>
      <c r="G408" s="32" t="s">
        <v>115</v>
      </c>
      <c r="H408" s="20" t="s">
        <v>3685</v>
      </c>
      <c r="I408" s="20">
        <v>331</v>
      </c>
      <c r="J408" s="20">
        <v>1111</v>
      </c>
      <c r="K408" s="20" t="s">
        <v>20</v>
      </c>
      <c r="L408" s="20">
        <v>1</v>
      </c>
      <c r="M408" s="34">
        <v>40000</v>
      </c>
      <c r="N408" s="34">
        <f t="shared" si="28"/>
        <v>40000</v>
      </c>
      <c r="O408" s="33" t="s">
        <v>21</v>
      </c>
      <c r="P408" s="20">
        <f t="shared" si="29"/>
        <v>392</v>
      </c>
      <c r="Q408" s="20">
        <f t="shared" si="30"/>
        <v>44</v>
      </c>
    </row>
    <row r="409" spans="1:17" ht="15" customHeight="1" x14ac:dyDescent="0.2">
      <c r="A409" s="20" t="s">
        <v>2719</v>
      </c>
      <c r="B409" s="63">
        <v>45961</v>
      </c>
      <c r="C409" s="20">
        <f t="shared" si="27"/>
        <v>995</v>
      </c>
      <c r="D409" s="20">
        <v>1</v>
      </c>
      <c r="G409" s="32" t="s">
        <v>115</v>
      </c>
      <c r="H409" s="20" t="s">
        <v>3686</v>
      </c>
      <c r="I409" s="20">
        <v>331</v>
      </c>
      <c r="J409" s="20">
        <v>1111</v>
      </c>
      <c r="K409" s="20" t="s">
        <v>20</v>
      </c>
      <c r="L409" s="20">
        <v>1</v>
      </c>
      <c r="M409" s="34">
        <v>83000</v>
      </c>
      <c r="N409" s="34">
        <f t="shared" si="28"/>
        <v>83000</v>
      </c>
      <c r="O409" s="33" t="s">
        <v>21</v>
      </c>
      <c r="P409" s="20">
        <f t="shared" si="29"/>
        <v>393</v>
      </c>
      <c r="Q409" s="20">
        <f t="shared" si="30"/>
        <v>44</v>
      </c>
    </row>
    <row r="410" spans="1:17" ht="15" customHeight="1" x14ac:dyDescent="0.2">
      <c r="A410" s="20" t="s">
        <v>2719</v>
      </c>
      <c r="B410" s="63">
        <v>45962</v>
      </c>
      <c r="C410" s="20">
        <f t="shared" si="27"/>
        <v>996</v>
      </c>
      <c r="D410" s="20">
        <v>1</v>
      </c>
      <c r="G410" s="32" t="s">
        <v>115</v>
      </c>
      <c r="H410" s="20" t="s">
        <v>3687</v>
      </c>
      <c r="I410" s="20">
        <v>331</v>
      </c>
      <c r="J410" s="20">
        <v>1111</v>
      </c>
      <c r="K410" s="20" t="s">
        <v>20</v>
      </c>
      <c r="L410" s="20">
        <v>1</v>
      </c>
      <c r="M410" s="34">
        <v>69000</v>
      </c>
      <c r="N410" s="34">
        <f t="shared" si="28"/>
        <v>69000</v>
      </c>
      <c r="O410" s="33" t="s">
        <v>21</v>
      </c>
      <c r="P410" s="20">
        <f t="shared" si="29"/>
        <v>394</v>
      </c>
      <c r="Q410" s="20">
        <f t="shared" si="30"/>
        <v>44</v>
      </c>
    </row>
    <row r="411" spans="1:17" ht="15" customHeight="1" x14ac:dyDescent="0.2">
      <c r="A411" s="20" t="s">
        <v>2719</v>
      </c>
      <c r="B411" s="63">
        <v>45963</v>
      </c>
      <c r="C411" s="20">
        <f t="shared" si="27"/>
        <v>997</v>
      </c>
      <c r="D411" s="20">
        <v>1</v>
      </c>
      <c r="G411" s="32" t="s">
        <v>115</v>
      </c>
      <c r="H411" s="20" t="s">
        <v>3688</v>
      </c>
      <c r="I411" s="20">
        <v>331</v>
      </c>
      <c r="J411" s="20">
        <v>1111</v>
      </c>
      <c r="K411" s="20" t="s">
        <v>20</v>
      </c>
      <c r="L411" s="20">
        <v>1</v>
      </c>
      <c r="M411" s="34">
        <v>85000</v>
      </c>
      <c r="N411" s="34">
        <f t="shared" si="28"/>
        <v>85000</v>
      </c>
      <c r="O411" s="33" t="s">
        <v>21</v>
      </c>
      <c r="P411" s="20">
        <f t="shared" si="29"/>
        <v>395</v>
      </c>
      <c r="Q411" s="20">
        <f t="shared" si="30"/>
        <v>44</v>
      </c>
    </row>
    <row r="412" spans="1:17" ht="15" customHeight="1" x14ac:dyDescent="0.2">
      <c r="A412" s="20" t="s">
        <v>2719</v>
      </c>
      <c r="B412" s="63">
        <v>45963</v>
      </c>
      <c r="C412" s="20">
        <f t="shared" si="27"/>
        <v>998</v>
      </c>
      <c r="D412" s="20">
        <v>1</v>
      </c>
      <c r="G412" s="32" t="s">
        <v>115</v>
      </c>
      <c r="H412" s="20" t="s">
        <v>3689</v>
      </c>
      <c r="I412" s="20">
        <v>331</v>
      </c>
      <c r="J412" s="20">
        <v>1111</v>
      </c>
      <c r="K412" s="20" t="s">
        <v>20</v>
      </c>
      <c r="L412" s="20">
        <v>1</v>
      </c>
      <c r="M412" s="34">
        <v>101000</v>
      </c>
      <c r="N412" s="34">
        <f t="shared" si="28"/>
        <v>101000</v>
      </c>
      <c r="O412" s="33" t="s">
        <v>21</v>
      </c>
      <c r="P412" s="20">
        <f t="shared" si="29"/>
        <v>396</v>
      </c>
      <c r="Q412" s="20">
        <f t="shared" si="30"/>
        <v>44</v>
      </c>
    </row>
    <row r="413" spans="1:17" ht="15" customHeight="1" x14ac:dyDescent="0.2">
      <c r="A413" s="20" t="s">
        <v>2719</v>
      </c>
      <c r="B413" s="63">
        <v>45963</v>
      </c>
      <c r="C413" s="20">
        <f t="shared" si="27"/>
        <v>999</v>
      </c>
      <c r="D413" s="20">
        <v>1</v>
      </c>
      <c r="G413" s="32" t="s">
        <v>115</v>
      </c>
      <c r="H413" s="20" t="s">
        <v>3690</v>
      </c>
      <c r="I413" s="20">
        <v>331</v>
      </c>
      <c r="J413" s="20">
        <v>1111</v>
      </c>
      <c r="K413" s="20" t="s">
        <v>20</v>
      </c>
      <c r="L413" s="20">
        <v>1</v>
      </c>
      <c r="M413" s="34">
        <v>39000</v>
      </c>
      <c r="N413" s="34">
        <f t="shared" si="28"/>
        <v>39000</v>
      </c>
      <c r="O413" s="33" t="s">
        <v>21</v>
      </c>
      <c r="P413" s="20">
        <f t="shared" si="29"/>
        <v>397</v>
      </c>
      <c r="Q413" s="20">
        <f t="shared" si="30"/>
        <v>44</v>
      </c>
    </row>
    <row r="414" spans="1:17" ht="15" customHeight="1" x14ac:dyDescent="0.2">
      <c r="A414" s="20" t="s">
        <v>2719</v>
      </c>
      <c r="B414" s="63">
        <v>45963</v>
      </c>
      <c r="C414" s="20">
        <f t="shared" si="27"/>
        <v>1000</v>
      </c>
      <c r="D414" s="20">
        <v>1</v>
      </c>
      <c r="G414" s="32" t="s">
        <v>115</v>
      </c>
      <c r="H414" s="20" t="s">
        <v>3691</v>
      </c>
      <c r="I414" s="20">
        <v>331</v>
      </c>
      <c r="J414" s="20">
        <v>1111</v>
      </c>
      <c r="K414" s="20" t="s">
        <v>20</v>
      </c>
      <c r="L414" s="20">
        <v>1</v>
      </c>
      <c r="M414" s="34">
        <v>79000</v>
      </c>
      <c r="N414" s="34">
        <f t="shared" si="28"/>
        <v>79000</v>
      </c>
      <c r="O414" s="33" t="s">
        <v>21</v>
      </c>
      <c r="P414" s="20">
        <f t="shared" si="29"/>
        <v>398</v>
      </c>
      <c r="Q414" s="20">
        <f t="shared" si="30"/>
        <v>44</v>
      </c>
    </row>
    <row r="415" spans="1:17" ht="15" customHeight="1" x14ac:dyDescent="0.2">
      <c r="A415" s="20" t="s">
        <v>2719</v>
      </c>
      <c r="B415" s="63">
        <v>45963</v>
      </c>
      <c r="C415" s="20">
        <f t="shared" si="27"/>
        <v>1001</v>
      </c>
      <c r="D415" s="20">
        <v>1</v>
      </c>
      <c r="G415" s="32" t="s">
        <v>115</v>
      </c>
      <c r="H415" s="20" t="s">
        <v>3692</v>
      </c>
      <c r="I415" s="20">
        <v>331</v>
      </c>
      <c r="J415" s="20">
        <v>1111</v>
      </c>
      <c r="K415" s="20" t="s">
        <v>20</v>
      </c>
      <c r="L415" s="20">
        <v>1</v>
      </c>
      <c r="M415" s="34">
        <v>109000</v>
      </c>
      <c r="N415" s="34">
        <f t="shared" si="28"/>
        <v>109000</v>
      </c>
      <c r="O415" s="33" t="s">
        <v>21</v>
      </c>
      <c r="P415" s="20">
        <f t="shared" si="29"/>
        <v>399</v>
      </c>
      <c r="Q415" s="20">
        <f t="shared" si="30"/>
        <v>44</v>
      </c>
    </row>
    <row r="416" spans="1:17" ht="15" customHeight="1" x14ac:dyDescent="0.2">
      <c r="A416" s="20" t="s">
        <v>2719</v>
      </c>
      <c r="B416" s="63">
        <v>45963</v>
      </c>
      <c r="C416" s="20">
        <f t="shared" si="27"/>
        <v>1002</v>
      </c>
      <c r="D416" s="20">
        <v>1</v>
      </c>
      <c r="G416" s="32" t="s">
        <v>115</v>
      </c>
      <c r="H416" s="20" t="s">
        <v>3693</v>
      </c>
      <c r="I416" s="20">
        <v>331</v>
      </c>
      <c r="J416" s="20">
        <v>1111</v>
      </c>
      <c r="K416" s="20" t="s">
        <v>20</v>
      </c>
      <c r="L416" s="20">
        <v>1</v>
      </c>
      <c r="M416" s="34">
        <v>101000</v>
      </c>
      <c r="N416" s="34">
        <f t="shared" si="28"/>
        <v>101000</v>
      </c>
      <c r="O416" s="33" t="s">
        <v>21</v>
      </c>
      <c r="P416" s="20">
        <f t="shared" si="29"/>
        <v>400</v>
      </c>
      <c r="Q416" s="20">
        <f t="shared" si="30"/>
        <v>44</v>
      </c>
    </row>
    <row r="417" spans="1:17" ht="15" customHeight="1" x14ac:dyDescent="0.2">
      <c r="A417" s="20" t="s">
        <v>2719</v>
      </c>
      <c r="B417" s="63">
        <v>45963</v>
      </c>
      <c r="C417" s="20">
        <f t="shared" si="27"/>
        <v>1003</v>
      </c>
      <c r="D417" s="20">
        <v>1</v>
      </c>
      <c r="G417" s="32" t="s">
        <v>115</v>
      </c>
      <c r="H417" s="20" t="s">
        <v>3694</v>
      </c>
      <c r="I417" s="20">
        <v>331</v>
      </c>
      <c r="J417" s="20">
        <v>1111</v>
      </c>
      <c r="K417" s="20" t="s">
        <v>20</v>
      </c>
      <c r="L417" s="20">
        <v>1</v>
      </c>
      <c r="M417" s="34">
        <v>159000</v>
      </c>
      <c r="N417" s="34">
        <f t="shared" si="28"/>
        <v>159000</v>
      </c>
      <c r="O417" s="33" t="s">
        <v>21</v>
      </c>
      <c r="P417" s="20">
        <f t="shared" si="29"/>
        <v>401</v>
      </c>
      <c r="Q417" s="20">
        <f t="shared" si="30"/>
        <v>44</v>
      </c>
    </row>
    <row r="418" spans="1:17" ht="15" customHeight="1" x14ac:dyDescent="0.2">
      <c r="A418" s="20" t="s">
        <v>2719</v>
      </c>
      <c r="B418" s="63">
        <v>45965</v>
      </c>
      <c r="C418" s="20">
        <f t="shared" si="27"/>
        <v>1004</v>
      </c>
      <c r="D418" s="20">
        <v>1</v>
      </c>
      <c r="G418" s="32" t="s">
        <v>1356</v>
      </c>
      <c r="H418" s="20" t="s">
        <v>3695</v>
      </c>
      <c r="I418" s="20">
        <v>331</v>
      </c>
      <c r="J418" s="20">
        <v>1111</v>
      </c>
      <c r="K418" s="20" t="s">
        <v>20</v>
      </c>
      <c r="L418" s="20">
        <v>1</v>
      </c>
      <c r="M418" s="34">
        <v>1600000</v>
      </c>
      <c r="N418" s="34">
        <f t="shared" si="28"/>
        <v>1600000</v>
      </c>
      <c r="O418" s="33" t="s">
        <v>21</v>
      </c>
      <c r="P418" s="20">
        <f t="shared" si="29"/>
        <v>402</v>
      </c>
      <c r="Q418" s="20">
        <f t="shared" si="30"/>
        <v>46</v>
      </c>
    </row>
    <row r="419" spans="1:17" ht="15" customHeight="1" x14ac:dyDescent="0.2">
      <c r="A419" s="20" t="s">
        <v>2719</v>
      </c>
      <c r="B419" s="63">
        <v>45966</v>
      </c>
      <c r="C419" s="20">
        <f t="shared" si="27"/>
        <v>1005</v>
      </c>
      <c r="D419" s="20">
        <v>1</v>
      </c>
      <c r="G419" s="32" t="s">
        <v>115</v>
      </c>
      <c r="H419" s="20" t="s">
        <v>3696</v>
      </c>
      <c r="I419" s="20">
        <v>331</v>
      </c>
      <c r="J419" s="20">
        <v>1111</v>
      </c>
      <c r="K419" s="20" t="s">
        <v>20</v>
      </c>
      <c r="L419" s="20">
        <v>1</v>
      </c>
      <c r="M419" s="34">
        <v>75000</v>
      </c>
      <c r="N419" s="34">
        <f t="shared" si="28"/>
        <v>75000</v>
      </c>
      <c r="O419" s="33" t="s">
        <v>21</v>
      </c>
      <c r="P419" s="20">
        <f t="shared" si="29"/>
        <v>403</v>
      </c>
      <c r="Q419" s="20">
        <f t="shared" si="30"/>
        <v>44</v>
      </c>
    </row>
    <row r="420" spans="1:17" ht="15" customHeight="1" x14ac:dyDescent="0.2">
      <c r="A420" s="20" t="s">
        <v>2719</v>
      </c>
      <c r="B420" s="63">
        <v>45967</v>
      </c>
      <c r="C420" s="20">
        <f t="shared" si="27"/>
        <v>1006</v>
      </c>
      <c r="D420" s="20">
        <v>1</v>
      </c>
      <c r="G420" s="32" t="s">
        <v>115</v>
      </c>
      <c r="H420" s="20" t="s">
        <v>3697</v>
      </c>
      <c r="I420" s="20">
        <v>331</v>
      </c>
      <c r="J420" s="20">
        <v>1111</v>
      </c>
      <c r="K420" s="20" t="s">
        <v>20</v>
      </c>
      <c r="L420" s="20">
        <v>1</v>
      </c>
      <c r="M420" s="34">
        <v>141000</v>
      </c>
      <c r="N420" s="34">
        <f t="shared" si="28"/>
        <v>141000</v>
      </c>
      <c r="O420" s="33" t="s">
        <v>21</v>
      </c>
      <c r="P420" s="20">
        <f t="shared" si="29"/>
        <v>404</v>
      </c>
      <c r="Q420" s="20">
        <f t="shared" si="30"/>
        <v>44</v>
      </c>
    </row>
    <row r="421" spans="1:17" ht="15" customHeight="1" x14ac:dyDescent="0.2">
      <c r="A421" s="20" t="s">
        <v>2719</v>
      </c>
      <c r="B421" s="63">
        <v>45968</v>
      </c>
      <c r="C421" s="20">
        <f t="shared" si="27"/>
        <v>1007</v>
      </c>
      <c r="D421" s="20">
        <v>1</v>
      </c>
      <c r="G421" s="32" t="s">
        <v>52</v>
      </c>
      <c r="H421" s="20" t="s">
        <v>3698</v>
      </c>
      <c r="I421" s="20">
        <v>331</v>
      </c>
      <c r="J421" s="20">
        <v>1111</v>
      </c>
      <c r="K421" s="20" t="s">
        <v>20</v>
      </c>
      <c r="L421" s="20">
        <v>1</v>
      </c>
      <c r="M421" s="34">
        <v>1108080</v>
      </c>
      <c r="N421" s="34">
        <f t="shared" si="28"/>
        <v>1108080</v>
      </c>
      <c r="O421" s="33" t="s">
        <v>21</v>
      </c>
      <c r="P421" s="20">
        <f t="shared" si="29"/>
        <v>405</v>
      </c>
      <c r="Q421" s="20">
        <f t="shared" si="30"/>
        <v>53</v>
      </c>
    </row>
    <row r="422" spans="1:17" ht="15" customHeight="1" x14ac:dyDescent="0.2">
      <c r="A422" s="20" t="s">
        <v>2719</v>
      </c>
      <c r="B422" s="63">
        <v>45969</v>
      </c>
      <c r="C422" s="20">
        <f t="shared" si="27"/>
        <v>1008</v>
      </c>
      <c r="D422" s="20">
        <v>1</v>
      </c>
      <c r="G422" s="32" t="s">
        <v>25</v>
      </c>
      <c r="H422" s="20" t="s">
        <v>3699</v>
      </c>
      <c r="I422" s="20">
        <v>331</v>
      </c>
      <c r="J422" s="20">
        <v>1111</v>
      </c>
      <c r="K422" s="20" t="s">
        <v>20</v>
      </c>
      <c r="L422" s="20">
        <v>1</v>
      </c>
      <c r="M422" s="34">
        <v>2355480</v>
      </c>
      <c r="N422" s="34">
        <f t="shared" si="28"/>
        <v>2355480</v>
      </c>
      <c r="O422" s="33" t="s">
        <v>21</v>
      </c>
      <c r="P422" s="20">
        <f t="shared" si="29"/>
        <v>406</v>
      </c>
      <c r="Q422" s="20">
        <f t="shared" si="30"/>
        <v>55</v>
      </c>
    </row>
    <row r="423" spans="1:17" ht="15" customHeight="1" x14ac:dyDescent="0.2">
      <c r="A423" s="20" t="s">
        <v>2719</v>
      </c>
      <c r="B423" s="63">
        <v>45974</v>
      </c>
      <c r="C423" s="20">
        <f t="shared" si="27"/>
        <v>1009</v>
      </c>
      <c r="D423" s="20">
        <v>1</v>
      </c>
      <c r="G423" s="32" t="s">
        <v>115</v>
      </c>
      <c r="H423" s="20" t="s">
        <v>3700</v>
      </c>
      <c r="I423" s="20">
        <v>331</v>
      </c>
      <c r="J423" s="20">
        <v>1111</v>
      </c>
      <c r="K423" s="20" t="s">
        <v>20</v>
      </c>
      <c r="L423" s="20">
        <v>1</v>
      </c>
      <c r="M423" s="34">
        <v>114000</v>
      </c>
      <c r="N423" s="34">
        <f t="shared" si="28"/>
        <v>114000</v>
      </c>
      <c r="O423" s="33" t="s">
        <v>21</v>
      </c>
      <c r="P423" s="20">
        <f t="shared" si="29"/>
        <v>407</v>
      </c>
      <c r="Q423" s="20">
        <f t="shared" si="30"/>
        <v>44</v>
      </c>
    </row>
    <row r="424" spans="1:17" ht="15" customHeight="1" x14ac:dyDescent="0.2">
      <c r="A424" s="20" t="s">
        <v>2719</v>
      </c>
      <c r="B424" s="63">
        <v>45975</v>
      </c>
      <c r="C424" s="20">
        <f t="shared" si="27"/>
        <v>1010</v>
      </c>
      <c r="D424" s="20">
        <v>1</v>
      </c>
      <c r="G424" s="32" t="s">
        <v>115</v>
      </c>
      <c r="H424" s="20" t="s">
        <v>3701</v>
      </c>
      <c r="I424" s="20">
        <v>331</v>
      </c>
      <c r="J424" s="20">
        <v>1111</v>
      </c>
      <c r="K424" s="20" t="s">
        <v>20</v>
      </c>
      <c r="L424" s="20">
        <v>1</v>
      </c>
      <c r="M424" s="34">
        <v>20000</v>
      </c>
      <c r="N424" s="34">
        <f t="shared" si="28"/>
        <v>20000</v>
      </c>
      <c r="O424" s="33" t="s">
        <v>21</v>
      </c>
      <c r="P424" s="20">
        <f t="shared" si="29"/>
        <v>408</v>
      </c>
      <c r="Q424" s="20">
        <f t="shared" si="30"/>
        <v>44</v>
      </c>
    </row>
    <row r="425" spans="1:17" ht="15" customHeight="1" x14ac:dyDescent="0.2">
      <c r="A425" s="20" t="s">
        <v>2719</v>
      </c>
      <c r="B425" s="63">
        <v>45975</v>
      </c>
      <c r="C425" s="20">
        <f t="shared" si="27"/>
        <v>1011</v>
      </c>
      <c r="D425" s="20">
        <v>1</v>
      </c>
      <c r="G425" s="32" t="s">
        <v>115</v>
      </c>
      <c r="H425" s="20" t="s">
        <v>3702</v>
      </c>
      <c r="I425" s="20">
        <v>331</v>
      </c>
      <c r="J425" s="20">
        <v>1111</v>
      </c>
      <c r="K425" s="20" t="s">
        <v>20</v>
      </c>
      <c r="L425" s="20">
        <v>1</v>
      </c>
      <c r="M425" s="34">
        <v>82000</v>
      </c>
      <c r="N425" s="34">
        <f t="shared" si="28"/>
        <v>82000</v>
      </c>
      <c r="O425" s="33" t="s">
        <v>21</v>
      </c>
      <c r="P425" s="20">
        <f t="shared" si="29"/>
        <v>409</v>
      </c>
      <c r="Q425" s="20">
        <f t="shared" si="30"/>
        <v>44</v>
      </c>
    </row>
    <row r="426" spans="1:17" ht="15" customHeight="1" x14ac:dyDescent="0.2">
      <c r="A426" s="20" t="s">
        <v>2719</v>
      </c>
      <c r="B426" s="63">
        <v>45975</v>
      </c>
      <c r="C426" s="20">
        <f t="shared" si="27"/>
        <v>1012</v>
      </c>
      <c r="D426" s="20">
        <v>1</v>
      </c>
      <c r="G426" s="32" t="s">
        <v>115</v>
      </c>
      <c r="H426" s="20" t="s">
        <v>3703</v>
      </c>
      <c r="I426" s="20">
        <v>331</v>
      </c>
      <c r="J426" s="20">
        <v>1111</v>
      </c>
      <c r="K426" s="20" t="s">
        <v>20</v>
      </c>
      <c r="L426" s="20">
        <v>1</v>
      </c>
      <c r="M426" s="34">
        <v>71000</v>
      </c>
      <c r="N426" s="34">
        <f t="shared" si="28"/>
        <v>71000</v>
      </c>
      <c r="O426" s="33" t="s">
        <v>21</v>
      </c>
      <c r="P426" s="20">
        <f t="shared" si="29"/>
        <v>410</v>
      </c>
      <c r="Q426" s="20">
        <f t="shared" si="30"/>
        <v>44</v>
      </c>
    </row>
    <row r="427" spans="1:17" ht="15" customHeight="1" x14ac:dyDescent="0.2">
      <c r="A427" s="20" t="s">
        <v>2719</v>
      </c>
      <c r="B427" s="63">
        <v>45975</v>
      </c>
      <c r="C427" s="20">
        <f t="shared" si="27"/>
        <v>1013</v>
      </c>
      <c r="D427" s="20">
        <v>1</v>
      </c>
      <c r="G427" s="32" t="s">
        <v>115</v>
      </c>
      <c r="H427" s="20" t="s">
        <v>3704</v>
      </c>
      <c r="I427" s="20">
        <v>331</v>
      </c>
      <c r="J427" s="20">
        <v>1111</v>
      </c>
      <c r="K427" s="20" t="s">
        <v>20</v>
      </c>
      <c r="L427" s="20">
        <v>1</v>
      </c>
      <c r="M427" s="34">
        <v>137000</v>
      </c>
      <c r="N427" s="34">
        <f t="shared" si="28"/>
        <v>137000</v>
      </c>
      <c r="O427" s="33" t="s">
        <v>21</v>
      </c>
      <c r="P427" s="20">
        <f t="shared" si="29"/>
        <v>411</v>
      </c>
      <c r="Q427" s="20">
        <f t="shared" si="30"/>
        <v>44</v>
      </c>
    </row>
    <row r="428" spans="1:17" ht="15" customHeight="1" x14ac:dyDescent="0.2">
      <c r="A428" s="20" t="s">
        <v>2719</v>
      </c>
      <c r="B428" s="63">
        <v>45975</v>
      </c>
      <c r="C428" s="20">
        <f t="shared" si="27"/>
        <v>1014</v>
      </c>
      <c r="D428" s="20">
        <v>1</v>
      </c>
      <c r="G428" s="32" t="s">
        <v>124</v>
      </c>
      <c r="H428" s="20" t="s">
        <v>3705</v>
      </c>
      <c r="I428" s="20">
        <v>331</v>
      </c>
      <c r="J428" s="20">
        <v>1111</v>
      </c>
      <c r="K428" s="20" t="s">
        <v>20</v>
      </c>
      <c r="L428" s="20">
        <v>1</v>
      </c>
      <c r="M428" s="34">
        <v>693000</v>
      </c>
      <c r="N428" s="34">
        <f t="shared" si="28"/>
        <v>693000</v>
      </c>
      <c r="O428" s="33" t="s">
        <v>21</v>
      </c>
      <c r="P428" s="20">
        <f t="shared" si="29"/>
        <v>412</v>
      </c>
      <c r="Q428" s="20">
        <f t="shared" si="30"/>
        <v>52</v>
      </c>
    </row>
    <row r="429" spans="1:17" ht="15" customHeight="1" x14ac:dyDescent="0.2">
      <c r="A429" s="20" t="s">
        <v>2719</v>
      </c>
      <c r="B429" s="63">
        <v>45976</v>
      </c>
      <c r="C429" s="20">
        <f t="shared" si="27"/>
        <v>1015</v>
      </c>
      <c r="D429" s="20">
        <v>1</v>
      </c>
      <c r="G429" s="32" t="s">
        <v>115</v>
      </c>
      <c r="H429" s="20" t="s">
        <v>3706</v>
      </c>
      <c r="I429" s="20">
        <v>331</v>
      </c>
      <c r="J429" s="20">
        <v>1111</v>
      </c>
      <c r="K429" s="20" t="s">
        <v>20</v>
      </c>
      <c r="L429" s="20">
        <v>1</v>
      </c>
      <c r="M429" s="34">
        <v>39000</v>
      </c>
      <c r="N429" s="34">
        <f t="shared" si="28"/>
        <v>39000</v>
      </c>
      <c r="O429" s="33" t="s">
        <v>21</v>
      </c>
      <c r="P429" s="20">
        <f t="shared" si="29"/>
        <v>413</v>
      </c>
      <c r="Q429" s="20">
        <f t="shared" si="30"/>
        <v>44</v>
      </c>
    </row>
    <row r="430" spans="1:17" ht="15" customHeight="1" x14ac:dyDescent="0.2">
      <c r="A430" s="20" t="s">
        <v>2719</v>
      </c>
      <c r="B430" s="63">
        <v>45976</v>
      </c>
      <c r="C430" s="20">
        <f t="shared" si="27"/>
        <v>1016</v>
      </c>
      <c r="D430" s="20">
        <v>1</v>
      </c>
      <c r="G430" s="32" t="s">
        <v>1357</v>
      </c>
      <c r="H430" s="20" t="s">
        <v>3707</v>
      </c>
      <c r="I430" s="20">
        <v>331</v>
      </c>
      <c r="J430" s="20">
        <v>1111</v>
      </c>
      <c r="K430" s="20" t="s">
        <v>20</v>
      </c>
      <c r="L430" s="20">
        <v>1</v>
      </c>
      <c r="M430" s="34">
        <v>1627776</v>
      </c>
      <c r="N430" s="34">
        <f t="shared" si="28"/>
        <v>1627776</v>
      </c>
      <c r="O430" s="33" t="s">
        <v>21</v>
      </c>
      <c r="P430" s="20">
        <f t="shared" si="29"/>
        <v>414</v>
      </c>
      <c r="Q430" s="20">
        <f t="shared" si="30"/>
        <v>53</v>
      </c>
    </row>
    <row r="431" spans="1:17" ht="15" customHeight="1" x14ac:dyDescent="0.2">
      <c r="A431" s="20" t="s">
        <v>2719</v>
      </c>
      <c r="B431" s="63">
        <v>45976</v>
      </c>
      <c r="C431" s="20">
        <f t="shared" si="27"/>
        <v>1017</v>
      </c>
      <c r="D431" s="20">
        <v>1</v>
      </c>
      <c r="G431" s="32" t="s">
        <v>28</v>
      </c>
      <c r="H431" s="20" t="s">
        <v>3708</v>
      </c>
      <c r="I431" s="20">
        <v>331</v>
      </c>
      <c r="J431" s="20">
        <v>1111</v>
      </c>
      <c r="K431" s="20" t="s">
        <v>20</v>
      </c>
      <c r="L431" s="20">
        <v>1</v>
      </c>
      <c r="M431" s="34">
        <v>1325160</v>
      </c>
      <c r="N431" s="34">
        <f t="shared" si="28"/>
        <v>1325160</v>
      </c>
      <c r="O431" s="33" t="s">
        <v>21</v>
      </c>
      <c r="P431" s="20">
        <f t="shared" si="29"/>
        <v>415</v>
      </c>
      <c r="Q431" s="20">
        <f t="shared" si="30"/>
        <v>53</v>
      </c>
    </row>
    <row r="432" spans="1:17" ht="15" customHeight="1" x14ac:dyDescent="0.2">
      <c r="A432" s="20" t="s">
        <v>2719</v>
      </c>
      <c r="B432" s="63">
        <v>45977</v>
      </c>
      <c r="C432" s="20">
        <f t="shared" si="27"/>
        <v>1018</v>
      </c>
      <c r="D432" s="20">
        <v>1</v>
      </c>
      <c r="G432" s="32" t="s">
        <v>115</v>
      </c>
      <c r="H432" s="20" t="s">
        <v>3709</v>
      </c>
      <c r="I432" s="20">
        <v>331</v>
      </c>
      <c r="J432" s="20">
        <v>1111</v>
      </c>
      <c r="K432" s="20" t="s">
        <v>20</v>
      </c>
      <c r="L432" s="20">
        <v>1</v>
      </c>
      <c r="M432" s="34">
        <v>35000</v>
      </c>
      <c r="N432" s="34">
        <f t="shared" si="28"/>
        <v>35000</v>
      </c>
      <c r="O432" s="33" t="s">
        <v>21</v>
      </c>
      <c r="P432" s="20">
        <f t="shared" si="29"/>
        <v>416</v>
      </c>
      <c r="Q432" s="20">
        <f t="shared" si="30"/>
        <v>44</v>
      </c>
    </row>
    <row r="433" spans="1:17" ht="15" customHeight="1" x14ac:dyDescent="0.2">
      <c r="A433" s="20" t="s">
        <v>2719</v>
      </c>
      <c r="B433" s="63">
        <v>45977</v>
      </c>
      <c r="C433" s="20">
        <f t="shared" si="27"/>
        <v>1019</v>
      </c>
      <c r="D433" s="20">
        <v>1</v>
      </c>
      <c r="G433" s="32" t="s">
        <v>115</v>
      </c>
      <c r="H433" s="20" t="s">
        <v>3710</v>
      </c>
      <c r="I433" s="20">
        <v>331</v>
      </c>
      <c r="J433" s="20">
        <v>1111</v>
      </c>
      <c r="K433" s="20" t="s">
        <v>20</v>
      </c>
      <c r="L433" s="20">
        <v>1</v>
      </c>
      <c r="M433" s="34">
        <v>40000</v>
      </c>
      <c r="N433" s="34">
        <f t="shared" si="28"/>
        <v>40000</v>
      </c>
      <c r="O433" s="33" t="s">
        <v>21</v>
      </c>
      <c r="P433" s="20">
        <f t="shared" si="29"/>
        <v>417</v>
      </c>
      <c r="Q433" s="20">
        <f t="shared" si="30"/>
        <v>44</v>
      </c>
    </row>
    <row r="434" spans="1:17" ht="15" customHeight="1" x14ac:dyDescent="0.2">
      <c r="A434" s="20" t="s">
        <v>2719</v>
      </c>
      <c r="B434" s="63">
        <v>45977</v>
      </c>
      <c r="C434" s="20">
        <f t="shared" si="27"/>
        <v>1020</v>
      </c>
      <c r="D434" s="20">
        <v>1</v>
      </c>
      <c r="G434" s="32" t="s">
        <v>52</v>
      </c>
      <c r="H434" s="20" t="s">
        <v>3711</v>
      </c>
      <c r="I434" s="20">
        <v>331</v>
      </c>
      <c r="J434" s="20">
        <v>1111</v>
      </c>
      <c r="K434" s="20" t="s">
        <v>20</v>
      </c>
      <c r="L434" s="20">
        <v>1</v>
      </c>
      <c r="M434" s="34">
        <v>732240</v>
      </c>
      <c r="N434" s="34">
        <f t="shared" si="28"/>
        <v>732240</v>
      </c>
      <c r="O434" s="33" t="s">
        <v>21</v>
      </c>
      <c r="P434" s="20">
        <f t="shared" si="29"/>
        <v>418</v>
      </c>
      <c r="Q434" s="20">
        <f t="shared" si="30"/>
        <v>53</v>
      </c>
    </row>
    <row r="435" spans="1:17" ht="15" customHeight="1" x14ac:dyDescent="0.2">
      <c r="A435" s="20" t="s">
        <v>2719</v>
      </c>
      <c r="B435" s="63">
        <v>45978</v>
      </c>
      <c r="C435" s="20">
        <f t="shared" si="27"/>
        <v>1021</v>
      </c>
      <c r="D435" s="20">
        <v>1</v>
      </c>
      <c r="G435" s="32" t="s">
        <v>115</v>
      </c>
      <c r="H435" s="20" t="s">
        <v>3712</v>
      </c>
      <c r="I435" s="20">
        <v>331</v>
      </c>
      <c r="J435" s="20">
        <v>1111</v>
      </c>
      <c r="K435" s="20" t="s">
        <v>20</v>
      </c>
      <c r="L435" s="20">
        <v>1</v>
      </c>
      <c r="M435" s="34">
        <v>21000</v>
      </c>
      <c r="N435" s="34">
        <f t="shared" si="28"/>
        <v>21000</v>
      </c>
      <c r="O435" s="33" t="s">
        <v>21</v>
      </c>
      <c r="P435" s="20">
        <f t="shared" si="29"/>
        <v>419</v>
      </c>
      <c r="Q435" s="20">
        <f t="shared" si="30"/>
        <v>44</v>
      </c>
    </row>
    <row r="436" spans="1:17" ht="15" customHeight="1" x14ac:dyDescent="0.2">
      <c r="A436" s="20" t="s">
        <v>2719</v>
      </c>
      <c r="B436" s="63">
        <v>45978</v>
      </c>
      <c r="C436" s="20">
        <f t="shared" si="27"/>
        <v>1022</v>
      </c>
      <c r="D436" s="20">
        <v>1</v>
      </c>
      <c r="G436" s="32" t="s">
        <v>115</v>
      </c>
      <c r="H436" s="20" t="s">
        <v>3713</v>
      </c>
      <c r="I436" s="20">
        <v>331</v>
      </c>
      <c r="J436" s="20">
        <v>1111</v>
      </c>
      <c r="K436" s="20" t="s">
        <v>20</v>
      </c>
      <c r="L436" s="20">
        <v>1</v>
      </c>
      <c r="M436" s="34">
        <v>51000</v>
      </c>
      <c r="N436" s="34">
        <f t="shared" si="28"/>
        <v>51000</v>
      </c>
      <c r="O436" s="33" t="s">
        <v>21</v>
      </c>
      <c r="P436" s="20">
        <f t="shared" si="29"/>
        <v>420</v>
      </c>
      <c r="Q436" s="20">
        <f t="shared" si="30"/>
        <v>44</v>
      </c>
    </row>
    <row r="437" spans="1:17" ht="15" customHeight="1" x14ac:dyDescent="0.2">
      <c r="A437" s="20" t="s">
        <v>2719</v>
      </c>
      <c r="B437" s="63">
        <v>45978</v>
      </c>
      <c r="C437" s="20">
        <f t="shared" si="27"/>
        <v>1023</v>
      </c>
      <c r="D437" s="20">
        <v>1</v>
      </c>
      <c r="G437" s="32" t="s">
        <v>115</v>
      </c>
      <c r="H437" s="20" t="s">
        <v>3714</v>
      </c>
      <c r="I437" s="20">
        <v>331</v>
      </c>
      <c r="J437" s="20">
        <v>1111</v>
      </c>
      <c r="K437" s="20" t="s">
        <v>20</v>
      </c>
      <c r="L437" s="20">
        <v>1</v>
      </c>
      <c r="M437" s="34">
        <v>75000</v>
      </c>
      <c r="N437" s="34">
        <f t="shared" si="28"/>
        <v>75000</v>
      </c>
      <c r="O437" s="33" t="s">
        <v>21</v>
      </c>
      <c r="P437" s="20">
        <f t="shared" si="29"/>
        <v>421</v>
      </c>
      <c r="Q437" s="20">
        <f t="shared" si="30"/>
        <v>44</v>
      </c>
    </row>
    <row r="438" spans="1:17" ht="15" customHeight="1" x14ac:dyDescent="0.2">
      <c r="A438" s="20" t="s">
        <v>2719</v>
      </c>
      <c r="B438" s="63">
        <v>45978</v>
      </c>
      <c r="C438" s="20">
        <f t="shared" si="27"/>
        <v>1024</v>
      </c>
      <c r="D438" s="20">
        <v>1</v>
      </c>
      <c r="G438" s="32" t="s">
        <v>115</v>
      </c>
      <c r="H438" s="20" t="s">
        <v>3715</v>
      </c>
      <c r="I438" s="20">
        <v>331</v>
      </c>
      <c r="J438" s="20">
        <v>1111</v>
      </c>
      <c r="K438" s="20" t="s">
        <v>20</v>
      </c>
      <c r="L438" s="20">
        <v>1</v>
      </c>
      <c r="M438" s="34">
        <v>55000</v>
      </c>
      <c r="N438" s="34">
        <f t="shared" si="28"/>
        <v>55000</v>
      </c>
      <c r="O438" s="33" t="s">
        <v>21</v>
      </c>
      <c r="P438" s="20">
        <f t="shared" si="29"/>
        <v>422</v>
      </c>
      <c r="Q438" s="20">
        <f t="shared" si="30"/>
        <v>44</v>
      </c>
    </row>
    <row r="439" spans="1:17" ht="15" customHeight="1" x14ac:dyDescent="0.2">
      <c r="A439" s="20" t="s">
        <v>2719</v>
      </c>
      <c r="B439" s="63">
        <v>45978</v>
      </c>
      <c r="C439" s="20">
        <f t="shared" ref="C439:C502" si="31">C438+D439</f>
        <v>1025</v>
      </c>
      <c r="D439" s="20">
        <v>1</v>
      </c>
      <c r="G439" s="32" t="s">
        <v>1354</v>
      </c>
      <c r="H439" s="20" t="s">
        <v>3716</v>
      </c>
      <c r="I439" s="20">
        <v>331</v>
      </c>
      <c r="J439" s="20">
        <v>1111</v>
      </c>
      <c r="K439" s="20" t="s">
        <v>20</v>
      </c>
      <c r="L439" s="20">
        <v>1</v>
      </c>
      <c r="M439" s="34">
        <v>794955</v>
      </c>
      <c r="N439" s="34">
        <f t="shared" si="28"/>
        <v>794955</v>
      </c>
      <c r="O439" s="33" t="s">
        <v>21</v>
      </c>
      <c r="P439" s="20">
        <f t="shared" si="29"/>
        <v>423</v>
      </c>
      <c r="Q439" s="20">
        <f t="shared" si="30"/>
        <v>52</v>
      </c>
    </row>
    <row r="440" spans="1:17" ht="15" customHeight="1" x14ac:dyDescent="0.2">
      <c r="A440" s="20" t="s">
        <v>2719</v>
      </c>
      <c r="B440" s="63">
        <v>45979</v>
      </c>
      <c r="C440" s="20">
        <f t="shared" si="31"/>
        <v>1026</v>
      </c>
      <c r="D440" s="20">
        <v>1</v>
      </c>
      <c r="G440" s="32" t="s">
        <v>64</v>
      </c>
      <c r="H440" s="37" t="s">
        <v>3717</v>
      </c>
      <c r="I440" s="20">
        <v>331</v>
      </c>
      <c r="J440" s="20">
        <v>1111</v>
      </c>
      <c r="K440" s="20" t="s">
        <v>20</v>
      </c>
      <c r="L440" s="20">
        <v>1</v>
      </c>
      <c r="M440" s="34">
        <v>99000</v>
      </c>
      <c r="N440" s="34">
        <f t="shared" si="28"/>
        <v>99000</v>
      </c>
      <c r="O440" s="33" t="s">
        <v>21</v>
      </c>
      <c r="P440" s="20">
        <f t="shared" si="29"/>
        <v>424</v>
      </c>
      <c r="Q440" s="20">
        <f t="shared" si="30"/>
        <v>54</v>
      </c>
    </row>
    <row r="441" spans="1:17" ht="15" customHeight="1" x14ac:dyDescent="0.2">
      <c r="A441" s="20" t="s">
        <v>2719</v>
      </c>
      <c r="B441" s="63">
        <v>45980</v>
      </c>
      <c r="C441" s="20">
        <f t="shared" si="31"/>
        <v>1027</v>
      </c>
      <c r="D441" s="20">
        <v>1</v>
      </c>
      <c r="G441" s="32" t="s">
        <v>102</v>
      </c>
      <c r="H441" s="20" t="s">
        <v>3718</v>
      </c>
      <c r="I441" s="20">
        <v>331</v>
      </c>
      <c r="J441" s="20">
        <v>1111</v>
      </c>
      <c r="K441" s="20" t="s">
        <v>20</v>
      </c>
      <c r="L441" s="20">
        <v>1</v>
      </c>
      <c r="M441" s="34">
        <v>316000</v>
      </c>
      <c r="N441" s="34">
        <f t="shared" si="28"/>
        <v>316000</v>
      </c>
      <c r="O441" s="33" t="s">
        <v>21</v>
      </c>
      <c r="P441" s="20">
        <f t="shared" si="29"/>
        <v>425</v>
      </c>
      <c r="Q441" s="20">
        <f t="shared" si="30"/>
        <v>42</v>
      </c>
    </row>
    <row r="442" spans="1:17" ht="15" customHeight="1" x14ac:dyDescent="0.2">
      <c r="A442" s="20" t="s">
        <v>2719</v>
      </c>
      <c r="B442" s="63">
        <v>45980</v>
      </c>
      <c r="C442" s="20">
        <f t="shared" si="31"/>
        <v>1028</v>
      </c>
      <c r="D442" s="20">
        <v>1</v>
      </c>
      <c r="G442" s="32" t="s">
        <v>102</v>
      </c>
      <c r="H442" s="20" t="s">
        <v>3719</v>
      </c>
      <c r="I442" s="20">
        <v>331</v>
      </c>
      <c r="J442" s="20">
        <v>1111</v>
      </c>
      <c r="K442" s="20" t="s">
        <v>20</v>
      </c>
      <c r="L442" s="20">
        <v>1</v>
      </c>
      <c r="M442" s="34">
        <v>28000</v>
      </c>
      <c r="N442" s="34">
        <f t="shared" si="28"/>
        <v>28000</v>
      </c>
      <c r="O442" s="33" t="s">
        <v>21</v>
      </c>
      <c r="P442" s="20">
        <f t="shared" si="29"/>
        <v>426</v>
      </c>
      <c r="Q442" s="20">
        <f t="shared" si="30"/>
        <v>42</v>
      </c>
    </row>
    <row r="443" spans="1:17" ht="15" customHeight="1" x14ac:dyDescent="0.2">
      <c r="A443" s="20" t="s">
        <v>2719</v>
      </c>
      <c r="B443" s="63">
        <v>45980</v>
      </c>
      <c r="C443" s="20">
        <f t="shared" si="31"/>
        <v>1029</v>
      </c>
      <c r="D443" s="20">
        <v>1</v>
      </c>
      <c r="G443" s="32" t="s">
        <v>102</v>
      </c>
      <c r="H443" s="20" t="s">
        <v>3720</v>
      </c>
      <c r="I443" s="20">
        <v>331</v>
      </c>
      <c r="J443" s="20">
        <v>1111</v>
      </c>
      <c r="K443" s="20" t="s">
        <v>20</v>
      </c>
      <c r="L443" s="20">
        <v>1</v>
      </c>
      <c r="M443" s="34">
        <v>32000</v>
      </c>
      <c r="N443" s="34">
        <f t="shared" si="28"/>
        <v>32000</v>
      </c>
      <c r="O443" s="33" t="s">
        <v>21</v>
      </c>
      <c r="P443" s="20">
        <f t="shared" si="29"/>
        <v>427</v>
      </c>
      <c r="Q443" s="20">
        <f t="shared" si="30"/>
        <v>43</v>
      </c>
    </row>
    <row r="444" spans="1:17" ht="15" customHeight="1" x14ac:dyDescent="0.2">
      <c r="A444" s="20" t="s">
        <v>2719</v>
      </c>
      <c r="B444" s="63">
        <v>45980</v>
      </c>
      <c r="C444" s="20">
        <f t="shared" si="31"/>
        <v>1030</v>
      </c>
      <c r="D444" s="20">
        <v>1</v>
      </c>
      <c r="G444" s="32" t="s">
        <v>102</v>
      </c>
      <c r="H444" s="20" t="s">
        <v>3721</v>
      </c>
      <c r="I444" s="20">
        <v>331</v>
      </c>
      <c r="J444" s="20">
        <v>1111</v>
      </c>
      <c r="K444" s="20" t="s">
        <v>20</v>
      </c>
      <c r="L444" s="20">
        <v>1</v>
      </c>
      <c r="M444" s="34">
        <v>27000</v>
      </c>
      <c r="N444" s="34">
        <f t="shared" si="28"/>
        <v>27000</v>
      </c>
      <c r="O444" s="33" t="s">
        <v>21</v>
      </c>
      <c r="P444" s="20">
        <f t="shared" si="29"/>
        <v>428</v>
      </c>
      <c r="Q444" s="20">
        <f t="shared" si="30"/>
        <v>43</v>
      </c>
    </row>
    <row r="445" spans="1:17" ht="15" customHeight="1" x14ac:dyDescent="0.2">
      <c r="A445" s="20" t="s">
        <v>2719</v>
      </c>
      <c r="B445" s="63">
        <v>45980</v>
      </c>
      <c r="C445" s="20">
        <f t="shared" si="31"/>
        <v>1031</v>
      </c>
      <c r="D445" s="20">
        <v>1</v>
      </c>
      <c r="G445" s="32" t="s">
        <v>102</v>
      </c>
      <c r="H445" s="20" t="s">
        <v>3722</v>
      </c>
      <c r="I445" s="20">
        <v>331</v>
      </c>
      <c r="J445" s="20">
        <v>1111</v>
      </c>
      <c r="K445" s="20" t="s">
        <v>20</v>
      </c>
      <c r="L445" s="20">
        <v>1</v>
      </c>
      <c r="M445" s="34">
        <v>51000</v>
      </c>
      <c r="N445" s="34">
        <f t="shared" si="28"/>
        <v>51000</v>
      </c>
      <c r="O445" s="33" t="s">
        <v>21</v>
      </c>
      <c r="P445" s="20">
        <f t="shared" si="29"/>
        <v>429</v>
      </c>
      <c r="Q445" s="20">
        <f t="shared" si="30"/>
        <v>43</v>
      </c>
    </row>
    <row r="446" spans="1:17" ht="15" customHeight="1" x14ac:dyDescent="0.2">
      <c r="A446" s="20" t="s">
        <v>2719</v>
      </c>
      <c r="B446" s="63">
        <v>45980</v>
      </c>
      <c r="C446" s="20">
        <f t="shared" si="31"/>
        <v>1032</v>
      </c>
      <c r="D446" s="20">
        <v>1</v>
      </c>
      <c r="G446" s="32" t="s">
        <v>102</v>
      </c>
      <c r="H446" s="20" t="s">
        <v>3723</v>
      </c>
      <c r="I446" s="20">
        <v>331</v>
      </c>
      <c r="J446" s="20">
        <v>1111</v>
      </c>
      <c r="K446" s="20" t="s">
        <v>20</v>
      </c>
      <c r="L446" s="20">
        <v>1</v>
      </c>
      <c r="M446" s="34">
        <v>29000</v>
      </c>
      <c r="N446" s="34">
        <f t="shared" si="28"/>
        <v>29000</v>
      </c>
      <c r="O446" s="33" t="s">
        <v>21</v>
      </c>
      <c r="P446" s="20">
        <f t="shared" si="29"/>
        <v>430</v>
      </c>
      <c r="Q446" s="20">
        <f t="shared" si="30"/>
        <v>43</v>
      </c>
    </row>
    <row r="447" spans="1:17" ht="15" customHeight="1" x14ac:dyDescent="0.2">
      <c r="A447" s="20" t="s">
        <v>2719</v>
      </c>
      <c r="B447" s="63">
        <v>45980</v>
      </c>
      <c r="C447" s="20">
        <f t="shared" si="31"/>
        <v>1033</v>
      </c>
      <c r="D447" s="20">
        <v>1</v>
      </c>
      <c r="G447" s="32" t="s">
        <v>115</v>
      </c>
      <c r="H447" s="20" t="s">
        <v>3724</v>
      </c>
      <c r="I447" s="20">
        <v>331</v>
      </c>
      <c r="J447" s="20">
        <v>1111</v>
      </c>
      <c r="K447" s="20" t="s">
        <v>20</v>
      </c>
      <c r="L447" s="20">
        <v>1</v>
      </c>
      <c r="M447" s="34">
        <v>30000</v>
      </c>
      <c r="N447" s="34">
        <f t="shared" si="28"/>
        <v>30000</v>
      </c>
      <c r="O447" s="33" t="s">
        <v>21</v>
      </c>
      <c r="P447" s="20">
        <f t="shared" si="29"/>
        <v>431</v>
      </c>
      <c r="Q447" s="20">
        <f t="shared" si="30"/>
        <v>44</v>
      </c>
    </row>
    <row r="448" spans="1:17" ht="15" customHeight="1" x14ac:dyDescent="0.2">
      <c r="A448" s="20" t="s">
        <v>2719</v>
      </c>
      <c r="B448" s="63">
        <v>45980</v>
      </c>
      <c r="C448" s="20">
        <f t="shared" si="31"/>
        <v>1034</v>
      </c>
      <c r="D448" s="20">
        <v>1</v>
      </c>
      <c r="G448" s="32" t="s">
        <v>115</v>
      </c>
      <c r="H448" s="20" t="s">
        <v>3725</v>
      </c>
      <c r="I448" s="20">
        <v>331</v>
      </c>
      <c r="J448" s="20">
        <v>1111</v>
      </c>
      <c r="K448" s="20" t="s">
        <v>20</v>
      </c>
      <c r="L448" s="20">
        <v>1</v>
      </c>
      <c r="M448" s="34">
        <v>13000</v>
      </c>
      <c r="N448" s="34">
        <f t="shared" si="28"/>
        <v>13000</v>
      </c>
      <c r="O448" s="33" t="s">
        <v>21</v>
      </c>
      <c r="P448" s="20">
        <f t="shared" si="29"/>
        <v>432</v>
      </c>
      <c r="Q448" s="20">
        <f t="shared" si="30"/>
        <v>44</v>
      </c>
    </row>
    <row r="449" spans="1:17" ht="15" customHeight="1" x14ac:dyDescent="0.2">
      <c r="A449" s="20" t="s">
        <v>2719</v>
      </c>
      <c r="B449" s="63">
        <v>45980</v>
      </c>
      <c r="C449" s="20">
        <f t="shared" si="31"/>
        <v>1035</v>
      </c>
      <c r="D449" s="20">
        <v>1</v>
      </c>
      <c r="G449" s="32" t="s">
        <v>115</v>
      </c>
      <c r="H449" s="20" t="s">
        <v>3726</v>
      </c>
      <c r="I449" s="20">
        <v>331</v>
      </c>
      <c r="J449" s="20">
        <v>1111</v>
      </c>
      <c r="K449" s="20" t="s">
        <v>20</v>
      </c>
      <c r="L449" s="20">
        <v>1</v>
      </c>
      <c r="M449" s="34">
        <v>16000</v>
      </c>
      <c r="N449" s="34">
        <f t="shared" si="28"/>
        <v>16000</v>
      </c>
      <c r="O449" s="33" t="s">
        <v>21</v>
      </c>
      <c r="P449" s="20">
        <f t="shared" si="29"/>
        <v>433</v>
      </c>
      <c r="Q449" s="20">
        <f t="shared" si="30"/>
        <v>44</v>
      </c>
    </row>
    <row r="450" spans="1:17" ht="15" customHeight="1" x14ac:dyDescent="0.2">
      <c r="A450" s="20" t="s">
        <v>2719</v>
      </c>
      <c r="B450" s="63">
        <v>45980</v>
      </c>
      <c r="C450" s="20">
        <f t="shared" si="31"/>
        <v>1036</v>
      </c>
      <c r="D450" s="20">
        <v>1</v>
      </c>
      <c r="G450" s="32" t="s">
        <v>115</v>
      </c>
      <c r="H450" s="20" t="s">
        <v>3727</v>
      </c>
      <c r="I450" s="20">
        <v>331</v>
      </c>
      <c r="J450" s="20">
        <v>1111</v>
      </c>
      <c r="K450" s="20" t="s">
        <v>20</v>
      </c>
      <c r="L450" s="20">
        <v>1</v>
      </c>
      <c r="M450" s="34">
        <v>137000</v>
      </c>
      <c r="N450" s="34">
        <f t="shared" si="28"/>
        <v>137000</v>
      </c>
      <c r="O450" s="33" t="s">
        <v>21</v>
      </c>
      <c r="P450" s="20">
        <f t="shared" si="29"/>
        <v>434</v>
      </c>
      <c r="Q450" s="20">
        <f t="shared" si="30"/>
        <v>44</v>
      </c>
    </row>
    <row r="451" spans="1:17" ht="15" customHeight="1" x14ac:dyDescent="0.2">
      <c r="A451" s="20" t="s">
        <v>2719</v>
      </c>
      <c r="B451" s="63">
        <v>45981</v>
      </c>
      <c r="C451" s="20">
        <f t="shared" si="31"/>
        <v>1037</v>
      </c>
      <c r="D451" s="20">
        <v>1</v>
      </c>
      <c r="G451" s="32" t="s">
        <v>102</v>
      </c>
      <c r="H451" s="20" t="s">
        <v>3728</v>
      </c>
      <c r="I451" s="20">
        <v>331</v>
      </c>
      <c r="J451" s="20">
        <v>1111</v>
      </c>
      <c r="K451" s="20" t="s">
        <v>20</v>
      </c>
      <c r="L451" s="20">
        <v>1</v>
      </c>
      <c r="M451" s="34">
        <v>32000</v>
      </c>
      <c r="N451" s="34">
        <f t="shared" ref="N451:N514" si="32">L451*M451</f>
        <v>32000</v>
      </c>
      <c r="O451" s="33" t="s">
        <v>21</v>
      </c>
      <c r="P451" s="20">
        <f t="shared" si="29"/>
        <v>435</v>
      </c>
      <c r="Q451" s="20">
        <f t="shared" si="30"/>
        <v>43</v>
      </c>
    </row>
    <row r="452" spans="1:17" ht="15" customHeight="1" x14ac:dyDescent="0.2">
      <c r="A452" s="20" t="s">
        <v>2719</v>
      </c>
      <c r="B452" s="63">
        <v>45981</v>
      </c>
      <c r="C452" s="20">
        <f t="shared" si="31"/>
        <v>1038</v>
      </c>
      <c r="D452" s="20">
        <v>1</v>
      </c>
      <c r="G452" s="32" t="s">
        <v>102</v>
      </c>
      <c r="H452" s="20" t="s">
        <v>3729</v>
      </c>
      <c r="I452" s="20">
        <v>331</v>
      </c>
      <c r="J452" s="20">
        <v>1111</v>
      </c>
      <c r="K452" s="20" t="s">
        <v>20</v>
      </c>
      <c r="L452" s="20">
        <v>1</v>
      </c>
      <c r="M452" s="34">
        <v>36000</v>
      </c>
      <c r="N452" s="34">
        <f t="shared" si="32"/>
        <v>36000</v>
      </c>
      <c r="O452" s="33" t="s">
        <v>21</v>
      </c>
      <c r="P452" s="20">
        <f t="shared" si="29"/>
        <v>436</v>
      </c>
      <c r="Q452" s="20">
        <f t="shared" si="30"/>
        <v>43</v>
      </c>
    </row>
    <row r="453" spans="1:17" ht="15" customHeight="1" x14ac:dyDescent="0.2">
      <c r="A453" s="20" t="s">
        <v>2719</v>
      </c>
      <c r="B453" s="63">
        <v>45981</v>
      </c>
      <c r="C453" s="20">
        <f t="shared" si="31"/>
        <v>1039</v>
      </c>
      <c r="D453" s="20">
        <v>1</v>
      </c>
      <c r="G453" s="32" t="s">
        <v>102</v>
      </c>
      <c r="H453" s="20" t="s">
        <v>3730</v>
      </c>
      <c r="I453" s="20">
        <v>331</v>
      </c>
      <c r="J453" s="20">
        <v>1111</v>
      </c>
      <c r="K453" s="20" t="s">
        <v>20</v>
      </c>
      <c r="L453" s="20">
        <v>1</v>
      </c>
      <c r="M453" s="34">
        <v>112000</v>
      </c>
      <c r="N453" s="34">
        <f t="shared" si="32"/>
        <v>112000</v>
      </c>
      <c r="O453" s="33" t="s">
        <v>21</v>
      </c>
      <c r="P453" s="20">
        <f t="shared" si="29"/>
        <v>437</v>
      </c>
      <c r="Q453" s="20">
        <f t="shared" ref="Q453:Q516" si="33">LEN(H453)</f>
        <v>43</v>
      </c>
    </row>
    <row r="454" spans="1:17" ht="15" customHeight="1" x14ac:dyDescent="0.2">
      <c r="A454" s="20" t="s">
        <v>2719</v>
      </c>
      <c r="B454" s="63">
        <v>45981</v>
      </c>
      <c r="C454" s="20">
        <f t="shared" si="31"/>
        <v>1040</v>
      </c>
      <c r="D454" s="20">
        <v>1</v>
      </c>
      <c r="G454" s="32" t="s">
        <v>102</v>
      </c>
      <c r="H454" s="20" t="s">
        <v>3731</v>
      </c>
      <c r="I454" s="20">
        <v>331</v>
      </c>
      <c r="J454" s="20">
        <v>1111</v>
      </c>
      <c r="K454" s="20" t="s">
        <v>20</v>
      </c>
      <c r="L454" s="20">
        <v>1</v>
      </c>
      <c r="M454" s="34">
        <v>69000</v>
      </c>
      <c r="N454" s="34">
        <f t="shared" si="32"/>
        <v>69000</v>
      </c>
      <c r="O454" s="33" t="s">
        <v>21</v>
      </c>
      <c r="P454" s="20">
        <f t="shared" ref="P454:P517" si="34">P453+D454</f>
        <v>438</v>
      </c>
      <c r="Q454" s="20">
        <f t="shared" si="33"/>
        <v>43</v>
      </c>
    </row>
    <row r="455" spans="1:17" ht="15" customHeight="1" x14ac:dyDescent="0.2">
      <c r="A455" s="20" t="s">
        <v>2719</v>
      </c>
      <c r="B455" s="63">
        <v>45982</v>
      </c>
      <c r="C455" s="20">
        <f t="shared" si="31"/>
        <v>1041</v>
      </c>
      <c r="D455" s="20">
        <v>1</v>
      </c>
      <c r="G455" s="32" t="s">
        <v>102</v>
      </c>
      <c r="H455" s="20" t="s">
        <v>3732</v>
      </c>
      <c r="I455" s="20">
        <v>331</v>
      </c>
      <c r="J455" s="20">
        <v>1111</v>
      </c>
      <c r="K455" s="20" t="s">
        <v>20</v>
      </c>
      <c r="L455" s="20">
        <v>1</v>
      </c>
      <c r="M455" s="34">
        <v>57000</v>
      </c>
      <c r="N455" s="34">
        <f t="shared" si="32"/>
        <v>57000</v>
      </c>
      <c r="O455" s="33" t="s">
        <v>21</v>
      </c>
      <c r="P455" s="20">
        <f t="shared" si="34"/>
        <v>439</v>
      </c>
      <c r="Q455" s="20">
        <f t="shared" si="33"/>
        <v>43</v>
      </c>
    </row>
    <row r="456" spans="1:17" ht="15" customHeight="1" x14ac:dyDescent="0.2">
      <c r="A456" s="20" t="s">
        <v>2719</v>
      </c>
      <c r="B456" s="63">
        <v>45982</v>
      </c>
      <c r="C456" s="20">
        <f t="shared" si="31"/>
        <v>1042</v>
      </c>
      <c r="D456" s="20">
        <v>1</v>
      </c>
      <c r="G456" s="32" t="s">
        <v>102</v>
      </c>
      <c r="H456" s="20" t="s">
        <v>3733</v>
      </c>
      <c r="I456" s="20">
        <v>331</v>
      </c>
      <c r="J456" s="20">
        <v>1111</v>
      </c>
      <c r="K456" s="20" t="s">
        <v>20</v>
      </c>
      <c r="L456" s="20">
        <v>1</v>
      </c>
      <c r="M456" s="34">
        <v>51000</v>
      </c>
      <c r="N456" s="34">
        <f t="shared" si="32"/>
        <v>51000</v>
      </c>
      <c r="O456" s="33" t="s">
        <v>21</v>
      </c>
      <c r="P456" s="20">
        <f t="shared" si="34"/>
        <v>440</v>
      </c>
      <c r="Q456" s="20">
        <f t="shared" si="33"/>
        <v>43</v>
      </c>
    </row>
    <row r="457" spans="1:17" ht="15" customHeight="1" x14ac:dyDescent="0.2">
      <c r="A457" s="20" t="s">
        <v>2719</v>
      </c>
      <c r="B457" s="63">
        <v>45982</v>
      </c>
      <c r="C457" s="20">
        <f t="shared" si="31"/>
        <v>1043</v>
      </c>
      <c r="D457" s="20">
        <v>1</v>
      </c>
      <c r="G457" s="32" t="s">
        <v>102</v>
      </c>
      <c r="H457" s="20" t="s">
        <v>3734</v>
      </c>
      <c r="I457" s="20">
        <v>331</v>
      </c>
      <c r="J457" s="20">
        <v>1111</v>
      </c>
      <c r="K457" s="20" t="s">
        <v>20</v>
      </c>
      <c r="L457" s="20">
        <v>1</v>
      </c>
      <c r="M457" s="34">
        <v>55000</v>
      </c>
      <c r="N457" s="34">
        <f t="shared" si="32"/>
        <v>55000</v>
      </c>
      <c r="O457" s="33" t="s">
        <v>21</v>
      </c>
      <c r="P457" s="20">
        <f t="shared" si="34"/>
        <v>441</v>
      </c>
      <c r="Q457" s="20">
        <f t="shared" si="33"/>
        <v>43</v>
      </c>
    </row>
    <row r="458" spans="1:17" ht="15" customHeight="1" x14ac:dyDescent="0.2">
      <c r="A458" s="20" t="s">
        <v>2719</v>
      </c>
      <c r="B458" s="63">
        <v>45982</v>
      </c>
      <c r="C458" s="20">
        <f t="shared" si="31"/>
        <v>1044</v>
      </c>
      <c r="D458" s="20">
        <v>1</v>
      </c>
      <c r="G458" s="32" t="s">
        <v>102</v>
      </c>
      <c r="H458" s="20" t="s">
        <v>3735</v>
      </c>
      <c r="I458" s="20">
        <v>331</v>
      </c>
      <c r="J458" s="20">
        <v>1111</v>
      </c>
      <c r="K458" s="20" t="s">
        <v>20</v>
      </c>
      <c r="L458" s="20">
        <v>1</v>
      </c>
      <c r="M458" s="34">
        <v>65000</v>
      </c>
      <c r="N458" s="34">
        <f t="shared" si="32"/>
        <v>65000</v>
      </c>
      <c r="O458" s="33" t="s">
        <v>21</v>
      </c>
      <c r="P458" s="20">
        <f t="shared" si="34"/>
        <v>442</v>
      </c>
      <c r="Q458" s="20">
        <f t="shared" si="33"/>
        <v>43</v>
      </c>
    </row>
    <row r="459" spans="1:17" ht="15" customHeight="1" x14ac:dyDescent="0.2">
      <c r="A459" s="20" t="s">
        <v>2719</v>
      </c>
      <c r="B459" s="63">
        <v>45982</v>
      </c>
      <c r="C459" s="20">
        <f t="shared" si="31"/>
        <v>1045</v>
      </c>
      <c r="D459" s="20">
        <v>1</v>
      </c>
      <c r="G459" s="32" t="s">
        <v>102</v>
      </c>
      <c r="H459" s="20" t="s">
        <v>3736</v>
      </c>
      <c r="I459" s="20">
        <v>331</v>
      </c>
      <c r="J459" s="20">
        <v>1111</v>
      </c>
      <c r="K459" s="20" t="s">
        <v>20</v>
      </c>
      <c r="L459" s="20">
        <v>1</v>
      </c>
      <c r="M459" s="34">
        <v>53000</v>
      </c>
      <c r="N459" s="34">
        <f t="shared" si="32"/>
        <v>53000</v>
      </c>
      <c r="O459" s="33" t="s">
        <v>21</v>
      </c>
      <c r="P459" s="20">
        <f t="shared" si="34"/>
        <v>443</v>
      </c>
      <c r="Q459" s="20">
        <f t="shared" si="33"/>
        <v>43</v>
      </c>
    </row>
    <row r="460" spans="1:17" ht="15" customHeight="1" x14ac:dyDescent="0.2">
      <c r="A460" s="20" t="s">
        <v>2719</v>
      </c>
      <c r="B460" s="63">
        <v>45982</v>
      </c>
      <c r="C460" s="20">
        <f t="shared" si="31"/>
        <v>1046</v>
      </c>
      <c r="D460" s="20">
        <v>1</v>
      </c>
      <c r="G460" s="32" t="s">
        <v>102</v>
      </c>
      <c r="H460" s="20" t="s">
        <v>3737</v>
      </c>
      <c r="I460" s="20">
        <v>331</v>
      </c>
      <c r="J460" s="20">
        <v>1111</v>
      </c>
      <c r="K460" s="20" t="s">
        <v>20</v>
      </c>
      <c r="L460" s="20">
        <v>1</v>
      </c>
      <c r="M460" s="34">
        <v>46000</v>
      </c>
      <c r="N460" s="34">
        <f t="shared" si="32"/>
        <v>46000</v>
      </c>
      <c r="O460" s="33" t="s">
        <v>21</v>
      </c>
      <c r="P460" s="20">
        <f t="shared" si="34"/>
        <v>444</v>
      </c>
      <c r="Q460" s="20">
        <f t="shared" si="33"/>
        <v>43</v>
      </c>
    </row>
    <row r="461" spans="1:17" ht="15" customHeight="1" x14ac:dyDescent="0.2">
      <c r="A461" s="20" t="s">
        <v>2719</v>
      </c>
      <c r="B461" s="63">
        <v>45983</v>
      </c>
      <c r="C461" s="20">
        <f t="shared" si="31"/>
        <v>1047</v>
      </c>
      <c r="D461" s="20">
        <v>1</v>
      </c>
      <c r="G461" s="32" t="s">
        <v>102</v>
      </c>
      <c r="H461" s="20" t="s">
        <v>3738</v>
      </c>
      <c r="I461" s="20">
        <v>331</v>
      </c>
      <c r="J461" s="20">
        <v>1111</v>
      </c>
      <c r="K461" s="20" t="s">
        <v>20</v>
      </c>
      <c r="L461" s="20">
        <v>1</v>
      </c>
      <c r="M461" s="34">
        <v>39000</v>
      </c>
      <c r="N461" s="34">
        <f t="shared" si="32"/>
        <v>39000</v>
      </c>
      <c r="O461" s="33" t="s">
        <v>21</v>
      </c>
      <c r="P461" s="20">
        <f t="shared" si="34"/>
        <v>445</v>
      </c>
      <c r="Q461" s="20">
        <f t="shared" si="33"/>
        <v>43</v>
      </c>
    </row>
    <row r="462" spans="1:17" ht="15" customHeight="1" x14ac:dyDescent="0.2">
      <c r="A462" s="20" t="s">
        <v>2719</v>
      </c>
      <c r="B462" s="63">
        <v>45983</v>
      </c>
      <c r="C462" s="20">
        <f t="shared" si="31"/>
        <v>1048</v>
      </c>
      <c r="D462" s="20">
        <v>1</v>
      </c>
      <c r="G462" s="32" t="s">
        <v>102</v>
      </c>
      <c r="H462" s="20" t="s">
        <v>3739</v>
      </c>
      <c r="I462" s="20">
        <v>331</v>
      </c>
      <c r="J462" s="20">
        <v>1111</v>
      </c>
      <c r="K462" s="20" t="s">
        <v>20</v>
      </c>
      <c r="L462" s="20">
        <v>1</v>
      </c>
      <c r="M462" s="34">
        <v>30000</v>
      </c>
      <c r="N462" s="34">
        <f t="shared" si="32"/>
        <v>30000</v>
      </c>
      <c r="O462" s="33" t="s">
        <v>21</v>
      </c>
      <c r="P462" s="20">
        <f t="shared" si="34"/>
        <v>446</v>
      </c>
      <c r="Q462" s="20">
        <f t="shared" si="33"/>
        <v>43</v>
      </c>
    </row>
    <row r="463" spans="1:17" ht="15" customHeight="1" x14ac:dyDescent="0.2">
      <c r="A463" s="20" t="s">
        <v>2719</v>
      </c>
      <c r="B463" s="63">
        <v>45983</v>
      </c>
      <c r="C463" s="20">
        <f t="shared" si="31"/>
        <v>1049</v>
      </c>
      <c r="D463" s="20">
        <v>1</v>
      </c>
      <c r="G463" s="32" t="s">
        <v>102</v>
      </c>
      <c r="H463" s="20" t="s">
        <v>3740</v>
      </c>
      <c r="I463" s="20">
        <v>331</v>
      </c>
      <c r="J463" s="20">
        <v>1111</v>
      </c>
      <c r="K463" s="20" t="s">
        <v>20</v>
      </c>
      <c r="L463" s="20">
        <v>1</v>
      </c>
      <c r="M463" s="34">
        <v>301000</v>
      </c>
      <c r="N463" s="34">
        <f t="shared" si="32"/>
        <v>301000</v>
      </c>
      <c r="O463" s="33" t="s">
        <v>21</v>
      </c>
      <c r="P463" s="20">
        <f t="shared" si="34"/>
        <v>447</v>
      </c>
      <c r="Q463" s="20">
        <f t="shared" si="33"/>
        <v>43</v>
      </c>
    </row>
    <row r="464" spans="1:17" ht="15" customHeight="1" x14ac:dyDescent="0.2">
      <c r="A464" s="20" t="s">
        <v>2719</v>
      </c>
      <c r="B464" s="63">
        <v>45984</v>
      </c>
      <c r="C464" s="20">
        <f t="shared" si="31"/>
        <v>1050</v>
      </c>
      <c r="D464" s="20">
        <v>1</v>
      </c>
      <c r="G464" s="32" t="s">
        <v>115</v>
      </c>
      <c r="H464" s="20" t="s">
        <v>3741</v>
      </c>
      <c r="I464" s="20">
        <v>331</v>
      </c>
      <c r="J464" s="20">
        <v>1111</v>
      </c>
      <c r="K464" s="20" t="s">
        <v>20</v>
      </c>
      <c r="L464" s="20">
        <v>1</v>
      </c>
      <c r="M464" s="34">
        <v>124000</v>
      </c>
      <c r="N464" s="34">
        <f t="shared" si="32"/>
        <v>124000</v>
      </c>
      <c r="O464" s="33" t="s">
        <v>21</v>
      </c>
      <c r="P464" s="20">
        <f t="shared" si="34"/>
        <v>448</v>
      </c>
      <c r="Q464" s="20">
        <f t="shared" si="33"/>
        <v>42</v>
      </c>
    </row>
    <row r="465" spans="1:17" ht="15" customHeight="1" x14ac:dyDescent="0.2">
      <c r="A465" s="20" t="s">
        <v>2719</v>
      </c>
      <c r="B465" s="63">
        <v>45984</v>
      </c>
      <c r="C465" s="20">
        <f t="shared" si="31"/>
        <v>1051</v>
      </c>
      <c r="D465" s="20">
        <v>1</v>
      </c>
      <c r="G465" s="32" t="s">
        <v>115</v>
      </c>
      <c r="H465" s="20" t="s">
        <v>3742</v>
      </c>
      <c r="I465" s="20">
        <v>331</v>
      </c>
      <c r="J465" s="20">
        <v>1111</v>
      </c>
      <c r="K465" s="20" t="s">
        <v>20</v>
      </c>
      <c r="L465" s="20">
        <v>1</v>
      </c>
      <c r="M465" s="34">
        <v>131000</v>
      </c>
      <c r="N465" s="34">
        <f t="shared" si="32"/>
        <v>131000</v>
      </c>
      <c r="O465" s="33" t="s">
        <v>21</v>
      </c>
      <c r="P465" s="20">
        <f t="shared" si="34"/>
        <v>449</v>
      </c>
      <c r="Q465" s="20">
        <f t="shared" si="33"/>
        <v>42</v>
      </c>
    </row>
    <row r="466" spans="1:17" ht="15" customHeight="1" x14ac:dyDescent="0.2">
      <c r="A466" s="20" t="s">
        <v>2719</v>
      </c>
      <c r="B466" s="63">
        <v>45984</v>
      </c>
      <c r="C466" s="20">
        <f t="shared" si="31"/>
        <v>1052</v>
      </c>
      <c r="D466" s="20">
        <v>1</v>
      </c>
      <c r="G466" s="32" t="s">
        <v>115</v>
      </c>
      <c r="H466" s="20" t="s">
        <v>3743</v>
      </c>
      <c r="I466" s="20">
        <v>331</v>
      </c>
      <c r="J466" s="20">
        <v>1111</v>
      </c>
      <c r="K466" s="20" t="s">
        <v>20</v>
      </c>
      <c r="L466" s="20">
        <v>1</v>
      </c>
      <c r="M466" s="34">
        <v>124000</v>
      </c>
      <c r="N466" s="34">
        <f t="shared" si="32"/>
        <v>124000</v>
      </c>
      <c r="O466" s="33" t="s">
        <v>21</v>
      </c>
      <c r="P466" s="20">
        <f t="shared" si="34"/>
        <v>450</v>
      </c>
      <c r="Q466" s="20">
        <f t="shared" si="33"/>
        <v>42</v>
      </c>
    </row>
    <row r="467" spans="1:17" ht="15" customHeight="1" x14ac:dyDescent="0.2">
      <c r="A467" s="20" t="s">
        <v>2719</v>
      </c>
      <c r="B467" s="63">
        <v>45984</v>
      </c>
      <c r="C467" s="20">
        <f t="shared" si="31"/>
        <v>1053</v>
      </c>
      <c r="D467" s="20">
        <v>1</v>
      </c>
      <c r="G467" s="32" t="s">
        <v>115</v>
      </c>
      <c r="H467" s="20" t="s">
        <v>3744</v>
      </c>
      <c r="I467" s="20">
        <v>331</v>
      </c>
      <c r="J467" s="20">
        <v>1111</v>
      </c>
      <c r="K467" s="20" t="s">
        <v>20</v>
      </c>
      <c r="L467" s="20">
        <v>1</v>
      </c>
      <c r="M467" s="34">
        <v>49000</v>
      </c>
      <c r="N467" s="34">
        <f t="shared" si="32"/>
        <v>49000</v>
      </c>
      <c r="O467" s="33" t="s">
        <v>21</v>
      </c>
      <c r="P467" s="20">
        <f t="shared" si="34"/>
        <v>451</v>
      </c>
      <c r="Q467" s="20">
        <f t="shared" si="33"/>
        <v>42</v>
      </c>
    </row>
    <row r="468" spans="1:17" ht="15" customHeight="1" x14ac:dyDescent="0.2">
      <c r="A468" s="20" t="s">
        <v>2719</v>
      </c>
      <c r="B468" s="63">
        <v>45985</v>
      </c>
      <c r="C468" s="20">
        <f t="shared" si="31"/>
        <v>1054</v>
      </c>
      <c r="D468" s="20">
        <v>1</v>
      </c>
      <c r="G468" s="32" t="s">
        <v>116</v>
      </c>
      <c r="H468" s="37" t="s">
        <v>3745</v>
      </c>
      <c r="I468" s="20">
        <v>331</v>
      </c>
      <c r="J468" s="20">
        <v>1111</v>
      </c>
      <c r="K468" s="20" t="s">
        <v>20</v>
      </c>
      <c r="L468" s="20">
        <v>1</v>
      </c>
      <c r="M468" s="34">
        <v>10500000</v>
      </c>
      <c r="N468" s="34">
        <f t="shared" si="32"/>
        <v>10500000</v>
      </c>
      <c r="O468" s="33" t="s">
        <v>21</v>
      </c>
      <c r="P468" s="20">
        <f t="shared" si="34"/>
        <v>452</v>
      </c>
      <c r="Q468" s="20">
        <f t="shared" si="33"/>
        <v>40</v>
      </c>
    </row>
    <row r="469" spans="1:17" ht="15" customHeight="1" x14ac:dyDescent="0.2">
      <c r="A469" s="20" t="s">
        <v>2719</v>
      </c>
      <c r="B469" s="63">
        <v>45985</v>
      </c>
      <c r="C469" s="20">
        <f t="shared" si="31"/>
        <v>1055</v>
      </c>
      <c r="D469" s="20">
        <v>1</v>
      </c>
      <c r="G469" s="32" t="s">
        <v>44</v>
      </c>
      <c r="H469" s="37" t="s">
        <v>3746</v>
      </c>
      <c r="I469" s="20">
        <v>331</v>
      </c>
      <c r="J469" s="20">
        <v>1111</v>
      </c>
      <c r="K469" s="20" t="s">
        <v>20</v>
      </c>
      <c r="L469" s="20">
        <v>1</v>
      </c>
      <c r="M469" s="34">
        <v>2499000</v>
      </c>
      <c r="N469" s="34">
        <f t="shared" si="32"/>
        <v>2499000</v>
      </c>
      <c r="O469" s="33" t="s">
        <v>21</v>
      </c>
      <c r="P469" s="20">
        <f t="shared" si="34"/>
        <v>453</v>
      </c>
      <c r="Q469" s="20">
        <f t="shared" si="33"/>
        <v>41</v>
      </c>
    </row>
    <row r="470" spans="1:17" ht="15" customHeight="1" x14ac:dyDescent="0.2">
      <c r="A470" s="20" t="s">
        <v>2719</v>
      </c>
      <c r="B470" s="63">
        <v>45985</v>
      </c>
      <c r="C470" s="20">
        <f t="shared" si="31"/>
        <v>1056</v>
      </c>
      <c r="D470" s="20">
        <v>1</v>
      </c>
      <c r="G470" s="32" t="s">
        <v>44</v>
      </c>
      <c r="H470" s="37" t="s">
        <v>3747</v>
      </c>
      <c r="I470" s="20">
        <v>331</v>
      </c>
      <c r="J470" s="20">
        <v>1111</v>
      </c>
      <c r="K470" s="20" t="s">
        <v>20</v>
      </c>
      <c r="L470" s="20">
        <v>1</v>
      </c>
      <c r="M470" s="34">
        <v>2499000</v>
      </c>
      <c r="N470" s="34">
        <f t="shared" si="32"/>
        <v>2499000</v>
      </c>
      <c r="O470" s="33" t="s">
        <v>21</v>
      </c>
      <c r="P470" s="20">
        <f t="shared" si="34"/>
        <v>454</v>
      </c>
      <c r="Q470" s="20">
        <f t="shared" si="33"/>
        <v>41</v>
      </c>
    </row>
    <row r="471" spans="1:17" ht="15" customHeight="1" x14ac:dyDescent="0.2">
      <c r="A471" s="20" t="s">
        <v>2719</v>
      </c>
      <c r="B471" s="63">
        <v>45985</v>
      </c>
      <c r="C471" s="20">
        <f t="shared" si="31"/>
        <v>1057</v>
      </c>
      <c r="D471" s="20">
        <v>1</v>
      </c>
      <c r="G471" s="32" t="s">
        <v>115</v>
      </c>
      <c r="H471" s="20" t="s">
        <v>3748</v>
      </c>
      <c r="I471" s="20">
        <v>331</v>
      </c>
      <c r="J471" s="20">
        <v>1111</v>
      </c>
      <c r="K471" s="20" t="s">
        <v>20</v>
      </c>
      <c r="L471" s="20">
        <v>1</v>
      </c>
      <c r="M471" s="34">
        <v>36000</v>
      </c>
      <c r="N471" s="34">
        <f t="shared" si="32"/>
        <v>36000</v>
      </c>
      <c r="O471" s="33" t="s">
        <v>21</v>
      </c>
      <c r="P471" s="20">
        <f t="shared" si="34"/>
        <v>455</v>
      </c>
      <c r="Q471" s="20">
        <f t="shared" si="33"/>
        <v>42</v>
      </c>
    </row>
    <row r="472" spans="1:17" ht="15" customHeight="1" x14ac:dyDescent="0.2">
      <c r="A472" s="20" t="s">
        <v>2719</v>
      </c>
      <c r="B472" s="63">
        <v>45985</v>
      </c>
      <c r="C472" s="20">
        <f t="shared" si="31"/>
        <v>1058</v>
      </c>
      <c r="D472" s="20">
        <v>1</v>
      </c>
      <c r="G472" s="32" t="s">
        <v>115</v>
      </c>
      <c r="H472" s="20" t="s">
        <v>3749</v>
      </c>
      <c r="I472" s="20">
        <v>331</v>
      </c>
      <c r="J472" s="20">
        <v>1111</v>
      </c>
      <c r="K472" s="20" t="s">
        <v>20</v>
      </c>
      <c r="L472" s="20">
        <v>1</v>
      </c>
      <c r="M472" s="34">
        <v>24000</v>
      </c>
      <c r="N472" s="34">
        <f t="shared" si="32"/>
        <v>24000</v>
      </c>
      <c r="O472" s="33" t="s">
        <v>21</v>
      </c>
      <c r="P472" s="20">
        <f t="shared" si="34"/>
        <v>456</v>
      </c>
      <c r="Q472" s="20">
        <f t="shared" si="33"/>
        <v>42</v>
      </c>
    </row>
    <row r="473" spans="1:17" ht="15" customHeight="1" x14ac:dyDescent="0.2">
      <c r="A473" s="20" t="s">
        <v>2719</v>
      </c>
      <c r="B473" s="63">
        <v>45986</v>
      </c>
      <c r="C473" s="20">
        <f t="shared" si="31"/>
        <v>1059</v>
      </c>
      <c r="D473" s="20">
        <v>1</v>
      </c>
      <c r="G473" s="32" t="s">
        <v>115</v>
      </c>
      <c r="H473" s="20" t="s">
        <v>3750</v>
      </c>
      <c r="I473" s="20">
        <v>331</v>
      </c>
      <c r="J473" s="20">
        <v>1111</v>
      </c>
      <c r="K473" s="20" t="s">
        <v>20</v>
      </c>
      <c r="L473" s="20">
        <v>1</v>
      </c>
      <c r="M473" s="34">
        <v>58000</v>
      </c>
      <c r="N473" s="34">
        <f t="shared" si="32"/>
        <v>58000</v>
      </c>
      <c r="O473" s="33" t="s">
        <v>21</v>
      </c>
      <c r="P473" s="20">
        <f t="shared" si="34"/>
        <v>457</v>
      </c>
      <c r="Q473" s="20">
        <f t="shared" si="33"/>
        <v>42</v>
      </c>
    </row>
    <row r="474" spans="1:17" ht="15" customHeight="1" x14ac:dyDescent="0.2">
      <c r="A474" s="20" t="s">
        <v>2719</v>
      </c>
      <c r="B474" s="63">
        <v>45986</v>
      </c>
      <c r="C474" s="20">
        <f t="shared" si="31"/>
        <v>1060</v>
      </c>
      <c r="D474" s="20">
        <v>1</v>
      </c>
      <c r="G474" s="32" t="s">
        <v>115</v>
      </c>
      <c r="H474" s="20" t="s">
        <v>3751</v>
      </c>
      <c r="I474" s="20">
        <v>331</v>
      </c>
      <c r="J474" s="20">
        <v>1111</v>
      </c>
      <c r="K474" s="20" t="s">
        <v>20</v>
      </c>
      <c r="L474" s="20">
        <v>1</v>
      </c>
      <c r="M474" s="34">
        <v>28000</v>
      </c>
      <c r="N474" s="34">
        <f t="shared" si="32"/>
        <v>28000</v>
      </c>
      <c r="O474" s="33" t="s">
        <v>21</v>
      </c>
      <c r="P474" s="20">
        <f t="shared" si="34"/>
        <v>458</v>
      </c>
      <c r="Q474" s="20">
        <f t="shared" si="33"/>
        <v>42</v>
      </c>
    </row>
    <row r="475" spans="1:17" ht="15" customHeight="1" x14ac:dyDescent="0.2">
      <c r="A475" s="20" t="s">
        <v>2719</v>
      </c>
      <c r="B475" s="63">
        <v>45986</v>
      </c>
      <c r="C475" s="20">
        <f t="shared" si="31"/>
        <v>1061</v>
      </c>
      <c r="D475" s="20">
        <v>1</v>
      </c>
      <c r="G475" s="32" t="s">
        <v>115</v>
      </c>
      <c r="H475" s="20" t="s">
        <v>3752</v>
      </c>
      <c r="I475" s="20">
        <v>331</v>
      </c>
      <c r="J475" s="20">
        <v>1111</v>
      </c>
      <c r="K475" s="20" t="s">
        <v>20</v>
      </c>
      <c r="L475" s="20">
        <v>1</v>
      </c>
      <c r="M475" s="34">
        <v>69000</v>
      </c>
      <c r="N475" s="34">
        <f t="shared" si="32"/>
        <v>69000</v>
      </c>
      <c r="O475" s="33" t="s">
        <v>21</v>
      </c>
      <c r="P475" s="20">
        <f t="shared" si="34"/>
        <v>459</v>
      </c>
      <c r="Q475" s="20">
        <f t="shared" si="33"/>
        <v>42</v>
      </c>
    </row>
    <row r="476" spans="1:17" ht="15" customHeight="1" x14ac:dyDescent="0.2">
      <c r="A476" s="20" t="s">
        <v>2719</v>
      </c>
      <c r="B476" s="63">
        <v>45986</v>
      </c>
      <c r="C476" s="20">
        <f t="shared" si="31"/>
        <v>1062</v>
      </c>
      <c r="D476" s="20">
        <v>1</v>
      </c>
      <c r="G476" s="32" t="s">
        <v>115</v>
      </c>
      <c r="H476" s="20" t="s">
        <v>3753</v>
      </c>
      <c r="I476" s="20">
        <v>331</v>
      </c>
      <c r="J476" s="20">
        <v>1111</v>
      </c>
      <c r="K476" s="20" t="s">
        <v>20</v>
      </c>
      <c r="L476" s="20">
        <v>1</v>
      </c>
      <c r="M476" s="34">
        <v>79000</v>
      </c>
      <c r="N476" s="34">
        <f t="shared" si="32"/>
        <v>79000</v>
      </c>
      <c r="O476" s="33" t="s">
        <v>21</v>
      </c>
      <c r="P476" s="20">
        <f t="shared" si="34"/>
        <v>460</v>
      </c>
      <c r="Q476" s="20">
        <f t="shared" si="33"/>
        <v>42</v>
      </c>
    </row>
    <row r="477" spans="1:17" ht="15" customHeight="1" x14ac:dyDescent="0.2">
      <c r="A477" s="20" t="s">
        <v>2719</v>
      </c>
      <c r="B477" s="63">
        <v>45987</v>
      </c>
      <c r="C477" s="20">
        <f t="shared" si="31"/>
        <v>1063</v>
      </c>
      <c r="D477" s="20">
        <v>1</v>
      </c>
      <c r="G477" s="32" t="s">
        <v>115</v>
      </c>
      <c r="H477" s="20" t="s">
        <v>3754</v>
      </c>
      <c r="I477" s="20">
        <v>331</v>
      </c>
      <c r="J477" s="20">
        <v>1111</v>
      </c>
      <c r="K477" s="20" t="s">
        <v>20</v>
      </c>
      <c r="L477" s="20">
        <v>1</v>
      </c>
      <c r="M477" s="34">
        <v>65000</v>
      </c>
      <c r="N477" s="34">
        <f t="shared" si="32"/>
        <v>65000</v>
      </c>
      <c r="O477" s="33" t="s">
        <v>21</v>
      </c>
      <c r="P477" s="20">
        <f t="shared" si="34"/>
        <v>461</v>
      </c>
      <c r="Q477" s="20">
        <f t="shared" si="33"/>
        <v>43</v>
      </c>
    </row>
    <row r="478" spans="1:17" ht="15" customHeight="1" x14ac:dyDescent="0.2">
      <c r="A478" s="20" t="s">
        <v>2719</v>
      </c>
      <c r="B478" s="63">
        <v>45987</v>
      </c>
      <c r="C478" s="20">
        <f t="shared" si="31"/>
        <v>1064</v>
      </c>
      <c r="D478" s="20">
        <v>1</v>
      </c>
      <c r="G478" s="32" t="s">
        <v>115</v>
      </c>
      <c r="H478" s="20" t="s">
        <v>3755</v>
      </c>
      <c r="I478" s="20">
        <v>331</v>
      </c>
      <c r="J478" s="20">
        <v>1111</v>
      </c>
      <c r="K478" s="20" t="s">
        <v>20</v>
      </c>
      <c r="L478" s="20">
        <v>1</v>
      </c>
      <c r="M478" s="34">
        <v>70000</v>
      </c>
      <c r="N478" s="34">
        <f t="shared" si="32"/>
        <v>70000</v>
      </c>
      <c r="O478" s="33" t="s">
        <v>21</v>
      </c>
      <c r="P478" s="20">
        <f t="shared" si="34"/>
        <v>462</v>
      </c>
      <c r="Q478" s="20">
        <f t="shared" si="33"/>
        <v>43</v>
      </c>
    </row>
    <row r="479" spans="1:17" ht="15" customHeight="1" x14ac:dyDescent="0.2">
      <c r="A479" s="20" t="s">
        <v>2719</v>
      </c>
      <c r="B479" s="63">
        <v>45987</v>
      </c>
      <c r="C479" s="20">
        <f t="shared" si="31"/>
        <v>1065</v>
      </c>
      <c r="D479" s="20">
        <v>1</v>
      </c>
      <c r="G479" s="32" t="s">
        <v>115</v>
      </c>
      <c r="H479" s="20" t="s">
        <v>3756</v>
      </c>
      <c r="I479" s="20">
        <v>331</v>
      </c>
      <c r="J479" s="20">
        <v>1111</v>
      </c>
      <c r="K479" s="20" t="s">
        <v>20</v>
      </c>
      <c r="L479" s="20">
        <v>1</v>
      </c>
      <c r="M479" s="34">
        <v>28000</v>
      </c>
      <c r="N479" s="34">
        <f t="shared" si="32"/>
        <v>28000</v>
      </c>
      <c r="O479" s="33" t="s">
        <v>21</v>
      </c>
      <c r="P479" s="20">
        <f t="shared" si="34"/>
        <v>463</v>
      </c>
      <c r="Q479" s="20">
        <f t="shared" si="33"/>
        <v>43</v>
      </c>
    </row>
    <row r="480" spans="1:17" ht="15" customHeight="1" x14ac:dyDescent="0.2">
      <c r="A480" s="20" t="s">
        <v>2719</v>
      </c>
      <c r="B480" s="63">
        <v>45987</v>
      </c>
      <c r="C480" s="20">
        <f t="shared" si="31"/>
        <v>1066</v>
      </c>
      <c r="D480" s="20">
        <v>1</v>
      </c>
      <c r="G480" s="32" t="s">
        <v>115</v>
      </c>
      <c r="H480" s="20" t="s">
        <v>3757</v>
      </c>
      <c r="I480" s="20">
        <v>331</v>
      </c>
      <c r="J480" s="20">
        <v>1111</v>
      </c>
      <c r="K480" s="20" t="s">
        <v>20</v>
      </c>
      <c r="L480" s="20">
        <v>1</v>
      </c>
      <c r="M480" s="34">
        <v>77000</v>
      </c>
      <c r="N480" s="34">
        <f t="shared" si="32"/>
        <v>77000</v>
      </c>
      <c r="O480" s="33" t="s">
        <v>21</v>
      </c>
      <c r="P480" s="20">
        <f t="shared" si="34"/>
        <v>464</v>
      </c>
      <c r="Q480" s="20">
        <f t="shared" si="33"/>
        <v>43</v>
      </c>
    </row>
    <row r="481" spans="1:17" ht="15" customHeight="1" x14ac:dyDescent="0.2">
      <c r="A481" s="20" t="s">
        <v>2719</v>
      </c>
      <c r="B481" s="63">
        <v>45987</v>
      </c>
      <c r="C481" s="20">
        <f t="shared" si="31"/>
        <v>1067</v>
      </c>
      <c r="D481" s="20">
        <v>1</v>
      </c>
      <c r="G481" s="32" t="s">
        <v>115</v>
      </c>
      <c r="H481" s="20" t="s">
        <v>3758</v>
      </c>
      <c r="I481" s="20">
        <v>331</v>
      </c>
      <c r="J481" s="20">
        <v>1111</v>
      </c>
      <c r="K481" s="20" t="s">
        <v>20</v>
      </c>
      <c r="L481" s="20">
        <v>1</v>
      </c>
      <c r="M481" s="34">
        <v>39000</v>
      </c>
      <c r="N481" s="34">
        <f t="shared" si="32"/>
        <v>39000</v>
      </c>
      <c r="O481" s="33" t="s">
        <v>21</v>
      </c>
      <c r="P481" s="20">
        <f t="shared" si="34"/>
        <v>465</v>
      </c>
      <c r="Q481" s="20">
        <f t="shared" si="33"/>
        <v>43</v>
      </c>
    </row>
    <row r="482" spans="1:17" ht="15" customHeight="1" x14ac:dyDescent="0.2">
      <c r="A482" s="20" t="s">
        <v>2719</v>
      </c>
      <c r="B482" s="63">
        <v>45988</v>
      </c>
      <c r="C482" s="20">
        <f t="shared" si="31"/>
        <v>1068</v>
      </c>
      <c r="D482" s="20">
        <v>1</v>
      </c>
      <c r="G482" s="32" t="s">
        <v>115</v>
      </c>
      <c r="H482" s="20" t="s">
        <v>3759</v>
      </c>
      <c r="I482" s="20">
        <v>331</v>
      </c>
      <c r="J482" s="20">
        <v>1111</v>
      </c>
      <c r="K482" s="20" t="s">
        <v>20</v>
      </c>
      <c r="L482" s="20">
        <v>1</v>
      </c>
      <c r="M482" s="34">
        <v>25000</v>
      </c>
      <c r="N482" s="34">
        <f t="shared" si="32"/>
        <v>25000</v>
      </c>
      <c r="O482" s="33" t="s">
        <v>21</v>
      </c>
      <c r="P482" s="20">
        <f t="shared" si="34"/>
        <v>466</v>
      </c>
      <c r="Q482" s="20">
        <f t="shared" si="33"/>
        <v>43</v>
      </c>
    </row>
    <row r="483" spans="1:17" ht="15" customHeight="1" x14ac:dyDescent="0.2">
      <c r="A483" s="20" t="s">
        <v>2719</v>
      </c>
      <c r="B483" s="63">
        <v>45988</v>
      </c>
      <c r="C483" s="20">
        <f t="shared" si="31"/>
        <v>1069</v>
      </c>
      <c r="D483" s="20">
        <v>1</v>
      </c>
      <c r="G483" s="32" t="s">
        <v>115</v>
      </c>
      <c r="H483" s="20" t="s">
        <v>3760</v>
      </c>
      <c r="I483" s="20">
        <v>331</v>
      </c>
      <c r="J483" s="20">
        <v>1111</v>
      </c>
      <c r="K483" s="20" t="s">
        <v>20</v>
      </c>
      <c r="L483" s="20">
        <v>1</v>
      </c>
      <c r="M483" s="34">
        <v>61000</v>
      </c>
      <c r="N483" s="34">
        <f t="shared" si="32"/>
        <v>61000</v>
      </c>
      <c r="O483" s="33" t="s">
        <v>21</v>
      </c>
      <c r="P483" s="20">
        <f t="shared" si="34"/>
        <v>467</v>
      </c>
      <c r="Q483" s="20">
        <f t="shared" si="33"/>
        <v>43</v>
      </c>
    </row>
    <row r="484" spans="1:17" ht="15" customHeight="1" x14ac:dyDescent="0.2">
      <c r="A484" s="20" t="s">
        <v>2719</v>
      </c>
      <c r="B484" s="63">
        <v>45988</v>
      </c>
      <c r="C484" s="20">
        <f t="shared" si="31"/>
        <v>1070</v>
      </c>
      <c r="D484" s="20">
        <v>1</v>
      </c>
      <c r="G484" s="32" t="s">
        <v>115</v>
      </c>
      <c r="H484" s="20" t="s">
        <v>3761</v>
      </c>
      <c r="I484" s="20">
        <v>331</v>
      </c>
      <c r="J484" s="20">
        <v>1111</v>
      </c>
      <c r="K484" s="20" t="s">
        <v>20</v>
      </c>
      <c r="L484" s="20">
        <v>1</v>
      </c>
      <c r="M484" s="34">
        <v>68000</v>
      </c>
      <c r="N484" s="34">
        <f t="shared" si="32"/>
        <v>68000</v>
      </c>
      <c r="O484" s="33" t="s">
        <v>21</v>
      </c>
      <c r="P484" s="20">
        <f t="shared" si="34"/>
        <v>468</v>
      </c>
      <c r="Q484" s="20">
        <f t="shared" si="33"/>
        <v>43</v>
      </c>
    </row>
    <row r="485" spans="1:17" ht="15" customHeight="1" x14ac:dyDescent="0.2">
      <c r="A485" s="20" t="s">
        <v>2719</v>
      </c>
      <c r="B485" s="63">
        <v>45988</v>
      </c>
      <c r="C485" s="20">
        <f t="shared" si="31"/>
        <v>1071</v>
      </c>
      <c r="D485" s="20">
        <v>1</v>
      </c>
      <c r="G485" s="32" t="s">
        <v>115</v>
      </c>
      <c r="H485" s="20" t="s">
        <v>3762</v>
      </c>
      <c r="I485" s="20">
        <v>331</v>
      </c>
      <c r="J485" s="20">
        <v>1111</v>
      </c>
      <c r="K485" s="20" t="s">
        <v>20</v>
      </c>
      <c r="L485" s="20">
        <v>1</v>
      </c>
      <c r="M485" s="34">
        <v>49000</v>
      </c>
      <c r="N485" s="34">
        <f t="shared" si="32"/>
        <v>49000</v>
      </c>
      <c r="O485" s="33" t="s">
        <v>21</v>
      </c>
      <c r="P485" s="20">
        <f t="shared" si="34"/>
        <v>469</v>
      </c>
      <c r="Q485" s="20">
        <f t="shared" si="33"/>
        <v>43</v>
      </c>
    </row>
    <row r="486" spans="1:17" ht="15" customHeight="1" x14ac:dyDescent="0.2">
      <c r="A486" s="20" t="s">
        <v>2719</v>
      </c>
      <c r="B486" s="63">
        <v>45988</v>
      </c>
      <c r="C486" s="20">
        <f t="shared" si="31"/>
        <v>1072</v>
      </c>
      <c r="D486" s="20">
        <v>1</v>
      </c>
      <c r="G486" s="32" t="s">
        <v>124</v>
      </c>
      <c r="H486" s="20" t="s">
        <v>3763</v>
      </c>
      <c r="I486" s="20">
        <v>331</v>
      </c>
      <c r="J486" s="20">
        <v>1111</v>
      </c>
      <c r="K486" s="20" t="s">
        <v>20</v>
      </c>
      <c r="L486" s="20">
        <v>1</v>
      </c>
      <c r="M486" s="34">
        <v>1943760</v>
      </c>
      <c r="N486" s="34">
        <f t="shared" si="32"/>
        <v>1943760</v>
      </c>
      <c r="O486" s="33" t="s">
        <v>21</v>
      </c>
      <c r="P486" s="20">
        <f t="shared" si="34"/>
        <v>470</v>
      </c>
      <c r="Q486" s="20">
        <f t="shared" si="33"/>
        <v>52</v>
      </c>
    </row>
    <row r="487" spans="1:17" ht="15" customHeight="1" x14ac:dyDescent="0.2">
      <c r="A487" s="20" t="s">
        <v>2719</v>
      </c>
      <c r="B487" s="63">
        <v>45989</v>
      </c>
      <c r="C487" s="20">
        <f t="shared" si="31"/>
        <v>1073</v>
      </c>
      <c r="D487" s="20">
        <v>1</v>
      </c>
      <c r="G487" s="32" t="s">
        <v>1358</v>
      </c>
      <c r="H487" s="20" t="s">
        <v>3764</v>
      </c>
      <c r="I487" s="20">
        <v>331</v>
      </c>
      <c r="J487" s="20">
        <v>1111</v>
      </c>
      <c r="K487" s="20" t="s">
        <v>20</v>
      </c>
      <c r="L487" s="20">
        <v>1</v>
      </c>
      <c r="M487" s="34">
        <v>1755180</v>
      </c>
      <c r="N487" s="34">
        <f t="shared" si="32"/>
        <v>1755180</v>
      </c>
      <c r="O487" s="33" t="s">
        <v>21</v>
      </c>
      <c r="P487" s="20">
        <f t="shared" si="34"/>
        <v>471</v>
      </c>
      <c r="Q487" s="20">
        <f t="shared" si="33"/>
        <v>49</v>
      </c>
    </row>
    <row r="488" spans="1:17" ht="15" customHeight="1" x14ac:dyDescent="0.2">
      <c r="A488" s="20" t="s">
        <v>2719</v>
      </c>
      <c r="B488" s="63">
        <v>45989</v>
      </c>
      <c r="C488" s="20">
        <f t="shared" si="31"/>
        <v>1074</v>
      </c>
      <c r="D488" s="20">
        <v>1</v>
      </c>
      <c r="G488" s="32" t="s">
        <v>115</v>
      </c>
      <c r="H488" s="20" t="s">
        <v>3765</v>
      </c>
      <c r="I488" s="20">
        <v>331</v>
      </c>
      <c r="J488" s="20">
        <v>1111</v>
      </c>
      <c r="K488" s="20" t="s">
        <v>20</v>
      </c>
      <c r="L488" s="20">
        <v>1</v>
      </c>
      <c r="M488" s="34">
        <v>52000</v>
      </c>
      <c r="N488" s="34">
        <f t="shared" si="32"/>
        <v>52000</v>
      </c>
      <c r="O488" s="33" t="s">
        <v>21</v>
      </c>
      <c r="P488" s="20">
        <f t="shared" si="34"/>
        <v>472</v>
      </c>
      <c r="Q488" s="20">
        <f t="shared" si="33"/>
        <v>43</v>
      </c>
    </row>
    <row r="489" spans="1:17" ht="15" customHeight="1" x14ac:dyDescent="0.2">
      <c r="A489" s="20" t="s">
        <v>2719</v>
      </c>
      <c r="B489" s="63">
        <v>45989</v>
      </c>
      <c r="C489" s="20">
        <f t="shared" si="31"/>
        <v>1075</v>
      </c>
      <c r="D489" s="20">
        <v>1</v>
      </c>
      <c r="G489" s="32" t="s">
        <v>115</v>
      </c>
      <c r="H489" s="20" t="s">
        <v>3766</v>
      </c>
      <c r="I489" s="20">
        <v>331</v>
      </c>
      <c r="J489" s="20">
        <v>1111</v>
      </c>
      <c r="K489" s="20" t="s">
        <v>20</v>
      </c>
      <c r="L489" s="20">
        <v>1</v>
      </c>
      <c r="M489" s="34">
        <v>40000</v>
      </c>
      <c r="N489" s="34">
        <f t="shared" si="32"/>
        <v>40000</v>
      </c>
      <c r="O489" s="33" t="s">
        <v>21</v>
      </c>
      <c r="P489" s="20">
        <f t="shared" si="34"/>
        <v>473</v>
      </c>
      <c r="Q489" s="20">
        <f t="shared" si="33"/>
        <v>43</v>
      </c>
    </row>
    <row r="490" spans="1:17" ht="15" customHeight="1" x14ac:dyDescent="0.2">
      <c r="A490" s="20" t="s">
        <v>2719</v>
      </c>
      <c r="B490" s="63">
        <v>45989</v>
      </c>
      <c r="C490" s="20">
        <f t="shared" si="31"/>
        <v>1076</v>
      </c>
      <c r="D490" s="20">
        <v>1</v>
      </c>
      <c r="G490" s="32" t="s">
        <v>115</v>
      </c>
      <c r="H490" s="20" t="s">
        <v>3767</v>
      </c>
      <c r="I490" s="20">
        <v>331</v>
      </c>
      <c r="J490" s="20">
        <v>1111</v>
      </c>
      <c r="K490" s="20" t="s">
        <v>20</v>
      </c>
      <c r="L490" s="20">
        <v>1</v>
      </c>
      <c r="M490" s="34">
        <v>35000</v>
      </c>
      <c r="N490" s="34">
        <f t="shared" si="32"/>
        <v>35000</v>
      </c>
      <c r="O490" s="33" t="s">
        <v>21</v>
      </c>
      <c r="P490" s="20">
        <f t="shared" si="34"/>
        <v>474</v>
      </c>
      <c r="Q490" s="20">
        <f t="shared" si="33"/>
        <v>43</v>
      </c>
    </row>
    <row r="491" spans="1:17" ht="15" customHeight="1" x14ac:dyDescent="0.2">
      <c r="A491" s="20" t="s">
        <v>2719</v>
      </c>
      <c r="B491" s="63">
        <v>45989</v>
      </c>
      <c r="C491" s="20">
        <f t="shared" si="31"/>
        <v>1077</v>
      </c>
      <c r="D491" s="20">
        <v>1</v>
      </c>
      <c r="G491" s="32" t="s">
        <v>115</v>
      </c>
      <c r="H491" s="20" t="s">
        <v>3768</v>
      </c>
      <c r="I491" s="20">
        <v>331</v>
      </c>
      <c r="J491" s="20">
        <v>1111</v>
      </c>
      <c r="K491" s="20" t="s">
        <v>20</v>
      </c>
      <c r="L491" s="20">
        <v>1</v>
      </c>
      <c r="M491" s="34">
        <v>32000</v>
      </c>
      <c r="N491" s="34">
        <f t="shared" si="32"/>
        <v>32000</v>
      </c>
      <c r="O491" s="33" t="s">
        <v>21</v>
      </c>
      <c r="P491" s="20">
        <f t="shared" si="34"/>
        <v>475</v>
      </c>
      <c r="Q491" s="20">
        <f t="shared" si="33"/>
        <v>43</v>
      </c>
    </row>
    <row r="492" spans="1:17" ht="15" customHeight="1" x14ac:dyDescent="0.2">
      <c r="A492" s="20" t="s">
        <v>2719</v>
      </c>
      <c r="B492" s="63">
        <v>45989</v>
      </c>
      <c r="C492" s="20">
        <f t="shared" si="31"/>
        <v>1078</v>
      </c>
      <c r="D492" s="20">
        <v>1</v>
      </c>
      <c r="G492" s="32" t="s">
        <v>115</v>
      </c>
      <c r="H492" s="20" t="s">
        <v>3769</v>
      </c>
      <c r="I492" s="20">
        <v>331</v>
      </c>
      <c r="J492" s="20">
        <v>1111</v>
      </c>
      <c r="K492" s="20" t="s">
        <v>20</v>
      </c>
      <c r="L492" s="20">
        <v>1</v>
      </c>
      <c r="M492" s="34">
        <v>13000</v>
      </c>
      <c r="N492" s="34">
        <f t="shared" si="32"/>
        <v>13000</v>
      </c>
      <c r="O492" s="33" t="s">
        <v>21</v>
      </c>
      <c r="P492" s="20">
        <f t="shared" si="34"/>
        <v>476</v>
      </c>
      <c r="Q492" s="20">
        <f t="shared" si="33"/>
        <v>43</v>
      </c>
    </row>
    <row r="493" spans="1:17" ht="15" customHeight="1" x14ac:dyDescent="0.2">
      <c r="A493" s="20" t="s">
        <v>2719</v>
      </c>
      <c r="B493" s="63">
        <v>45989</v>
      </c>
      <c r="C493" s="20">
        <f t="shared" si="31"/>
        <v>1079</v>
      </c>
      <c r="D493" s="20">
        <v>1</v>
      </c>
      <c r="G493" s="32" t="s">
        <v>115</v>
      </c>
      <c r="H493" s="20" t="s">
        <v>3770</v>
      </c>
      <c r="I493" s="20">
        <v>331</v>
      </c>
      <c r="J493" s="20">
        <v>1111</v>
      </c>
      <c r="K493" s="20" t="s">
        <v>20</v>
      </c>
      <c r="L493" s="20">
        <v>1</v>
      </c>
      <c r="M493" s="34">
        <v>60000</v>
      </c>
      <c r="N493" s="34">
        <f t="shared" si="32"/>
        <v>60000</v>
      </c>
      <c r="O493" s="33" t="s">
        <v>21</v>
      </c>
      <c r="P493" s="20">
        <f t="shared" si="34"/>
        <v>477</v>
      </c>
      <c r="Q493" s="20">
        <f t="shared" si="33"/>
        <v>43</v>
      </c>
    </row>
    <row r="494" spans="1:17" ht="15" customHeight="1" x14ac:dyDescent="0.2">
      <c r="A494" s="20" t="s">
        <v>2719</v>
      </c>
      <c r="B494" s="63">
        <v>45989</v>
      </c>
      <c r="C494" s="20">
        <f t="shared" si="31"/>
        <v>1080</v>
      </c>
      <c r="D494" s="20">
        <v>1</v>
      </c>
      <c r="G494" s="32" t="s">
        <v>121</v>
      </c>
      <c r="H494" s="20" t="s">
        <v>3771</v>
      </c>
      <c r="I494" s="20">
        <v>331</v>
      </c>
      <c r="J494" s="20">
        <v>1111</v>
      </c>
      <c r="K494" s="20" t="s">
        <v>20</v>
      </c>
      <c r="L494" s="20">
        <v>1</v>
      </c>
      <c r="M494" s="34">
        <v>1121040</v>
      </c>
      <c r="N494" s="34">
        <f t="shared" si="32"/>
        <v>1121040</v>
      </c>
      <c r="O494" s="33" t="s">
        <v>21</v>
      </c>
      <c r="P494" s="20">
        <f t="shared" si="34"/>
        <v>478</v>
      </c>
      <c r="Q494" s="20">
        <f t="shared" si="33"/>
        <v>53</v>
      </c>
    </row>
    <row r="495" spans="1:17" ht="15" customHeight="1" x14ac:dyDescent="0.2">
      <c r="A495" s="20" t="s">
        <v>2719</v>
      </c>
      <c r="B495" s="63">
        <v>45989</v>
      </c>
      <c r="C495" s="20">
        <f t="shared" si="31"/>
        <v>1081</v>
      </c>
      <c r="D495" s="20">
        <v>1</v>
      </c>
      <c r="G495" s="32" t="s">
        <v>1031</v>
      </c>
      <c r="H495" s="20" t="s">
        <v>3772</v>
      </c>
      <c r="I495" s="20">
        <v>331</v>
      </c>
      <c r="J495" s="20">
        <v>1111</v>
      </c>
      <c r="K495" s="20" t="s">
        <v>20</v>
      </c>
      <c r="L495" s="20">
        <v>1</v>
      </c>
      <c r="M495" s="34">
        <v>178200</v>
      </c>
      <c r="N495" s="34">
        <f t="shared" si="32"/>
        <v>178200</v>
      </c>
      <c r="O495" s="33" t="s">
        <v>21</v>
      </c>
      <c r="P495" s="20">
        <f t="shared" si="34"/>
        <v>479</v>
      </c>
      <c r="Q495" s="20">
        <f t="shared" si="33"/>
        <v>53</v>
      </c>
    </row>
    <row r="496" spans="1:17" ht="15" customHeight="1" x14ac:dyDescent="0.2">
      <c r="A496" s="20" t="s">
        <v>2719</v>
      </c>
      <c r="B496" s="63">
        <v>45990</v>
      </c>
      <c r="C496" s="20">
        <f t="shared" si="31"/>
        <v>1082</v>
      </c>
      <c r="D496" s="20">
        <v>1</v>
      </c>
      <c r="G496" s="32" t="s">
        <v>37</v>
      </c>
      <c r="H496" s="37" t="s">
        <v>3773</v>
      </c>
      <c r="I496" s="20">
        <v>331</v>
      </c>
      <c r="J496" s="20">
        <v>1111</v>
      </c>
      <c r="K496" s="20" t="s">
        <v>20</v>
      </c>
      <c r="L496" s="20">
        <v>1</v>
      </c>
      <c r="M496" s="34">
        <v>3240000</v>
      </c>
      <c r="N496" s="34">
        <f t="shared" si="32"/>
        <v>3240000</v>
      </c>
      <c r="O496" s="33" t="s">
        <v>21</v>
      </c>
      <c r="P496" s="20">
        <f t="shared" si="34"/>
        <v>480</v>
      </c>
      <c r="Q496" s="20">
        <f t="shared" si="33"/>
        <v>53</v>
      </c>
    </row>
    <row r="497" spans="1:17" ht="15" customHeight="1" x14ac:dyDescent="0.2">
      <c r="A497" s="20" t="s">
        <v>2719</v>
      </c>
      <c r="B497" s="63">
        <v>45990</v>
      </c>
      <c r="C497" s="20">
        <f t="shared" si="31"/>
        <v>1083</v>
      </c>
      <c r="D497" s="20">
        <v>1</v>
      </c>
      <c r="G497" s="32" t="s">
        <v>115</v>
      </c>
      <c r="H497" s="20" t="s">
        <v>3774</v>
      </c>
      <c r="I497" s="20">
        <v>331</v>
      </c>
      <c r="J497" s="20">
        <v>1111</v>
      </c>
      <c r="K497" s="20" t="s">
        <v>20</v>
      </c>
      <c r="L497" s="20">
        <v>1</v>
      </c>
      <c r="M497" s="34">
        <v>32000</v>
      </c>
      <c r="N497" s="34">
        <f t="shared" si="32"/>
        <v>32000</v>
      </c>
      <c r="O497" s="33" t="s">
        <v>21</v>
      </c>
      <c r="P497" s="20">
        <f t="shared" si="34"/>
        <v>481</v>
      </c>
      <c r="Q497" s="20">
        <f t="shared" si="33"/>
        <v>43</v>
      </c>
    </row>
    <row r="498" spans="1:17" ht="15" customHeight="1" x14ac:dyDescent="0.2">
      <c r="A498" s="20" t="s">
        <v>2719</v>
      </c>
      <c r="B498" s="63">
        <v>45990</v>
      </c>
      <c r="C498" s="20">
        <f t="shared" si="31"/>
        <v>1084</v>
      </c>
      <c r="D498" s="20">
        <v>1</v>
      </c>
      <c r="G498" s="32" t="s">
        <v>115</v>
      </c>
      <c r="H498" s="20" t="s">
        <v>3775</v>
      </c>
      <c r="I498" s="20">
        <v>331</v>
      </c>
      <c r="J498" s="20">
        <v>1111</v>
      </c>
      <c r="K498" s="20" t="s">
        <v>20</v>
      </c>
      <c r="L498" s="20">
        <v>1</v>
      </c>
      <c r="M498" s="34">
        <v>30000</v>
      </c>
      <c r="N498" s="34">
        <f t="shared" si="32"/>
        <v>30000</v>
      </c>
      <c r="O498" s="33" t="s">
        <v>21</v>
      </c>
      <c r="P498" s="20">
        <f t="shared" si="34"/>
        <v>482</v>
      </c>
      <c r="Q498" s="20">
        <f t="shared" si="33"/>
        <v>43</v>
      </c>
    </row>
    <row r="499" spans="1:17" ht="15" customHeight="1" x14ac:dyDescent="0.2">
      <c r="A499" s="20" t="s">
        <v>2719</v>
      </c>
      <c r="B499" s="63">
        <v>45991</v>
      </c>
      <c r="C499" s="20">
        <f t="shared" si="31"/>
        <v>1085</v>
      </c>
      <c r="D499" s="20">
        <v>1</v>
      </c>
      <c r="G499" s="32" t="s">
        <v>37</v>
      </c>
      <c r="H499" s="37" t="s">
        <v>3776</v>
      </c>
      <c r="I499" s="20">
        <v>331</v>
      </c>
      <c r="J499" s="20">
        <v>1111</v>
      </c>
      <c r="K499" s="20" t="s">
        <v>20</v>
      </c>
      <c r="L499" s="20">
        <v>1</v>
      </c>
      <c r="M499" s="34">
        <v>3240000</v>
      </c>
      <c r="N499" s="34">
        <f t="shared" si="32"/>
        <v>3240000</v>
      </c>
      <c r="O499" s="33" t="s">
        <v>21</v>
      </c>
      <c r="P499" s="20">
        <f t="shared" si="34"/>
        <v>483</v>
      </c>
      <c r="Q499" s="20">
        <f t="shared" si="33"/>
        <v>53</v>
      </c>
    </row>
    <row r="500" spans="1:17" ht="15" customHeight="1" x14ac:dyDescent="0.2">
      <c r="A500" s="20" t="s">
        <v>2719</v>
      </c>
      <c r="B500" s="63">
        <v>45991</v>
      </c>
      <c r="C500" s="20">
        <f t="shared" si="31"/>
        <v>1086</v>
      </c>
      <c r="D500" s="20">
        <v>1</v>
      </c>
      <c r="G500" s="32" t="s">
        <v>115</v>
      </c>
      <c r="H500" s="20" t="s">
        <v>3777</v>
      </c>
      <c r="I500" s="20">
        <v>331</v>
      </c>
      <c r="J500" s="20">
        <v>1111</v>
      </c>
      <c r="K500" s="20" t="s">
        <v>20</v>
      </c>
      <c r="L500" s="20">
        <v>1</v>
      </c>
      <c r="M500" s="34">
        <v>104000</v>
      </c>
      <c r="N500" s="34">
        <f t="shared" si="32"/>
        <v>104000</v>
      </c>
      <c r="O500" s="33" t="s">
        <v>21</v>
      </c>
      <c r="P500" s="20">
        <f t="shared" si="34"/>
        <v>484</v>
      </c>
      <c r="Q500" s="20">
        <f t="shared" si="33"/>
        <v>43</v>
      </c>
    </row>
    <row r="501" spans="1:17" ht="15" customHeight="1" x14ac:dyDescent="0.2">
      <c r="A501" s="20" t="s">
        <v>2719</v>
      </c>
      <c r="B501" s="63">
        <v>45991</v>
      </c>
      <c r="C501" s="20">
        <f t="shared" si="31"/>
        <v>1087</v>
      </c>
      <c r="D501" s="20">
        <v>1</v>
      </c>
      <c r="G501" s="32" t="s">
        <v>115</v>
      </c>
      <c r="H501" s="20" t="s">
        <v>3778</v>
      </c>
      <c r="I501" s="20">
        <v>331</v>
      </c>
      <c r="J501" s="20">
        <v>1111</v>
      </c>
      <c r="K501" s="20" t="s">
        <v>20</v>
      </c>
      <c r="L501" s="20">
        <v>1</v>
      </c>
      <c r="M501" s="34">
        <v>58000</v>
      </c>
      <c r="N501" s="34">
        <f t="shared" si="32"/>
        <v>58000</v>
      </c>
      <c r="O501" s="33" t="s">
        <v>21</v>
      </c>
      <c r="P501" s="20">
        <f t="shared" si="34"/>
        <v>485</v>
      </c>
      <c r="Q501" s="20">
        <f t="shared" si="33"/>
        <v>43</v>
      </c>
    </row>
    <row r="502" spans="1:17" ht="15" customHeight="1" x14ac:dyDescent="0.2">
      <c r="A502" s="20" t="s">
        <v>2719</v>
      </c>
      <c r="B502" s="63">
        <v>45992</v>
      </c>
      <c r="C502" s="20">
        <f t="shared" si="31"/>
        <v>1088</v>
      </c>
      <c r="D502" s="20">
        <v>1</v>
      </c>
      <c r="G502" s="32" t="s">
        <v>115</v>
      </c>
      <c r="H502" s="20" t="s">
        <v>3779</v>
      </c>
      <c r="I502" s="20">
        <v>331</v>
      </c>
      <c r="J502" s="20">
        <v>1111</v>
      </c>
      <c r="K502" s="20" t="s">
        <v>20</v>
      </c>
      <c r="L502" s="20">
        <v>1</v>
      </c>
      <c r="M502" s="34">
        <v>104000</v>
      </c>
      <c r="N502" s="34">
        <f t="shared" si="32"/>
        <v>104000</v>
      </c>
      <c r="O502" s="33" t="s">
        <v>21</v>
      </c>
      <c r="P502" s="20">
        <f t="shared" si="34"/>
        <v>486</v>
      </c>
      <c r="Q502" s="20">
        <f t="shared" si="33"/>
        <v>43</v>
      </c>
    </row>
    <row r="503" spans="1:17" ht="15" customHeight="1" x14ac:dyDescent="0.2">
      <c r="A503" s="20" t="s">
        <v>2719</v>
      </c>
      <c r="B503" s="63">
        <v>45995</v>
      </c>
      <c r="C503" s="20">
        <f t="shared" ref="C503:C566" si="35">C502+D503</f>
        <v>1089</v>
      </c>
      <c r="D503" s="20">
        <v>1</v>
      </c>
      <c r="G503" s="32" t="s">
        <v>115</v>
      </c>
      <c r="H503" s="20" t="s">
        <v>3780</v>
      </c>
      <c r="I503" s="20">
        <v>331</v>
      </c>
      <c r="J503" s="20">
        <v>1111</v>
      </c>
      <c r="K503" s="20" t="s">
        <v>20</v>
      </c>
      <c r="L503" s="20">
        <v>1</v>
      </c>
      <c r="M503" s="34">
        <v>136000</v>
      </c>
      <c r="N503" s="34">
        <f t="shared" si="32"/>
        <v>136000</v>
      </c>
      <c r="O503" s="33" t="s">
        <v>21</v>
      </c>
      <c r="P503" s="20">
        <f t="shared" si="34"/>
        <v>487</v>
      </c>
      <c r="Q503" s="20">
        <f t="shared" si="33"/>
        <v>43</v>
      </c>
    </row>
    <row r="504" spans="1:17" ht="15" customHeight="1" x14ac:dyDescent="0.2">
      <c r="A504" s="20" t="s">
        <v>2719</v>
      </c>
      <c r="B504" s="63">
        <v>45995</v>
      </c>
      <c r="C504" s="20">
        <f t="shared" si="35"/>
        <v>1090</v>
      </c>
      <c r="D504" s="20">
        <v>1</v>
      </c>
      <c r="G504" s="32" t="s">
        <v>115</v>
      </c>
      <c r="H504" s="20" t="s">
        <v>3781</v>
      </c>
      <c r="I504" s="20">
        <v>331</v>
      </c>
      <c r="J504" s="20">
        <v>1111</v>
      </c>
      <c r="K504" s="20" t="s">
        <v>20</v>
      </c>
      <c r="L504" s="20">
        <v>1</v>
      </c>
      <c r="M504" s="34">
        <v>21000</v>
      </c>
      <c r="N504" s="34">
        <f t="shared" si="32"/>
        <v>21000</v>
      </c>
      <c r="O504" s="33" t="s">
        <v>21</v>
      </c>
      <c r="P504" s="20">
        <f t="shared" si="34"/>
        <v>488</v>
      </c>
      <c r="Q504" s="20">
        <f t="shared" si="33"/>
        <v>43</v>
      </c>
    </row>
    <row r="505" spans="1:17" ht="15" customHeight="1" x14ac:dyDescent="0.2">
      <c r="A505" s="20" t="s">
        <v>2719</v>
      </c>
      <c r="B505" s="63">
        <v>45995</v>
      </c>
      <c r="C505" s="20">
        <f t="shared" si="35"/>
        <v>1091</v>
      </c>
      <c r="D505" s="20">
        <v>1</v>
      </c>
      <c r="G505" s="32" t="s">
        <v>115</v>
      </c>
      <c r="H505" s="20" t="s">
        <v>3782</v>
      </c>
      <c r="I505" s="20">
        <v>331</v>
      </c>
      <c r="J505" s="20">
        <v>1111</v>
      </c>
      <c r="K505" s="20" t="s">
        <v>20</v>
      </c>
      <c r="L505" s="20">
        <v>1</v>
      </c>
      <c r="M505" s="34">
        <v>31000</v>
      </c>
      <c r="N505" s="34">
        <f t="shared" si="32"/>
        <v>31000</v>
      </c>
      <c r="O505" s="33" t="s">
        <v>21</v>
      </c>
      <c r="P505" s="20">
        <f t="shared" si="34"/>
        <v>489</v>
      </c>
      <c r="Q505" s="20">
        <f t="shared" si="33"/>
        <v>43</v>
      </c>
    </row>
    <row r="506" spans="1:17" ht="15" customHeight="1" x14ac:dyDescent="0.2">
      <c r="A506" s="20" t="s">
        <v>2719</v>
      </c>
      <c r="B506" s="63">
        <v>45995</v>
      </c>
      <c r="C506" s="20">
        <f t="shared" si="35"/>
        <v>1092</v>
      </c>
      <c r="D506" s="20">
        <v>1</v>
      </c>
      <c r="G506" s="32" t="s">
        <v>115</v>
      </c>
      <c r="H506" s="20" t="s">
        <v>3783</v>
      </c>
      <c r="I506" s="20">
        <v>331</v>
      </c>
      <c r="J506" s="20">
        <v>1111</v>
      </c>
      <c r="K506" s="20" t="s">
        <v>20</v>
      </c>
      <c r="L506" s="20">
        <v>1</v>
      </c>
      <c r="M506" s="34">
        <v>52000</v>
      </c>
      <c r="N506" s="34">
        <f t="shared" si="32"/>
        <v>52000</v>
      </c>
      <c r="O506" s="33" t="s">
        <v>21</v>
      </c>
      <c r="P506" s="20">
        <f t="shared" si="34"/>
        <v>490</v>
      </c>
      <c r="Q506" s="20">
        <f t="shared" si="33"/>
        <v>43</v>
      </c>
    </row>
    <row r="507" spans="1:17" ht="15" customHeight="1" x14ac:dyDescent="0.2">
      <c r="A507" s="20" t="s">
        <v>2719</v>
      </c>
      <c r="B507" s="63">
        <v>45995</v>
      </c>
      <c r="C507" s="20">
        <f t="shared" si="35"/>
        <v>1093</v>
      </c>
      <c r="D507" s="20">
        <v>1</v>
      </c>
      <c r="G507" s="32" t="s">
        <v>115</v>
      </c>
      <c r="H507" s="20" t="s">
        <v>3784</v>
      </c>
      <c r="I507" s="20">
        <v>331</v>
      </c>
      <c r="J507" s="20">
        <v>1111</v>
      </c>
      <c r="K507" s="20" t="s">
        <v>20</v>
      </c>
      <c r="L507" s="20">
        <v>1</v>
      </c>
      <c r="M507" s="34">
        <v>59000</v>
      </c>
      <c r="N507" s="34">
        <f t="shared" si="32"/>
        <v>59000</v>
      </c>
      <c r="O507" s="33" t="s">
        <v>21</v>
      </c>
      <c r="P507" s="20">
        <f t="shared" si="34"/>
        <v>491</v>
      </c>
      <c r="Q507" s="20">
        <f t="shared" si="33"/>
        <v>43</v>
      </c>
    </row>
    <row r="508" spans="1:17" ht="15" customHeight="1" x14ac:dyDescent="0.2">
      <c r="A508" s="20" t="s">
        <v>2719</v>
      </c>
      <c r="B508" s="63">
        <v>45996</v>
      </c>
      <c r="C508" s="20">
        <f t="shared" si="35"/>
        <v>1094</v>
      </c>
      <c r="D508" s="20">
        <v>1</v>
      </c>
      <c r="G508" s="32" t="s">
        <v>115</v>
      </c>
      <c r="H508" s="20" t="s">
        <v>3785</v>
      </c>
      <c r="I508" s="20">
        <v>331</v>
      </c>
      <c r="J508" s="20">
        <v>1111</v>
      </c>
      <c r="K508" s="20" t="s">
        <v>20</v>
      </c>
      <c r="L508" s="20">
        <v>1</v>
      </c>
      <c r="M508" s="34">
        <v>21000</v>
      </c>
      <c r="N508" s="34">
        <f t="shared" si="32"/>
        <v>21000</v>
      </c>
      <c r="O508" s="33" t="s">
        <v>21</v>
      </c>
      <c r="P508" s="20">
        <f t="shared" si="34"/>
        <v>492</v>
      </c>
      <c r="Q508" s="20">
        <f t="shared" si="33"/>
        <v>43</v>
      </c>
    </row>
    <row r="509" spans="1:17" ht="15" customHeight="1" x14ac:dyDescent="0.2">
      <c r="A509" s="20" t="s">
        <v>2719</v>
      </c>
      <c r="B509" s="63">
        <v>45996</v>
      </c>
      <c r="C509" s="20">
        <f t="shared" si="35"/>
        <v>1095</v>
      </c>
      <c r="D509" s="20">
        <v>1</v>
      </c>
      <c r="G509" s="32" t="s">
        <v>115</v>
      </c>
      <c r="H509" s="20" t="s">
        <v>3786</v>
      </c>
      <c r="I509" s="20">
        <v>331</v>
      </c>
      <c r="J509" s="20">
        <v>1111</v>
      </c>
      <c r="K509" s="20" t="s">
        <v>20</v>
      </c>
      <c r="L509" s="20">
        <v>1</v>
      </c>
      <c r="M509" s="34">
        <v>13000</v>
      </c>
      <c r="N509" s="34">
        <f t="shared" si="32"/>
        <v>13000</v>
      </c>
      <c r="O509" s="33" t="s">
        <v>21</v>
      </c>
      <c r="P509" s="20">
        <f t="shared" si="34"/>
        <v>493</v>
      </c>
      <c r="Q509" s="20">
        <f t="shared" si="33"/>
        <v>43</v>
      </c>
    </row>
    <row r="510" spans="1:17" ht="15" customHeight="1" x14ac:dyDescent="0.2">
      <c r="A510" s="20" t="s">
        <v>2719</v>
      </c>
      <c r="B510" s="63">
        <v>45996</v>
      </c>
      <c r="C510" s="20">
        <f t="shared" si="35"/>
        <v>1096</v>
      </c>
      <c r="D510" s="20">
        <v>1</v>
      </c>
      <c r="G510" s="32" t="s">
        <v>115</v>
      </c>
      <c r="H510" s="20" t="s">
        <v>3787</v>
      </c>
      <c r="I510" s="20">
        <v>331</v>
      </c>
      <c r="J510" s="20">
        <v>1111</v>
      </c>
      <c r="K510" s="20" t="s">
        <v>20</v>
      </c>
      <c r="L510" s="20">
        <v>1</v>
      </c>
      <c r="M510" s="34">
        <v>36000</v>
      </c>
      <c r="N510" s="34">
        <f t="shared" si="32"/>
        <v>36000</v>
      </c>
      <c r="O510" s="33" t="s">
        <v>21</v>
      </c>
      <c r="P510" s="20">
        <f t="shared" si="34"/>
        <v>494</v>
      </c>
      <c r="Q510" s="20">
        <f t="shared" si="33"/>
        <v>43</v>
      </c>
    </row>
    <row r="511" spans="1:17" ht="15" customHeight="1" x14ac:dyDescent="0.2">
      <c r="A511" s="20" t="s">
        <v>2719</v>
      </c>
      <c r="B511" s="63">
        <v>45996</v>
      </c>
      <c r="C511" s="20">
        <f t="shared" si="35"/>
        <v>1097</v>
      </c>
      <c r="D511" s="20">
        <v>1</v>
      </c>
      <c r="G511" s="32" t="s">
        <v>115</v>
      </c>
      <c r="H511" s="20" t="s">
        <v>3788</v>
      </c>
      <c r="I511" s="20">
        <v>331</v>
      </c>
      <c r="J511" s="20">
        <v>1111</v>
      </c>
      <c r="K511" s="20" t="s">
        <v>20</v>
      </c>
      <c r="L511" s="20">
        <v>1</v>
      </c>
      <c r="M511" s="34">
        <v>65000</v>
      </c>
      <c r="N511" s="34">
        <f t="shared" si="32"/>
        <v>65000</v>
      </c>
      <c r="O511" s="33" t="s">
        <v>21</v>
      </c>
      <c r="P511" s="20">
        <f t="shared" si="34"/>
        <v>495</v>
      </c>
      <c r="Q511" s="20">
        <f t="shared" si="33"/>
        <v>43</v>
      </c>
    </row>
    <row r="512" spans="1:17" ht="15" customHeight="1" x14ac:dyDescent="0.2">
      <c r="A512" s="20" t="s">
        <v>2719</v>
      </c>
      <c r="B512" s="63">
        <v>45997</v>
      </c>
      <c r="C512" s="20">
        <f t="shared" si="35"/>
        <v>1098</v>
      </c>
      <c r="D512" s="20">
        <v>1</v>
      </c>
      <c r="G512" s="32" t="s">
        <v>115</v>
      </c>
      <c r="H512" s="20" t="s">
        <v>3789</v>
      </c>
      <c r="I512" s="20">
        <v>331</v>
      </c>
      <c r="J512" s="20">
        <v>1111</v>
      </c>
      <c r="K512" s="20" t="s">
        <v>20</v>
      </c>
      <c r="L512" s="20">
        <v>1</v>
      </c>
      <c r="M512" s="34">
        <v>121000</v>
      </c>
      <c r="N512" s="34">
        <f t="shared" si="32"/>
        <v>121000</v>
      </c>
      <c r="O512" s="33" t="s">
        <v>21</v>
      </c>
      <c r="P512" s="20">
        <f t="shared" si="34"/>
        <v>496</v>
      </c>
      <c r="Q512" s="20">
        <f t="shared" si="33"/>
        <v>43</v>
      </c>
    </row>
    <row r="513" spans="1:17" ht="15" customHeight="1" x14ac:dyDescent="0.2">
      <c r="A513" s="20" t="s">
        <v>2719</v>
      </c>
      <c r="B513" s="63">
        <v>45997</v>
      </c>
      <c r="C513" s="20">
        <f t="shared" si="35"/>
        <v>1099</v>
      </c>
      <c r="D513" s="20">
        <v>1</v>
      </c>
      <c r="G513" s="32" t="s">
        <v>115</v>
      </c>
      <c r="H513" s="20" t="s">
        <v>3790</v>
      </c>
      <c r="I513" s="20">
        <v>331</v>
      </c>
      <c r="J513" s="20">
        <v>1111</v>
      </c>
      <c r="K513" s="20" t="s">
        <v>20</v>
      </c>
      <c r="L513" s="20">
        <v>1</v>
      </c>
      <c r="M513" s="34">
        <v>111000</v>
      </c>
      <c r="N513" s="34">
        <f t="shared" si="32"/>
        <v>111000</v>
      </c>
      <c r="O513" s="33" t="s">
        <v>21</v>
      </c>
      <c r="P513" s="20">
        <f t="shared" si="34"/>
        <v>497</v>
      </c>
      <c r="Q513" s="20">
        <f t="shared" si="33"/>
        <v>43</v>
      </c>
    </row>
    <row r="514" spans="1:17" ht="15" customHeight="1" x14ac:dyDescent="0.2">
      <c r="A514" s="20" t="s">
        <v>2719</v>
      </c>
      <c r="B514" s="63">
        <v>45997</v>
      </c>
      <c r="C514" s="20">
        <f t="shared" si="35"/>
        <v>1100</v>
      </c>
      <c r="D514" s="20">
        <v>1</v>
      </c>
      <c r="G514" s="32" t="s">
        <v>115</v>
      </c>
      <c r="H514" s="20" t="s">
        <v>3791</v>
      </c>
      <c r="I514" s="20">
        <v>331</v>
      </c>
      <c r="J514" s="20">
        <v>1111</v>
      </c>
      <c r="K514" s="20" t="s">
        <v>20</v>
      </c>
      <c r="L514" s="20">
        <v>1</v>
      </c>
      <c r="M514" s="34">
        <v>100000</v>
      </c>
      <c r="N514" s="34">
        <f t="shared" si="32"/>
        <v>100000</v>
      </c>
      <c r="O514" s="33" t="s">
        <v>21</v>
      </c>
      <c r="P514" s="20">
        <f t="shared" si="34"/>
        <v>498</v>
      </c>
      <c r="Q514" s="20">
        <f t="shared" si="33"/>
        <v>43</v>
      </c>
    </row>
    <row r="515" spans="1:17" ht="15" customHeight="1" x14ac:dyDescent="0.2">
      <c r="A515" s="20" t="s">
        <v>2719</v>
      </c>
      <c r="B515" s="63">
        <v>45997</v>
      </c>
      <c r="C515" s="20">
        <f t="shared" si="35"/>
        <v>1101</v>
      </c>
      <c r="D515" s="20">
        <v>1</v>
      </c>
      <c r="G515" s="32" t="s">
        <v>115</v>
      </c>
      <c r="H515" s="20" t="s">
        <v>3792</v>
      </c>
      <c r="I515" s="20">
        <v>331</v>
      </c>
      <c r="J515" s="20">
        <v>1111</v>
      </c>
      <c r="K515" s="20" t="s">
        <v>20</v>
      </c>
      <c r="L515" s="20">
        <v>1</v>
      </c>
      <c r="M515" s="34">
        <v>41000</v>
      </c>
      <c r="N515" s="34">
        <f t="shared" ref="N515:N578" si="36">L515*M515</f>
        <v>41000</v>
      </c>
      <c r="O515" s="33" t="s">
        <v>21</v>
      </c>
      <c r="P515" s="20">
        <f t="shared" si="34"/>
        <v>499</v>
      </c>
      <c r="Q515" s="20">
        <f t="shared" si="33"/>
        <v>43</v>
      </c>
    </row>
    <row r="516" spans="1:17" ht="15" customHeight="1" x14ac:dyDescent="0.2">
      <c r="A516" s="20" t="s">
        <v>2719</v>
      </c>
      <c r="B516" s="63">
        <v>45997</v>
      </c>
      <c r="C516" s="20">
        <f t="shared" si="35"/>
        <v>1102</v>
      </c>
      <c r="D516" s="20">
        <v>1</v>
      </c>
      <c r="G516" s="32" t="s">
        <v>115</v>
      </c>
      <c r="H516" s="20" t="s">
        <v>3793</v>
      </c>
      <c r="I516" s="20">
        <v>331</v>
      </c>
      <c r="J516" s="20">
        <v>1111</v>
      </c>
      <c r="K516" s="20" t="s">
        <v>20</v>
      </c>
      <c r="L516" s="20">
        <v>1</v>
      </c>
      <c r="M516" s="34">
        <v>40000</v>
      </c>
      <c r="N516" s="34">
        <f t="shared" si="36"/>
        <v>40000</v>
      </c>
      <c r="O516" s="33" t="s">
        <v>21</v>
      </c>
      <c r="P516" s="20">
        <f t="shared" si="34"/>
        <v>500</v>
      </c>
      <c r="Q516" s="20">
        <f t="shared" si="33"/>
        <v>43</v>
      </c>
    </row>
    <row r="517" spans="1:17" ht="15" customHeight="1" x14ac:dyDescent="0.2">
      <c r="A517" s="20" t="s">
        <v>2719</v>
      </c>
      <c r="B517" s="63">
        <v>45997</v>
      </c>
      <c r="C517" s="20">
        <f t="shared" si="35"/>
        <v>1103</v>
      </c>
      <c r="D517" s="20">
        <v>1</v>
      </c>
      <c r="G517" s="32" t="s">
        <v>1354</v>
      </c>
      <c r="H517" s="20" t="s">
        <v>3794</v>
      </c>
      <c r="I517" s="20">
        <v>331</v>
      </c>
      <c r="J517" s="20">
        <v>1111</v>
      </c>
      <c r="K517" s="20" t="s">
        <v>20</v>
      </c>
      <c r="L517" s="20">
        <v>1</v>
      </c>
      <c r="M517" s="34">
        <v>2499630</v>
      </c>
      <c r="N517" s="34">
        <f t="shared" si="36"/>
        <v>2499630</v>
      </c>
      <c r="O517" s="33" t="s">
        <v>21</v>
      </c>
      <c r="P517" s="20">
        <f t="shared" si="34"/>
        <v>501</v>
      </c>
      <c r="Q517" s="20">
        <f t="shared" ref="Q517:Q580" si="37">LEN(H517)</f>
        <v>52</v>
      </c>
    </row>
    <row r="518" spans="1:17" ht="15" customHeight="1" x14ac:dyDescent="0.2">
      <c r="A518" s="20" t="s">
        <v>2719</v>
      </c>
      <c r="B518" s="63">
        <v>45998</v>
      </c>
      <c r="C518" s="20">
        <f t="shared" si="35"/>
        <v>1104</v>
      </c>
      <c r="D518" s="20">
        <v>1</v>
      </c>
      <c r="G518" s="32" t="s">
        <v>115</v>
      </c>
      <c r="H518" s="20" t="s">
        <v>3795</v>
      </c>
      <c r="I518" s="20">
        <v>331</v>
      </c>
      <c r="J518" s="20">
        <v>1111</v>
      </c>
      <c r="K518" s="20" t="s">
        <v>20</v>
      </c>
      <c r="L518" s="20">
        <v>1</v>
      </c>
      <c r="M518" s="34">
        <v>32000</v>
      </c>
      <c r="N518" s="34">
        <f t="shared" si="36"/>
        <v>32000</v>
      </c>
      <c r="O518" s="33" t="s">
        <v>21</v>
      </c>
      <c r="P518" s="20">
        <f t="shared" ref="P518:P581" si="38">P517+D518</f>
        <v>502</v>
      </c>
      <c r="Q518" s="20">
        <f t="shared" si="37"/>
        <v>43</v>
      </c>
    </row>
    <row r="519" spans="1:17" ht="15" customHeight="1" x14ac:dyDescent="0.2">
      <c r="A519" s="20" t="s">
        <v>2719</v>
      </c>
      <c r="B519" s="63">
        <v>45998</v>
      </c>
      <c r="C519" s="20">
        <f t="shared" si="35"/>
        <v>1105</v>
      </c>
      <c r="D519" s="20">
        <v>1</v>
      </c>
      <c r="G519" s="32" t="s">
        <v>115</v>
      </c>
      <c r="H519" s="20" t="s">
        <v>3796</v>
      </c>
      <c r="I519" s="20">
        <v>331</v>
      </c>
      <c r="J519" s="20">
        <v>1111</v>
      </c>
      <c r="K519" s="20" t="s">
        <v>20</v>
      </c>
      <c r="L519" s="20">
        <v>1</v>
      </c>
      <c r="M519" s="34">
        <v>63000</v>
      </c>
      <c r="N519" s="34">
        <f t="shared" si="36"/>
        <v>63000</v>
      </c>
      <c r="O519" s="33" t="s">
        <v>21</v>
      </c>
      <c r="P519" s="20">
        <f t="shared" si="38"/>
        <v>503</v>
      </c>
      <c r="Q519" s="20">
        <f t="shared" si="37"/>
        <v>43</v>
      </c>
    </row>
    <row r="520" spans="1:17" ht="15" customHeight="1" x14ac:dyDescent="0.2">
      <c r="A520" s="20" t="s">
        <v>2719</v>
      </c>
      <c r="B520" s="63">
        <v>45998</v>
      </c>
      <c r="C520" s="20">
        <f t="shared" si="35"/>
        <v>1106</v>
      </c>
      <c r="D520" s="20">
        <v>1</v>
      </c>
      <c r="G520" s="32" t="s">
        <v>28</v>
      </c>
      <c r="H520" s="20" t="s">
        <v>3797</v>
      </c>
      <c r="I520" s="20">
        <v>331</v>
      </c>
      <c r="J520" s="20">
        <v>1111</v>
      </c>
      <c r="K520" s="20" t="s">
        <v>20</v>
      </c>
      <c r="L520" s="20">
        <v>1</v>
      </c>
      <c r="M520" s="34">
        <v>572400</v>
      </c>
      <c r="N520" s="34">
        <f t="shared" si="36"/>
        <v>572400</v>
      </c>
      <c r="O520" s="33" t="s">
        <v>21</v>
      </c>
      <c r="P520" s="20">
        <f t="shared" si="38"/>
        <v>504</v>
      </c>
      <c r="Q520" s="20">
        <f t="shared" si="37"/>
        <v>53</v>
      </c>
    </row>
    <row r="521" spans="1:17" ht="15" customHeight="1" x14ac:dyDescent="0.2">
      <c r="A521" s="20" t="s">
        <v>2719</v>
      </c>
      <c r="B521" s="63">
        <v>45998</v>
      </c>
      <c r="C521" s="20">
        <f t="shared" si="35"/>
        <v>1107</v>
      </c>
      <c r="D521" s="20">
        <v>1</v>
      </c>
      <c r="G521" s="32" t="s">
        <v>1353</v>
      </c>
      <c r="H521" s="20" t="s">
        <v>3798</v>
      </c>
      <c r="I521" s="20">
        <v>331</v>
      </c>
      <c r="J521" s="20">
        <v>1111</v>
      </c>
      <c r="K521" s="20" t="s">
        <v>20</v>
      </c>
      <c r="L521" s="20">
        <v>1</v>
      </c>
      <c r="M521" s="34">
        <v>2547000</v>
      </c>
      <c r="N521" s="34">
        <f t="shared" si="36"/>
        <v>2547000</v>
      </c>
      <c r="O521" s="33" t="s">
        <v>21</v>
      </c>
      <c r="P521" s="20">
        <f t="shared" si="38"/>
        <v>505</v>
      </c>
      <c r="Q521" s="20">
        <f t="shared" si="37"/>
        <v>49</v>
      </c>
    </row>
    <row r="522" spans="1:17" ht="15" customHeight="1" x14ac:dyDescent="0.2">
      <c r="A522" s="20" t="s">
        <v>2719</v>
      </c>
      <c r="B522" s="69">
        <v>45999</v>
      </c>
      <c r="C522" s="20">
        <f t="shared" si="35"/>
        <v>1108</v>
      </c>
      <c r="D522" s="20">
        <v>1</v>
      </c>
      <c r="G522" s="59" t="s">
        <v>115</v>
      </c>
      <c r="H522" s="20" t="s">
        <v>3799</v>
      </c>
      <c r="I522" s="20">
        <v>331</v>
      </c>
      <c r="J522" s="20">
        <v>1111</v>
      </c>
      <c r="K522" s="20" t="s">
        <v>20</v>
      </c>
      <c r="L522" s="20">
        <v>1</v>
      </c>
      <c r="M522" s="67">
        <v>39000</v>
      </c>
      <c r="N522" s="34">
        <f t="shared" si="36"/>
        <v>39000</v>
      </c>
      <c r="O522" s="33" t="s">
        <v>21</v>
      </c>
      <c r="P522" s="20">
        <f t="shared" si="38"/>
        <v>506</v>
      </c>
      <c r="Q522" s="20">
        <f t="shared" si="37"/>
        <v>43</v>
      </c>
    </row>
    <row r="523" spans="1:17" ht="15" customHeight="1" x14ac:dyDescent="0.2">
      <c r="A523" s="20" t="s">
        <v>2719</v>
      </c>
      <c r="B523" s="69">
        <v>45999</v>
      </c>
      <c r="C523" s="20">
        <f t="shared" si="35"/>
        <v>1109</v>
      </c>
      <c r="D523" s="20">
        <v>1</v>
      </c>
      <c r="G523" s="59" t="s">
        <v>1359</v>
      </c>
      <c r="H523" s="20" t="s">
        <v>3800</v>
      </c>
      <c r="I523" s="20">
        <v>331</v>
      </c>
      <c r="J523" s="20">
        <v>1111</v>
      </c>
      <c r="K523" s="20" t="s">
        <v>20</v>
      </c>
      <c r="L523" s="20">
        <v>1</v>
      </c>
      <c r="M523" s="67">
        <v>1275750</v>
      </c>
      <c r="N523" s="34">
        <f t="shared" si="36"/>
        <v>1275750</v>
      </c>
      <c r="O523" s="33" t="s">
        <v>21</v>
      </c>
      <c r="P523" s="20">
        <f t="shared" si="38"/>
        <v>507</v>
      </c>
      <c r="Q523" s="20">
        <f t="shared" si="37"/>
        <v>53</v>
      </c>
    </row>
    <row r="524" spans="1:17" ht="15" customHeight="1" x14ac:dyDescent="0.2">
      <c r="A524" s="20" t="s">
        <v>2719</v>
      </c>
      <c r="B524" s="69">
        <v>46002</v>
      </c>
      <c r="C524" s="20">
        <f t="shared" si="35"/>
        <v>1110</v>
      </c>
      <c r="D524" s="20">
        <v>1</v>
      </c>
      <c r="G524" s="59" t="s">
        <v>115</v>
      </c>
      <c r="H524" s="20" t="s">
        <v>3801</v>
      </c>
      <c r="I524" s="20">
        <v>331</v>
      </c>
      <c r="J524" s="20">
        <v>1111</v>
      </c>
      <c r="K524" s="20" t="s">
        <v>20</v>
      </c>
      <c r="L524" s="20">
        <v>1</v>
      </c>
      <c r="M524" s="67">
        <v>68000</v>
      </c>
      <c r="N524" s="34">
        <f t="shared" si="36"/>
        <v>68000</v>
      </c>
      <c r="O524" s="33" t="s">
        <v>21</v>
      </c>
      <c r="P524" s="20">
        <f t="shared" si="38"/>
        <v>508</v>
      </c>
      <c r="Q524" s="20">
        <f t="shared" si="37"/>
        <v>43</v>
      </c>
    </row>
    <row r="525" spans="1:17" ht="15" customHeight="1" x14ac:dyDescent="0.2">
      <c r="A525" s="20" t="s">
        <v>2719</v>
      </c>
      <c r="B525" s="63">
        <v>46002</v>
      </c>
      <c r="C525" s="20">
        <f t="shared" si="35"/>
        <v>1111</v>
      </c>
      <c r="D525" s="20">
        <v>1</v>
      </c>
      <c r="G525" s="32" t="s">
        <v>115</v>
      </c>
      <c r="H525" s="20" t="s">
        <v>3802</v>
      </c>
      <c r="I525" s="20">
        <v>331</v>
      </c>
      <c r="J525" s="20">
        <v>1111</v>
      </c>
      <c r="K525" s="20" t="s">
        <v>20</v>
      </c>
      <c r="L525" s="20">
        <v>1</v>
      </c>
      <c r="M525" s="34">
        <v>146000</v>
      </c>
      <c r="N525" s="34">
        <f t="shared" si="36"/>
        <v>146000</v>
      </c>
      <c r="O525" s="33" t="s">
        <v>21</v>
      </c>
      <c r="P525" s="20">
        <f t="shared" si="38"/>
        <v>509</v>
      </c>
      <c r="Q525" s="20">
        <f t="shared" si="37"/>
        <v>43</v>
      </c>
    </row>
    <row r="526" spans="1:17" ht="15" customHeight="1" x14ac:dyDescent="0.2">
      <c r="A526" s="20" t="s">
        <v>2719</v>
      </c>
      <c r="B526" s="63">
        <v>46004</v>
      </c>
      <c r="C526" s="20">
        <f t="shared" si="35"/>
        <v>1112</v>
      </c>
      <c r="D526" s="20">
        <v>1</v>
      </c>
      <c r="G526" s="32" t="s">
        <v>115</v>
      </c>
      <c r="H526" s="20" t="s">
        <v>3803</v>
      </c>
      <c r="I526" s="20">
        <v>331</v>
      </c>
      <c r="J526" s="20">
        <v>1111</v>
      </c>
      <c r="K526" s="20" t="s">
        <v>20</v>
      </c>
      <c r="L526" s="20">
        <v>1</v>
      </c>
      <c r="M526" s="34">
        <v>38000</v>
      </c>
      <c r="N526" s="34">
        <f t="shared" si="36"/>
        <v>38000</v>
      </c>
      <c r="O526" s="33" t="s">
        <v>21</v>
      </c>
      <c r="P526" s="20">
        <f t="shared" si="38"/>
        <v>510</v>
      </c>
      <c r="Q526" s="20">
        <f t="shared" si="37"/>
        <v>43</v>
      </c>
    </row>
    <row r="527" spans="1:17" ht="15" customHeight="1" x14ac:dyDescent="0.2">
      <c r="A527" s="20" t="s">
        <v>2719</v>
      </c>
      <c r="B527" s="63">
        <v>46004</v>
      </c>
      <c r="C527" s="20">
        <f t="shared" si="35"/>
        <v>1113</v>
      </c>
      <c r="D527" s="20">
        <v>1</v>
      </c>
      <c r="G527" s="32" t="s">
        <v>115</v>
      </c>
      <c r="H527" s="20" t="s">
        <v>3804</v>
      </c>
      <c r="I527" s="20">
        <v>331</v>
      </c>
      <c r="J527" s="20">
        <v>1111</v>
      </c>
      <c r="K527" s="20" t="s">
        <v>20</v>
      </c>
      <c r="L527" s="20">
        <v>1</v>
      </c>
      <c r="M527" s="34">
        <v>18000</v>
      </c>
      <c r="N527" s="34">
        <f t="shared" si="36"/>
        <v>18000</v>
      </c>
      <c r="O527" s="33" t="s">
        <v>21</v>
      </c>
      <c r="P527" s="20">
        <f t="shared" si="38"/>
        <v>511</v>
      </c>
      <c r="Q527" s="20">
        <f t="shared" si="37"/>
        <v>43</v>
      </c>
    </row>
    <row r="528" spans="1:17" ht="15" customHeight="1" x14ac:dyDescent="0.2">
      <c r="A528" s="20" t="s">
        <v>2719</v>
      </c>
      <c r="B528" s="63">
        <v>46004</v>
      </c>
      <c r="C528" s="20">
        <f t="shared" si="35"/>
        <v>1114</v>
      </c>
      <c r="D528" s="20">
        <v>1</v>
      </c>
      <c r="G528" s="32" t="s">
        <v>115</v>
      </c>
      <c r="H528" s="20" t="s">
        <v>3805</v>
      </c>
      <c r="I528" s="20">
        <v>331</v>
      </c>
      <c r="J528" s="20">
        <v>1111</v>
      </c>
      <c r="K528" s="20" t="s">
        <v>20</v>
      </c>
      <c r="L528" s="20">
        <v>1</v>
      </c>
      <c r="M528" s="34">
        <v>13000</v>
      </c>
      <c r="N528" s="34">
        <f t="shared" si="36"/>
        <v>13000</v>
      </c>
      <c r="O528" s="33" t="s">
        <v>21</v>
      </c>
      <c r="P528" s="20">
        <f t="shared" si="38"/>
        <v>512</v>
      </c>
      <c r="Q528" s="20">
        <f t="shared" si="37"/>
        <v>43</v>
      </c>
    </row>
    <row r="529" spans="1:17" ht="15" customHeight="1" x14ac:dyDescent="0.2">
      <c r="A529" s="20" t="s">
        <v>2719</v>
      </c>
      <c r="B529" s="63">
        <v>46004</v>
      </c>
      <c r="C529" s="20">
        <f t="shared" si="35"/>
        <v>1115</v>
      </c>
      <c r="D529" s="20">
        <v>1</v>
      </c>
      <c r="G529" s="32" t="s">
        <v>115</v>
      </c>
      <c r="H529" s="20" t="s">
        <v>3806</v>
      </c>
      <c r="I529" s="20">
        <v>331</v>
      </c>
      <c r="J529" s="20">
        <v>1111</v>
      </c>
      <c r="K529" s="20" t="s">
        <v>20</v>
      </c>
      <c r="L529" s="20">
        <v>1</v>
      </c>
      <c r="M529" s="34">
        <v>15000</v>
      </c>
      <c r="N529" s="34">
        <f t="shared" si="36"/>
        <v>15000</v>
      </c>
      <c r="O529" s="33" t="s">
        <v>21</v>
      </c>
      <c r="P529" s="20">
        <f t="shared" si="38"/>
        <v>513</v>
      </c>
      <c r="Q529" s="20">
        <f t="shared" si="37"/>
        <v>43</v>
      </c>
    </row>
    <row r="530" spans="1:17" ht="15" customHeight="1" x14ac:dyDescent="0.2">
      <c r="A530" s="20" t="s">
        <v>2719</v>
      </c>
      <c r="B530" s="63">
        <v>46004</v>
      </c>
      <c r="C530" s="20">
        <f t="shared" si="35"/>
        <v>1116</v>
      </c>
      <c r="D530" s="20">
        <v>1</v>
      </c>
      <c r="G530" s="32" t="s">
        <v>115</v>
      </c>
      <c r="H530" s="20" t="s">
        <v>3807</v>
      </c>
      <c r="I530" s="20">
        <v>331</v>
      </c>
      <c r="J530" s="20">
        <v>1111</v>
      </c>
      <c r="K530" s="20" t="s">
        <v>20</v>
      </c>
      <c r="L530" s="20">
        <v>1</v>
      </c>
      <c r="M530" s="34">
        <v>35000</v>
      </c>
      <c r="N530" s="34">
        <f t="shared" si="36"/>
        <v>35000</v>
      </c>
      <c r="O530" s="33" t="s">
        <v>21</v>
      </c>
      <c r="P530" s="20">
        <f t="shared" si="38"/>
        <v>514</v>
      </c>
      <c r="Q530" s="20">
        <f t="shared" si="37"/>
        <v>43</v>
      </c>
    </row>
    <row r="531" spans="1:17" ht="15" customHeight="1" x14ac:dyDescent="0.2">
      <c r="A531" s="20" t="s">
        <v>2719</v>
      </c>
      <c r="B531" s="63">
        <v>46004</v>
      </c>
      <c r="C531" s="20">
        <f t="shared" si="35"/>
        <v>1117</v>
      </c>
      <c r="D531" s="20">
        <v>1</v>
      </c>
      <c r="G531" s="32" t="s">
        <v>115</v>
      </c>
      <c r="H531" s="20" t="s">
        <v>3808</v>
      </c>
      <c r="I531" s="20">
        <v>331</v>
      </c>
      <c r="J531" s="20">
        <v>1111</v>
      </c>
      <c r="K531" s="20" t="s">
        <v>20</v>
      </c>
      <c r="L531" s="20">
        <v>1</v>
      </c>
      <c r="M531" s="34">
        <v>30000</v>
      </c>
      <c r="N531" s="34">
        <f t="shared" si="36"/>
        <v>30000</v>
      </c>
      <c r="O531" s="33" t="s">
        <v>21</v>
      </c>
      <c r="P531" s="20">
        <f t="shared" si="38"/>
        <v>515</v>
      </c>
      <c r="Q531" s="20">
        <f t="shared" si="37"/>
        <v>43</v>
      </c>
    </row>
    <row r="532" spans="1:17" ht="15" customHeight="1" x14ac:dyDescent="0.2">
      <c r="A532" s="20" t="s">
        <v>2719</v>
      </c>
      <c r="B532" s="63">
        <v>46004</v>
      </c>
      <c r="C532" s="20">
        <f t="shared" si="35"/>
        <v>1118</v>
      </c>
      <c r="D532" s="20">
        <v>1</v>
      </c>
      <c r="G532" s="32" t="s">
        <v>115</v>
      </c>
      <c r="H532" s="20" t="s">
        <v>3809</v>
      </c>
      <c r="I532" s="20">
        <v>331</v>
      </c>
      <c r="J532" s="20">
        <v>1111</v>
      </c>
      <c r="K532" s="20" t="s">
        <v>20</v>
      </c>
      <c r="L532" s="20">
        <v>1</v>
      </c>
      <c r="M532" s="34">
        <v>14000</v>
      </c>
      <c r="N532" s="34">
        <f t="shared" si="36"/>
        <v>14000</v>
      </c>
      <c r="O532" s="33" t="s">
        <v>21</v>
      </c>
      <c r="P532" s="20">
        <f t="shared" si="38"/>
        <v>516</v>
      </c>
      <c r="Q532" s="20">
        <f t="shared" si="37"/>
        <v>43</v>
      </c>
    </row>
    <row r="533" spans="1:17" ht="15" customHeight="1" x14ac:dyDescent="0.2">
      <c r="A533" s="20" t="s">
        <v>2719</v>
      </c>
      <c r="B533" s="63">
        <v>46004</v>
      </c>
      <c r="C533" s="20">
        <f t="shared" si="35"/>
        <v>1119</v>
      </c>
      <c r="D533" s="20">
        <v>1</v>
      </c>
      <c r="G533" s="32" t="s">
        <v>115</v>
      </c>
      <c r="H533" s="20" t="s">
        <v>3810</v>
      </c>
      <c r="I533" s="20">
        <v>331</v>
      </c>
      <c r="J533" s="20">
        <v>1111</v>
      </c>
      <c r="K533" s="20" t="s">
        <v>20</v>
      </c>
      <c r="L533" s="20">
        <v>1</v>
      </c>
      <c r="M533" s="34">
        <v>30000</v>
      </c>
      <c r="N533" s="34">
        <f t="shared" si="36"/>
        <v>30000</v>
      </c>
      <c r="O533" s="33" t="s">
        <v>21</v>
      </c>
      <c r="P533" s="20">
        <f t="shared" si="38"/>
        <v>517</v>
      </c>
      <c r="Q533" s="20">
        <f t="shared" si="37"/>
        <v>43</v>
      </c>
    </row>
    <row r="534" spans="1:17" ht="15" customHeight="1" x14ac:dyDescent="0.2">
      <c r="A534" s="20" t="s">
        <v>2719</v>
      </c>
      <c r="B534" s="63">
        <v>46004</v>
      </c>
      <c r="C534" s="20">
        <f t="shared" si="35"/>
        <v>1120</v>
      </c>
      <c r="D534" s="20">
        <v>1</v>
      </c>
      <c r="G534" s="32" t="s">
        <v>115</v>
      </c>
      <c r="H534" s="20" t="s">
        <v>3811</v>
      </c>
      <c r="I534" s="20">
        <v>331</v>
      </c>
      <c r="J534" s="20">
        <v>1111</v>
      </c>
      <c r="K534" s="20" t="s">
        <v>20</v>
      </c>
      <c r="L534" s="20">
        <v>1</v>
      </c>
      <c r="M534" s="34">
        <v>85000</v>
      </c>
      <c r="N534" s="34">
        <f t="shared" si="36"/>
        <v>85000</v>
      </c>
      <c r="O534" s="33" t="s">
        <v>21</v>
      </c>
      <c r="P534" s="20">
        <f t="shared" si="38"/>
        <v>518</v>
      </c>
      <c r="Q534" s="20">
        <f t="shared" si="37"/>
        <v>43</v>
      </c>
    </row>
    <row r="535" spans="1:17" ht="15" customHeight="1" x14ac:dyDescent="0.2">
      <c r="A535" s="20" t="s">
        <v>2719</v>
      </c>
      <c r="B535" s="63">
        <v>46009</v>
      </c>
      <c r="C535" s="20">
        <f t="shared" si="35"/>
        <v>1121</v>
      </c>
      <c r="D535" s="20">
        <v>1</v>
      </c>
      <c r="G535" s="32" t="s">
        <v>115</v>
      </c>
      <c r="H535" s="20" t="s">
        <v>3812</v>
      </c>
      <c r="I535" s="20">
        <v>331</v>
      </c>
      <c r="J535" s="20">
        <v>1111</v>
      </c>
      <c r="K535" s="20" t="s">
        <v>20</v>
      </c>
      <c r="L535" s="20">
        <v>1</v>
      </c>
      <c r="M535" s="34">
        <v>-46000</v>
      </c>
      <c r="N535" s="34">
        <f t="shared" si="36"/>
        <v>-46000</v>
      </c>
      <c r="O535" s="33" t="s">
        <v>21</v>
      </c>
      <c r="P535" s="20">
        <f t="shared" si="38"/>
        <v>519</v>
      </c>
      <c r="Q535" s="20">
        <f t="shared" si="37"/>
        <v>44</v>
      </c>
    </row>
    <row r="536" spans="1:17" ht="15" customHeight="1" x14ac:dyDescent="0.2">
      <c r="A536" s="20" t="s">
        <v>2719</v>
      </c>
      <c r="B536" s="63">
        <v>46010</v>
      </c>
      <c r="C536" s="20">
        <f t="shared" si="35"/>
        <v>1122</v>
      </c>
      <c r="D536" s="20">
        <v>1</v>
      </c>
      <c r="G536" s="32" t="s">
        <v>115</v>
      </c>
      <c r="H536" s="20" t="s">
        <v>3813</v>
      </c>
      <c r="I536" s="20">
        <v>331</v>
      </c>
      <c r="J536" s="20">
        <v>1111</v>
      </c>
      <c r="K536" s="20" t="s">
        <v>20</v>
      </c>
      <c r="L536" s="20">
        <v>1</v>
      </c>
      <c r="M536" s="34">
        <v>-74000</v>
      </c>
      <c r="N536" s="34">
        <f t="shared" si="36"/>
        <v>-74000</v>
      </c>
      <c r="O536" s="33" t="s">
        <v>21</v>
      </c>
      <c r="P536" s="20">
        <f t="shared" si="38"/>
        <v>520</v>
      </c>
      <c r="Q536" s="20">
        <f t="shared" si="37"/>
        <v>44</v>
      </c>
    </row>
    <row r="537" spans="1:17" ht="15" customHeight="1" x14ac:dyDescent="0.2">
      <c r="A537" s="20" t="s">
        <v>2719</v>
      </c>
      <c r="B537" s="63">
        <v>46010</v>
      </c>
      <c r="C537" s="20">
        <f t="shared" si="35"/>
        <v>1123</v>
      </c>
      <c r="D537" s="20">
        <v>1</v>
      </c>
      <c r="G537" s="32" t="s">
        <v>115</v>
      </c>
      <c r="H537" s="20" t="s">
        <v>3814</v>
      </c>
      <c r="I537" s="20">
        <v>331</v>
      </c>
      <c r="J537" s="20">
        <v>1111</v>
      </c>
      <c r="K537" s="20" t="s">
        <v>20</v>
      </c>
      <c r="L537" s="20">
        <v>1</v>
      </c>
      <c r="M537" s="34">
        <v>-74000</v>
      </c>
      <c r="N537" s="34">
        <f t="shared" si="36"/>
        <v>-74000</v>
      </c>
      <c r="O537" s="33" t="s">
        <v>21</v>
      </c>
      <c r="P537" s="20">
        <f t="shared" si="38"/>
        <v>521</v>
      </c>
      <c r="Q537" s="20">
        <f t="shared" si="37"/>
        <v>44</v>
      </c>
    </row>
    <row r="538" spans="1:17" ht="15" customHeight="1" x14ac:dyDescent="0.2">
      <c r="A538" s="20" t="s">
        <v>2719</v>
      </c>
      <c r="B538" s="63">
        <v>46010</v>
      </c>
      <c r="C538" s="20">
        <f t="shared" si="35"/>
        <v>1124</v>
      </c>
      <c r="D538" s="20">
        <v>1</v>
      </c>
      <c r="G538" s="32" t="s">
        <v>115</v>
      </c>
      <c r="H538" s="20" t="s">
        <v>3815</v>
      </c>
      <c r="I538" s="20">
        <v>331</v>
      </c>
      <c r="J538" s="20">
        <v>1111</v>
      </c>
      <c r="K538" s="20" t="s">
        <v>20</v>
      </c>
      <c r="L538" s="20">
        <v>1</v>
      </c>
      <c r="M538" s="34">
        <v>-74000</v>
      </c>
      <c r="N538" s="34">
        <f t="shared" si="36"/>
        <v>-74000</v>
      </c>
      <c r="O538" s="33" t="s">
        <v>21</v>
      </c>
      <c r="P538" s="20">
        <f t="shared" si="38"/>
        <v>522</v>
      </c>
      <c r="Q538" s="20">
        <f t="shared" si="37"/>
        <v>44</v>
      </c>
    </row>
    <row r="539" spans="1:17" ht="15" customHeight="1" x14ac:dyDescent="0.2">
      <c r="A539" s="20" t="s">
        <v>2719</v>
      </c>
      <c r="B539" s="63">
        <v>46010</v>
      </c>
      <c r="C539" s="20">
        <f t="shared" si="35"/>
        <v>1125</v>
      </c>
      <c r="D539" s="20">
        <v>1</v>
      </c>
      <c r="G539" s="32" t="s">
        <v>115</v>
      </c>
      <c r="H539" s="20" t="s">
        <v>3816</v>
      </c>
      <c r="I539" s="20">
        <v>331</v>
      </c>
      <c r="J539" s="20">
        <v>1111</v>
      </c>
      <c r="K539" s="20" t="s">
        <v>20</v>
      </c>
      <c r="L539" s="20">
        <v>1</v>
      </c>
      <c r="M539" s="34">
        <v>-26000</v>
      </c>
      <c r="N539" s="34">
        <f t="shared" si="36"/>
        <v>-26000</v>
      </c>
      <c r="O539" s="33" t="s">
        <v>21</v>
      </c>
      <c r="P539" s="20">
        <f t="shared" si="38"/>
        <v>523</v>
      </c>
      <c r="Q539" s="20">
        <f t="shared" si="37"/>
        <v>44</v>
      </c>
    </row>
    <row r="540" spans="1:17" ht="15" customHeight="1" x14ac:dyDescent="0.2">
      <c r="A540" s="20" t="s">
        <v>2719</v>
      </c>
      <c r="B540" s="63">
        <v>46011</v>
      </c>
      <c r="C540" s="20">
        <f t="shared" si="35"/>
        <v>1126</v>
      </c>
      <c r="D540" s="20">
        <v>1</v>
      </c>
      <c r="G540" s="32" t="s">
        <v>115</v>
      </c>
      <c r="H540" s="20" t="s">
        <v>3817</v>
      </c>
      <c r="I540" s="20">
        <v>331</v>
      </c>
      <c r="J540" s="20">
        <v>1111</v>
      </c>
      <c r="K540" s="20" t="s">
        <v>20</v>
      </c>
      <c r="L540" s="20">
        <v>1</v>
      </c>
      <c r="M540" s="34">
        <v>-74000</v>
      </c>
      <c r="N540" s="34">
        <f t="shared" si="36"/>
        <v>-74000</v>
      </c>
      <c r="O540" s="33" t="s">
        <v>21</v>
      </c>
      <c r="P540" s="20">
        <f t="shared" si="38"/>
        <v>524</v>
      </c>
      <c r="Q540" s="20">
        <f t="shared" si="37"/>
        <v>44</v>
      </c>
    </row>
    <row r="541" spans="1:17" ht="15" customHeight="1" x14ac:dyDescent="0.2">
      <c r="A541" s="20" t="s">
        <v>2719</v>
      </c>
      <c r="B541" s="63">
        <v>46011</v>
      </c>
      <c r="C541" s="20">
        <f t="shared" si="35"/>
        <v>1127</v>
      </c>
      <c r="D541" s="20">
        <v>1</v>
      </c>
      <c r="G541" s="32" t="s">
        <v>115</v>
      </c>
      <c r="H541" s="20" t="s">
        <v>3818</v>
      </c>
      <c r="I541" s="20">
        <v>331</v>
      </c>
      <c r="J541" s="20">
        <v>1111</v>
      </c>
      <c r="K541" s="20" t="s">
        <v>20</v>
      </c>
      <c r="L541" s="20">
        <v>1</v>
      </c>
      <c r="M541" s="34">
        <v>-74000</v>
      </c>
      <c r="N541" s="34">
        <f t="shared" si="36"/>
        <v>-74000</v>
      </c>
      <c r="O541" s="33" t="s">
        <v>21</v>
      </c>
      <c r="P541" s="20">
        <f t="shared" si="38"/>
        <v>525</v>
      </c>
      <c r="Q541" s="20">
        <f t="shared" si="37"/>
        <v>44</v>
      </c>
    </row>
    <row r="542" spans="1:17" ht="15" customHeight="1" x14ac:dyDescent="0.2">
      <c r="A542" s="20" t="s">
        <v>2719</v>
      </c>
      <c r="B542" s="63">
        <v>46011</v>
      </c>
      <c r="C542" s="20">
        <f t="shared" si="35"/>
        <v>1128</v>
      </c>
      <c r="D542" s="20">
        <v>1</v>
      </c>
      <c r="G542" s="32" t="s">
        <v>115</v>
      </c>
      <c r="H542" s="20" t="s">
        <v>3819</v>
      </c>
      <c r="I542" s="20">
        <v>331</v>
      </c>
      <c r="J542" s="20">
        <v>1111</v>
      </c>
      <c r="K542" s="20" t="s">
        <v>20</v>
      </c>
      <c r="L542" s="20">
        <v>1</v>
      </c>
      <c r="M542" s="34">
        <v>-74000</v>
      </c>
      <c r="N542" s="34">
        <f t="shared" si="36"/>
        <v>-74000</v>
      </c>
      <c r="O542" s="33" t="s">
        <v>21</v>
      </c>
      <c r="P542" s="20">
        <f t="shared" si="38"/>
        <v>526</v>
      </c>
      <c r="Q542" s="20">
        <f t="shared" si="37"/>
        <v>44</v>
      </c>
    </row>
    <row r="543" spans="1:17" ht="15" customHeight="1" x14ac:dyDescent="0.2">
      <c r="A543" s="20" t="s">
        <v>2719</v>
      </c>
      <c r="B543" s="63">
        <v>46011</v>
      </c>
      <c r="C543" s="20">
        <f t="shared" si="35"/>
        <v>1129</v>
      </c>
      <c r="D543" s="20">
        <v>1</v>
      </c>
      <c r="G543" s="32" t="s">
        <v>115</v>
      </c>
      <c r="H543" s="20" t="s">
        <v>3820</v>
      </c>
      <c r="I543" s="20">
        <v>331</v>
      </c>
      <c r="J543" s="20">
        <v>1111</v>
      </c>
      <c r="K543" s="20" t="s">
        <v>20</v>
      </c>
      <c r="L543" s="20">
        <v>1</v>
      </c>
      <c r="M543" s="34">
        <v>-74000</v>
      </c>
      <c r="N543" s="34">
        <f t="shared" si="36"/>
        <v>-74000</v>
      </c>
      <c r="O543" s="33" t="s">
        <v>21</v>
      </c>
      <c r="P543" s="20">
        <f t="shared" si="38"/>
        <v>527</v>
      </c>
      <c r="Q543" s="20">
        <f t="shared" si="37"/>
        <v>44</v>
      </c>
    </row>
    <row r="544" spans="1:17" ht="15" customHeight="1" x14ac:dyDescent="0.2">
      <c r="A544" s="20" t="s">
        <v>2719</v>
      </c>
      <c r="B544" s="63">
        <v>46011</v>
      </c>
      <c r="C544" s="20">
        <f t="shared" si="35"/>
        <v>1130</v>
      </c>
      <c r="D544" s="20">
        <v>1</v>
      </c>
      <c r="G544" s="32" t="s">
        <v>115</v>
      </c>
      <c r="H544" s="20" t="s">
        <v>3821</v>
      </c>
      <c r="I544" s="20">
        <v>331</v>
      </c>
      <c r="J544" s="20">
        <v>1111</v>
      </c>
      <c r="K544" s="20" t="s">
        <v>20</v>
      </c>
      <c r="L544" s="20">
        <v>1</v>
      </c>
      <c r="M544" s="34">
        <v>-74000</v>
      </c>
      <c r="N544" s="34">
        <f t="shared" si="36"/>
        <v>-74000</v>
      </c>
      <c r="O544" s="33" t="s">
        <v>21</v>
      </c>
      <c r="P544" s="20">
        <f t="shared" si="38"/>
        <v>528</v>
      </c>
      <c r="Q544" s="20">
        <f t="shared" si="37"/>
        <v>44</v>
      </c>
    </row>
    <row r="545" spans="1:17" ht="15" customHeight="1" x14ac:dyDescent="0.2">
      <c r="A545" s="20" t="s">
        <v>2719</v>
      </c>
      <c r="B545" s="63">
        <v>46011</v>
      </c>
      <c r="C545" s="20">
        <f t="shared" si="35"/>
        <v>1131</v>
      </c>
      <c r="D545" s="20">
        <v>1</v>
      </c>
      <c r="G545" s="32" t="s">
        <v>115</v>
      </c>
      <c r="H545" s="20" t="s">
        <v>3822</v>
      </c>
      <c r="I545" s="20">
        <v>331</v>
      </c>
      <c r="J545" s="20">
        <v>1111</v>
      </c>
      <c r="K545" s="20" t="s">
        <v>20</v>
      </c>
      <c r="L545" s="20">
        <v>1</v>
      </c>
      <c r="M545" s="34">
        <v>-74000</v>
      </c>
      <c r="N545" s="34">
        <f t="shared" si="36"/>
        <v>-74000</v>
      </c>
      <c r="O545" s="33" t="s">
        <v>21</v>
      </c>
      <c r="P545" s="20">
        <f t="shared" si="38"/>
        <v>529</v>
      </c>
      <c r="Q545" s="20">
        <f t="shared" si="37"/>
        <v>44</v>
      </c>
    </row>
    <row r="546" spans="1:17" ht="15" customHeight="1" x14ac:dyDescent="0.2">
      <c r="A546" s="20" t="s">
        <v>2719</v>
      </c>
      <c r="B546" s="63">
        <v>46011</v>
      </c>
      <c r="C546" s="20">
        <f t="shared" si="35"/>
        <v>1132</v>
      </c>
      <c r="D546" s="20">
        <v>1</v>
      </c>
      <c r="G546" s="32" t="s">
        <v>115</v>
      </c>
      <c r="H546" s="20" t="s">
        <v>3823</v>
      </c>
      <c r="I546" s="20">
        <v>331</v>
      </c>
      <c r="J546" s="20">
        <v>1111</v>
      </c>
      <c r="K546" s="20" t="s">
        <v>20</v>
      </c>
      <c r="L546" s="20">
        <v>1</v>
      </c>
      <c r="M546" s="34">
        <v>-74000</v>
      </c>
      <c r="N546" s="34">
        <f t="shared" si="36"/>
        <v>-74000</v>
      </c>
      <c r="O546" s="33" t="s">
        <v>21</v>
      </c>
      <c r="P546" s="20">
        <f t="shared" si="38"/>
        <v>530</v>
      </c>
      <c r="Q546" s="20">
        <f t="shared" si="37"/>
        <v>44</v>
      </c>
    </row>
    <row r="547" spans="1:17" ht="15" customHeight="1" x14ac:dyDescent="0.2">
      <c r="A547" s="20" t="s">
        <v>2719</v>
      </c>
      <c r="B547" s="63">
        <v>46011</v>
      </c>
      <c r="C547" s="20">
        <f t="shared" si="35"/>
        <v>1133</v>
      </c>
      <c r="D547" s="20">
        <v>1</v>
      </c>
      <c r="G547" s="32" t="s">
        <v>115</v>
      </c>
      <c r="H547" s="20" t="s">
        <v>3824</v>
      </c>
      <c r="I547" s="20">
        <v>331</v>
      </c>
      <c r="J547" s="20">
        <v>1111</v>
      </c>
      <c r="K547" s="20" t="s">
        <v>20</v>
      </c>
      <c r="L547" s="20">
        <v>1</v>
      </c>
      <c r="M547" s="34">
        <v>-74000</v>
      </c>
      <c r="N547" s="34">
        <f t="shared" si="36"/>
        <v>-74000</v>
      </c>
      <c r="O547" s="33" t="s">
        <v>21</v>
      </c>
      <c r="P547" s="20">
        <f t="shared" si="38"/>
        <v>531</v>
      </c>
      <c r="Q547" s="20">
        <f t="shared" si="37"/>
        <v>44</v>
      </c>
    </row>
    <row r="548" spans="1:17" ht="15" customHeight="1" x14ac:dyDescent="0.2">
      <c r="A548" s="20" t="s">
        <v>2719</v>
      </c>
      <c r="B548" s="63">
        <v>46013</v>
      </c>
      <c r="C548" s="20">
        <f t="shared" si="35"/>
        <v>1134</v>
      </c>
      <c r="D548" s="20">
        <v>1</v>
      </c>
      <c r="G548" s="32" t="s">
        <v>115</v>
      </c>
      <c r="H548" s="20" t="s">
        <v>3825</v>
      </c>
      <c r="I548" s="20">
        <v>331</v>
      </c>
      <c r="J548" s="20">
        <v>1111</v>
      </c>
      <c r="K548" s="20" t="s">
        <v>20</v>
      </c>
      <c r="L548" s="20">
        <v>1</v>
      </c>
      <c r="M548" s="34">
        <v>-74000</v>
      </c>
      <c r="N548" s="34">
        <f t="shared" si="36"/>
        <v>-74000</v>
      </c>
      <c r="O548" s="33" t="s">
        <v>21</v>
      </c>
      <c r="P548" s="20">
        <f t="shared" si="38"/>
        <v>532</v>
      </c>
      <c r="Q548" s="20">
        <f t="shared" si="37"/>
        <v>44</v>
      </c>
    </row>
    <row r="549" spans="1:17" ht="15" customHeight="1" x14ac:dyDescent="0.2">
      <c r="A549" s="20" t="s">
        <v>2719</v>
      </c>
      <c r="B549" s="63">
        <v>46014</v>
      </c>
      <c r="C549" s="20">
        <f t="shared" si="35"/>
        <v>1135</v>
      </c>
      <c r="D549" s="20">
        <v>1</v>
      </c>
      <c r="G549" s="32" t="s">
        <v>115</v>
      </c>
      <c r="H549" s="20" t="s">
        <v>3826</v>
      </c>
      <c r="I549" s="20">
        <v>331</v>
      </c>
      <c r="J549" s="20">
        <v>1111</v>
      </c>
      <c r="K549" s="20" t="s">
        <v>20</v>
      </c>
      <c r="L549" s="20">
        <v>1</v>
      </c>
      <c r="M549" s="34">
        <v>120000</v>
      </c>
      <c r="N549" s="34">
        <f t="shared" si="36"/>
        <v>120000</v>
      </c>
      <c r="O549" s="33" t="s">
        <v>21</v>
      </c>
      <c r="P549" s="20">
        <f t="shared" si="38"/>
        <v>533</v>
      </c>
      <c r="Q549" s="20">
        <f t="shared" si="37"/>
        <v>43</v>
      </c>
    </row>
    <row r="550" spans="1:17" ht="15" customHeight="1" x14ac:dyDescent="0.2">
      <c r="A550" s="20" t="s">
        <v>2719</v>
      </c>
      <c r="B550" s="63">
        <v>46014</v>
      </c>
      <c r="C550" s="20">
        <f t="shared" si="35"/>
        <v>1136</v>
      </c>
      <c r="D550" s="20">
        <v>1</v>
      </c>
      <c r="G550" s="32" t="s">
        <v>115</v>
      </c>
      <c r="H550" s="20" t="s">
        <v>3827</v>
      </c>
      <c r="I550" s="20">
        <v>331</v>
      </c>
      <c r="J550" s="20">
        <v>1111</v>
      </c>
      <c r="K550" s="20" t="s">
        <v>20</v>
      </c>
      <c r="L550" s="20">
        <v>1</v>
      </c>
      <c r="M550" s="34">
        <v>-21000</v>
      </c>
      <c r="N550" s="34">
        <f t="shared" si="36"/>
        <v>-21000</v>
      </c>
      <c r="O550" s="33" t="s">
        <v>21</v>
      </c>
      <c r="P550" s="20">
        <f t="shared" si="38"/>
        <v>534</v>
      </c>
      <c r="Q550" s="20">
        <f t="shared" si="37"/>
        <v>44</v>
      </c>
    </row>
    <row r="551" spans="1:17" ht="15" customHeight="1" x14ac:dyDescent="0.2">
      <c r="A551" s="20" t="s">
        <v>2719</v>
      </c>
      <c r="B551" s="63">
        <v>46014</v>
      </c>
      <c r="C551" s="20">
        <f t="shared" si="35"/>
        <v>1137</v>
      </c>
      <c r="D551" s="20">
        <v>1</v>
      </c>
      <c r="G551" s="32" t="s">
        <v>115</v>
      </c>
      <c r="H551" s="20" t="s">
        <v>3828</v>
      </c>
      <c r="I551" s="20">
        <v>331</v>
      </c>
      <c r="J551" s="20">
        <v>1111</v>
      </c>
      <c r="K551" s="20" t="s">
        <v>20</v>
      </c>
      <c r="L551" s="20">
        <v>1</v>
      </c>
      <c r="M551" s="34">
        <v>-21000</v>
      </c>
      <c r="N551" s="34">
        <f t="shared" si="36"/>
        <v>-21000</v>
      </c>
      <c r="O551" s="33" t="s">
        <v>21</v>
      </c>
      <c r="P551" s="20">
        <f t="shared" si="38"/>
        <v>535</v>
      </c>
      <c r="Q551" s="20">
        <f t="shared" si="37"/>
        <v>44</v>
      </c>
    </row>
    <row r="552" spans="1:17" ht="15" customHeight="1" x14ac:dyDescent="0.2">
      <c r="A552" s="20" t="s">
        <v>2719</v>
      </c>
      <c r="B552" s="63">
        <v>46014</v>
      </c>
      <c r="C552" s="20">
        <f t="shared" si="35"/>
        <v>1138</v>
      </c>
      <c r="D552" s="20">
        <v>1</v>
      </c>
      <c r="G552" s="32" t="s">
        <v>115</v>
      </c>
      <c r="H552" s="20" t="s">
        <v>3829</v>
      </c>
      <c r="I552" s="20">
        <v>331</v>
      </c>
      <c r="J552" s="20">
        <v>1111</v>
      </c>
      <c r="K552" s="20" t="s">
        <v>20</v>
      </c>
      <c r="L552" s="20">
        <v>1</v>
      </c>
      <c r="M552" s="34">
        <v>-21000</v>
      </c>
      <c r="N552" s="34">
        <f t="shared" si="36"/>
        <v>-21000</v>
      </c>
      <c r="O552" s="33" t="s">
        <v>21</v>
      </c>
      <c r="P552" s="20">
        <f t="shared" si="38"/>
        <v>536</v>
      </c>
      <c r="Q552" s="20">
        <f t="shared" si="37"/>
        <v>44</v>
      </c>
    </row>
    <row r="553" spans="1:17" ht="15" customHeight="1" x14ac:dyDescent="0.2">
      <c r="A553" s="20" t="s">
        <v>2719</v>
      </c>
      <c r="B553" s="63">
        <v>46014</v>
      </c>
      <c r="C553" s="20">
        <f t="shared" si="35"/>
        <v>1139</v>
      </c>
      <c r="D553" s="20">
        <v>1</v>
      </c>
      <c r="G553" s="32" t="s">
        <v>115</v>
      </c>
      <c r="H553" s="20" t="s">
        <v>3830</v>
      </c>
      <c r="I553" s="20">
        <v>331</v>
      </c>
      <c r="J553" s="20">
        <v>1111</v>
      </c>
      <c r="K553" s="20" t="s">
        <v>20</v>
      </c>
      <c r="L553" s="20">
        <v>1</v>
      </c>
      <c r="M553" s="34">
        <v>-21000</v>
      </c>
      <c r="N553" s="34">
        <f t="shared" si="36"/>
        <v>-21000</v>
      </c>
      <c r="O553" s="33" t="s">
        <v>21</v>
      </c>
      <c r="P553" s="20">
        <f t="shared" si="38"/>
        <v>537</v>
      </c>
      <c r="Q553" s="20">
        <f t="shared" si="37"/>
        <v>44</v>
      </c>
    </row>
    <row r="554" spans="1:17" ht="15" customHeight="1" x14ac:dyDescent="0.2">
      <c r="A554" s="20" t="s">
        <v>2719</v>
      </c>
      <c r="B554" s="63">
        <v>46015</v>
      </c>
      <c r="C554" s="20">
        <f t="shared" si="35"/>
        <v>1140</v>
      </c>
      <c r="D554" s="20">
        <v>1</v>
      </c>
      <c r="G554" s="32" t="s">
        <v>115</v>
      </c>
      <c r="H554" s="20" t="s">
        <v>3831</v>
      </c>
      <c r="I554" s="20">
        <v>331</v>
      </c>
      <c r="J554" s="20">
        <v>1111</v>
      </c>
      <c r="K554" s="20" t="s">
        <v>20</v>
      </c>
      <c r="L554" s="20">
        <v>1</v>
      </c>
      <c r="M554" s="34">
        <v>-36000</v>
      </c>
      <c r="N554" s="34">
        <f t="shared" si="36"/>
        <v>-36000</v>
      </c>
      <c r="O554" s="33" t="s">
        <v>21</v>
      </c>
      <c r="P554" s="20">
        <f t="shared" si="38"/>
        <v>538</v>
      </c>
      <c r="Q554" s="20">
        <f t="shared" si="37"/>
        <v>44</v>
      </c>
    </row>
    <row r="555" spans="1:17" ht="15" customHeight="1" x14ac:dyDescent="0.2">
      <c r="A555" s="20" t="s">
        <v>2719</v>
      </c>
      <c r="B555" s="63">
        <v>46015</v>
      </c>
      <c r="C555" s="20">
        <f t="shared" si="35"/>
        <v>1141</v>
      </c>
      <c r="D555" s="20">
        <v>1</v>
      </c>
      <c r="G555" s="32" t="s">
        <v>115</v>
      </c>
      <c r="H555" s="20" t="s">
        <v>3832</v>
      </c>
      <c r="I555" s="20">
        <v>331</v>
      </c>
      <c r="J555" s="20">
        <v>1111</v>
      </c>
      <c r="K555" s="20" t="s">
        <v>20</v>
      </c>
      <c r="L555" s="20">
        <v>1</v>
      </c>
      <c r="M555" s="34">
        <v>-21000</v>
      </c>
      <c r="N555" s="34">
        <f t="shared" si="36"/>
        <v>-21000</v>
      </c>
      <c r="O555" s="33" t="s">
        <v>21</v>
      </c>
      <c r="P555" s="20">
        <f t="shared" si="38"/>
        <v>539</v>
      </c>
      <c r="Q555" s="20">
        <f t="shared" si="37"/>
        <v>44</v>
      </c>
    </row>
    <row r="556" spans="1:17" ht="15" customHeight="1" x14ac:dyDescent="0.2">
      <c r="A556" s="20" t="s">
        <v>2719</v>
      </c>
      <c r="B556" s="63">
        <v>46016</v>
      </c>
      <c r="C556" s="20">
        <f t="shared" si="35"/>
        <v>1142</v>
      </c>
      <c r="D556" s="20">
        <v>1</v>
      </c>
      <c r="G556" s="32" t="s">
        <v>115</v>
      </c>
      <c r="H556" s="20" t="s">
        <v>3833</v>
      </c>
      <c r="I556" s="20">
        <v>331</v>
      </c>
      <c r="J556" s="20">
        <v>1111</v>
      </c>
      <c r="K556" s="20" t="s">
        <v>20</v>
      </c>
      <c r="L556" s="20">
        <v>1</v>
      </c>
      <c r="M556" s="34">
        <v>28000</v>
      </c>
      <c r="N556" s="34">
        <f t="shared" si="36"/>
        <v>28000</v>
      </c>
      <c r="O556" s="33" t="s">
        <v>21</v>
      </c>
      <c r="P556" s="20">
        <f t="shared" si="38"/>
        <v>540</v>
      </c>
      <c r="Q556" s="20">
        <f t="shared" si="37"/>
        <v>43</v>
      </c>
    </row>
    <row r="557" spans="1:17" ht="15" customHeight="1" x14ac:dyDescent="0.2">
      <c r="A557" s="20" t="s">
        <v>2719</v>
      </c>
      <c r="B557" s="63">
        <v>46016</v>
      </c>
      <c r="C557" s="20">
        <f t="shared" si="35"/>
        <v>1143</v>
      </c>
      <c r="D557" s="20">
        <v>1</v>
      </c>
      <c r="G557" s="32" t="s">
        <v>115</v>
      </c>
      <c r="H557" s="20" t="s">
        <v>3834</v>
      </c>
      <c r="I557" s="20">
        <v>331</v>
      </c>
      <c r="J557" s="20">
        <v>1111</v>
      </c>
      <c r="K557" s="20" t="s">
        <v>20</v>
      </c>
      <c r="L557" s="20">
        <v>1</v>
      </c>
      <c r="M557" s="34">
        <v>45000</v>
      </c>
      <c r="N557" s="34">
        <f t="shared" si="36"/>
        <v>45000</v>
      </c>
      <c r="O557" s="33" t="s">
        <v>21</v>
      </c>
      <c r="P557" s="20">
        <f t="shared" si="38"/>
        <v>541</v>
      </c>
      <c r="Q557" s="20">
        <f t="shared" si="37"/>
        <v>43</v>
      </c>
    </row>
    <row r="558" spans="1:17" ht="15" customHeight="1" x14ac:dyDescent="0.2">
      <c r="A558" s="20" t="s">
        <v>2719</v>
      </c>
      <c r="B558" s="63">
        <v>46016</v>
      </c>
      <c r="C558" s="20">
        <f t="shared" si="35"/>
        <v>1144</v>
      </c>
      <c r="D558" s="20">
        <v>1</v>
      </c>
      <c r="G558" s="32" t="s">
        <v>115</v>
      </c>
      <c r="H558" s="20" t="s">
        <v>3835</v>
      </c>
      <c r="I558" s="20">
        <v>331</v>
      </c>
      <c r="J558" s="20">
        <v>1111</v>
      </c>
      <c r="K558" s="20" t="s">
        <v>20</v>
      </c>
      <c r="L558" s="20">
        <v>1</v>
      </c>
      <c r="M558" s="34">
        <v>131000</v>
      </c>
      <c r="N558" s="34">
        <f t="shared" si="36"/>
        <v>131000</v>
      </c>
      <c r="O558" s="33" t="s">
        <v>21</v>
      </c>
      <c r="P558" s="20">
        <f t="shared" si="38"/>
        <v>542</v>
      </c>
      <c r="Q558" s="20">
        <f t="shared" si="37"/>
        <v>43</v>
      </c>
    </row>
    <row r="559" spans="1:17" ht="15" customHeight="1" x14ac:dyDescent="0.2">
      <c r="A559" s="20" t="s">
        <v>2719</v>
      </c>
      <c r="B559" s="63">
        <v>46017</v>
      </c>
      <c r="C559" s="20">
        <f t="shared" si="35"/>
        <v>1145</v>
      </c>
      <c r="D559" s="20">
        <v>1</v>
      </c>
      <c r="G559" s="32" t="s">
        <v>58</v>
      </c>
      <c r="H559" s="20" t="s">
        <v>3836</v>
      </c>
      <c r="I559" s="20">
        <v>331</v>
      </c>
      <c r="J559" s="20">
        <v>1111</v>
      </c>
      <c r="K559" s="20" t="s">
        <v>20</v>
      </c>
      <c r="L559" s="20">
        <v>1</v>
      </c>
      <c r="M559" s="34">
        <v>302400</v>
      </c>
      <c r="N559" s="34">
        <f t="shared" si="36"/>
        <v>302400</v>
      </c>
      <c r="O559" s="33" t="s">
        <v>21</v>
      </c>
      <c r="P559" s="20">
        <f t="shared" si="38"/>
        <v>543</v>
      </c>
      <c r="Q559" s="20">
        <f t="shared" si="37"/>
        <v>47</v>
      </c>
    </row>
    <row r="560" spans="1:17" ht="15" customHeight="1" x14ac:dyDescent="0.2">
      <c r="A560" s="20" t="s">
        <v>2719</v>
      </c>
      <c r="B560" s="63">
        <v>46017</v>
      </c>
      <c r="C560" s="20">
        <f t="shared" si="35"/>
        <v>1146</v>
      </c>
      <c r="D560" s="20">
        <v>1</v>
      </c>
      <c r="G560" s="32" t="s">
        <v>115</v>
      </c>
      <c r="H560" s="20" t="s">
        <v>3837</v>
      </c>
      <c r="I560" s="20">
        <v>331</v>
      </c>
      <c r="J560" s="20">
        <v>1111</v>
      </c>
      <c r="K560" s="20" t="s">
        <v>20</v>
      </c>
      <c r="L560" s="20">
        <v>1</v>
      </c>
      <c r="M560" s="34">
        <v>28000</v>
      </c>
      <c r="N560" s="34">
        <f t="shared" si="36"/>
        <v>28000</v>
      </c>
      <c r="O560" s="33" t="s">
        <v>21</v>
      </c>
      <c r="P560" s="20">
        <f t="shared" si="38"/>
        <v>544</v>
      </c>
      <c r="Q560" s="20">
        <f t="shared" si="37"/>
        <v>43</v>
      </c>
    </row>
    <row r="561" spans="1:17" ht="15" customHeight="1" x14ac:dyDescent="0.2">
      <c r="A561" s="20" t="s">
        <v>2719</v>
      </c>
      <c r="B561" s="63">
        <v>46017</v>
      </c>
      <c r="C561" s="20">
        <f t="shared" si="35"/>
        <v>1147</v>
      </c>
      <c r="D561" s="20">
        <v>1</v>
      </c>
      <c r="G561" s="32" t="s">
        <v>115</v>
      </c>
      <c r="H561" s="20" t="s">
        <v>3838</v>
      </c>
      <c r="I561" s="20">
        <v>331</v>
      </c>
      <c r="J561" s="20">
        <v>1111</v>
      </c>
      <c r="K561" s="20" t="s">
        <v>20</v>
      </c>
      <c r="L561" s="20">
        <v>1</v>
      </c>
      <c r="M561" s="34">
        <v>13000</v>
      </c>
      <c r="N561" s="34">
        <f t="shared" si="36"/>
        <v>13000</v>
      </c>
      <c r="O561" s="33" t="s">
        <v>21</v>
      </c>
      <c r="P561" s="20">
        <f t="shared" si="38"/>
        <v>545</v>
      </c>
      <c r="Q561" s="20">
        <f t="shared" si="37"/>
        <v>43</v>
      </c>
    </row>
    <row r="562" spans="1:17" ht="15" customHeight="1" x14ac:dyDescent="0.2">
      <c r="A562" s="20" t="s">
        <v>2719</v>
      </c>
      <c r="B562" s="63">
        <v>46017</v>
      </c>
      <c r="C562" s="20">
        <f t="shared" si="35"/>
        <v>1148</v>
      </c>
      <c r="D562" s="20">
        <v>1</v>
      </c>
      <c r="G562" s="32" t="s">
        <v>115</v>
      </c>
      <c r="H562" s="20" t="s">
        <v>3839</v>
      </c>
      <c r="I562" s="20">
        <v>331</v>
      </c>
      <c r="J562" s="20">
        <v>1111</v>
      </c>
      <c r="K562" s="20" t="s">
        <v>20</v>
      </c>
      <c r="L562" s="20">
        <v>1</v>
      </c>
      <c r="M562" s="34">
        <v>32000</v>
      </c>
      <c r="N562" s="34">
        <f t="shared" si="36"/>
        <v>32000</v>
      </c>
      <c r="O562" s="33" t="s">
        <v>21</v>
      </c>
      <c r="P562" s="20">
        <f t="shared" si="38"/>
        <v>546</v>
      </c>
      <c r="Q562" s="20">
        <f t="shared" si="37"/>
        <v>43</v>
      </c>
    </row>
    <row r="563" spans="1:17" ht="15" customHeight="1" x14ac:dyDescent="0.2">
      <c r="A563" s="20" t="s">
        <v>2719</v>
      </c>
      <c r="B563" s="63">
        <v>46017</v>
      </c>
      <c r="C563" s="20">
        <f t="shared" si="35"/>
        <v>1149</v>
      </c>
      <c r="D563" s="20">
        <v>1</v>
      </c>
      <c r="G563" s="32" t="s">
        <v>115</v>
      </c>
      <c r="H563" s="20" t="s">
        <v>3840</v>
      </c>
      <c r="I563" s="20">
        <v>331</v>
      </c>
      <c r="J563" s="20">
        <v>1111</v>
      </c>
      <c r="K563" s="20" t="s">
        <v>20</v>
      </c>
      <c r="L563" s="20">
        <v>1</v>
      </c>
      <c r="M563" s="34">
        <v>29000</v>
      </c>
      <c r="N563" s="34">
        <f t="shared" si="36"/>
        <v>29000</v>
      </c>
      <c r="O563" s="33" t="s">
        <v>21</v>
      </c>
      <c r="P563" s="20">
        <f t="shared" si="38"/>
        <v>547</v>
      </c>
      <c r="Q563" s="20">
        <f t="shared" si="37"/>
        <v>43</v>
      </c>
    </row>
    <row r="564" spans="1:17" ht="15" customHeight="1" x14ac:dyDescent="0.2">
      <c r="A564" s="20" t="s">
        <v>2719</v>
      </c>
      <c r="B564" s="63">
        <v>46017</v>
      </c>
      <c r="C564" s="20">
        <f t="shared" si="35"/>
        <v>1150</v>
      </c>
      <c r="D564" s="20">
        <v>1</v>
      </c>
      <c r="G564" s="32" t="s">
        <v>115</v>
      </c>
      <c r="H564" s="20" t="s">
        <v>3841</v>
      </c>
      <c r="I564" s="20">
        <v>331</v>
      </c>
      <c r="J564" s="20">
        <v>1111</v>
      </c>
      <c r="K564" s="20" t="s">
        <v>20</v>
      </c>
      <c r="L564" s="20">
        <v>1</v>
      </c>
      <c r="M564" s="34">
        <v>87000</v>
      </c>
      <c r="N564" s="34">
        <f t="shared" si="36"/>
        <v>87000</v>
      </c>
      <c r="O564" s="33" t="s">
        <v>21</v>
      </c>
      <c r="P564" s="20">
        <f t="shared" si="38"/>
        <v>548</v>
      </c>
      <c r="Q564" s="20">
        <f t="shared" si="37"/>
        <v>43</v>
      </c>
    </row>
    <row r="565" spans="1:17" ht="15" customHeight="1" x14ac:dyDescent="0.2">
      <c r="A565" s="20" t="s">
        <v>2719</v>
      </c>
      <c r="B565" s="63">
        <v>46017</v>
      </c>
      <c r="C565" s="20">
        <f t="shared" si="35"/>
        <v>1151</v>
      </c>
      <c r="D565" s="20">
        <v>1</v>
      </c>
      <c r="G565" s="32" t="s">
        <v>115</v>
      </c>
      <c r="H565" s="20" t="s">
        <v>3842</v>
      </c>
      <c r="I565" s="20">
        <v>331</v>
      </c>
      <c r="J565" s="20">
        <v>1111</v>
      </c>
      <c r="K565" s="20" t="s">
        <v>20</v>
      </c>
      <c r="L565" s="20">
        <v>1</v>
      </c>
      <c r="M565" s="34">
        <v>64000</v>
      </c>
      <c r="N565" s="34">
        <f t="shared" si="36"/>
        <v>64000</v>
      </c>
      <c r="O565" s="33" t="s">
        <v>21</v>
      </c>
      <c r="P565" s="20">
        <f t="shared" si="38"/>
        <v>549</v>
      </c>
      <c r="Q565" s="20">
        <f t="shared" si="37"/>
        <v>43</v>
      </c>
    </row>
    <row r="566" spans="1:17" ht="15" customHeight="1" x14ac:dyDescent="0.2">
      <c r="A566" s="20" t="s">
        <v>2719</v>
      </c>
      <c r="B566" s="63">
        <v>46017</v>
      </c>
      <c r="C566" s="20">
        <f t="shared" si="35"/>
        <v>1152</v>
      </c>
      <c r="D566" s="20">
        <v>1</v>
      </c>
      <c r="G566" s="32" t="s">
        <v>115</v>
      </c>
      <c r="H566" s="20" t="s">
        <v>3843</v>
      </c>
      <c r="I566" s="20">
        <v>331</v>
      </c>
      <c r="J566" s="20">
        <v>1111</v>
      </c>
      <c r="K566" s="20" t="s">
        <v>20</v>
      </c>
      <c r="L566" s="20">
        <v>1</v>
      </c>
      <c r="M566" s="34">
        <v>30000</v>
      </c>
      <c r="N566" s="34">
        <f t="shared" si="36"/>
        <v>30000</v>
      </c>
      <c r="O566" s="33" t="s">
        <v>21</v>
      </c>
      <c r="P566" s="20">
        <f t="shared" si="38"/>
        <v>550</v>
      </c>
      <c r="Q566" s="20">
        <f t="shared" si="37"/>
        <v>43</v>
      </c>
    </row>
    <row r="567" spans="1:17" ht="15" customHeight="1" x14ac:dyDescent="0.2">
      <c r="A567" s="20" t="s">
        <v>2719</v>
      </c>
      <c r="B567" s="63">
        <v>46018</v>
      </c>
      <c r="C567" s="20">
        <f t="shared" ref="C567:C585" si="39">C566+D567</f>
        <v>1153</v>
      </c>
      <c r="D567" s="20">
        <v>1</v>
      </c>
      <c r="G567" s="32" t="s">
        <v>115</v>
      </c>
      <c r="H567" s="20" t="s">
        <v>3844</v>
      </c>
      <c r="I567" s="20">
        <v>331</v>
      </c>
      <c r="J567" s="20">
        <v>1111</v>
      </c>
      <c r="K567" s="20" t="s">
        <v>20</v>
      </c>
      <c r="L567" s="20">
        <v>1</v>
      </c>
      <c r="M567" s="34">
        <v>46000</v>
      </c>
      <c r="N567" s="34">
        <f t="shared" si="36"/>
        <v>46000</v>
      </c>
      <c r="O567" s="33" t="s">
        <v>21</v>
      </c>
      <c r="P567" s="20">
        <f t="shared" si="38"/>
        <v>551</v>
      </c>
      <c r="Q567" s="20">
        <f t="shared" si="37"/>
        <v>43</v>
      </c>
    </row>
    <row r="568" spans="1:17" ht="15" customHeight="1" x14ac:dyDescent="0.2">
      <c r="A568" s="20" t="s">
        <v>2719</v>
      </c>
      <c r="B568" s="63">
        <v>46018</v>
      </c>
      <c r="C568" s="20">
        <f t="shared" si="39"/>
        <v>1154</v>
      </c>
      <c r="D568" s="20">
        <v>1</v>
      </c>
      <c r="G568" s="32" t="s">
        <v>115</v>
      </c>
      <c r="H568" s="20" t="s">
        <v>3845</v>
      </c>
      <c r="I568" s="20">
        <v>331</v>
      </c>
      <c r="J568" s="20">
        <v>1111</v>
      </c>
      <c r="K568" s="20" t="s">
        <v>20</v>
      </c>
      <c r="L568" s="20">
        <v>1</v>
      </c>
      <c r="M568" s="34">
        <v>51000</v>
      </c>
      <c r="N568" s="34">
        <f t="shared" si="36"/>
        <v>51000</v>
      </c>
      <c r="O568" s="33" t="s">
        <v>21</v>
      </c>
      <c r="P568" s="20">
        <f t="shared" si="38"/>
        <v>552</v>
      </c>
      <c r="Q568" s="20">
        <f t="shared" si="37"/>
        <v>43</v>
      </c>
    </row>
    <row r="569" spans="1:17" ht="15" customHeight="1" x14ac:dyDescent="0.2">
      <c r="A569" s="20" t="s">
        <v>2719</v>
      </c>
      <c r="B569" s="63" t="s">
        <v>1930</v>
      </c>
      <c r="C569" s="20">
        <f t="shared" si="39"/>
        <v>1155</v>
      </c>
      <c r="D569" s="20">
        <v>1</v>
      </c>
      <c r="G569" s="32" t="s">
        <v>115</v>
      </c>
      <c r="H569" s="20" t="s">
        <v>3846</v>
      </c>
      <c r="I569" s="20">
        <v>331</v>
      </c>
      <c r="J569" s="20">
        <v>1111</v>
      </c>
      <c r="K569" s="20" t="s">
        <v>20</v>
      </c>
      <c r="L569" s="20">
        <v>1</v>
      </c>
      <c r="M569" s="34">
        <v>30000</v>
      </c>
      <c r="N569" s="34">
        <f t="shared" si="36"/>
        <v>30000</v>
      </c>
      <c r="O569" s="33" t="s">
        <v>21</v>
      </c>
      <c r="P569" s="20">
        <f t="shared" si="38"/>
        <v>553</v>
      </c>
      <c r="Q569" s="20">
        <f t="shared" si="37"/>
        <v>43</v>
      </c>
    </row>
    <row r="570" spans="1:17" ht="15" customHeight="1" x14ac:dyDescent="0.2">
      <c r="A570" s="20" t="s">
        <v>2719</v>
      </c>
      <c r="B570" s="63" t="s">
        <v>1930</v>
      </c>
      <c r="C570" s="20">
        <f t="shared" si="39"/>
        <v>1156</v>
      </c>
      <c r="D570" s="20">
        <v>1</v>
      </c>
      <c r="G570" s="32" t="s">
        <v>115</v>
      </c>
      <c r="H570" s="20" t="s">
        <v>3847</v>
      </c>
      <c r="I570" s="20">
        <v>331</v>
      </c>
      <c r="J570" s="20">
        <v>1111</v>
      </c>
      <c r="K570" s="20" t="s">
        <v>20</v>
      </c>
      <c r="L570" s="20">
        <v>1</v>
      </c>
      <c r="M570" s="34">
        <v>27000</v>
      </c>
      <c r="N570" s="34">
        <f t="shared" si="36"/>
        <v>27000</v>
      </c>
      <c r="O570" s="33" t="s">
        <v>21</v>
      </c>
      <c r="P570" s="20">
        <f t="shared" si="38"/>
        <v>554</v>
      </c>
      <c r="Q570" s="20">
        <f t="shared" si="37"/>
        <v>43</v>
      </c>
    </row>
    <row r="571" spans="1:17" ht="15" customHeight="1" x14ac:dyDescent="0.2">
      <c r="A571" s="20" t="s">
        <v>2719</v>
      </c>
      <c r="B571" s="63" t="s">
        <v>1930</v>
      </c>
      <c r="C571" s="20">
        <f t="shared" si="39"/>
        <v>1157</v>
      </c>
      <c r="D571" s="20">
        <v>1</v>
      </c>
      <c r="G571" s="32" t="s">
        <v>115</v>
      </c>
      <c r="H571" s="20" t="s">
        <v>3848</v>
      </c>
      <c r="I571" s="20">
        <v>331</v>
      </c>
      <c r="J571" s="20">
        <v>1111</v>
      </c>
      <c r="K571" s="20" t="s">
        <v>20</v>
      </c>
      <c r="L571" s="20">
        <v>1</v>
      </c>
      <c r="M571" s="34">
        <v>43000</v>
      </c>
      <c r="N571" s="34">
        <f t="shared" si="36"/>
        <v>43000</v>
      </c>
      <c r="O571" s="33" t="s">
        <v>21</v>
      </c>
      <c r="P571" s="20">
        <f t="shared" si="38"/>
        <v>555</v>
      </c>
      <c r="Q571" s="20">
        <f t="shared" si="37"/>
        <v>43</v>
      </c>
    </row>
    <row r="572" spans="1:17" ht="15" customHeight="1" x14ac:dyDescent="0.2">
      <c r="A572" s="20" t="s">
        <v>2719</v>
      </c>
      <c r="B572" s="63" t="s">
        <v>1930</v>
      </c>
      <c r="C572" s="20">
        <f t="shared" si="39"/>
        <v>1158</v>
      </c>
      <c r="D572" s="20">
        <v>1</v>
      </c>
      <c r="G572" s="32" t="s">
        <v>124</v>
      </c>
      <c r="H572" s="20" t="s">
        <v>3849</v>
      </c>
      <c r="I572" s="20">
        <v>331</v>
      </c>
      <c r="J572" s="20">
        <v>1111</v>
      </c>
      <c r="K572" s="20" t="s">
        <v>20</v>
      </c>
      <c r="L572" s="20">
        <v>1</v>
      </c>
      <c r="M572" s="34">
        <v>3112620</v>
      </c>
      <c r="N572" s="34">
        <f t="shared" si="36"/>
        <v>3112620</v>
      </c>
      <c r="O572" s="33" t="s">
        <v>21</v>
      </c>
      <c r="P572" s="20">
        <f t="shared" si="38"/>
        <v>556</v>
      </c>
      <c r="Q572" s="20">
        <f t="shared" si="37"/>
        <v>52</v>
      </c>
    </row>
    <row r="573" spans="1:17" ht="15" customHeight="1" x14ac:dyDescent="0.2">
      <c r="A573" s="20" t="s">
        <v>2719</v>
      </c>
      <c r="B573" s="63" t="s">
        <v>1930</v>
      </c>
      <c r="C573" s="20">
        <f t="shared" si="39"/>
        <v>1159</v>
      </c>
      <c r="D573" s="20">
        <v>1</v>
      </c>
      <c r="G573" s="32" t="s">
        <v>2373</v>
      </c>
      <c r="H573" s="20" t="s">
        <v>3850</v>
      </c>
      <c r="I573" s="20">
        <v>331</v>
      </c>
      <c r="J573" s="20">
        <v>1111</v>
      </c>
      <c r="K573" s="20" t="s">
        <v>20</v>
      </c>
      <c r="L573" s="20">
        <v>1</v>
      </c>
      <c r="M573" s="34">
        <v>5610000</v>
      </c>
      <c r="N573" s="34">
        <f t="shared" si="36"/>
        <v>5610000</v>
      </c>
      <c r="O573" s="33" t="s">
        <v>21</v>
      </c>
      <c r="P573" s="20">
        <f t="shared" si="38"/>
        <v>557</v>
      </c>
      <c r="Q573" s="20">
        <f t="shared" si="37"/>
        <v>47</v>
      </c>
    </row>
    <row r="574" spans="1:17" ht="15" customHeight="1" x14ac:dyDescent="0.2">
      <c r="A574" s="20" t="s">
        <v>2719</v>
      </c>
      <c r="B574" s="63" t="s">
        <v>1930</v>
      </c>
      <c r="C574" s="20">
        <f t="shared" si="39"/>
        <v>1160</v>
      </c>
      <c r="D574" s="20">
        <v>1</v>
      </c>
      <c r="G574" s="32" t="s">
        <v>281</v>
      </c>
      <c r="H574" s="20" t="s">
        <v>3851</v>
      </c>
      <c r="I574" s="20">
        <v>331</v>
      </c>
      <c r="J574" s="20">
        <v>1111</v>
      </c>
      <c r="K574" s="20" t="s">
        <v>20</v>
      </c>
      <c r="L574" s="20">
        <v>1</v>
      </c>
      <c r="M574" s="34">
        <v>2160000</v>
      </c>
      <c r="N574" s="34">
        <f t="shared" si="36"/>
        <v>2160000</v>
      </c>
      <c r="O574" s="33" t="s">
        <v>21</v>
      </c>
      <c r="P574" s="20">
        <f t="shared" si="38"/>
        <v>558</v>
      </c>
      <c r="Q574" s="20">
        <f t="shared" si="37"/>
        <v>48</v>
      </c>
    </row>
    <row r="575" spans="1:17" ht="15" customHeight="1" x14ac:dyDescent="0.2">
      <c r="A575" s="20" t="s">
        <v>2719</v>
      </c>
      <c r="B575" s="63" t="s">
        <v>2561</v>
      </c>
      <c r="C575" s="20">
        <f t="shared" si="39"/>
        <v>1161</v>
      </c>
      <c r="D575" s="20">
        <v>1</v>
      </c>
      <c r="G575" s="32" t="s">
        <v>115</v>
      </c>
      <c r="H575" s="20" t="s">
        <v>3852</v>
      </c>
      <c r="I575" s="20">
        <v>331</v>
      </c>
      <c r="J575" s="20">
        <v>1111</v>
      </c>
      <c r="K575" s="20" t="s">
        <v>20</v>
      </c>
      <c r="L575" s="20">
        <v>1</v>
      </c>
      <c r="M575" s="34">
        <v>39000</v>
      </c>
      <c r="N575" s="34">
        <f t="shared" si="36"/>
        <v>39000</v>
      </c>
      <c r="O575" s="33" t="s">
        <v>21</v>
      </c>
      <c r="P575" s="20">
        <f t="shared" si="38"/>
        <v>559</v>
      </c>
      <c r="Q575" s="20">
        <f t="shared" si="37"/>
        <v>43</v>
      </c>
    </row>
    <row r="576" spans="1:17" ht="15" customHeight="1" x14ac:dyDescent="0.2">
      <c r="A576" s="20" t="s">
        <v>2719</v>
      </c>
      <c r="B576" s="63" t="s">
        <v>2561</v>
      </c>
      <c r="C576" s="20">
        <f t="shared" si="39"/>
        <v>1162</v>
      </c>
      <c r="D576" s="20">
        <v>1</v>
      </c>
      <c r="G576" s="32" t="s">
        <v>115</v>
      </c>
      <c r="H576" s="20" t="s">
        <v>3853</v>
      </c>
      <c r="I576" s="20">
        <v>331</v>
      </c>
      <c r="J576" s="20">
        <v>1111</v>
      </c>
      <c r="K576" s="20" t="s">
        <v>20</v>
      </c>
      <c r="L576" s="20">
        <v>1</v>
      </c>
      <c r="M576" s="34">
        <v>21000</v>
      </c>
      <c r="N576" s="34">
        <f t="shared" si="36"/>
        <v>21000</v>
      </c>
      <c r="O576" s="33" t="s">
        <v>21</v>
      </c>
      <c r="P576" s="20">
        <f t="shared" si="38"/>
        <v>560</v>
      </c>
      <c r="Q576" s="20">
        <f t="shared" si="37"/>
        <v>43</v>
      </c>
    </row>
    <row r="577" spans="1:17" ht="15" customHeight="1" x14ac:dyDescent="0.2">
      <c r="A577" s="20" t="s">
        <v>2719</v>
      </c>
      <c r="B577" s="63" t="s">
        <v>2561</v>
      </c>
      <c r="C577" s="20">
        <f t="shared" si="39"/>
        <v>1163</v>
      </c>
      <c r="D577" s="20">
        <v>1</v>
      </c>
      <c r="G577" s="32" t="s">
        <v>115</v>
      </c>
      <c r="H577" s="20" t="s">
        <v>3854</v>
      </c>
      <c r="I577" s="20">
        <v>331</v>
      </c>
      <c r="J577" s="20">
        <v>1111</v>
      </c>
      <c r="K577" s="20" t="s">
        <v>20</v>
      </c>
      <c r="L577" s="20">
        <v>1</v>
      </c>
      <c r="M577" s="34">
        <v>21000</v>
      </c>
      <c r="N577" s="34">
        <f t="shared" si="36"/>
        <v>21000</v>
      </c>
      <c r="O577" s="33" t="s">
        <v>21</v>
      </c>
      <c r="P577" s="20">
        <f t="shared" si="38"/>
        <v>561</v>
      </c>
      <c r="Q577" s="20">
        <f t="shared" si="37"/>
        <v>43</v>
      </c>
    </row>
    <row r="578" spans="1:17" ht="15" customHeight="1" x14ac:dyDescent="0.2">
      <c r="A578" s="20" t="s">
        <v>2719</v>
      </c>
      <c r="B578" s="63" t="s">
        <v>2382</v>
      </c>
      <c r="C578" s="20">
        <f t="shared" si="39"/>
        <v>1164</v>
      </c>
      <c r="D578" s="20">
        <v>1</v>
      </c>
      <c r="G578" s="32" t="s">
        <v>115</v>
      </c>
      <c r="H578" s="20" t="s">
        <v>3855</v>
      </c>
      <c r="I578" s="20">
        <v>331</v>
      </c>
      <c r="J578" s="20">
        <v>1111</v>
      </c>
      <c r="K578" s="20" t="s">
        <v>20</v>
      </c>
      <c r="L578" s="20">
        <v>1</v>
      </c>
      <c r="M578" s="34">
        <v>30000</v>
      </c>
      <c r="N578" s="34">
        <f t="shared" si="36"/>
        <v>30000</v>
      </c>
      <c r="O578" s="33" t="s">
        <v>21</v>
      </c>
      <c r="P578" s="20">
        <f t="shared" si="38"/>
        <v>562</v>
      </c>
      <c r="Q578" s="20">
        <f t="shared" si="37"/>
        <v>43</v>
      </c>
    </row>
    <row r="579" spans="1:17" ht="15" customHeight="1" x14ac:dyDescent="0.2">
      <c r="A579" s="20" t="s">
        <v>2719</v>
      </c>
      <c r="B579" s="63" t="s">
        <v>2382</v>
      </c>
      <c r="C579" s="20">
        <f t="shared" si="39"/>
        <v>1165</v>
      </c>
      <c r="D579" s="20">
        <v>1</v>
      </c>
      <c r="G579" s="32" t="s">
        <v>115</v>
      </c>
      <c r="H579" s="20" t="s">
        <v>3856</v>
      </c>
      <c r="I579" s="20">
        <v>331</v>
      </c>
      <c r="J579" s="20">
        <v>1111</v>
      </c>
      <c r="K579" s="20" t="s">
        <v>20</v>
      </c>
      <c r="L579" s="20">
        <v>1</v>
      </c>
      <c r="M579" s="34">
        <v>19000</v>
      </c>
      <c r="N579" s="34">
        <f t="shared" ref="N579:N590" si="40">L579*M579</f>
        <v>19000</v>
      </c>
      <c r="O579" s="33" t="s">
        <v>21</v>
      </c>
      <c r="P579" s="20">
        <f t="shared" si="38"/>
        <v>563</v>
      </c>
      <c r="Q579" s="20">
        <f t="shared" si="37"/>
        <v>43</v>
      </c>
    </row>
    <row r="580" spans="1:17" ht="15" customHeight="1" x14ac:dyDescent="0.2">
      <c r="A580" s="20" t="s">
        <v>2719</v>
      </c>
      <c r="B580" s="63" t="s">
        <v>2382</v>
      </c>
      <c r="C580" s="20">
        <f t="shared" si="39"/>
        <v>1166</v>
      </c>
      <c r="D580" s="20">
        <v>1</v>
      </c>
      <c r="G580" s="32" t="s">
        <v>115</v>
      </c>
      <c r="H580" s="20" t="s">
        <v>3857</v>
      </c>
      <c r="I580" s="20">
        <v>331</v>
      </c>
      <c r="J580" s="20">
        <v>1111</v>
      </c>
      <c r="K580" s="20" t="s">
        <v>20</v>
      </c>
      <c r="L580" s="20">
        <v>1</v>
      </c>
      <c r="M580" s="34">
        <v>35000</v>
      </c>
      <c r="N580" s="34">
        <f t="shared" si="40"/>
        <v>35000</v>
      </c>
      <c r="O580" s="33" t="s">
        <v>21</v>
      </c>
      <c r="P580" s="20">
        <f t="shared" si="38"/>
        <v>564</v>
      </c>
      <c r="Q580" s="20">
        <f t="shared" si="37"/>
        <v>43</v>
      </c>
    </row>
    <row r="581" spans="1:17" ht="15" customHeight="1" x14ac:dyDescent="0.2">
      <c r="A581" s="20" t="s">
        <v>2719</v>
      </c>
      <c r="B581" s="63" t="s">
        <v>2504</v>
      </c>
      <c r="C581" s="20">
        <f t="shared" si="39"/>
        <v>1167</v>
      </c>
      <c r="D581" s="20">
        <v>1</v>
      </c>
      <c r="G581" s="32" t="s">
        <v>115</v>
      </c>
      <c r="H581" s="20" t="s">
        <v>3858</v>
      </c>
      <c r="I581" s="20">
        <v>331</v>
      </c>
      <c r="J581" s="20">
        <v>1111</v>
      </c>
      <c r="K581" s="20" t="s">
        <v>20</v>
      </c>
      <c r="L581" s="20">
        <v>1</v>
      </c>
      <c r="M581" s="34">
        <v>25000</v>
      </c>
      <c r="N581" s="34">
        <f t="shared" si="40"/>
        <v>25000</v>
      </c>
      <c r="O581" s="33" t="s">
        <v>21</v>
      </c>
      <c r="P581" s="20">
        <f t="shared" si="38"/>
        <v>565</v>
      </c>
      <c r="Q581" s="20">
        <f t="shared" ref="Q581:Q585" si="41">LEN(H581)</f>
        <v>43</v>
      </c>
    </row>
    <row r="582" spans="1:17" ht="15" customHeight="1" x14ac:dyDescent="0.2">
      <c r="A582" s="20" t="s">
        <v>2719</v>
      </c>
      <c r="B582" s="63" t="s">
        <v>2504</v>
      </c>
      <c r="C582" s="20">
        <f t="shared" si="39"/>
        <v>1168</v>
      </c>
      <c r="D582" s="20">
        <v>1</v>
      </c>
      <c r="G582" s="32" t="s">
        <v>115</v>
      </c>
      <c r="H582" s="20" t="s">
        <v>3859</v>
      </c>
      <c r="I582" s="20">
        <v>331</v>
      </c>
      <c r="J582" s="20">
        <v>1111</v>
      </c>
      <c r="K582" s="20" t="s">
        <v>20</v>
      </c>
      <c r="L582" s="20">
        <v>1</v>
      </c>
      <c r="M582" s="34">
        <v>22000</v>
      </c>
      <c r="N582" s="34">
        <f t="shared" si="40"/>
        <v>22000</v>
      </c>
      <c r="O582" s="33" t="s">
        <v>21</v>
      </c>
      <c r="P582" s="20">
        <f t="shared" ref="P582:P585" si="42">P581+D582</f>
        <v>566</v>
      </c>
      <c r="Q582" s="20">
        <f t="shared" si="41"/>
        <v>43</v>
      </c>
    </row>
    <row r="583" spans="1:17" ht="15" customHeight="1" x14ac:dyDescent="0.2">
      <c r="A583" s="20" t="s">
        <v>2719</v>
      </c>
      <c r="B583" s="63" t="s">
        <v>2513</v>
      </c>
      <c r="C583" s="20">
        <f t="shared" si="39"/>
        <v>1169</v>
      </c>
      <c r="D583" s="20">
        <v>1</v>
      </c>
      <c r="G583" s="32" t="s">
        <v>115</v>
      </c>
      <c r="H583" s="20" t="s">
        <v>3860</v>
      </c>
      <c r="I583" s="20">
        <v>331</v>
      </c>
      <c r="J583" s="20">
        <v>1111</v>
      </c>
      <c r="K583" s="20" t="s">
        <v>20</v>
      </c>
      <c r="L583" s="20">
        <v>1</v>
      </c>
      <c r="M583" s="34">
        <v>37000</v>
      </c>
      <c r="N583" s="34">
        <f t="shared" si="40"/>
        <v>37000</v>
      </c>
      <c r="O583" s="33" t="s">
        <v>21</v>
      </c>
      <c r="P583" s="20">
        <f t="shared" si="42"/>
        <v>567</v>
      </c>
      <c r="Q583" s="20">
        <f t="shared" si="41"/>
        <v>43</v>
      </c>
    </row>
    <row r="584" spans="1:17" ht="15" customHeight="1" x14ac:dyDescent="0.2">
      <c r="A584" s="20" t="s">
        <v>2719</v>
      </c>
      <c r="B584" s="63" t="s">
        <v>2513</v>
      </c>
      <c r="C584" s="20">
        <f t="shared" si="39"/>
        <v>1170</v>
      </c>
      <c r="D584" s="20">
        <v>1</v>
      </c>
      <c r="G584" s="32" t="s">
        <v>115</v>
      </c>
      <c r="H584" s="20" t="s">
        <v>3861</v>
      </c>
      <c r="I584" s="20">
        <v>331</v>
      </c>
      <c r="J584" s="20">
        <v>1111</v>
      </c>
      <c r="K584" s="20" t="s">
        <v>20</v>
      </c>
      <c r="L584" s="20">
        <v>1</v>
      </c>
      <c r="M584" s="34">
        <v>29000</v>
      </c>
      <c r="N584" s="34">
        <f t="shared" si="40"/>
        <v>29000</v>
      </c>
      <c r="O584" s="33" t="s">
        <v>21</v>
      </c>
      <c r="P584" s="20">
        <f t="shared" si="42"/>
        <v>568</v>
      </c>
      <c r="Q584" s="20">
        <f t="shared" si="41"/>
        <v>43</v>
      </c>
    </row>
    <row r="585" spans="1:17" ht="15" customHeight="1" x14ac:dyDescent="0.2">
      <c r="A585" s="20" t="s">
        <v>2719</v>
      </c>
      <c r="B585" s="63" t="s">
        <v>2513</v>
      </c>
      <c r="C585" s="20">
        <f t="shared" si="39"/>
        <v>1171</v>
      </c>
      <c r="D585" s="20">
        <v>1</v>
      </c>
      <c r="G585" s="32" t="s">
        <v>115</v>
      </c>
      <c r="H585" s="20" t="s">
        <v>3862</v>
      </c>
      <c r="I585" s="20">
        <v>331</v>
      </c>
      <c r="J585" s="20">
        <v>1111</v>
      </c>
      <c r="K585" s="20" t="s">
        <v>20</v>
      </c>
      <c r="L585" s="20">
        <v>1</v>
      </c>
      <c r="M585" s="34">
        <v>80000</v>
      </c>
      <c r="N585" s="34">
        <f t="shared" si="40"/>
        <v>80000</v>
      </c>
      <c r="O585" s="33" t="s">
        <v>21</v>
      </c>
      <c r="P585" s="20">
        <f t="shared" si="42"/>
        <v>569</v>
      </c>
      <c r="Q585" s="20">
        <f t="shared" si="41"/>
        <v>43</v>
      </c>
    </row>
    <row r="586" spans="1:17" ht="15" customHeight="1" x14ac:dyDescent="0.2">
      <c r="A586" s="20" t="s">
        <v>2719</v>
      </c>
      <c r="B586" s="63">
        <v>45869</v>
      </c>
      <c r="C586" s="20">
        <f t="shared" ref="C586:C590" si="43">C585+D586</f>
        <v>1172</v>
      </c>
      <c r="D586" s="20">
        <v>1</v>
      </c>
      <c r="G586" s="32" t="s">
        <v>3011</v>
      </c>
      <c r="H586" s="20" t="s">
        <v>3863</v>
      </c>
      <c r="I586" s="20">
        <v>3383</v>
      </c>
      <c r="J586" s="20">
        <v>1111</v>
      </c>
      <c r="K586" s="20" t="s">
        <v>20</v>
      </c>
      <c r="L586" s="20">
        <v>1</v>
      </c>
      <c r="M586" s="34">
        <v>690300</v>
      </c>
      <c r="N586" s="34">
        <f t="shared" si="40"/>
        <v>690300</v>
      </c>
      <c r="O586" s="33" t="s">
        <v>21</v>
      </c>
      <c r="P586" s="20">
        <f t="shared" ref="P586:P590" si="44">P585+D586</f>
        <v>570</v>
      </c>
      <c r="Q586" s="20">
        <f t="shared" ref="Q586:Q590" si="45">LEN(H586)</f>
        <v>34</v>
      </c>
    </row>
    <row r="587" spans="1:17" ht="15" customHeight="1" x14ac:dyDescent="0.2">
      <c r="A587" s="20" t="s">
        <v>2719</v>
      </c>
      <c r="B587" s="63">
        <v>45900</v>
      </c>
      <c r="C587" s="20">
        <f t="shared" si="43"/>
        <v>1173</v>
      </c>
      <c r="D587" s="20">
        <v>1</v>
      </c>
      <c r="G587" s="32" t="s">
        <v>3011</v>
      </c>
      <c r="H587" s="20" t="s">
        <v>3564</v>
      </c>
      <c r="I587" s="20">
        <v>3383</v>
      </c>
      <c r="J587" s="20">
        <v>1111</v>
      </c>
      <c r="K587" s="20" t="s">
        <v>20</v>
      </c>
      <c r="L587" s="20">
        <v>1</v>
      </c>
      <c r="M587" s="34">
        <v>690300</v>
      </c>
      <c r="N587" s="34">
        <f t="shared" si="40"/>
        <v>690300</v>
      </c>
      <c r="O587" s="33" t="s">
        <v>21</v>
      </c>
      <c r="P587" s="20">
        <f t="shared" si="44"/>
        <v>571</v>
      </c>
      <c r="Q587" s="20">
        <f t="shared" si="45"/>
        <v>34</v>
      </c>
    </row>
    <row r="588" spans="1:17" ht="15" customHeight="1" x14ac:dyDescent="0.2">
      <c r="A588" s="20" t="s">
        <v>2719</v>
      </c>
      <c r="B588" s="63">
        <v>45961</v>
      </c>
      <c r="C588" s="20">
        <f t="shared" si="43"/>
        <v>1174</v>
      </c>
      <c r="D588" s="20">
        <v>1</v>
      </c>
      <c r="G588" s="32" t="s">
        <v>3011</v>
      </c>
      <c r="H588" s="20" t="s">
        <v>2684</v>
      </c>
      <c r="I588" s="20">
        <v>3383</v>
      </c>
      <c r="J588" s="20">
        <v>1111</v>
      </c>
      <c r="K588" s="20" t="s">
        <v>20</v>
      </c>
      <c r="L588" s="20">
        <v>1</v>
      </c>
      <c r="M588" s="34">
        <v>690300</v>
      </c>
      <c r="N588" s="34">
        <f t="shared" si="40"/>
        <v>690300</v>
      </c>
      <c r="O588" s="33" t="s">
        <v>21</v>
      </c>
      <c r="P588" s="20">
        <f t="shared" si="44"/>
        <v>572</v>
      </c>
      <c r="Q588" s="20">
        <f t="shared" si="45"/>
        <v>34</v>
      </c>
    </row>
    <row r="589" spans="1:17" ht="15" customHeight="1" x14ac:dyDescent="0.2">
      <c r="A589" s="20" t="s">
        <v>2719</v>
      </c>
      <c r="B589" s="63">
        <v>45991</v>
      </c>
      <c r="C589" s="20">
        <f t="shared" si="43"/>
        <v>1175</v>
      </c>
      <c r="D589" s="20">
        <v>1</v>
      </c>
      <c r="G589" s="32" t="s">
        <v>3011</v>
      </c>
      <c r="H589" s="20" t="s">
        <v>2685</v>
      </c>
      <c r="I589" s="20">
        <v>3383</v>
      </c>
      <c r="J589" s="20">
        <v>1111</v>
      </c>
      <c r="K589" s="20" t="s">
        <v>20</v>
      </c>
      <c r="L589" s="20">
        <v>1</v>
      </c>
      <c r="M589" s="34">
        <v>690300</v>
      </c>
      <c r="N589" s="34">
        <f t="shared" si="40"/>
        <v>690300</v>
      </c>
      <c r="O589" s="33" t="s">
        <v>21</v>
      </c>
      <c r="P589" s="20">
        <f t="shared" si="44"/>
        <v>573</v>
      </c>
      <c r="Q589" s="20">
        <f t="shared" si="45"/>
        <v>34</v>
      </c>
    </row>
    <row r="590" spans="1:17" ht="15" customHeight="1" x14ac:dyDescent="0.2">
      <c r="A590" s="20" t="s">
        <v>2719</v>
      </c>
      <c r="B590" s="63">
        <v>46022</v>
      </c>
      <c r="C590" s="20">
        <f t="shared" si="43"/>
        <v>1176</v>
      </c>
      <c r="D590" s="20">
        <v>1</v>
      </c>
      <c r="G590" s="32" t="s">
        <v>3011</v>
      </c>
      <c r="H590" s="20" t="s">
        <v>3036</v>
      </c>
      <c r="I590" s="20">
        <v>3383</v>
      </c>
      <c r="J590" s="20">
        <v>1111</v>
      </c>
      <c r="K590" s="20" t="s">
        <v>20</v>
      </c>
      <c r="L590" s="20">
        <v>1</v>
      </c>
      <c r="M590" s="34">
        <v>690300</v>
      </c>
      <c r="N590" s="34">
        <f t="shared" si="40"/>
        <v>690300</v>
      </c>
      <c r="O590" s="33" t="s">
        <v>21</v>
      </c>
      <c r="P590" s="20">
        <f t="shared" si="44"/>
        <v>574</v>
      </c>
      <c r="Q590" s="20">
        <f t="shared" si="45"/>
        <v>34</v>
      </c>
    </row>
  </sheetData>
  <autoFilter ref="A3:Q590" xr:uid="{00000000-0009-0000-0000-00000C000000}"/>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C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P155"/>
  <sheetViews>
    <sheetView workbookViewId="0">
      <selection activeCell="P1" sqref="P1"/>
    </sheetView>
  </sheetViews>
  <sheetFormatPr defaultRowHeight="15" customHeight="1" x14ac:dyDescent="0.2"/>
  <cols>
    <col min="1" max="1" width="9.140625" style="20"/>
    <col min="2" max="2" width="10.7109375" style="63" bestFit="1" customWidth="1"/>
    <col min="3" max="6" width="9.140625" style="20"/>
    <col min="7" max="7" width="13.140625" style="32" bestFit="1" customWidth="1"/>
    <col min="8" max="8" width="47.5703125" style="20" customWidth="1"/>
    <col min="9" max="12" width="9.140625" style="20"/>
    <col min="13" max="14" width="13.28515625" style="62" bestFit="1" customWidth="1"/>
    <col min="15" max="15" width="11.28515625" style="20" bestFit="1" customWidth="1"/>
    <col min="16" max="16384" width="9.140625" style="20"/>
  </cols>
  <sheetData>
    <row r="1" spans="1:16" ht="15" customHeight="1" thickBot="1" x14ac:dyDescent="0.25">
      <c r="A1" s="165" t="s">
        <v>0</v>
      </c>
      <c r="B1" s="226" t="s">
        <v>1</v>
      </c>
      <c r="C1" s="165" t="s">
        <v>2</v>
      </c>
      <c r="D1" s="167" t="s">
        <v>3</v>
      </c>
      <c r="E1" s="167" t="s">
        <v>4</v>
      </c>
      <c r="F1" s="167" t="s">
        <v>5</v>
      </c>
      <c r="G1" s="159" t="s">
        <v>6</v>
      </c>
      <c r="H1" s="161" t="s">
        <v>7</v>
      </c>
      <c r="I1" s="163" t="s">
        <v>8</v>
      </c>
      <c r="J1" s="164"/>
      <c r="K1" s="165" t="s">
        <v>9</v>
      </c>
      <c r="L1" s="165" t="s">
        <v>10</v>
      </c>
      <c r="M1" s="224" t="s">
        <v>98</v>
      </c>
      <c r="N1" s="224" t="s">
        <v>99</v>
      </c>
      <c r="O1" s="39" t="s">
        <v>100</v>
      </c>
      <c r="P1" s="152" t="s">
        <v>3991</v>
      </c>
    </row>
    <row r="2" spans="1:16" ht="15" customHeight="1" thickBot="1" x14ac:dyDescent="0.25">
      <c r="A2" s="166"/>
      <c r="B2" s="227"/>
      <c r="C2" s="166"/>
      <c r="D2" s="171"/>
      <c r="E2" s="171"/>
      <c r="F2" s="168"/>
      <c r="G2" s="160"/>
      <c r="H2" s="162"/>
      <c r="I2" s="40" t="s">
        <v>13</v>
      </c>
      <c r="J2" s="41" t="s">
        <v>14</v>
      </c>
      <c r="K2" s="166"/>
      <c r="L2" s="166"/>
      <c r="M2" s="225"/>
      <c r="N2" s="225"/>
      <c r="O2" s="37" t="s">
        <v>100</v>
      </c>
      <c r="P2" s="37"/>
    </row>
    <row r="3" spans="1:16" ht="15" customHeight="1" x14ac:dyDescent="0.2">
      <c r="A3" s="42"/>
      <c r="B3" s="65"/>
      <c r="C3" s="42">
        <v>230</v>
      </c>
      <c r="D3" s="43"/>
      <c r="E3" s="43"/>
      <c r="F3" s="43"/>
      <c r="G3" s="58" t="s">
        <v>15</v>
      </c>
      <c r="H3" s="44"/>
      <c r="I3" s="44"/>
      <c r="J3" s="44"/>
      <c r="K3" s="42"/>
      <c r="L3" s="42"/>
      <c r="M3" s="61"/>
      <c r="N3" s="61"/>
      <c r="O3" s="37" t="s">
        <v>16</v>
      </c>
      <c r="P3" s="37" t="s">
        <v>17</v>
      </c>
    </row>
    <row r="4" spans="1:16" ht="15" customHeight="1" x14ac:dyDescent="0.2">
      <c r="A4" s="20" t="s">
        <v>18</v>
      </c>
      <c r="B4" s="63">
        <v>45932</v>
      </c>
      <c r="C4" s="20">
        <f t="shared" ref="C4:C35" si="0">C3+D4</f>
        <v>231</v>
      </c>
      <c r="D4" s="20">
        <v>1</v>
      </c>
      <c r="G4" s="32" t="s">
        <v>64</v>
      </c>
      <c r="H4" s="20" t="s">
        <v>1670</v>
      </c>
      <c r="I4" s="20">
        <v>64277</v>
      </c>
      <c r="J4" s="20">
        <v>331</v>
      </c>
      <c r="K4" s="20" t="s">
        <v>20</v>
      </c>
      <c r="L4" s="20">
        <v>1</v>
      </c>
      <c r="M4" s="122">
        <v>99000</v>
      </c>
      <c r="N4" s="122">
        <f t="shared" ref="N4:N35" si="1">M4*L4</f>
        <v>99000</v>
      </c>
      <c r="O4" s="20" t="s">
        <v>21</v>
      </c>
      <c r="P4" s="20">
        <v>1</v>
      </c>
    </row>
    <row r="5" spans="1:16" ht="15" customHeight="1" x14ac:dyDescent="0.2">
      <c r="A5" s="20" t="s">
        <v>18</v>
      </c>
      <c r="B5" s="63">
        <v>45934</v>
      </c>
      <c r="C5" s="20">
        <f t="shared" si="0"/>
        <v>232</v>
      </c>
      <c r="D5" s="20">
        <v>1</v>
      </c>
      <c r="G5" s="32" t="s">
        <v>37</v>
      </c>
      <c r="H5" s="20" t="s">
        <v>1605</v>
      </c>
      <c r="I5" s="20">
        <v>64277</v>
      </c>
      <c r="J5" s="20">
        <v>331</v>
      </c>
      <c r="K5" s="20" t="s">
        <v>20</v>
      </c>
      <c r="L5" s="20">
        <v>1</v>
      </c>
      <c r="M5" s="122">
        <v>2700000</v>
      </c>
      <c r="N5" s="122">
        <f t="shared" si="1"/>
        <v>2700000</v>
      </c>
      <c r="O5" s="20" t="s">
        <v>21</v>
      </c>
      <c r="P5" s="20">
        <f>P4+D5</f>
        <v>2</v>
      </c>
    </row>
    <row r="6" spans="1:16" ht="15" customHeight="1" x14ac:dyDescent="0.2">
      <c r="A6" s="20" t="s">
        <v>18</v>
      </c>
      <c r="B6" s="63">
        <v>45940</v>
      </c>
      <c r="C6" s="20">
        <f t="shared" si="0"/>
        <v>233</v>
      </c>
      <c r="D6" s="20">
        <v>1</v>
      </c>
      <c r="G6" s="32" t="s">
        <v>25</v>
      </c>
      <c r="H6" s="20" t="s">
        <v>1671</v>
      </c>
      <c r="I6" s="20">
        <v>64277</v>
      </c>
      <c r="J6" s="20">
        <v>331</v>
      </c>
      <c r="K6" s="20" t="s">
        <v>20</v>
      </c>
      <c r="L6" s="20">
        <v>1</v>
      </c>
      <c r="M6" s="122">
        <v>698760</v>
      </c>
      <c r="N6" s="122">
        <f t="shared" si="1"/>
        <v>698760</v>
      </c>
      <c r="O6" s="20" t="s">
        <v>21</v>
      </c>
      <c r="P6" s="20">
        <f t="shared" ref="P6:P69" si="2">P5+D6</f>
        <v>3</v>
      </c>
    </row>
    <row r="7" spans="1:16" ht="15" customHeight="1" x14ac:dyDescent="0.2">
      <c r="A7" s="20" t="s">
        <v>18</v>
      </c>
      <c r="B7" s="63">
        <v>45945</v>
      </c>
      <c r="C7" s="20">
        <f t="shared" si="0"/>
        <v>234</v>
      </c>
      <c r="D7" s="20">
        <v>1</v>
      </c>
      <c r="G7" s="32" t="s">
        <v>277</v>
      </c>
      <c r="H7" s="20" t="s">
        <v>1687</v>
      </c>
      <c r="I7" s="20">
        <v>6425</v>
      </c>
      <c r="J7" s="20">
        <v>331</v>
      </c>
      <c r="K7" s="20" t="s">
        <v>20</v>
      </c>
      <c r="L7" s="20">
        <v>1</v>
      </c>
      <c r="M7" s="122">
        <v>11190367</v>
      </c>
      <c r="N7" s="122">
        <f t="shared" si="1"/>
        <v>11190367</v>
      </c>
      <c r="O7" s="20" t="s">
        <v>21</v>
      </c>
      <c r="P7" s="20">
        <f t="shared" si="2"/>
        <v>4</v>
      </c>
    </row>
    <row r="8" spans="1:16" ht="15" customHeight="1" x14ac:dyDescent="0.2">
      <c r="A8" s="20" t="s">
        <v>18</v>
      </c>
      <c r="B8" s="63">
        <v>45945</v>
      </c>
      <c r="C8" s="20">
        <f t="shared" si="0"/>
        <v>235</v>
      </c>
      <c r="D8" s="20">
        <v>1</v>
      </c>
      <c r="G8" s="32" t="s">
        <v>141</v>
      </c>
      <c r="H8" s="20" t="s">
        <v>1672</v>
      </c>
      <c r="I8" s="20">
        <v>64277</v>
      </c>
      <c r="J8" s="20">
        <v>331</v>
      </c>
      <c r="K8" s="20" t="s">
        <v>20</v>
      </c>
      <c r="L8" s="20">
        <v>1</v>
      </c>
      <c r="M8" s="122">
        <v>673000</v>
      </c>
      <c r="N8" s="122">
        <f t="shared" si="1"/>
        <v>673000</v>
      </c>
      <c r="O8" s="20" t="s">
        <v>21</v>
      </c>
      <c r="P8" s="20">
        <f t="shared" si="2"/>
        <v>5</v>
      </c>
    </row>
    <row r="9" spans="1:16" ht="15" customHeight="1" x14ac:dyDescent="0.2">
      <c r="A9" s="20" t="s">
        <v>18</v>
      </c>
      <c r="B9" s="63">
        <v>45946</v>
      </c>
      <c r="C9" s="20">
        <f t="shared" si="0"/>
        <v>236</v>
      </c>
      <c r="D9" s="20">
        <v>1</v>
      </c>
      <c r="G9" s="32" t="s">
        <v>140</v>
      </c>
      <c r="H9" s="20" t="s">
        <v>1673</v>
      </c>
      <c r="I9" s="20">
        <v>64277</v>
      </c>
      <c r="J9" s="20">
        <v>331</v>
      </c>
      <c r="K9" s="20" t="s">
        <v>20</v>
      </c>
      <c r="L9" s="20">
        <v>1</v>
      </c>
      <c r="M9" s="122">
        <v>892080</v>
      </c>
      <c r="N9" s="122">
        <f t="shared" si="1"/>
        <v>892080</v>
      </c>
      <c r="O9" s="20" t="s">
        <v>21</v>
      </c>
      <c r="P9" s="20">
        <f t="shared" si="2"/>
        <v>6</v>
      </c>
    </row>
    <row r="10" spans="1:16" ht="15" customHeight="1" x14ac:dyDescent="0.2">
      <c r="A10" s="20" t="s">
        <v>18</v>
      </c>
      <c r="B10" s="63">
        <v>45949</v>
      </c>
      <c r="C10" s="20">
        <f t="shared" si="0"/>
        <v>237</v>
      </c>
      <c r="D10" s="20">
        <v>1</v>
      </c>
      <c r="G10" s="32" t="s">
        <v>1657</v>
      </c>
      <c r="H10" s="20" t="s">
        <v>1674</v>
      </c>
      <c r="I10" s="20">
        <v>64277</v>
      </c>
      <c r="J10" s="20">
        <v>331</v>
      </c>
      <c r="K10" s="20" t="s">
        <v>20</v>
      </c>
      <c r="L10" s="20">
        <v>1</v>
      </c>
      <c r="M10" s="122">
        <v>1404000</v>
      </c>
      <c r="N10" s="122">
        <f t="shared" si="1"/>
        <v>1404000</v>
      </c>
      <c r="O10" s="20" t="s">
        <v>21</v>
      </c>
      <c r="P10" s="20">
        <f t="shared" si="2"/>
        <v>7</v>
      </c>
    </row>
    <row r="11" spans="1:16" ht="15" customHeight="1" x14ac:dyDescent="0.2">
      <c r="A11" s="20" t="s">
        <v>18</v>
      </c>
      <c r="B11" s="63">
        <v>45960</v>
      </c>
      <c r="C11" s="20">
        <f t="shared" si="0"/>
        <v>238</v>
      </c>
      <c r="D11" s="20">
        <v>1</v>
      </c>
      <c r="G11" s="32" t="s">
        <v>37</v>
      </c>
      <c r="H11" s="20" t="s">
        <v>1606</v>
      </c>
      <c r="I11" s="20">
        <v>64277</v>
      </c>
      <c r="J11" s="20">
        <v>331</v>
      </c>
      <c r="K11" s="20" t="s">
        <v>20</v>
      </c>
      <c r="L11" s="20">
        <v>1</v>
      </c>
      <c r="M11" s="122">
        <v>2700000</v>
      </c>
      <c r="N11" s="122">
        <f t="shared" si="1"/>
        <v>2700000</v>
      </c>
      <c r="O11" s="20" t="s">
        <v>21</v>
      </c>
      <c r="P11" s="20">
        <f t="shared" si="2"/>
        <v>8</v>
      </c>
    </row>
    <row r="12" spans="1:16" ht="15" customHeight="1" x14ac:dyDescent="0.2">
      <c r="A12" s="20" t="s">
        <v>18</v>
      </c>
      <c r="B12" s="63">
        <v>45961</v>
      </c>
      <c r="C12" s="20">
        <f t="shared" si="0"/>
        <v>239</v>
      </c>
      <c r="D12" s="20">
        <v>1</v>
      </c>
      <c r="G12" s="32" t="s">
        <v>142</v>
      </c>
      <c r="H12" s="20" t="s">
        <v>1685</v>
      </c>
      <c r="I12" s="20">
        <v>64276</v>
      </c>
      <c r="J12" s="20">
        <v>331</v>
      </c>
      <c r="K12" s="20" t="s">
        <v>20</v>
      </c>
      <c r="L12" s="20">
        <v>1</v>
      </c>
      <c r="M12" s="122">
        <v>330000</v>
      </c>
      <c r="N12" s="122">
        <f t="shared" si="1"/>
        <v>330000</v>
      </c>
      <c r="O12" s="20" t="s">
        <v>21</v>
      </c>
      <c r="P12" s="20">
        <f t="shared" si="2"/>
        <v>9</v>
      </c>
    </row>
    <row r="13" spans="1:16" ht="15" customHeight="1" x14ac:dyDescent="0.2">
      <c r="A13" s="20" t="s">
        <v>18</v>
      </c>
      <c r="B13" s="63">
        <v>45967</v>
      </c>
      <c r="C13" s="20">
        <f t="shared" si="0"/>
        <v>240</v>
      </c>
      <c r="D13" s="20">
        <v>1</v>
      </c>
      <c r="G13" s="32" t="s">
        <v>25</v>
      </c>
      <c r="H13" s="20" t="s">
        <v>1675</v>
      </c>
      <c r="I13" s="20">
        <v>64277</v>
      </c>
      <c r="J13" s="20">
        <v>331</v>
      </c>
      <c r="K13" s="20" t="s">
        <v>20</v>
      </c>
      <c r="L13" s="20">
        <v>1</v>
      </c>
      <c r="M13" s="122">
        <v>305640</v>
      </c>
      <c r="N13" s="122">
        <f t="shared" si="1"/>
        <v>305640</v>
      </c>
      <c r="O13" s="20" t="s">
        <v>21</v>
      </c>
      <c r="P13" s="20">
        <f t="shared" si="2"/>
        <v>10</v>
      </c>
    </row>
    <row r="14" spans="1:16" ht="15" customHeight="1" x14ac:dyDescent="0.2">
      <c r="A14" s="20" t="s">
        <v>18</v>
      </c>
      <c r="B14" s="63">
        <v>45970</v>
      </c>
      <c r="C14" s="20">
        <f t="shared" si="0"/>
        <v>241</v>
      </c>
      <c r="D14" s="20">
        <v>1</v>
      </c>
      <c r="G14" s="32" t="s">
        <v>1008</v>
      </c>
      <c r="H14" s="20" t="s">
        <v>1676</v>
      </c>
      <c r="I14" s="20">
        <v>64277</v>
      </c>
      <c r="J14" s="20">
        <v>331</v>
      </c>
      <c r="K14" s="20" t="s">
        <v>20</v>
      </c>
      <c r="L14" s="20">
        <v>1</v>
      </c>
      <c r="M14" s="122">
        <v>525000</v>
      </c>
      <c r="N14" s="122">
        <f t="shared" si="1"/>
        <v>525000</v>
      </c>
      <c r="O14" s="20" t="s">
        <v>21</v>
      </c>
      <c r="P14" s="20">
        <f t="shared" si="2"/>
        <v>11</v>
      </c>
    </row>
    <row r="15" spans="1:16" ht="15" customHeight="1" x14ac:dyDescent="0.2">
      <c r="A15" s="20" t="s">
        <v>18</v>
      </c>
      <c r="B15" s="63">
        <v>45973</v>
      </c>
      <c r="C15" s="20">
        <f t="shared" si="0"/>
        <v>242</v>
      </c>
      <c r="D15" s="20">
        <v>1</v>
      </c>
      <c r="G15" s="32" t="s">
        <v>1658</v>
      </c>
      <c r="H15" s="20" t="s">
        <v>1677</v>
      </c>
      <c r="I15" s="20">
        <v>64277</v>
      </c>
      <c r="J15" s="20">
        <v>331</v>
      </c>
      <c r="K15" s="20" t="s">
        <v>20</v>
      </c>
      <c r="L15" s="20">
        <v>1</v>
      </c>
      <c r="M15" s="122">
        <v>464940</v>
      </c>
      <c r="N15" s="122">
        <f t="shared" si="1"/>
        <v>464940</v>
      </c>
      <c r="O15" s="20" t="s">
        <v>21</v>
      </c>
      <c r="P15" s="20">
        <f t="shared" si="2"/>
        <v>12</v>
      </c>
    </row>
    <row r="16" spans="1:16" ht="15" customHeight="1" x14ac:dyDescent="0.2">
      <c r="A16" s="20" t="s">
        <v>18</v>
      </c>
      <c r="B16" s="63">
        <v>45973</v>
      </c>
      <c r="C16" s="20">
        <f t="shared" si="0"/>
        <v>243</v>
      </c>
      <c r="D16" s="20">
        <v>1</v>
      </c>
      <c r="G16" s="32" t="s">
        <v>1659</v>
      </c>
      <c r="H16" s="20" t="s">
        <v>1689</v>
      </c>
      <c r="I16" s="20">
        <v>64276</v>
      </c>
      <c r="J16" s="20">
        <v>331</v>
      </c>
      <c r="K16" s="20" t="s">
        <v>20</v>
      </c>
      <c r="L16" s="20">
        <v>1</v>
      </c>
      <c r="M16" s="122">
        <v>1780000</v>
      </c>
      <c r="N16" s="122">
        <f t="shared" si="1"/>
        <v>1780000</v>
      </c>
      <c r="O16" s="20" t="s">
        <v>21</v>
      </c>
      <c r="P16" s="20">
        <f t="shared" si="2"/>
        <v>13</v>
      </c>
    </row>
    <row r="17" spans="1:16" ht="15" customHeight="1" x14ac:dyDescent="0.2">
      <c r="A17" s="20" t="s">
        <v>18</v>
      </c>
      <c r="B17" s="63">
        <v>45975</v>
      </c>
      <c r="C17" s="20">
        <f t="shared" si="0"/>
        <v>244</v>
      </c>
      <c r="D17" s="20">
        <v>1</v>
      </c>
      <c r="G17" s="32" t="s">
        <v>1660</v>
      </c>
      <c r="H17" s="20" t="s">
        <v>1678</v>
      </c>
      <c r="I17" s="20">
        <v>64277</v>
      </c>
      <c r="J17" s="20">
        <v>331</v>
      </c>
      <c r="K17" s="20" t="s">
        <v>20</v>
      </c>
      <c r="L17" s="20">
        <v>1</v>
      </c>
      <c r="M17" s="122">
        <v>1868400</v>
      </c>
      <c r="N17" s="122">
        <f t="shared" si="1"/>
        <v>1868400</v>
      </c>
      <c r="O17" s="20" t="s">
        <v>21</v>
      </c>
      <c r="P17" s="20">
        <f t="shared" si="2"/>
        <v>14</v>
      </c>
    </row>
    <row r="18" spans="1:16" ht="15" customHeight="1" x14ac:dyDescent="0.2">
      <c r="A18" s="20" t="s">
        <v>18</v>
      </c>
      <c r="B18" s="63">
        <v>45976</v>
      </c>
      <c r="C18" s="20">
        <f t="shared" si="0"/>
        <v>245</v>
      </c>
      <c r="D18" s="20">
        <v>1</v>
      </c>
      <c r="G18" s="32" t="s">
        <v>277</v>
      </c>
      <c r="H18" s="20" t="s">
        <v>1688</v>
      </c>
      <c r="I18" s="20">
        <v>6425</v>
      </c>
      <c r="J18" s="20">
        <v>331</v>
      </c>
      <c r="K18" s="20" t="s">
        <v>20</v>
      </c>
      <c r="L18" s="20">
        <v>1</v>
      </c>
      <c r="M18" s="122">
        <v>11563379</v>
      </c>
      <c r="N18" s="122">
        <f t="shared" si="1"/>
        <v>11563379</v>
      </c>
      <c r="O18" s="20" t="s">
        <v>21</v>
      </c>
      <c r="P18" s="20">
        <f t="shared" si="2"/>
        <v>15</v>
      </c>
    </row>
    <row r="19" spans="1:16" ht="15" customHeight="1" x14ac:dyDescent="0.2">
      <c r="A19" s="20" t="s">
        <v>18</v>
      </c>
      <c r="B19" s="63">
        <v>45979</v>
      </c>
      <c r="C19" s="20">
        <f t="shared" si="0"/>
        <v>246</v>
      </c>
      <c r="D19" s="20">
        <v>1</v>
      </c>
      <c r="G19" s="32" t="s">
        <v>141</v>
      </c>
      <c r="H19" s="20" t="s">
        <v>1679</v>
      </c>
      <c r="I19" s="20">
        <v>64277</v>
      </c>
      <c r="J19" s="20">
        <v>331</v>
      </c>
      <c r="K19" s="20" t="s">
        <v>20</v>
      </c>
      <c r="L19" s="20">
        <v>1</v>
      </c>
      <c r="M19" s="122">
        <v>1869000</v>
      </c>
      <c r="N19" s="122">
        <f t="shared" si="1"/>
        <v>1869000</v>
      </c>
      <c r="O19" s="20" t="s">
        <v>21</v>
      </c>
      <c r="P19" s="20">
        <f t="shared" si="2"/>
        <v>16</v>
      </c>
    </row>
    <row r="20" spans="1:16" ht="15" customHeight="1" x14ac:dyDescent="0.2">
      <c r="A20" s="20" t="s">
        <v>18</v>
      </c>
      <c r="B20" s="63">
        <v>45983</v>
      </c>
      <c r="C20" s="20">
        <f t="shared" si="0"/>
        <v>247</v>
      </c>
      <c r="D20" s="20">
        <v>1</v>
      </c>
      <c r="G20" s="32" t="s">
        <v>131</v>
      </c>
      <c r="H20" s="20" t="s">
        <v>1680</v>
      </c>
      <c r="I20" s="20">
        <v>64277</v>
      </c>
      <c r="J20" s="20">
        <v>331</v>
      </c>
      <c r="K20" s="20" t="s">
        <v>20</v>
      </c>
      <c r="L20" s="20">
        <v>1</v>
      </c>
      <c r="M20" s="122">
        <v>648000</v>
      </c>
      <c r="N20" s="122">
        <f t="shared" si="1"/>
        <v>648000</v>
      </c>
      <c r="O20" s="20" t="s">
        <v>21</v>
      </c>
      <c r="P20" s="20">
        <f t="shared" si="2"/>
        <v>17</v>
      </c>
    </row>
    <row r="21" spans="1:16" ht="15" customHeight="1" x14ac:dyDescent="0.2">
      <c r="A21" s="20" t="s">
        <v>18</v>
      </c>
      <c r="B21" s="63">
        <v>45987</v>
      </c>
      <c r="C21" s="20">
        <f t="shared" si="0"/>
        <v>248</v>
      </c>
      <c r="D21" s="20">
        <v>1</v>
      </c>
      <c r="G21" s="32" t="s">
        <v>1661</v>
      </c>
      <c r="H21" s="20" t="s">
        <v>1681</v>
      </c>
      <c r="I21" s="20">
        <v>64277</v>
      </c>
      <c r="J21" s="20">
        <v>331</v>
      </c>
      <c r="K21" s="20" t="s">
        <v>20</v>
      </c>
      <c r="L21" s="20">
        <v>1</v>
      </c>
      <c r="M21" s="122">
        <v>2120798</v>
      </c>
      <c r="N21" s="122">
        <f t="shared" si="1"/>
        <v>2120798</v>
      </c>
      <c r="O21" s="20" t="s">
        <v>21</v>
      </c>
      <c r="P21" s="20">
        <f t="shared" si="2"/>
        <v>18</v>
      </c>
    </row>
    <row r="22" spans="1:16" ht="15" customHeight="1" x14ac:dyDescent="0.2">
      <c r="A22" s="20" t="s">
        <v>18</v>
      </c>
      <c r="B22" s="63">
        <v>45990</v>
      </c>
      <c r="C22" s="20">
        <f t="shared" si="0"/>
        <v>249</v>
      </c>
      <c r="D22" s="20">
        <v>1</v>
      </c>
      <c r="G22" s="32" t="s">
        <v>37</v>
      </c>
      <c r="H22" s="20" t="s">
        <v>1607</v>
      </c>
      <c r="I22" s="20">
        <v>64277</v>
      </c>
      <c r="J22" s="20">
        <v>331</v>
      </c>
      <c r="K22" s="20" t="s">
        <v>20</v>
      </c>
      <c r="L22" s="20">
        <v>1</v>
      </c>
      <c r="M22" s="122">
        <v>2700000</v>
      </c>
      <c r="N22" s="122">
        <f t="shared" si="1"/>
        <v>2700000</v>
      </c>
      <c r="O22" s="20" t="s">
        <v>21</v>
      </c>
      <c r="P22" s="20">
        <f t="shared" si="2"/>
        <v>19</v>
      </c>
    </row>
    <row r="23" spans="1:16" ht="15" customHeight="1" x14ac:dyDescent="0.2">
      <c r="A23" s="20" t="s">
        <v>18</v>
      </c>
      <c r="B23" s="63">
        <v>45991</v>
      </c>
      <c r="C23" s="20">
        <f t="shared" si="0"/>
        <v>250</v>
      </c>
      <c r="D23" s="20">
        <v>1</v>
      </c>
      <c r="G23" s="32" t="s">
        <v>142</v>
      </c>
      <c r="H23" s="20" t="s">
        <v>1686</v>
      </c>
      <c r="I23" s="20">
        <v>64276</v>
      </c>
      <c r="J23" s="20">
        <v>331</v>
      </c>
      <c r="K23" s="20" t="s">
        <v>20</v>
      </c>
      <c r="L23" s="20">
        <v>1</v>
      </c>
      <c r="M23" s="122">
        <v>330000</v>
      </c>
      <c r="N23" s="122">
        <f t="shared" si="1"/>
        <v>330000</v>
      </c>
      <c r="O23" s="20" t="s">
        <v>21</v>
      </c>
      <c r="P23" s="20">
        <f t="shared" si="2"/>
        <v>20</v>
      </c>
    </row>
    <row r="24" spans="1:16" ht="15" customHeight="1" x14ac:dyDescent="0.2">
      <c r="A24" s="20" t="s">
        <v>18</v>
      </c>
      <c r="B24" s="63">
        <v>45992</v>
      </c>
      <c r="C24" s="20">
        <f t="shared" si="0"/>
        <v>251</v>
      </c>
      <c r="D24" s="20">
        <v>1</v>
      </c>
      <c r="G24" s="32" t="s">
        <v>1662</v>
      </c>
      <c r="H24" s="20" t="s">
        <v>1608</v>
      </c>
      <c r="I24" s="20">
        <v>64277</v>
      </c>
      <c r="J24" s="20">
        <v>331</v>
      </c>
      <c r="K24" s="20" t="s">
        <v>20</v>
      </c>
      <c r="L24" s="20">
        <v>1</v>
      </c>
      <c r="M24" s="122">
        <v>5800000</v>
      </c>
      <c r="N24" s="122">
        <f t="shared" si="1"/>
        <v>5800000</v>
      </c>
      <c r="O24" s="20" t="s">
        <v>21</v>
      </c>
      <c r="P24" s="20">
        <f t="shared" si="2"/>
        <v>21</v>
      </c>
    </row>
    <row r="25" spans="1:16" ht="15" customHeight="1" x14ac:dyDescent="0.2">
      <c r="A25" s="20" t="s">
        <v>18</v>
      </c>
      <c r="B25" s="63">
        <v>45998</v>
      </c>
      <c r="C25" s="20">
        <f t="shared" si="0"/>
        <v>252</v>
      </c>
      <c r="D25" s="20">
        <v>1</v>
      </c>
      <c r="G25" s="32" t="s">
        <v>1663</v>
      </c>
      <c r="H25" s="20" t="s">
        <v>1682</v>
      </c>
      <c r="I25" s="20">
        <v>64277</v>
      </c>
      <c r="J25" s="20">
        <v>331</v>
      </c>
      <c r="K25" s="20" t="s">
        <v>20</v>
      </c>
      <c r="L25" s="20">
        <v>1</v>
      </c>
      <c r="M25" s="122">
        <v>198000</v>
      </c>
      <c r="N25" s="122">
        <f t="shared" si="1"/>
        <v>198000</v>
      </c>
      <c r="O25" s="20" t="s">
        <v>21</v>
      </c>
      <c r="P25" s="20">
        <f t="shared" si="2"/>
        <v>22</v>
      </c>
    </row>
    <row r="26" spans="1:16" ht="15" customHeight="1" x14ac:dyDescent="0.2">
      <c r="A26" s="20" t="s">
        <v>18</v>
      </c>
      <c r="B26" s="63">
        <v>46012</v>
      </c>
      <c r="C26" s="20">
        <f t="shared" si="0"/>
        <v>253</v>
      </c>
      <c r="D26" s="20">
        <v>1</v>
      </c>
      <c r="G26" s="32" t="s">
        <v>141</v>
      </c>
      <c r="H26" s="20" t="s">
        <v>1683</v>
      </c>
      <c r="I26" s="20">
        <v>64277</v>
      </c>
      <c r="J26" s="20">
        <v>331</v>
      </c>
      <c r="K26" s="20" t="s">
        <v>20</v>
      </c>
      <c r="L26" s="20">
        <v>1</v>
      </c>
      <c r="M26" s="122">
        <v>924000</v>
      </c>
      <c r="N26" s="122">
        <f t="shared" si="1"/>
        <v>924000</v>
      </c>
      <c r="O26" s="20" t="s">
        <v>21</v>
      </c>
      <c r="P26" s="20">
        <f t="shared" si="2"/>
        <v>23</v>
      </c>
    </row>
    <row r="27" spans="1:16" ht="15" customHeight="1" x14ac:dyDescent="0.2">
      <c r="A27" s="20" t="s">
        <v>18</v>
      </c>
      <c r="B27" s="63">
        <v>46014</v>
      </c>
      <c r="C27" s="20">
        <f t="shared" si="0"/>
        <v>254</v>
      </c>
      <c r="D27" s="20">
        <v>1</v>
      </c>
      <c r="G27" s="32" t="s">
        <v>39</v>
      </c>
      <c r="H27" s="20" t="s">
        <v>1684</v>
      </c>
      <c r="I27" s="20">
        <v>64277</v>
      </c>
      <c r="J27" s="20">
        <v>331</v>
      </c>
      <c r="K27" s="20" t="s">
        <v>20</v>
      </c>
      <c r="L27" s="20">
        <v>1</v>
      </c>
      <c r="M27" s="122">
        <v>344520</v>
      </c>
      <c r="N27" s="122">
        <f t="shared" si="1"/>
        <v>344520</v>
      </c>
      <c r="O27" s="20" t="s">
        <v>21</v>
      </c>
      <c r="P27" s="20">
        <f t="shared" si="2"/>
        <v>24</v>
      </c>
    </row>
    <row r="28" spans="1:16" ht="15" customHeight="1" x14ac:dyDescent="0.2">
      <c r="A28" s="20" t="s">
        <v>18</v>
      </c>
      <c r="B28" s="63">
        <v>45931</v>
      </c>
      <c r="C28" s="20">
        <f t="shared" si="0"/>
        <v>255</v>
      </c>
      <c r="D28" s="20">
        <v>1</v>
      </c>
      <c r="G28" s="20" t="s">
        <v>1664</v>
      </c>
      <c r="H28" s="20" t="s">
        <v>1609</v>
      </c>
      <c r="I28" s="20">
        <v>131</v>
      </c>
      <c r="J28" s="20">
        <v>5113</v>
      </c>
      <c r="K28" s="20" t="s">
        <v>20</v>
      </c>
      <c r="L28" s="20">
        <v>1</v>
      </c>
      <c r="M28" s="122">
        <v>12903226</v>
      </c>
      <c r="N28" s="122">
        <f t="shared" si="1"/>
        <v>12903226</v>
      </c>
      <c r="O28" s="20" t="s">
        <v>21</v>
      </c>
      <c r="P28" s="20">
        <f t="shared" si="2"/>
        <v>25</v>
      </c>
    </row>
    <row r="29" spans="1:16" ht="15" customHeight="1" x14ac:dyDescent="0.2">
      <c r="A29" s="20" t="s">
        <v>18</v>
      </c>
      <c r="B29" s="63">
        <v>45931</v>
      </c>
      <c r="C29" s="20">
        <f t="shared" si="0"/>
        <v>255</v>
      </c>
      <c r="D29" s="20">
        <v>0</v>
      </c>
      <c r="G29" s="32" t="s">
        <v>1664</v>
      </c>
      <c r="H29" s="20" t="s">
        <v>1633</v>
      </c>
      <c r="I29" s="20">
        <v>333821</v>
      </c>
      <c r="J29" s="20">
        <v>131</v>
      </c>
      <c r="K29" s="20" t="s">
        <v>20</v>
      </c>
      <c r="L29" s="20">
        <v>1</v>
      </c>
      <c r="M29" s="122">
        <v>129032</v>
      </c>
      <c r="N29" s="122">
        <f t="shared" si="1"/>
        <v>129032</v>
      </c>
      <c r="O29" s="20" t="s">
        <v>21</v>
      </c>
      <c r="P29" s="20">
        <f t="shared" si="2"/>
        <v>25</v>
      </c>
    </row>
    <row r="30" spans="1:16" ht="15" customHeight="1" x14ac:dyDescent="0.2">
      <c r="A30" s="20" t="s">
        <v>18</v>
      </c>
      <c r="B30" s="63">
        <v>45931</v>
      </c>
      <c r="C30" s="20">
        <f t="shared" si="0"/>
        <v>256</v>
      </c>
      <c r="D30" s="20">
        <v>1</v>
      </c>
      <c r="G30" s="20" t="s">
        <v>109</v>
      </c>
      <c r="H30" s="20" t="s">
        <v>1610</v>
      </c>
      <c r="I30" s="20">
        <v>131</v>
      </c>
      <c r="J30" s="20">
        <v>5113</v>
      </c>
      <c r="K30" s="20" t="s">
        <v>20</v>
      </c>
      <c r="L30" s="20">
        <v>1</v>
      </c>
      <c r="M30" s="122">
        <v>12365591</v>
      </c>
      <c r="N30" s="122">
        <f t="shared" si="1"/>
        <v>12365591</v>
      </c>
      <c r="O30" s="20" t="s">
        <v>21</v>
      </c>
      <c r="P30" s="20">
        <f t="shared" si="2"/>
        <v>26</v>
      </c>
    </row>
    <row r="31" spans="1:16" ht="15" customHeight="1" x14ac:dyDescent="0.2">
      <c r="A31" s="20" t="s">
        <v>18</v>
      </c>
      <c r="B31" s="63">
        <v>45931</v>
      </c>
      <c r="C31" s="20">
        <f t="shared" si="0"/>
        <v>256</v>
      </c>
      <c r="D31" s="20">
        <v>0</v>
      </c>
      <c r="G31" s="32" t="s">
        <v>109</v>
      </c>
      <c r="H31" s="20" t="s">
        <v>1634</v>
      </c>
      <c r="I31" s="20">
        <v>333821</v>
      </c>
      <c r="J31" s="20">
        <v>131</v>
      </c>
      <c r="K31" s="20" t="s">
        <v>20</v>
      </c>
      <c r="L31" s="20">
        <v>1</v>
      </c>
      <c r="M31" s="122">
        <v>123656</v>
      </c>
      <c r="N31" s="122">
        <f t="shared" si="1"/>
        <v>123656</v>
      </c>
      <c r="O31" s="20" t="s">
        <v>21</v>
      </c>
      <c r="P31" s="20">
        <f t="shared" si="2"/>
        <v>26</v>
      </c>
    </row>
    <row r="32" spans="1:16" ht="15" customHeight="1" x14ac:dyDescent="0.2">
      <c r="A32" s="20" t="s">
        <v>18</v>
      </c>
      <c r="B32" s="63">
        <v>45932</v>
      </c>
      <c r="C32" s="20">
        <f t="shared" si="0"/>
        <v>257</v>
      </c>
      <c r="D32" s="20">
        <v>1</v>
      </c>
      <c r="G32" s="20" t="s">
        <v>58</v>
      </c>
      <c r="H32" s="20" t="s">
        <v>1611</v>
      </c>
      <c r="I32" s="20">
        <v>131</v>
      </c>
      <c r="J32" s="20">
        <v>5113</v>
      </c>
      <c r="K32" s="20" t="s">
        <v>20</v>
      </c>
      <c r="L32" s="20">
        <v>1</v>
      </c>
      <c r="M32" s="122">
        <v>3225806</v>
      </c>
      <c r="N32" s="122">
        <f t="shared" si="1"/>
        <v>3225806</v>
      </c>
      <c r="O32" s="20" t="s">
        <v>21</v>
      </c>
      <c r="P32" s="20">
        <f t="shared" si="2"/>
        <v>27</v>
      </c>
    </row>
    <row r="33" spans="1:16" ht="15" customHeight="1" x14ac:dyDescent="0.2">
      <c r="A33" s="20" t="s">
        <v>18</v>
      </c>
      <c r="B33" s="63">
        <v>45932</v>
      </c>
      <c r="C33" s="20">
        <f t="shared" si="0"/>
        <v>257</v>
      </c>
      <c r="D33" s="20">
        <v>0</v>
      </c>
      <c r="G33" s="32" t="s">
        <v>58</v>
      </c>
      <c r="H33" s="20" t="s">
        <v>1635</v>
      </c>
      <c r="I33" s="20">
        <v>333821</v>
      </c>
      <c r="J33" s="20">
        <v>131</v>
      </c>
      <c r="K33" s="20" t="s">
        <v>20</v>
      </c>
      <c r="L33" s="20">
        <v>1</v>
      </c>
      <c r="M33" s="122">
        <v>32258</v>
      </c>
      <c r="N33" s="122">
        <f t="shared" si="1"/>
        <v>32258</v>
      </c>
      <c r="O33" s="20" t="s">
        <v>21</v>
      </c>
      <c r="P33" s="20">
        <f t="shared" si="2"/>
        <v>27</v>
      </c>
    </row>
    <row r="34" spans="1:16" ht="15" customHeight="1" x14ac:dyDescent="0.2">
      <c r="A34" s="20" t="s">
        <v>18</v>
      </c>
      <c r="B34" s="63">
        <v>45933</v>
      </c>
      <c r="C34" s="20">
        <f t="shared" si="0"/>
        <v>258</v>
      </c>
      <c r="D34" s="20">
        <v>1</v>
      </c>
      <c r="G34" s="20" t="s">
        <v>29</v>
      </c>
      <c r="H34" s="20" t="s">
        <v>1612</v>
      </c>
      <c r="I34" s="20">
        <v>131</v>
      </c>
      <c r="J34" s="20">
        <v>5113</v>
      </c>
      <c r="K34" s="20" t="s">
        <v>20</v>
      </c>
      <c r="L34" s="20">
        <v>1</v>
      </c>
      <c r="M34" s="122">
        <v>12365591</v>
      </c>
      <c r="N34" s="122">
        <f t="shared" si="1"/>
        <v>12365591</v>
      </c>
      <c r="O34" s="20" t="s">
        <v>21</v>
      </c>
      <c r="P34" s="20">
        <f t="shared" si="2"/>
        <v>28</v>
      </c>
    </row>
    <row r="35" spans="1:16" ht="15" customHeight="1" x14ac:dyDescent="0.2">
      <c r="A35" s="20" t="s">
        <v>18</v>
      </c>
      <c r="B35" s="63">
        <v>45933</v>
      </c>
      <c r="C35" s="20">
        <f t="shared" si="0"/>
        <v>258</v>
      </c>
      <c r="D35" s="20">
        <v>0</v>
      </c>
      <c r="G35" s="32" t="s">
        <v>29</v>
      </c>
      <c r="H35" s="20" t="s">
        <v>1636</v>
      </c>
      <c r="I35" s="20">
        <v>333821</v>
      </c>
      <c r="J35" s="20">
        <v>131</v>
      </c>
      <c r="K35" s="20" t="s">
        <v>20</v>
      </c>
      <c r="L35" s="20">
        <v>1</v>
      </c>
      <c r="M35" s="122">
        <v>123656</v>
      </c>
      <c r="N35" s="122">
        <f t="shared" si="1"/>
        <v>123656</v>
      </c>
      <c r="O35" s="20" t="s">
        <v>21</v>
      </c>
      <c r="P35" s="20">
        <f t="shared" si="2"/>
        <v>28</v>
      </c>
    </row>
    <row r="36" spans="1:16" ht="15" customHeight="1" x14ac:dyDescent="0.2">
      <c r="A36" s="20" t="s">
        <v>18</v>
      </c>
      <c r="B36" s="63">
        <v>45937</v>
      </c>
      <c r="C36" s="20">
        <f t="shared" ref="C36:C67" si="3">C35+D36</f>
        <v>259</v>
      </c>
      <c r="D36" s="20">
        <v>1</v>
      </c>
      <c r="G36" s="20" t="s">
        <v>65</v>
      </c>
      <c r="H36" s="20" t="s">
        <v>1613</v>
      </c>
      <c r="I36" s="20">
        <v>131</v>
      </c>
      <c r="J36" s="20">
        <v>5113</v>
      </c>
      <c r="K36" s="20" t="s">
        <v>20</v>
      </c>
      <c r="L36" s="20">
        <v>1</v>
      </c>
      <c r="M36" s="122">
        <v>12903226</v>
      </c>
      <c r="N36" s="122">
        <f t="shared" ref="N36:N54" si="4">M36*L36</f>
        <v>12903226</v>
      </c>
      <c r="O36" s="20" t="s">
        <v>21</v>
      </c>
      <c r="P36" s="20">
        <f t="shared" si="2"/>
        <v>29</v>
      </c>
    </row>
    <row r="37" spans="1:16" ht="15" customHeight="1" x14ac:dyDescent="0.2">
      <c r="A37" s="20" t="s">
        <v>18</v>
      </c>
      <c r="B37" s="63">
        <v>45937</v>
      </c>
      <c r="C37" s="20">
        <f t="shared" si="3"/>
        <v>259</v>
      </c>
      <c r="D37" s="20">
        <v>0</v>
      </c>
      <c r="G37" s="32" t="s">
        <v>65</v>
      </c>
      <c r="H37" s="20" t="s">
        <v>1637</v>
      </c>
      <c r="I37" s="20">
        <v>333821</v>
      </c>
      <c r="J37" s="20">
        <v>131</v>
      </c>
      <c r="K37" s="20" t="s">
        <v>20</v>
      </c>
      <c r="L37" s="20">
        <v>1</v>
      </c>
      <c r="M37" s="122">
        <v>129032</v>
      </c>
      <c r="N37" s="122">
        <f t="shared" si="4"/>
        <v>129032</v>
      </c>
      <c r="O37" s="20" t="s">
        <v>21</v>
      </c>
      <c r="P37" s="20">
        <f t="shared" si="2"/>
        <v>29</v>
      </c>
    </row>
    <row r="38" spans="1:16" ht="15" customHeight="1" x14ac:dyDescent="0.2">
      <c r="A38" s="20" t="s">
        <v>18</v>
      </c>
      <c r="B38" s="63">
        <v>45943</v>
      </c>
      <c r="C38" s="20">
        <f t="shared" si="3"/>
        <v>260</v>
      </c>
      <c r="D38" s="20">
        <v>1</v>
      </c>
      <c r="G38" s="20" t="s">
        <v>88</v>
      </c>
      <c r="H38" s="20" t="s">
        <v>1614</v>
      </c>
      <c r="I38" s="20">
        <v>131</v>
      </c>
      <c r="J38" s="20">
        <v>5113</v>
      </c>
      <c r="K38" s="20" t="s">
        <v>20</v>
      </c>
      <c r="L38" s="20">
        <v>1</v>
      </c>
      <c r="M38" s="122">
        <v>12903226</v>
      </c>
      <c r="N38" s="122">
        <f t="shared" si="4"/>
        <v>12903226</v>
      </c>
      <c r="O38" s="20" t="s">
        <v>21</v>
      </c>
      <c r="P38" s="20">
        <f t="shared" si="2"/>
        <v>30</v>
      </c>
    </row>
    <row r="39" spans="1:16" ht="15" customHeight="1" x14ac:dyDescent="0.2">
      <c r="A39" s="20" t="s">
        <v>18</v>
      </c>
      <c r="B39" s="63">
        <v>45943</v>
      </c>
      <c r="C39" s="20">
        <f t="shared" si="3"/>
        <v>260</v>
      </c>
      <c r="D39" s="20">
        <v>0</v>
      </c>
      <c r="G39" s="32" t="s">
        <v>88</v>
      </c>
      <c r="H39" s="20" t="s">
        <v>1638</v>
      </c>
      <c r="I39" s="20">
        <v>333821</v>
      </c>
      <c r="J39" s="20">
        <v>131</v>
      </c>
      <c r="K39" s="20" t="s">
        <v>20</v>
      </c>
      <c r="L39" s="20">
        <v>1</v>
      </c>
      <c r="M39" s="122">
        <v>129032</v>
      </c>
      <c r="N39" s="122">
        <f t="shared" si="4"/>
        <v>129032</v>
      </c>
      <c r="O39" s="20" t="s">
        <v>21</v>
      </c>
      <c r="P39" s="20">
        <f t="shared" si="2"/>
        <v>30</v>
      </c>
    </row>
    <row r="40" spans="1:16" ht="15" customHeight="1" x14ac:dyDescent="0.2">
      <c r="A40" s="20" t="s">
        <v>18</v>
      </c>
      <c r="B40" s="63">
        <v>45947</v>
      </c>
      <c r="C40" s="20">
        <f t="shared" si="3"/>
        <v>261</v>
      </c>
      <c r="D40" s="20">
        <v>1</v>
      </c>
      <c r="G40" s="20" t="s">
        <v>411</v>
      </c>
      <c r="H40" s="20" t="s">
        <v>1615</v>
      </c>
      <c r="I40" s="20">
        <v>131</v>
      </c>
      <c r="J40" s="20">
        <v>5113</v>
      </c>
      <c r="K40" s="20" t="s">
        <v>20</v>
      </c>
      <c r="L40" s="20">
        <v>1</v>
      </c>
      <c r="M40" s="122">
        <v>16881720</v>
      </c>
      <c r="N40" s="122">
        <f t="shared" si="4"/>
        <v>16881720</v>
      </c>
      <c r="O40" s="20" t="s">
        <v>21</v>
      </c>
      <c r="P40" s="20">
        <f t="shared" si="2"/>
        <v>31</v>
      </c>
    </row>
    <row r="41" spans="1:16" ht="15" customHeight="1" x14ac:dyDescent="0.2">
      <c r="A41" s="20" t="s">
        <v>18</v>
      </c>
      <c r="B41" s="63">
        <v>45947</v>
      </c>
      <c r="C41" s="20">
        <f t="shared" si="3"/>
        <v>261</v>
      </c>
      <c r="D41" s="20">
        <v>0</v>
      </c>
      <c r="G41" s="32" t="s">
        <v>411</v>
      </c>
      <c r="H41" s="20" t="s">
        <v>1639</v>
      </c>
      <c r="I41" s="20">
        <v>333821</v>
      </c>
      <c r="J41" s="20">
        <v>131</v>
      </c>
      <c r="K41" s="20" t="s">
        <v>20</v>
      </c>
      <c r="L41" s="20">
        <v>1</v>
      </c>
      <c r="M41" s="122">
        <v>168817</v>
      </c>
      <c r="N41" s="122">
        <f t="shared" si="4"/>
        <v>168817</v>
      </c>
      <c r="O41" s="20" t="s">
        <v>21</v>
      </c>
      <c r="P41" s="20">
        <f t="shared" si="2"/>
        <v>31</v>
      </c>
    </row>
    <row r="42" spans="1:16" ht="15" customHeight="1" x14ac:dyDescent="0.2">
      <c r="A42" s="20" t="s">
        <v>18</v>
      </c>
      <c r="B42" s="63">
        <v>45947</v>
      </c>
      <c r="C42" s="20">
        <f t="shared" si="3"/>
        <v>262</v>
      </c>
      <c r="D42" s="20">
        <v>1</v>
      </c>
      <c r="G42" s="20" t="s">
        <v>29</v>
      </c>
      <c r="H42" s="20" t="s">
        <v>1616</v>
      </c>
      <c r="I42" s="20">
        <v>131</v>
      </c>
      <c r="J42" s="20">
        <v>5113</v>
      </c>
      <c r="K42" s="20" t="s">
        <v>20</v>
      </c>
      <c r="L42" s="20">
        <v>1</v>
      </c>
      <c r="M42" s="122">
        <v>16129032</v>
      </c>
      <c r="N42" s="122">
        <f t="shared" si="4"/>
        <v>16129032</v>
      </c>
      <c r="O42" s="20" t="s">
        <v>21</v>
      </c>
      <c r="P42" s="20">
        <f t="shared" si="2"/>
        <v>32</v>
      </c>
    </row>
    <row r="43" spans="1:16" ht="15" customHeight="1" x14ac:dyDescent="0.2">
      <c r="A43" s="20" t="s">
        <v>18</v>
      </c>
      <c r="B43" s="63">
        <v>45947</v>
      </c>
      <c r="C43" s="20">
        <f t="shared" si="3"/>
        <v>262</v>
      </c>
      <c r="D43" s="20">
        <v>0</v>
      </c>
      <c r="G43" s="32" t="s">
        <v>29</v>
      </c>
      <c r="H43" s="20" t="s">
        <v>1640</v>
      </c>
      <c r="I43" s="20">
        <v>333821</v>
      </c>
      <c r="J43" s="20">
        <v>131</v>
      </c>
      <c r="K43" s="20" t="s">
        <v>20</v>
      </c>
      <c r="L43" s="20">
        <v>1</v>
      </c>
      <c r="M43" s="122">
        <v>161290</v>
      </c>
      <c r="N43" s="122">
        <f t="shared" si="4"/>
        <v>161290</v>
      </c>
      <c r="O43" s="20" t="s">
        <v>21</v>
      </c>
      <c r="P43" s="20">
        <f t="shared" si="2"/>
        <v>32</v>
      </c>
    </row>
    <row r="44" spans="1:16" ht="15" customHeight="1" x14ac:dyDescent="0.2">
      <c r="A44" s="20" t="s">
        <v>18</v>
      </c>
      <c r="B44" s="63">
        <v>45951</v>
      </c>
      <c r="C44" s="20">
        <f t="shared" si="3"/>
        <v>263</v>
      </c>
      <c r="D44" s="20">
        <v>1</v>
      </c>
      <c r="G44" s="20" t="s">
        <v>411</v>
      </c>
      <c r="H44" s="20" t="s">
        <v>1617</v>
      </c>
      <c r="I44" s="20">
        <v>131</v>
      </c>
      <c r="J44" s="20">
        <v>5113</v>
      </c>
      <c r="K44" s="20" t="s">
        <v>20</v>
      </c>
      <c r="L44" s="20">
        <v>1</v>
      </c>
      <c r="M44" s="122">
        <v>16881720</v>
      </c>
      <c r="N44" s="122">
        <f t="shared" si="4"/>
        <v>16881720</v>
      </c>
      <c r="O44" s="20" t="s">
        <v>21</v>
      </c>
      <c r="P44" s="20">
        <f t="shared" si="2"/>
        <v>33</v>
      </c>
    </row>
    <row r="45" spans="1:16" ht="15" customHeight="1" x14ac:dyDescent="0.2">
      <c r="A45" s="20" t="s">
        <v>18</v>
      </c>
      <c r="B45" s="63">
        <v>45951</v>
      </c>
      <c r="C45" s="20">
        <f t="shared" si="3"/>
        <v>263</v>
      </c>
      <c r="D45" s="20">
        <v>0</v>
      </c>
      <c r="G45" s="32" t="s">
        <v>411</v>
      </c>
      <c r="H45" s="20" t="s">
        <v>1641</v>
      </c>
      <c r="I45" s="20">
        <v>333821</v>
      </c>
      <c r="J45" s="20">
        <v>131</v>
      </c>
      <c r="K45" s="20" t="s">
        <v>20</v>
      </c>
      <c r="L45" s="20">
        <v>1</v>
      </c>
      <c r="M45" s="122">
        <v>168817</v>
      </c>
      <c r="N45" s="122">
        <f t="shared" si="4"/>
        <v>168817</v>
      </c>
      <c r="O45" s="20" t="s">
        <v>21</v>
      </c>
      <c r="P45" s="20">
        <f t="shared" si="2"/>
        <v>33</v>
      </c>
    </row>
    <row r="46" spans="1:16" ht="15" customHeight="1" x14ac:dyDescent="0.2">
      <c r="A46" s="20" t="s">
        <v>18</v>
      </c>
      <c r="B46" s="63">
        <v>45951</v>
      </c>
      <c r="C46" s="20">
        <f t="shared" si="3"/>
        <v>264</v>
      </c>
      <c r="D46" s="20">
        <v>1</v>
      </c>
      <c r="G46" s="20" t="s">
        <v>411</v>
      </c>
      <c r="H46" s="20" t="s">
        <v>1618</v>
      </c>
      <c r="I46" s="20">
        <v>131</v>
      </c>
      <c r="J46" s="20">
        <v>5113</v>
      </c>
      <c r="K46" s="20" t="s">
        <v>20</v>
      </c>
      <c r="L46" s="20">
        <v>1</v>
      </c>
      <c r="M46" s="122">
        <v>-16881720</v>
      </c>
      <c r="N46" s="122">
        <f t="shared" si="4"/>
        <v>-16881720</v>
      </c>
      <c r="O46" s="20" t="s">
        <v>21</v>
      </c>
      <c r="P46" s="20">
        <f t="shared" si="2"/>
        <v>34</v>
      </c>
    </row>
    <row r="47" spans="1:16" ht="15" customHeight="1" x14ac:dyDescent="0.2">
      <c r="A47" s="20" t="s">
        <v>18</v>
      </c>
      <c r="B47" s="63">
        <v>45951</v>
      </c>
      <c r="C47" s="20">
        <f t="shared" si="3"/>
        <v>264</v>
      </c>
      <c r="D47" s="20">
        <v>0</v>
      </c>
      <c r="G47" s="32" t="s">
        <v>411</v>
      </c>
      <c r="H47" s="20" t="s">
        <v>1642</v>
      </c>
      <c r="I47" s="20">
        <v>333821</v>
      </c>
      <c r="J47" s="20">
        <v>131</v>
      </c>
      <c r="K47" s="20" t="s">
        <v>20</v>
      </c>
      <c r="L47" s="20">
        <v>1</v>
      </c>
      <c r="M47" s="122">
        <v>0</v>
      </c>
      <c r="N47" s="122">
        <f t="shared" si="4"/>
        <v>0</v>
      </c>
      <c r="O47" s="20" t="s">
        <v>21</v>
      </c>
      <c r="P47" s="20">
        <f t="shared" si="2"/>
        <v>34</v>
      </c>
    </row>
    <row r="48" spans="1:16" ht="15" customHeight="1" x14ac:dyDescent="0.2">
      <c r="A48" s="20" t="s">
        <v>18</v>
      </c>
      <c r="B48" s="63">
        <v>45953</v>
      </c>
      <c r="C48" s="20">
        <f t="shared" si="3"/>
        <v>265</v>
      </c>
      <c r="D48" s="20">
        <v>1</v>
      </c>
      <c r="G48" s="20" t="s">
        <v>29</v>
      </c>
      <c r="H48" s="20" t="s">
        <v>1619</v>
      </c>
      <c r="I48" s="20">
        <v>131</v>
      </c>
      <c r="J48" s="20">
        <v>5113</v>
      </c>
      <c r="K48" s="20" t="s">
        <v>20</v>
      </c>
      <c r="L48" s="20">
        <v>1</v>
      </c>
      <c r="M48" s="122">
        <v>11827957</v>
      </c>
      <c r="N48" s="122">
        <f t="shared" si="4"/>
        <v>11827957</v>
      </c>
      <c r="O48" s="20" t="s">
        <v>21</v>
      </c>
      <c r="P48" s="20">
        <f t="shared" si="2"/>
        <v>35</v>
      </c>
    </row>
    <row r="49" spans="1:16" ht="15" customHeight="1" x14ac:dyDescent="0.2">
      <c r="A49" s="20" t="s">
        <v>18</v>
      </c>
      <c r="B49" s="63">
        <v>45953</v>
      </c>
      <c r="C49" s="20">
        <f t="shared" si="3"/>
        <v>265</v>
      </c>
      <c r="D49" s="20">
        <v>0</v>
      </c>
      <c r="G49" s="32" t="s">
        <v>29</v>
      </c>
      <c r="H49" s="20" t="s">
        <v>1643</v>
      </c>
      <c r="I49" s="20">
        <v>333821</v>
      </c>
      <c r="J49" s="20">
        <v>131</v>
      </c>
      <c r="K49" s="20" t="s">
        <v>20</v>
      </c>
      <c r="L49" s="20">
        <v>1</v>
      </c>
      <c r="M49" s="122">
        <v>118280</v>
      </c>
      <c r="N49" s="122">
        <f t="shared" si="4"/>
        <v>118280</v>
      </c>
      <c r="O49" s="20" t="s">
        <v>21</v>
      </c>
      <c r="P49" s="20">
        <f t="shared" si="2"/>
        <v>35</v>
      </c>
    </row>
    <row r="50" spans="1:16" ht="15" customHeight="1" x14ac:dyDescent="0.2">
      <c r="A50" s="20" t="s">
        <v>18</v>
      </c>
      <c r="B50" s="63">
        <v>45953</v>
      </c>
      <c r="C50" s="20">
        <f t="shared" si="3"/>
        <v>266</v>
      </c>
      <c r="D50" s="20">
        <v>1</v>
      </c>
      <c r="G50" s="20" t="s">
        <v>29</v>
      </c>
      <c r="H50" s="20" t="s">
        <v>1620</v>
      </c>
      <c r="I50" s="20">
        <v>131</v>
      </c>
      <c r="J50" s="20">
        <v>5113</v>
      </c>
      <c r="K50" s="20" t="s">
        <v>20</v>
      </c>
      <c r="L50" s="20">
        <v>1</v>
      </c>
      <c r="M50" s="122">
        <v>12365591</v>
      </c>
      <c r="N50" s="122">
        <f t="shared" si="4"/>
        <v>12365591</v>
      </c>
      <c r="O50" s="20" t="s">
        <v>21</v>
      </c>
      <c r="P50" s="20">
        <f t="shared" si="2"/>
        <v>36</v>
      </c>
    </row>
    <row r="51" spans="1:16" ht="15" customHeight="1" x14ac:dyDescent="0.2">
      <c r="A51" s="20" t="s">
        <v>18</v>
      </c>
      <c r="B51" s="63">
        <v>45953</v>
      </c>
      <c r="C51" s="20">
        <f t="shared" si="3"/>
        <v>266</v>
      </c>
      <c r="D51" s="20">
        <v>0</v>
      </c>
      <c r="G51" s="32" t="s">
        <v>29</v>
      </c>
      <c r="H51" s="20" t="s">
        <v>1644</v>
      </c>
      <c r="I51" s="20">
        <v>333821</v>
      </c>
      <c r="J51" s="20">
        <v>131</v>
      </c>
      <c r="K51" s="20" t="s">
        <v>20</v>
      </c>
      <c r="L51" s="20">
        <v>1</v>
      </c>
      <c r="M51" s="122">
        <v>123656</v>
      </c>
      <c r="N51" s="122">
        <f t="shared" si="4"/>
        <v>123656</v>
      </c>
      <c r="O51" s="20" t="s">
        <v>21</v>
      </c>
      <c r="P51" s="20">
        <f t="shared" si="2"/>
        <v>36</v>
      </c>
    </row>
    <row r="52" spans="1:16" ht="15" customHeight="1" x14ac:dyDescent="0.2">
      <c r="A52" s="20" t="s">
        <v>18</v>
      </c>
      <c r="B52" s="63">
        <v>45965</v>
      </c>
      <c r="C52" s="20">
        <f t="shared" si="3"/>
        <v>267</v>
      </c>
      <c r="D52" s="20">
        <v>1</v>
      </c>
      <c r="G52" s="20" t="s">
        <v>47</v>
      </c>
      <c r="H52" s="20" t="s">
        <v>1621</v>
      </c>
      <c r="I52" s="20">
        <v>131</v>
      </c>
      <c r="J52" s="20">
        <v>5113</v>
      </c>
      <c r="K52" s="20" t="s">
        <v>20</v>
      </c>
      <c r="L52" s="20">
        <v>1</v>
      </c>
      <c r="M52" s="122">
        <v>25806452</v>
      </c>
      <c r="N52" s="122">
        <f t="shared" si="4"/>
        <v>25806452</v>
      </c>
      <c r="O52" s="20" t="s">
        <v>21</v>
      </c>
      <c r="P52" s="20">
        <f t="shared" si="2"/>
        <v>37</v>
      </c>
    </row>
    <row r="53" spans="1:16" ht="15" customHeight="1" x14ac:dyDescent="0.2">
      <c r="A53" s="20" t="s">
        <v>18</v>
      </c>
      <c r="B53" s="63">
        <v>45965</v>
      </c>
      <c r="C53" s="20">
        <f t="shared" si="3"/>
        <v>267</v>
      </c>
      <c r="D53" s="20">
        <v>0</v>
      </c>
      <c r="G53" s="32" t="s">
        <v>47</v>
      </c>
      <c r="H53" s="20" t="s">
        <v>1645</v>
      </c>
      <c r="I53" s="20">
        <v>333821</v>
      </c>
      <c r="J53" s="20">
        <v>131</v>
      </c>
      <c r="K53" s="20" t="s">
        <v>20</v>
      </c>
      <c r="L53" s="20">
        <v>1</v>
      </c>
      <c r="M53" s="122">
        <v>258065</v>
      </c>
      <c r="N53" s="122">
        <f t="shared" si="4"/>
        <v>258065</v>
      </c>
      <c r="O53" s="20" t="s">
        <v>21</v>
      </c>
      <c r="P53" s="20">
        <f t="shared" si="2"/>
        <v>37</v>
      </c>
    </row>
    <row r="54" spans="1:16" ht="15" customHeight="1" x14ac:dyDescent="0.2">
      <c r="A54" s="20" t="s">
        <v>18</v>
      </c>
      <c r="B54" s="63">
        <v>45980</v>
      </c>
      <c r="C54" s="20">
        <f t="shared" si="3"/>
        <v>268</v>
      </c>
      <c r="D54" s="20">
        <v>1</v>
      </c>
      <c r="G54" s="20" t="s">
        <v>29</v>
      </c>
      <c r="H54" s="20" t="s">
        <v>1622</v>
      </c>
      <c r="I54" s="20">
        <v>131</v>
      </c>
      <c r="J54" s="20">
        <v>5113</v>
      </c>
      <c r="K54" s="20" t="s">
        <v>20</v>
      </c>
      <c r="L54" s="20">
        <v>1</v>
      </c>
      <c r="M54" s="122">
        <v>12365591</v>
      </c>
      <c r="N54" s="122">
        <f t="shared" si="4"/>
        <v>12365591</v>
      </c>
      <c r="O54" s="20" t="s">
        <v>21</v>
      </c>
      <c r="P54" s="20">
        <f t="shared" si="2"/>
        <v>38</v>
      </c>
    </row>
    <row r="55" spans="1:16" ht="15" customHeight="1" x14ac:dyDescent="0.2">
      <c r="A55" s="20" t="s">
        <v>18</v>
      </c>
      <c r="B55" s="63">
        <v>45980</v>
      </c>
      <c r="C55" s="20">
        <f t="shared" si="3"/>
        <v>268</v>
      </c>
      <c r="D55" s="20">
        <v>0</v>
      </c>
      <c r="E55" s="38"/>
      <c r="F55" s="38"/>
      <c r="G55" s="59" t="s">
        <v>29</v>
      </c>
      <c r="H55" s="20" t="s">
        <v>1646</v>
      </c>
      <c r="I55" s="20">
        <v>333821</v>
      </c>
      <c r="J55" s="20">
        <v>131</v>
      </c>
      <c r="K55" s="38" t="s">
        <v>20</v>
      </c>
      <c r="L55" s="38">
        <v>1</v>
      </c>
      <c r="M55" s="57">
        <v>123656</v>
      </c>
      <c r="N55" s="122">
        <f t="shared" ref="N55:N59" si="5">M55*L55</f>
        <v>123656</v>
      </c>
      <c r="O55" s="20" t="s">
        <v>21</v>
      </c>
      <c r="P55" s="20">
        <f t="shared" si="2"/>
        <v>38</v>
      </c>
    </row>
    <row r="56" spans="1:16" ht="15" customHeight="1" x14ac:dyDescent="0.2">
      <c r="A56" s="20" t="s">
        <v>18</v>
      </c>
      <c r="B56" s="63">
        <v>45981</v>
      </c>
      <c r="C56" s="20">
        <f t="shared" si="3"/>
        <v>269</v>
      </c>
      <c r="D56" s="20">
        <v>1</v>
      </c>
      <c r="G56" s="20" t="s">
        <v>1665</v>
      </c>
      <c r="H56" s="20" t="s">
        <v>1623</v>
      </c>
      <c r="I56" s="20">
        <v>131</v>
      </c>
      <c r="J56" s="20">
        <v>5113</v>
      </c>
      <c r="K56" s="20" t="s">
        <v>20</v>
      </c>
      <c r="L56" s="20">
        <v>1</v>
      </c>
      <c r="M56" s="122">
        <v>10215054</v>
      </c>
      <c r="N56" s="122">
        <f t="shared" si="5"/>
        <v>10215054</v>
      </c>
      <c r="O56" s="20" t="s">
        <v>21</v>
      </c>
      <c r="P56" s="20">
        <f t="shared" si="2"/>
        <v>39</v>
      </c>
    </row>
    <row r="57" spans="1:16" ht="15" customHeight="1" x14ac:dyDescent="0.2">
      <c r="A57" s="20" t="s">
        <v>18</v>
      </c>
      <c r="B57" s="63">
        <v>45981</v>
      </c>
      <c r="C57" s="20">
        <f t="shared" si="3"/>
        <v>269</v>
      </c>
      <c r="D57" s="20">
        <v>0</v>
      </c>
      <c r="E57" s="38"/>
      <c r="F57" s="38"/>
      <c r="G57" s="59" t="s">
        <v>1665</v>
      </c>
      <c r="H57" s="20" t="s">
        <v>1647</v>
      </c>
      <c r="I57" s="20">
        <v>333821</v>
      </c>
      <c r="J57" s="20">
        <v>131</v>
      </c>
      <c r="K57" s="38" t="s">
        <v>20</v>
      </c>
      <c r="L57" s="38">
        <v>1</v>
      </c>
      <c r="M57" s="57">
        <v>102151</v>
      </c>
      <c r="N57" s="122">
        <f t="shared" si="5"/>
        <v>102151</v>
      </c>
      <c r="O57" s="20" t="s">
        <v>21</v>
      </c>
      <c r="P57" s="20">
        <f t="shared" si="2"/>
        <v>39</v>
      </c>
    </row>
    <row r="58" spans="1:16" ht="15" customHeight="1" x14ac:dyDescent="0.2">
      <c r="A58" s="20" t="s">
        <v>18</v>
      </c>
      <c r="B58" s="63">
        <v>45981</v>
      </c>
      <c r="C58" s="20">
        <f t="shared" si="3"/>
        <v>270</v>
      </c>
      <c r="D58" s="20">
        <v>1</v>
      </c>
      <c r="G58" s="20" t="s">
        <v>1666</v>
      </c>
      <c r="H58" s="20" t="s">
        <v>1624</v>
      </c>
      <c r="I58" s="20">
        <v>131</v>
      </c>
      <c r="J58" s="20">
        <v>5113</v>
      </c>
      <c r="K58" s="20" t="s">
        <v>20</v>
      </c>
      <c r="L58" s="20">
        <v>1</v>
      </c>
      <c r="M58" s="122">
        <v>13978495</v>
      </c>
      <c r="N58" s="122">
        <f t="shared" si="5"/>
        <v>13978495</v>
      </c>
      <c r="O58" s="20" t="s">
        <v>21</v>
      </c>
      <c r="P58" s="20">
        <f t="shared" si="2"/>
        <v>40</v>
      </c>
    </row>
    <row r="59" spans="1:16" ht="15" customHeight="1" x14ac:dyDescent="0.2">
      <c r="A59" s="20" t="s">
        <v>18</v>
      </c>
      <c r="B59" s="63">
        <v>45981</v>
      </c>
      <c r="C59" s="20">
        <f t="shared" si="3"/>
        <v>270</v>
      </c>
      <c r="D59" s="20">
        <v>0</v>
      </c>
      <c r="E59" s="38"/>
      <c r="F59" s="38"/>
      <c r="G59" s="59" t="s">
        <v>1666</v>
      </c>
      <c r="H59" s="20" t="s">
        <v>1648</v>
      </c>
      <c r="I59" s="20">
        <v>333821</v>
      </c>
      <c r="J59" s="20">
        <v>131</v>
      </c>
      <c r="K59" s="38" t="s">
        <v>20</v>
      </c>
      <c r="L59" s="38">
        <v>1</v>
      </c>
      <c r="M59" s="57">
        <v>139785</v>
      </c>
      <c r="N59" s="122">
        <f t="shared" si="5"/>
        <v>139785</v>
      </c>
      <c r="O59" s="20" t="s">
        <v>21</v>
      </c>
      <c r="P59" s="20">
        <f t="shared" si="2"/>
        <v>40</v>
      </c>
    </row>
    <row r="60" spans="1:16" ht="15" customHeight="1" x14ac:dyDescent="0.2">
      <c r="A60" s="20" t="s">
        <v>18</v>
      </c>
      <c r="B60" s="63">
        <v>45981</v>
      </c>
      <c r="C60" s="20">
        <f t="shared" si="3"/>
        <v>271</v>
      </c>
      <c r="D60" s="20">
        <v>1</v>
      </c>
      <c r="G60" s="20" t="s">
        <v>1667</v>
      </c>
      <c r="H60" s="20" t="s">
        <v>1625</v>
      </c>
      <c r="I60" s="20">
        <v>131</v>
      </c>
      <c r="J60" s="20">
        <v>5113</v>
      </c>
      <c r="K60" s="20" t="s">
        <v>20</v>
      </c>
      <c r="L60" s="20">
        <v>1</v>
      </c>
      <c r="M60" s="122">
        <v>13440861</v>
      </c>
      <c r="N60" s="122">
        <f t="shared" ref="N60:N126" si="6">M60*L60</f>
        <v>13440861</v>
      </c>
      <c r="O60" s="20" t="s">
        <v>21</v>
      </c>
      <c r="P60" s="20">
        <f t="shared" si="2"/>
        <v>41</v>
      </c>
    </row>
    <row r="61" spans="1:16" ht="15" customHeight="1" x14ac:dyDescent="0.2">
      <c r="A61" s="20" t="s">
        <v>18</v>
      </c>
      <c r="B61" s="63">
        <v>45981</v>
      </c>
      <c r="C61" s="20">
        <f t="shared" si="3"/>
        <v>271</v>
      </c>
      <c r="D61" s="20">
        <v>0</v>
      </c>
      <c r="G61" s="32" t="s">
        <v>1667</v>
      </c>
      <c r="H61" s="20" t="s">
        <v>1649</v>
      </c>
      <c r="I61" s="20">
        <v>333821</v>
      </c>
      <c r="J61" s="20">
        <v>131</v>
      </c>
      <c r="K61" s="20" t="s">
        <v>20</v>
      </c>
      <c r="L61" s="20">
        <v>1</v>
      </c>
      <c r="M61" s="122">
        <v>134409</v>
      </c>
      <c r="N61" s="122">
        <f t="shared" si="6"/>
        <v>134409</v>
      </c>
      <c r="O61" s="20" t="s">
        <v>21</v>
      </c>
      <c r="P61" s="20">
        <f t="shared" si="2"/>
        <v>41</v>
      </c>
    </row>
    <row r="62" spans="1:16" ht="15" customHeight="1" x14ac:dyDescent="0.2">
      <c r="A62" s="20" t="s">
        <v>18</v>
      </c>
      <c r="B62" s="63">
        <v>45987</v>
      </c>
      <c r="C62" s="20">
        <f t="shared" si="3"/>
        <v>272</v>
      </c>
      <c r="D62" s="20">
        <v>1</v>
      </c>
      <c r="G62" s="20" t="s">
        <v>1665</v>
      </c>
      <c r="H62" s="20" t="s">
        <v>1626</v>
      </c>
      <c r="I62" s="20">
        <v>131</v>
      </c>
      <c r="J62" s="20">
        <v>5113</v>
      </c>
      <c r="K62" s="20" t="s">
        <v>20</v>
      </c>
      <c r="L62" s="20">
        <v>1</v>
      </c>
      <c r="M62" s="122">
        <v>10215054</v>
      </c>
      <c r="N62" s="122">
        <f t="shared" si="6"/>
        <v>10215054</v>
      </c>
      <c r="O62" s="20" t="s">
        <v>21</v>
      </c>
      <c r="P62" s="20">
        <f t="shared" si="2"/>
        <v>42</v>
      </c>
    </row>
    <row r="63" spans="1:16" ht="15" customHeight="1" x14ac:dyDescent="0.2">
      <c r="A63" s="20" t="s">
        <v>18</v>
      </c>
      <c r="B63" s="63">
        <v>45987</v>
      </c>
      <c r="C63" s="20">
        <f t="shared" si="3"/>
        <v>272</v>
      </c>
      <c r="D63" s="20">
        <v>0</v>
      </c>
      <c r="G63" s="32" t="s">
        <v>1665</v>
      </c>
      <c r="H63" s="20" t="s">
        <v>1650</v>
      </c>
      <c r="I63" s="20">
        <v>333821</v>
      </c>
      <c r="J63" s="20">
        <v>131</v>
      </c>
      <c r="K63" s="20" t="s">
        <v>20</v>
      </c>
      <c r="L63" s="20">
        <v>1</v>
      </c>
      <c r="M63" s="122">
        <v>102151</v>
      </c>
      <c r="N63" s="122">
        <f t="shared" si="6"/>
        <v>102151</v>
      </c>
      <c r="O63" s="20" t="s">
        <v>21</v>
      </c>
      <c r="P63" s="20">
        <f t="shared" si="2"/>
        <v>42</v>
      </c>
    </row>
    <row r="64" spans="1:16" ht="15" customHeight="1" x14ac:dyDescent="0.2">
      <c r="A64" s="20" t="s">
        <v>18</v>
      </c>
      <c r="B64" s="63">
        <v>45993</v>
      </c>
      <c r="C64" s="20">
        <f t="shared" si="3"/>
        <v>273</v>
      </c>
      <c r="D64" s="20">
        <v>1</v>
      </c>
      <c r="G64" s="20" t="s">
        <v>60</v>
      </c>
      <c r="H64" s="20" t="s">
        <v>1627</v>
      </c>
      <c r="I64" s="20">
        <v>131</v>
      </c>
      <c r="J64" s="20">
        <v>5113</v>
      </c>
      <c r="K64" s="20" t="s">
        <v>20</v>
      </c>
      <c r="L64" s="20">
        <v>1</v>
      </c>
      <c r="M64" s="122">
        <v>13763440</v>
      </c>
      <c r="N64" s="122">
        <f t="shared" si="6"/>
        <v>13763440</v>
      </c>
      <c r="O64" s="20" t="s">
        <v>21</v>
      </c>
      <c r="P64" s="20">
        <f t="shared" si="2"/>
        <v>43</v>
      </c>
    </row>
    <row r="65" spans="1:16" ht="15" customHeight="1" x14ac:dyDescent="0.2">
      <c r="A65" s="20" t="s">
        <v>18</v>
      </c>
      <c r="B65" s="63">
        <v>45993</v>
      </c>
      <c r="C65" s="20">
        <f t="shared" si="3"/>
        <v>273</v>
      </c>
      <c r="D65" s="20">
        <v>0</v>
      </c>
      <c r="G65" s="32" t="s">
        <v>60</v>
      </c>
      <c r="H65" s="20" t="s">
        <v>1651</v>
      </c>
      <c r="I65" s="20">
        <v>333821</v>
      </c>
      <c r="J65" s="20">
        <v>131</v>
      </c>
      <c r="K65" s="20" t="s">
        <v>20</v>
      </c>
      <c r="L65" s="20">
        <v>1</v>
      </c>
      <c r="M65" s="122">
        <v>137634</v>
      </c>
      <c r="N65" s="122">
        <f t="shared" si="6"/>
        <v>137634</v>
      </c>
      <c r="O65" s="20" t="s">
        <v>21</v>
      </c>
      <c r="P65" s="20">
        <f t="shared" si="2"/>
        <v>43</v>
      </c>
    </row>
    <row r="66" spans="1:16" ht="15" customHeight="1" x14ac:dyDescent="0.2">
      <c r="A66" s="20" t="s">
        <v>18</v>
      </c>
      <c r="B66" s="63">
        <v>45994</v>
      </c>
      <c r="C66" s="20">
        <f t="shared" si="3"/>
        <v>274</v>
      </c>
      <c r="D66" s="20">
        <v>1</v>
      </c>
      <c r="G66" s="20" t="s">
        <v>29</v>
      </c>
      <c r="H66" s="20" t="s">
        <v>1628</v>
      </c>
      <c r="I66" s="20">
        <v>131</v>
      </c>
      <c r="J66" s="20">
        <v>5113</v>
      </c>
      <c r="K66" s="20" t="s">
        <v>20</v>
      </c>
      <c r="L66" s="20">
        <v>1</v>
      </c>
      <c r="M66" s="122">
        <v>24731183</v>
      </c>
      <c r="N66" s="122">
        <f t="shared" si="6"/>
        <v>24731183</v>
      </c>
      <c r="O66" s="20" t="s">
        <v>21</v>
      </c>
      <c r="P66" s="20">
        <f t="shared" si="2"/>
        <v>44</v>
      </c>
    </row>
    <row r="67" spans="1:16" ht="15" customHeight="1" x14ac:dyDescent="0.2">
      <c r="A67" s="20" t="s">
        <v>18</v>
      </c>
      <c r="B67" s="63">
        <v>45994</v>
      </c>
      <c r="C67" s="20">
        <f t="shared" si="3"/>
        <v>274</v>
      </c>
      <c r="D67" s="20">
        <v>0</v>
      </c>
      <c r="G67" s="32" t="s">
        <v>29</v>
      </c>
      <c r="H67" s="20" t="s">
        <v>1652</v>
      </c>
      <c r="I67" s="20">
        <v>333821</v>
      </c>
      <c r="J67" s="20">
        <v>131</v>
      </c>
      <c r="K67" s="20" t="s">
        <v>20</v>
      </c>
      <c r="L67" s="20">
        <v>1</v>
      </c>
      <c r="M67" s="122">
        <v>247312</v>
      </c>
      <c r="N67" s="122">
        <f t="shared" si="6"/>
        <v>247312</v>
      </c>
      <c r="O67" s="20" t="s">
        <v>21</v>
      </c>
      <c r="P67" s="20">
        <f t="shared" si="2"/>
        <v>44</v>
      </c>
    </row>
    <row r="68" spans="1:16" ht="15" customHeight="1" x14ac:dyDescent="0.2">
      <c r="A68" s="20" t="s">
        <v>18</v>
      </c>
      <c r="B68" s="63">
        <v>46001</v>
      </c>
      <c r="C68" s="20">
        <f t="shared" ref="C68:C80" si="7">C67+D68</f>
        <v>275</v>
      </c>
      <c r="D68" s="20">
        <v>1</v>
      </c>
      <c r="G68" s="20" t="s">
        <v>1668</v>
      </c>
      <c r="H68" s="20" t="s">
        <v>1629</v>
      </c>
      <c r="I68" s="20">
        <v>131</v>
      </c>
      <c r="J68" s="20">
        <v>5113</v>
      </c>
      <c r="K68" s="20" t="s">
        <v>20</v>
      </c>
      <c r="L68" s="20">
        <v>1</v>
      </c>
      <c r="M68" s="122">
        <v>26666667</v>
      </c>
      <c r="N68" s="122">
        <f t="shared" si="6"/>
        <v>26666667</v>
      </c>
      <c r="O68" s="20" t="s">
        <v>21</v>
      </c>
      <c r="P68" s="20">
        <f t="shared" si="2"/>
        <v>45</v>
      </c>
    </row>
    <row r="69" spans="1:16" ht="15" customHeight="1" x14ac:dyDescent="0.2">
      <c r="A69" s="20" t="s">
        <v>18</v>
      </c>
      <c r="B69" s="63">
        <v>46001</v>
      </c>
      <c r="C69" s="20">
        <f t="shared" si="7"/>
        <v>275</v>
      </c>
      <c r="D69" s="20">
        <v>0</v>
      </c>
      <c r="G69" s="32" t="s">
        <v>1668</v>
      </c>
      <c r="H69" s="20" t="s">
        <v>1653</v>
      </c>
      <c r="I69" s="20">
        <v>333821</v>
      </c>
      <c r="J69" s="20">
        <v>131</v>
      </c>
      <c r="K69" s="20" t="s">
        <v>20</v>
      </c>
      <c r="L69" s="20">
        <v>1</v>
      </c>
      <c r="M69" s="122">
        <v>266667</v>
      </c>
      <c r="N69" s="122">
        <f t="shared" si="6"/>
        <v>266667</v>
      </c>
      <c r="O69" s="20" t="s">
        <v>21</v>
      </c>
      <c r="P69" s="20">
        <f t="shared" si="2"/>
        <v>45</v>
      </c>
    </row>
    <row r="70" spans="1:16" ht="15" customHeight="1" x14ac:dyDescent="0.2">
      <c r="A70" s="20" t="s">
        <v>18</v>
      </c>
      <c r="B70" s="63">
        <v>46002</v>
      </c>
      <c r="C70" s="20">
        <f t="shared" si="7"/>
        <v>276</v>
      </c>
      <c r="D70" s="20">
        <v>1</v>
      </c>
      <c r="G70" s="20" t="s">
        <v>1669</v>
      </c>
      <c r="H70" s="20" t="s">
        <v>1630</v>
      </c>
      <c r="I70" s="20">
        <v>131</v>
      </c>
      <c r="J70" s="20">
        <v>5113</v>
      </c>
      <c r="K70" s="20" t="s">
        <v>20</v>
      </c>
      <c r="L70" s="20">
        <v>1</v>
      </c>
      <c r="M70" s="122">
        <v>13763441</v>
      </c>
      <c r="N70" s="122">
        <f t="shared" si="6"/>
        <v>13763441</v>
      </c>
      <c r="O70" s="20" t="s">
        <v>21</v>
      </c>
      <c r="P70" s="20">
        <f t="shared" ref="P70:P126" si="8">P69+D70</f>
        <v>46</v>
      </c>
    </row>
    <row r="71" spans="1:16" ht="15" customHeight="1" x14ac:dyDescent="0.2">
      <c r="A71" s="20" t="s">
        <v>18</v>
      </c>
      <c r="B71" s="63">
        <v>46002</v>
      </c>
      <c r="C71" s="20">
        <f t="shared" si="7"/>
        <v>276</v>
      </c>
      <c r="D71" s="20">
        <v>0</v>
      </c>
      <c r="G71" s="32" t="s">
        <v>1669</v>
      </c>
      <c r="H71" s="20" t="s">
        <v>1654</v>
      </c>
      <c r="I71" s="20">
        <v>333821</v>
      </c>
      <c r="J71" s="20">
        <v>131</v>
      </c>
      <c r="K71" s="20" t="s">
        <v>20</v>
      </c>
      <c r="L71" s="20">
        <v>1</v>
      </c>
      <c r="M71" s="122">
        <v>137634</v>
      </c>
      <c r="N71" s="122">
        <f t="shared" si="6"/>
        <v>137634</v>
      </c>
      <c r="O71" s="20" t="s">
        <v>21</v>
      </c>
      <c r="P71" s="20">
        <f t="shared" si="8"/>
        <v>46</v>
      </c>
    </row>
    <row r="72" spans="1:16" ht="15" customHeight="1" x14ac:dyDescent="0.2">
      <c r="A72" s="20" t="s">
        <v>18</v>
      </c>
      <c r="B72" s="63">
        <v>46003</v>
      </c>
      <c r="C72" s="20">
        <f t="shared" si="7"/>
        <v>277</v>
      </c>
      <c r="D72" s="20">
        <v>1</v>
      </c>
      <c r="G72" s="20" t="s">
        <v>26</v>
      </c>
      <c r="H72" s="20" t="s">
        <v>1631</v>
      </c>
      <c r="I72" s="20">
        <v>131</v>
      </c>
      <c r="J72" s="20">
        <v>5113</v>
      </c>
      <c r="K72" s="20" t="s">
        <v>20</v>
      </c>
      <c r="L72" s="20">
        <v>1</v>
      </c>
      <c r="M72" s="122">
        <v>13440861</v>
      </c>
      <c r="N72" s="122">
        <f t="shared" si="6"/>
        <v>13440861</v>
      </c>
      <c r="O72" s="20" t="s">
        <v>21</v>
      </c>
      <c r="P72" s="20">
        <f t="shared" si="8"/>
        <v>47</v>
      </c>
    </row>
    <row r="73" spans="1:16" ht="15" customHeight="1" x14ac:dyDescent="0.2">
      <c r="A73" s="20" t="s">
        <v>18</v>
      </c>
      <c r="B73" s="63">
        <v>46003</v>
      </c>
      <c r="C73" s="20">
        <f t="shared" si="7"/>
        <v>277</v>
      </c>
      <c r="D73" s="20">
        <v>0</v>
      </c>
      <c r="G73" s="32" t="s">
        <v>26</v>
      </c>
      <c r="H73" s="20" t="s">
        <v>1655</v>
      </c>
      <c r="I73" s="20">
        <v>333821</v>
      </c>
      <c r="J73" s="20">
        <v>131</v>
      </c>
      <c r="K73" s="20" t="s">
        <v>20</v>
      </c>
      <c r="L73" s="20">
        <v>1</v>
      </c>
      <c r="M73" s="122">
        <v>134409</v>
      </c>
      <c r="N73" s="122">
        <f t="shared" si="6"/>
        <v>134409</v>
      </c>
      <c r="O73" s="20" t="s">
        <v>21</v>
      </c>
      <c r="P73" s="20">
        <f t="shared" si="8"/>
        <v>47</v>
      </c>
    </row>
    <row r="74" spans="1:16" ht="15" customHeight="1" x14ac:dyDescent="0.2">
      <c r="A74" s="20" t="s">
        <v>18</v>
      </c>
      <c r="B74" s="63">
        <v>46006</v>
      </c>
      <c r="C74" s="20">
        <f t="shared" si="7"/>
        <v>278</v>
      </c>
      <c r="D74" s="20">
        <v>1</v>
      </c>
      <c r="G74" s="20" t="s">
        <v>113</v>
      </c>
      <c r="H74" s="20" t="s">
        <v>1632</v>
      </c>
      <c r="I74" s="20">
        <v>131</v>
      </c>
      <c r="J74" s="20">
        <v>5113</v>
      </c>
      <c r="K74" s="20" t="s">
        <v>20</v>
      </c>
      <c r="L74" s="20">
        <v>1</v>
      </c>
      <c r="M74" s="122">
        <v>13440860</v>
      </c>
      <c r="N74" s="122">
        <f t="shared" si="6"/>
        <v>13440860</v>
      </c>
      <c r="O74" s="20" t="s">
        <v>21</v>
      </c>
      <c r="P74" s="20">
        <f t="shared" si="8"/>
        <v>48</v>
      </c>
    </row>
    <row r="75" spans="1:16" ht="15" customHeight="1" x14ac:dyDescent="0.2">
      <c r="A75" s="20" t="s">
        <v>18</v>
      </c>
      <c r="B75" s="63">
        <v>46006</v>
      </c>
      <c r="C75" s="20">
        <f t="shared" si="7"/>
        <v>278</v>
      </c>
      <c r="D75" s="20">
        <v>0</v>
      </c>
      <c r="G75" s="32" t="s">
        <v>113</v>
      </c>
      <c r="H75" s="20" t="s">
        <v>1656</v>
      </c>
      <c r="I75" s="20">
        <v>333821</v>
      </c>
      <c r="J75" s="20">
        <v>131</v>
      </c>
      <c r="K75" s="20" t="s">
        <v>20</v>
      </c>
      <c r="L75" s="20">
        <v>1</v>
      </c>
      <c r="M75" s="122">
        <v>134409</v>
      </c>
      <c r="N75" s="122">
        <f t="shared" si="6"/>
        <v>134409</v>
      </c>
      <c r="O75" s="20" t="s">
        <v>21</v>
      </c>
      <c r="P75" s="20">
        <f t="shared" si="8"/>
        <v>48</v>
      </c>
    </row>
    <row r="76" spans="1:16" ht="15" customHeight="1" x14ac:dyDescent="0.2">
      <c r="A76" s="20" t="s">
        <v>18</v>
      </c>
      <c r="B76" s="63" t="s">
        <v>2504</v>
      </c>
      <c r="C76" s="20">
        <f t="shared" si="7"/>
        <v>279</v>
      </c>
      <c r="D76" s="20">
        <v>1</v>
      </c>
      <c r="G76" s="32" t="s">
        <v>86</v>
      </c>
      <c r="H76" s="20" t="s">
        <v>2645</v>
      </c>
      <c r="I76" s="20">
        <v>131</v>
      </c>
      <c r="J76" s="20">
        <v>5113</v>
      </c>
      <c r="K76" s="20" t="s">
        <v>20</v>
      </c>
      <c r="L76" s="20">
        <v>1</v>
      </c>
      <c r="M76" s="122">
        <v>13225806</v>
      </c>
      <c r="N76" s="122">
        <f t="shared" si="6"/>
        <v>13225806</v>
      </c>
      <c r="O76" s="20" t="s">
        <v>21</v>
      </c>
      <c r="P76" s="20">
        <f t="shared" si="8"/>
        <v>49</v>
      </c>
    </row>
    <row r="77" spans="1:16" ht="15" customHeight="1" x14ac:dyDescent="0.2">
      <c r="A77" s="20" t="s">
        <v>18</v>
      </c>
      <c r="B77" s="63" t="s">
        <v>2504</v>
      </c>
      <c r="C77" s="20">
        <f t="shared" si="7"/>
        <v>279</v>
      </c>
      <c r="D77" s="20">
        <v>0</v>
      </c>
      <c r="G77" s="32" t="s">
        <v>86</v>
      </c>
      <c r="H77" s="20" t="s">
        <v>2646</v>
      </c>
      <c r="I77" s="20">
        <v>333821</v>
      </c>
      <c r="J77" s="20">
        <v>131</v>
      </c>
      <c r="K77" s="20" t="s">
        <v>20</v>
      </c>
      <c r="L77" s="20">
        <v>1</v>
      </c>
      <c r="M77" s="122">
        <v>132258</v>
      </c>
      <c r="N77" s="122">
        <f t="shared" si="6"/>
        <v>132258</v>
      </c>
      <c r="O77" s="20" t="s">
        <v>21</v>
      </c>
      <c r="P77" s="20">
        <f t="shared" si="8"/>
        <v>49</v>
      </c>
    </row>
    <row r="78" spans="1:16" ht="15" customHeight="1" x14ac:dyDescent="0.2">
      <c r="A78" s="20" t="s">
        <v>18</v>
      </c>
      <c r="B78" s="63">
        <v>45961</v>
      </c>
      <c r="C78" s="20">
        <f t="shared" si="7"/>
        <v>280</v>
      </c>
      <c r="D78" s="20">
        <v>1</v>
      </c>
      <c r="G78" s="32" t="s">
        <v>43</v>
      </c>
      <c r="H78" s="20" t="s">
        <v>371</v>
      </c>
      <c r="I78" s="20">
        <v>64271</v>
      </c>
      <c r="J78" s="20">
        <v>3383</v>
      </c>
      <c r="K78" s="20" t="s">
        <v>20</v>
      </c>
      <c r="L78" s="20">
        <v>1</v>
      </c>
      <c r="M78" s="122">
        <v>690300</v>
      </c>
      <c r="N78" s="122">
        <f t="shared" si="6"/>
        <v>690300</v>
      </c>
      <c r="O78" s="20" t="s">
        <v>21</v>
      </c>
      <c r="P78" s="20">
        <f t="shared" si="8"/>
        <v>50</v>
      </c>
    </row>
    <row r="79" spans="1:16" ht="15" customHeight="1" x14ac:dyDescent="0.2">
      <c r="A79" s="20" t="s">
        <v>18</v>
      </c>
      <c r="B79" s="63">
        <v>45991</v>
      </c>
      <c r="C79" s="20">
        <f t="shared" si="7"/>
        <v>281</v>
      </c>
      <c r="D79" s="20">
        <v>1</v>
      </c>
      <c r="G79" s="32" t="s">
        <v>43</v>
      </c>
      <c r="H79" s="20" t="s">
        <v>372</v>
      </c>
      <c r="I79" s="20">
        <v>64271</v>
      </c>
      <c r="J79" s="20">
        <v>3383</v>
      </c>
      <c r="K79" s="20" t="s">
        <v>20</v>
      </c>
      <c r="L79" s="20">
        <v>1</v>
      </c>
      <c r="M79" s="122">
        <v>690300</v>
      </c>
      <c r="N79" s="122">
        <f t="shared" si="6"/>
        <v>690300</v>
      </c>
      <c r="O79" s="20" t="s">
        <v>21</v>
      </c>
      <c r="P79" s="20">
        <f t="shared" si="8"/>
        <v>51</v>
      </c>
    </row>
    <row r="80" spans="1:16" ht="15" customHeight="1" x14ac:dyDescent="0.2">
      <c r="A80" s="20" t="s">
        <v>18</v>
      </c>
      <c r="B80" s="63">
        <v>46022</v>
      </c>
      <c r="C80" s="20">
        <f t="shared" si="7"/>
        <v>282</v>
      </c>
      <c r="D80" s="20">
        <v>1</v>
      </c>
      <c r="G80" s="32" t="s">
        <v>43</v>
      </c>
      <c r="H80" s="20" t="s">
        <v>373</v>
      </c>
      <c r="I80" s="20">
        <v>64271</v>
      </c>
      <c r="J80" s="20">
        <v>3383</v>
      </c>
      <c r="K80" s="20" t="s">
        <v>20</v>
      </c>
      <c r="L80" s="20">
        <v>1</v>
      </c>
      <c r="M80" s="122">
        <v>690300</v>
      </c>
      <c r="N80" s="122">
        <f t="shared" si="6"/>
        <v>690300</v>
      </c>
      <c r="O80" s="20" t="s">
        <v>21</v>
      </c>
      <c r="P80" s="20">
        <f t="shared" si="8"/>
        <v>52</v>
      </c>
    </row>
    <row r="81" spans="1:16" ht="15" customHeight="1" x14ac:dyDescent="0.2">
      <c r="A81" s="20" t="s">
        <v>2678</v>
      </c>
      <c r="B81" s="63" t="s">
        <v>2513</v>
      </c>
      <c r="C81" s="20">
        <f t="shared" ref="C81:C125" si="9">C80+D81</f>
        <v>283</v>
      </c>
      <c r="D81" s="20">
        <v>1</v>
      </c>
      <c r="G81" s="32" t="s">
        <v>143</v>
      </c>
      <c r="H81" s="20" t="s">
        <v>2681</v>
      </c>
      <c r="I81" s="20">
        <v>1111</v>
      </c>
      <c r="J81" s="20">
        <v>112111</v>
      </c>
      <c r="K81" s="20" t="s">
        <v>20</v>
      </c>
      <c r="L81" s="20">
        <v>1</v>
      </c>
      <c r="M81" s="122">
        <v>13000000</v>
      </c>
      <c r="N81" s="122">
        <f t="shared" si="6"/>
        <v>13000000</v>
      </c>
      <c r="O81" s="20" t="s">
        <v>21</v>
      </c>
      <c r="P81" s="20">
        <f t="shared" si="8"/>
        <v>53</v>
      </c>
    </row>
    <row r="82" spans="1:16" ht="15" customHeight="1" x14ac:dyDescent="0.2">
      <c r="A82" s="20" t="s">
        <v>2679</v>
      </c>
      <c r="B82" s="63" t="s">
        <v>2561</v>
      </c>
      <c r="C82" s="20">
        <f t="shared" si="9"/>
        <v>284</v>
      </c>
      <c r="D82" s="20">
        <v>1</v>
      </c>
      <c r="G82" s="32" t="s">
        <v>3263</v>
      </c>
      <c r="H82" s="20" t="s">
        <v>2687</v>
      </c>
      <c r="I82" s="20">
        <v>112111</v>
      </c>
      <c r="J82" s="20">
        <v>5154</v>
      </c>
      <c r="K82" s="20" t="s">
        <v>20</v>
      </c>
      <c r="L82" s="20">
        <v>1</v>
      </c>
      <c r="M82" s="122">
        <v>1802</v>
      </c>
      <c r="N82" s="122">
        <f t="shared" si="6"/>
        <v>1802</v>
      </c>
      <c r="O82" s="20" t="s">
        <v>21</v>
      </c>
      <c r="P82" s="20">
        <f t="shared" si="8"/>
        <v>54</v>
      </c>
    </row>
    <row r="83" spans="1:16" ht="15" customHeight="1" x14ac:dyDescent="0.2">
      <c r="A83" s="20" t="s">
        <v>2679</v>
      </c>
      <c r="B83" s="63" t="s">
        <v>457</v>
      </c>
      <c r="C83" s="20">
        <f t="shared" si="9"/>
        <v>285</v>
      </c>
      <c r="D83" s="20">
        <v>1</v>
      </c>
      <c r="G83" s="32" t="s">
        <v>1669</v>
      </c>
      <c r="H83" s="20" t="s">
        <v>3286</v>
      </c>
      <c r="I83" s="20">
        <v>112111</v>
      </c>
      <c r="J83" s="20">
        <v>131</v>
      </c>
      <c r="K83" s="20" t="s">
        <v>20</v>
      </c>
      <c r="L83" s="20">
        <v>1</v>
      </c>
      <c r="M83" s="122">
        <v>825807</v>
      </c>
      <c r="N83" s="122">
        <f t="shared" si="6"/>
        <v>825807</v>
      </c>
      <c r="O83" s="20" t="s">
        <v>21</v>
      </c>
      <c r="P83" s="20">
        <f t="shared" si="8"/>
        <v>55</v>
      </c>
    </row>
    <row r="84" spans="1:16" ht="15" customHeight="1" x14ac:dyDescent="0.2">
      <c r="A84" s="20" t="s">
        <v>2679</v>
      </c>
      <c r="B84" s="63" t="s">
        <v>457</v>
      </c>
      <c r="C84" s="20">
        <f t="shared" si="9"/>
        <v>286</v>
      </c>
      <c r="D84" s="20">
        <v>1</v>
      </c>
      <c r="G84" s="32" t="s">
        <v>1669</v>
      </c>
      <c r="H84" s="20" t="s">
        <v>3286</v>
      </c>
      <c r="I84" s="20">
        <v>112111</v>
      </c>
      <c r="J84" s="20">
        <v>131</v>
      </c>
      <c r="K84" s="20" t="s">
        <v>20</v>
      </c>
      <c r="L84" s="20">
        <v>1</v>
      </c>
      <c r="M84" s="122">
        <v>12800000</v>
      </c>
      <c r="N84" s="122">
        <f t="shared" si="6"/>
        <v>12800000</v>
      </c>
      <c r="O84" s="20" t="s">
        <v>21</v>
      </c>
      <c r="P84" s="20">
        <f t="shared" si="8"/>
        <v>56</v>
      </c>
    </row>
    <row r="85" spans="1:16" ht="15" customHeight="1" x14ac:dyDescent="0.2">
      <c r="A85" s="20" t="s">
        <v>2678</v>
      </c>
      <c r="B85" s="63" t="s">
        <v>383</v>
      </c>
      <c r="C85" s="20">
        <f t="shared" si="9"/>
        <v>287</v>
      </c>
      <c r="D85" s="20">
        <v>1</v>
      </c>
      <c r="G85" s="32" t="s">
        <v>143</v>
      </c>
      <c r="H85" s="20" t="s">
        <v>2681</v>
      </c>
      <c r="I85" s="20">
        <v>1111</v>
      </c>
      <c r="J85" s="20">
        <v>112111</v>
      </c>
      <c r="K85" s="20" t="s">
        <v>20</v>
      </c>
      <c r="L85" s="20">
        <v>1</v>
      </c>
      <c r="M85" s="122">
        <v>27000000</v>
      </c>
      <c r="N85" s="122">
        <f t="shared" si="6"/>
        <v>27000000</v>
      </c>
      <c r="O85" s="20" t="s">
        <v>21</v>
      </c>
      <c r="P85" s="20">
        <f t="shared" si="8"/>
        <v>57</v>
      </c>
    </row>
    <row r="86" spans="1:16" ht="15" customHeight="1" x14ac:dyDescent="0.2">
      <c r="A86" s="20" t="s">
        <v>2679</v>
      </c>
      <c r="B86" s="63" t="s">
        <v>527</v>
      </c>
      <c r="C86" s="20">
        <f t="shared" si="9"/>
        <v>288</v>
      </c>
      <c r="D86" s="20">
        <v>1</v>
      </c>
      <c r="G86" s="32" t="s">
        <v>1668</v>
      </c>
      <c r="H86" s="20" t="s">
        <v>3285</v>
      </c>
      <c r="I86" s="20">
        <v>112111</v>
      </c>
      <c r="J86" s="20">
        <v>131</v>
      </c>
      <c r="K86" s="20" t="s">
        <v>20</v>
      </c>
      <c r="L86" s="20">
        <v>1</v>
      </c>
      <c r="M86" s="122">
        <v>26400000</v>
      </c>
      <c r="N86" s="122">
        <f t="shared" si="6"/>
        <v>26400000</v>
      </c>
      <c r="O86" s="20" t="s">
        <v>21</v>
      </c>
      <c r="P86" s="20">
        <f t="shared" si="8"/>
        <v>58</v>
      </c>
    </row>
    <row r="87" spans="1:16" ht="15" customHeight="1" x14ac:dyDescent="0.2">
      <c r="A87" s="20" t="s">
        <v>2678</v>
      </c>
      <c r="B87" s="63" t="s">
        <v>2130</v>
      </c>
      <c r="C87" s="20">
        <f t="shared" si="9"/>
        <v>289</v>
      </c>
      <c r="D87" s="20">
        <v>1</v>
      </c>
      <c r="G87" s="32" t="s">
        <v>143</v>
      </c>
      <c r="H87" s="20" t="s">
        <v>2681</v>
      </c>
      <c r="I87" s="20">
        <v>1111</v>
      </c>
      <c r="J87" s="20">
        <v>112111</v>
      </c>
      <c r="K87" s="20" t="s">
        <v>20</v>
      </c>
      <c r="L87" s="20">
        <v>1</v>
      </c>
      <c r="M87" s="122">
        <v>50000000</v>
      </c>
      <c r="N87" s="122">
        <f t="shared" si="6"/>
        <v>50000000</v>
      </c>
      <c r="O87" s="20" t="s">
        <v>21</v>
      </c>
      <c r="P87" s="20">
        <f t="shared" si="8"/>
        <v>59</v>
      </c>
    </row>
    <row r="88" spans="1:16" ht="15" customHeight="1" x14ac:dyDescent="0.2">
      <c r="A88" s="20" t="s">
        <v>2679</v>
      </c>
      <c r="B88" s="63" t="s">
        <v>525</v>
      </c>
      <c r="C88" s="20">
        <f t="shared" si="9"/>
        <v>290</v>
      </c>
      <c r="D88" s="20">
        <v>1</v>
      </c>
      <c r="G88" s="32" t="s">
        <v>29</v>
      </c>
      <c r="H88" s="20" t="s">
        <v>3284</v>
      </c>
      <c r="I88" s="20">
        <v>112111</v>
      </c>
      <c r="J88" s="20">
        <v>131</v>
      </c>
      <c r="K88" s="20" t="s">
        <v>20</v>
      </c>
      <c r="L88" s="20">
        <v>1</v>
      </c>
      <c r="M88" s="122">
        <v>24483871</v>
      </c>
      <c r="N88" s="122">
        <f t="shared" si="6"/>
        <v>24483871</v>
      </c>
      <c r="O88" s="20" t="s">
        <v>21</v>
      </c>
      <c r="P88" s="20">
        <f t="shared" si="8"/>
        <v>60</v>
      </c>
    </row>
    <row r="89" spans="1:16" ht="15" customHeight="1" x14ac:dyDescent="0.2">
      <c r="A89" s="20" t="s">
        <v>2679</v>
      </c>
      <c r="B89" s="63" t="s">
        <v>455</v>
      </c>
      <c r="C89" s="20">
        <f t="shared" si="9"/>
        <v>291</v>
      </c>
      <c r="D89" s="20">
        <v>1</v>
      </c>
      <c r="G89" s="32" t="s">
        <v>60</v>
      </c>
      <c r="H89" s="20" t="s">
        <v>3283</v>
      </c>
      <c r="I89" s="20">
        <v>112111</v>
      </c>
      <c r="J89" s="20">
        <v>131</v>
      </c>
      <c r="K89" s="20" t="s">
        <v>20</v>
      </c>
      <c r="L89" s="20">
        <v>1</v>
      </c>
      <c r="M89" s="122">
        <v>13625806</v>
      </c>
      <c r="N89" s="122">
        <f t="shared" si="6"/>
        <v>13625806</v>
      </c>
      <c r="O89" s="20" t="s">
        <v>21</v>
      </c>
      <c r="P89" s="20">
        <f t="shared" si="8"/>
        <v>61</v>
      </c>
    </row>
    <row r="90" spans="1:16" ht="15" customHeight="1" x14ac:dyDescent="0.2">
      <c r="A90" s="20" t="s">
        <v>18</v>
      </c>
      <c r="B90" s="63" t="s">
        <v>524</v>
      </c>
      <c r="C90" s="20">
        <f t="shared" ref="C90:C91" si="10">C89+D90</f>
        <v>292</v>
      </c>
      <c r="D90" s="20">
        <v>1</v>
      </c>
      <c r="G90" s="32" t="s">
        <v>3287</v>
      </c>
      <c r="H90" s="20" t="s">
        <v>3289</v>
      </c>
      <c r="I90" s="20">
        <v>6425</v>
      </c>
      <c r="J90" s="20">
        <v>333822</v>
      </c>
      <c r="K90" s="20" t="s">
        <v>20</v>
      </c>
      <c r="L90" s="20">
        <v>1</v>
      </c>
      <c r="M90" s="122">
        <v>591636</v>
      </c>
      <c r="N90" s="122">
        <f t="shared" ref="N90" si="11">M90*L90</f>
        <v>591636</v>
      </c>
      <c r="O90" s="20" t="s">
        <v>21</v>
      </c>
      <c r="P90" s="20">
        <f t="shared" si="8"/>
        <v>62</v>
      </c>
    </row>
    <row r="91" spans="1:16" ht="15" customHeight="1" x14ac:dyDescent="0.2">
      <c r="A91" s="20" t="s">
        <v>2678</v>
      </c>
      <c r="B91" s="63" t="s">
        <v>524</v>
      </c>
      <c r="C91" s="20">
        <f t="shared" si="10"/>
        <v>293</v>
      </c>
      <c r="D91" s="20">
        <v>1</v>
      </c>
      <c r="G91" s="32" t="s">
        <v>3287</v>
      </c>
      <c r="H91" s="20" t="s">
        <v>3288</v>
      </c>
      <c r="I91" s="20">
        <v>333822</v>
      </c>
      <c r="J91" s="20">
        <v>112111</v>
      </c>
      <c r="K91" s="20" t="s">
        <v>20</v>
      </c>
      <c r="L91" s="20">
        <v>1</v>
      </c>
      <c r="M91" s="122">
        <v>591636</v>
      </c>
      <c r="N91" s="122">
        <f t="shared" si="6"/>
        <v>591636</v>
      </c>
      <c r="O91" s="20" t="s">
        <v>21</v>
      </c>
      <c r="P91" s="20">
        <f t="shared" si="8"/>
        <v>63</v>
      </c>
    </row>
    <row r="92" spans="1:16" ht="15" customHeight="1" x14ac:dyDescent="0.2">
      <c r="A92" s="20" t="s">
        <v>2679</v>
      </c>
      <c r="B92" s="63" t="s">
        <v>453</v>
      </c>
      <c r="C92" s="20">
        <f t="shared" si="9"/>
        <v>294</v>
      </c>
      <c r="D92" s="20">
        <v>1</v>
      </c>
      <c r="G92" s="32" t="s">
        <v>29</v>
      </c>
      <c r="H92" s="20" t="s">
        <v>3282</v>
      </c>
      <c r="I92" s="20">
        <v>112111</v>
      </c>
      <c r="J92" s="20">
        <v>131</v>
      </c>
      <c r="K92" s="20" t="s">
        <v>20</v>
      </c>
      <c r="L92" s="20">
        <v>1</v>
      </c>
      <c r="M92" s="122">
        <v>12241935</v>
      </c>
      <c r="N92" s="122">
        <f t="shared" si="6"/>
        <v>12241935</v>
      </c>
      <c r="O92" s="20" t="s">
        <v>21</v>
      </c>
      <c r="P92" s="20">
        <f t="shared" si="8"/>
        <v>64</v>
      </c>
    </row>
    <row r="93" spans="1:16" ht="15" customHeight="1" x14ac:dyDescent="0.2">
      <c r="A93" s="20" t="s">
        <v>2678</v>
      </c>
      <c r="B93" s="63" t="s">
        <v>588</v>
      </c>
      <c r="C93" s="20">
        <f t="shared" si="9"/>
        <v>295</v>
      </c>
      <c r="D93" s="20">
        <v>1</v>
      </c>
      <c r="G93" s="32" t="s">
        <v>143</v>
      </c>
      <c r="H93" s="20" t="s">
        <v>2681</v>
      </c>
      <c r="I93" s="20">
        <v>1111</v>
      </c>
      <c r="J93" s="20">
        <v>112111</v>
      </c>
      <c r="K93" s="20" t="s">
        <v>20</v>
      </c>
      <c r="L93" s="20">
        <v>1</v>
      </c>
      <c r="M93" s="122">
        <v>22000000</v>
      </c>
      <c r="N93" s="122">
        <f t="shared" si="6"/>
        <v>22000000</v>
      </c>
      <c r="O93" s="20" t="s">
        <v>21</v>
      </c>
      <c r="P93" s="20">
        <f t="shared" si="8"/>
        <v>65</v>
      </c>
    </row>
    <row r="94" spans="1:16" ht="15" customHeight="1" x14ac:dyDescent="0.2">
      <c r="A94" s="20" t="s">
        <v>2679</v>
      </c>
      <c r="B94" s="63" t="s">
        <v>452</v>
      </c>
      <c r="C94" s="20">
        <f t="shared" si="9"/>
        <v>296</v>
      </c>
      <c r="D94" s="20">
        <v>1</v>
      </c>
      <c r="G94" s="32" t="s">
        <v>1667</v>
      </c>
      <c r="H94" s="20" t="s">
        <v>3281</v>
      </c>
      <c r="I94" s="20">
        <v>112111</v>
      </c>
      <c r="J94" s="20">
        <v>131</v>
      </c>
      <c r="K94" s="20" t="s">
        <v>20</v>
      </c>
      <c r="L94" s="20">
        <v>1</v>
      </c>
      <c r="M94" s="122">
        <v>13306452</v>
      </c>
      <c r="N94" s="122">
        <f t="shared" si="6"/>
        <v>13306452</v>
      </c>
      <c r="O94" s="20" t="s">
        <v>21</v>
      </c>
      <c r="P94" s="20">
        <f t="shared" si="8"/>
        <v>66</v>
      </c>
    </row>
    <row r="95" spans="1:16" ht="15" customHeight="1" x14ac:dyDescent="0.2">
      <c r="A95" s="20" t="s">
        <v>2679</v>
      </c>
      <c r="B95" s="63" t="s">
        <v>452</v>
      </c>
      <c r="C95" s="20">
        <f t="shared" si="9"/>
        <v>297</v>
      </c>
      <c r="D95" s="20">
        <v>1</v>
      </c>
      <c r="G95" s="32" t="s">
        <v>3263</v>
      </c>
      <c r="H95" s="20" t="s">
        <v>2687</v>
      </c>
      <c r="I95" s="20">
        <v>112111</v>
      </c>
      <c r="J95" s="20">
        <v>5154</v>
      </c>
      <c r="K95" s="20" t="s">
        <v>20</v>
      </c>
      <c r="L95" s="20">
        <v>1</v>
      </c>
      <c r="M95" s="122">
        <v>961</v>
      </c>
      <c r="N95" s="122">
        <f t="shared" si="6"/>
        <v>961</v>
      </c>
      <c r="O95" s="20" t="s">
        <v>21</v>
      </c>
      <c r="P95" s="20">
        <f t="shared" si="8"/>
        <v>67</v>
      </c>
    </row>
    <row r="96" spans="1:16" ht="15" customHeight="1" x14ac:dyDescent="0.2">
      <c r="A96" s="20" t="s">
        <v>2679</v>
      </c>
      <c r="B96" s="63" t="s">
        <v>514</v>
      </c>
      <c r="C96" s="20">
        <f t="shared" si="9"/>
        <v>298</v>
      </c>
      <c r="D96" s="20">
        <v>1</v>
      </c>
      <c r="G96" s="32" t="s">
        <v>1665</v>
      </c>
      <c r="H96" s="20" t="s">
        <v>3280</v>
      </c>
      <c r="I96" s="20">
        <v>112111</v>
      </c>
      <c r="J96" s="20">
        <v>131</v>
      </c>
      <c r="K96" s="20" t="s">
        <v>20</v>
      </c>
      <c r="L96" s="20">
        <v>1</v>
      </c>
      <c r="M96" s="122">
        <v>10112903</v>
      </c>
      <c r="N96" s="122">
        <f t="shared" si="6"/>
        <v>10112903</v>
      </c>
      <c r="O96" s="20" t="s">
        <v>21</v>
      </c>
      <c r="P96" s="20">
        <f t="shared" si="8"/>
        <v>68</v>
      </c>
    </row>
    <row r="97" spans="1:16" ht="15" customHeight="1" x14ac:dyDescent="0.2">
      <c r="A97" s="20" t="s">
        <v>2679</v>
      </c>
      <c r="B97" s="63" t="s">
        <v>514</v>
      </c>
      <c r="C97" s="20">
        <f t="shared" ref="C97:C98" si="12">C96+D97</f>
        <v>298</v>
      </c>
      <c r="D97" s="20">
        <v>0</v>
      </c>
      <c r="G97" s="32" t="s">
        <v>1665</v>
      </c>
      <c r="H97" s="20" t="s">
        <v>3280</v>
      </c>
      <c r="I97" s="20">
        <v>112111</v>
      </c>
      <c r="J97" s="20">
        <v>7118</v>
      </c>
      <c r="K97" s="20" t="s">
        <v>20</v>
      </c>
      <c r="L97" s="20">
        <v>1</v>
      </c>
      <c r="M97" s="122">
        <v>1</v>
      </c>
      <c r="N97" s="122">
        <f t="shared" ref="N97" si="13">M97*L97</f>
        <v>1</v>
      </c>
      <c r="O97" s="20" t="s">
        <v>21</v>
      </c>
      <c r="P97" s="20">
        <f t="shared" ref="P97:P98" si="14">P96+D97</f>
        <v>68</v>
      </c>
    </row>
    <row r="98" spans="1:16" ht="15" customHeight="1" x14ac:dyDescent="0.2">
      <c r="A98" s="20" t="s">
        <v>2678</v>
      </c>
      <c r="B98" s="63" t="s">
        <v>522</v>
      </c>
      <c r="C98" s="20">
        <f t="shared" si="12"/>
        <v>299</v>
      </c>
      <c r="D98" s="20">
        <v>1</v>
      </c>
      <c r="G98" s="32" t="s">
        <v>143</v>
      </c>
      <c r="H98" s="20" t="s">
        <v>2681</v>
      </c>
      <c r="I98" s="20">
        <v>1111</v>
      </c>
      <c r="J98" s="20">
        <v>112111</v>
      </c>
      <c r="K98" s="20" t="s">
        <v>20</v>
      </c>
      <c r="L98" s="20">
        <v>1</v>
      </c>
      <c r="M98" s="122">
        <v>10000000</v>
      </c>
      <c r="N98" s="122">
        <f t="shared" si="6"/>
        <v>10000000</v>
      </c>
      <c r="O98" s="20" t="s">
        <v>21</v>
      </c>
      <c r="P98" s="20">
        <f t="shared" si="14"/>
        <v>69</v>
      </c>
    </row>
    <row r="99" spans="1:16" ht="15" customHeight="1" x14ac:dyDescent="0.2">
      <c r="A99" s="20" t="s">
        <v>18</v>
      </c>
      <c r="B99" s="63" t="s">
        <v>522</v>
      </c>
      <c r="C99" s="20">
        <f t="shared" ref="C99:C100" si="15">C98+D99</f>
        <v>300</v>
      </c>
      <c r="D99" s="20">
        <v>1</v>
      </c>
      <c r="G99" s="32" t="s">
        <v>43</v>
      </c>
      <c r="H99" s="20" t="s">
        <v>3004</v>
      </c>
      <c r="I99" s="20">
        <v>131</v>
      </c>
      <c r="J99" s="20">
        <v>5118</v>
      </c>
      <c r="K99" s="20" t="s">
        <v>20</v>
      </c>
      <c r="L99" s="20">
        <v>1</v>
      </c>
      <c r="M99" s="122">
        <v>9748494</v>
      </c>
      <c r="N99" s="122">
        <f t="shared" ref="N99" si="16">M99*L99</f>
        <v>9748494</v>
      </c>
      <c r="O99" s="20" t="s">
        <v>21</v>
      </c>
      <c r="P99" s="20">
        <f t="shared" si="8"/>
        <v>70</v>
      </c>
    </row>
    <row r="100" spans="1:16" ht="15" customHeight="1" x14ac:dyDescent="0.2">
      <c r="A100" s="20" t="s">
        <v>2679</v>
      </c>
      <c r="B100" s="63" t="s">
        <v>522</v>
      </c>
      <c r="C100" s="20">
        <f t="shared" si="15"/>
        <v>301</v>
      </c>
      <c r="D100" s="20">
        <v>1</v>
      </c>
      <c r="G100" s="32" t="s">
        <v>43</v>
      </c>
      <c r="H100" s="20" t="s">
        <v>3005</v>
      </c>
      <c r="I100" s="20">
        <v>112111</v>
      </c>
      <c r="J100" s="20">
        <v>131</v>
      </c>
      <c r="K100" s="20" t="s">
        <v>20</v>
      </c>
      <c r="L100" s="20">
        <v>1</v>
      </c>
      <c r="M100" s="122">
        <v>9748494</v>
      </c>
      <c r="N100" s="122">
        <f t="shared" si="6"/>
        <v>9748494</v>
      </c>
      <c r="O100" s="20" t="s">
        <v>21</v>
      </c>
      <c r="P100" s="20">
        <f t="shared" si="8"/>
        <v>71</v>
      </c>
    </row>
    <row r="101" spans="1:16" ht="15" customHeight="1" x14ac:dyDescent="0.2">
      <c r="A101" s="20" t="s">
        <v>2678</v>
      </c>
      <c r="B101" s="63" t="s">
        <v>319</v>
      </c>
      <c r="C101" s="20">
        <f t="shared" si="9"/>
        <v>302</v>
      </c>
      <c r="D101" s="20">
        <v>1</v>
      </c>
      <c r="G101" s="32" t="s">
        <v>143</v>
      </c>
      <c r="H101" s="20" t="s">
        <v>2681</v>
      </c>
      <c r="I101" s="20">
        <v>1111</v>
      </c>
      <c r="J101" s="20">
        <v>112111</v>
      </c>
      <c r="K101" s="20" t="s">
        <v>20</v>
      </c>
      <c r="L101" s="20">
        <v>1</v>
      </c>
      <c r="M101" s="122">
        <v>25000000</v>
      </c>
      <c r="N101" s="122">
        <f t="shared" si="6"/>
        <v>25000000</v>
      </c>
      <c r="O101" s="20" t="s">
        <v>21</v>
      </c>
      <c r="P101" s="20">
        <f t="shared" si="8"/>
        <v>72</v>
      </c>
    </row>
    <row r="102" spans="1:16" ht="15" customHeight="1" x14ac:dyDescent="0.2">
      <c r="A102" s="20" t="s">
        <v>2679</v>
      </c>
      <c r="B102" s="63" t="s">
        <v>601</v>
      </c>
      <c r="C102" s="20">
        <f t="shared" si="9"/>
        <v>303</v>
      </c>
      <c r="D102" s="20">
        <v>1</v>
      </c>
      <c r="G102" s="32" t="s">
        <v>1666</v>
      </c>
      <c r="H102" s="20" t="s">
        <v>3279</v>
      </c>
      <c r="I102" s="20">
        <v>112111</v>
      </c>
      <c r="J102" s="20">
        <v>131</v>
      </c>
      <c r="K102" s="20" t="s">
        <v>20</v>
      </c>
      <c r="L102" s="20">
        <v>1</v>
      </c>
      <c r="M102" s="122">
        <v>13838710</v>
      </c>
      <c r="N102" s="122">
        <f t="shared" si="6"/>
        <v>13838710</v>
      </c>
      <c r="O102" s="20" t="s">
        <v>21</v>
      </c>
      <c r="P102" s="20">
        <f t="shared" si="8"/>
        <v>73</v>
      </c>
    </row>
    <row r="103" spans="1:16" ht="15" customHeight="1" x14ac:dyDescent="0.2">
      <c r="A103" s="20" t="s">
        <v>2679</v>
      </c>
      <c r="B103" s="63" t="s">
        <v>418</v>
      </c>
      <c r="C103" s="20">
        <f t="shared" si="9"/>
        <v>304</v>
      </c>
      <c r="D103" s="20">
        <v>1</v>
      </c>
      <c r="G103" s="32" t="s">
        <v>1665</v>
      </c>
      <c r="H103" s="20" t="s">
        <v>3278</v>
      </c>
      <c r="I103" s="20">
        <v>112111</v>
      </c>
      <c r="J103" s="20">
        <v>131</v>
      </c>
      <c r="K103" s="20" t="s">
        <v>20</v>
      </c>
      <c r="L103" s="20">
        <v>1</v>
      </c>
      <c r="M103" s="122">
        <v>10112903</v>
      </c>
      <c r="N103" s="122">
        <f t="shared" si="6"/>
        <v>10112903</v>
      </c>
      <c r="O103" s="20" t="s">
        <v>21</v>
      </c>
      <c r="P103" s="20">
        <f t="shared" si="8"/>
        <v>74</v>
      </c>
    </row>
    <row r="104" spans="1:16" ht="15" customHeight="1" x14ac:dyDescent="0.2">
      <c r="A104" s="20" t="s">
        <v>2678</v>
      </c>
      <c r="B104" s="63" t="s">
        <v>317</v>
      </c>
      <c r="C104" s="20">
        <f t="shared" si="9"/>
        <v>305</v>
      </c>
      <c r="D104" s="20">
        <v>1</v>
      </c>
      <c r="G104" s="32" t="s">
        <v>143</v>
      </c>
      <c r="H104" s="20" t="s">
        <v>2681</v>
      </c>
      <c r="I104" s="20">
        <v>1111</v>
      </c>
      <c r="J104" s="20">
        <v>112111</v>
      </c>
      <c r="K104" s="20" t="s">
        <v>20</v>
      </c>
      <c r="L104" s="20">
        <v>1</v>
      </c>
      <c r="M104" s="122">
        <v>38000000</v>
      </c>
      <c r="N104" s="122">
        <f t="shared" si="6"/>
        <v>38000000</v>
      </c>
      <c r="O104" s="20" t="s">
        <v>21</v>
      </c>
      <c r="P104" s="20">
        <f t="shared" si="8"/>
        <v>75</v>
      </c>
    </row>
    <row r="105" spans="1:16" ht="15" customHeight="1" x14ac:dyDescent="0.2">
      <c r="A105" s="20" t="s">
        <v>2679</v>
      </c>
      <c r="B105" s="63" t="s">
        <v>316</v>
      </c>
      <c r="C105" s="20">
        <f t="shared" si="9"/>
        <v>306</v>
      </c>
      <c r="D105" s="20">
        <v>1</v>
      </c>
      <c r="G105" s="32" t="s">
        <v>29</v>
      </c>
      <c r="H105" s="20" t="s">
        <v>3277</v>
      </c>
      <c r="I105" s="20">
        <v>112111</v>
      </c>
      <c r="J105" s="20">
        <v>131</v>
      </c>
      <c r="K105" s="20" t="s">
        <v>20</v>
      </c>
      <c r="L105" s="20">
        <v>1</v>
      </c>
      <c r="M105" s="122">
        <v>11709677</v>
      </c>
      <c r="N105" s="122">
        <f t="shared" si="6"/>
        <v>11709677</v>
      </c>
      <c r="O105" s="20" t="s">
        <v>21</v>
      </c>
      <c r="P105" s="20">
        <f t="shared" si="8"/>
        <v>76</v>
      </c>
    </row>
    <row r="106" spans="1:16" ht="15" customHeight="1" x14ac:dyDescent="0.2">
      <c r="A106" s="20" t="s">
        <v>2679</v>
      </c>
      <c r="B106" s="63" t="s">
        <v>378</v>
      </c>
      <c r="C106" s="20">
        <f t="shared" si="9"/>
        <v>307</v>
      </c>
      <c r="D106" s="20">
        <v>1</v>
      </c>
      <c r="G106" s="32" t="s">
        <v>47</v>
      </c>
      <c r="H106" s="20" t="s">
        <v>3276</v>
      </c>
      <c r="I106" s="20">
        <v>112111</v>
      </c>
      <c r="J106" s="20">
        <v>131</v>
      </c>
      <c r="K106" s="20" t="s">
        <v>20</v>
      </c>
      <c r="L106" s="20">
        <v>1</v>
      </c>
      <c r="M106" s="122">
        <v>25548387</v>
      </c>
      <c r="N106" s="122">
        <f t="shared" si="6"/>
        <v>25548387</v>
      </c>
      <c r="O106" s="20" t="s">
        <v>21</v>
      </c>
      <c r="P106" s="20">
        <f t="shared" si="8"/>
        <v>77</v>
      </c>
    </row>
    <row r="107" spans="1:16" ht="15" customHeight="1" x14ac:dyDescent="0.2">
      <c r="A107" s="20" t="s">
        <v>2678</v>
      </c>
      <c r="B107" s="63" t="s">
        <v>292</v>
      </c>
      <c r="C107" s="20">
        <f t="shared" si="9"/>
        <v>308</v>
      </c>
      <c r="D107" s="20">
        <v>1</v>
      </c>
      <c r="G107" s="32" t="s">
        <v>143</v>
      </c>
      <c r="H107" s="20" t="s">
        <v>2681</v>
      </c>
      <c r="I107" s="20">
        <v>1111</v>
      </c>
      <c r="J107" s="20">
        <v>112111</v>
      </c>
      <c r="K107" s="20" t="s">
        <v>20</v>
      </c>
      <c r="L107" s="20">
        <v>1</v>
      </c>
      <c r="M107" s="122">
        <v>55000000</v>
      </c>
      <c r="N107" s="122">
        <f t="shared" si="6"/>
        <v>55000000</v>
      </c>
      <c r="O107" s="20" t="s">
        <v>21</v>
      </c>
      <c r="P107" s="20">
        <f t="shared" si="8"/>
        <v>78</v>
      </c>
    </row>
    <row r="108" spans="1:16" ht="15" customHeight="1" x14ac:dyDescent="0.2">
      <c r="A108" s="20" t="s">
        <v>2679</v>
      </c>
      <c r="B108" s="63" t="s">
        <v>292</v>
      </c>
      <c r="C108" s="20">
        <f t="shared" si="9"/>
        <v>309</v>
      </c>
      <c r="D108" s="20">
        <v>1</v>
      </c>
      <c r="G108" s="32" t="s">
        <v>29</v>
      </c>
      <c r="H108" s="20" t="s">
        <v>3275</v>
      </c>
      <c r="I108" s="20">
        <v>112111</v>
      </c>
      <c r="J108" s="20">
        <v>131</v>
      </c>
      <c r="K108" s="20" t="s">
        <v>20</v>
      </c>
      <c r="L108" s="20">
        <v>1</v>
      </c>
      <c r="M108" s="122">
        <v>12241935</v>
      </c>
      <c r="N108" s="122">
        <f t="shared" si="6"/>
        <v>12241935</v>
      </c>
      <c r="O108" s="20" t="s">
        <v>21</v>
      </c>
      <c r="P108" s="20">
        <f t="shared" si="8"/>
        <v>79</v>
      </c>
    </row>
    <row r="109" spans="1:16" ht="15" customHeight="1" x14ac:dyDescent="0.2">
      <c r="A109" s="20" t="s">
        <v>2679</v>
      </c>
      <c r="B109" s="63" t="s">
        <v>291</v>
      </c>
      <c r="C109" s="20">
        <f t="shared" si="9"/>
        <v>310</v>
      </c>
      <c r="D109" s="20">
        <v>1</v>
      </c>
      <c r="G109" s="32" t="s">
        <v>29</v>
      </c>
      <c r="H109" s="20" t="s">
        <v>3274</v>
      </c>
      <c r="I109" s="20">
        <v>112111</v>
      </c>
      <c r="J109" s="20">
        <v>131</v>
      </c>
      <c r="K109" s="20" t="s">
        <v>20</v>
      </c>
      <c r="L109" s="20">
        <v>1</v>
      </c>
      <c r="M109" s="122">
        <v>15967742</v>
      </c>
      <c r="N109" s="122">
        <f t="shared" si="6"/>
        <v>15967742</v>
      </c>
      <c r="O109" s="20" t="s">
        <v>21</v>
      </c>
      <c r="P109" s="20">
        <f t="shared" si="8"/>
        <v>80</v>
      </c>
    </row>
    <row r="110" spans="1:16" ht="15" customHeight="1" x14ac:dyDescent="0.2">
      <c r="A110" s="20" t="s">
        <v>2679</v>
      </c>
      <c r="B110" s="63" t="s">
        <v>291</v>
      </c>
      <c r="C110" s="20">
        <f t="shared" si="9"/>
        <v>311</v>
      </c>
      <c r="D110" s="20">
        <v>1</v>
      </c>
      <c r="G110" s="32" t="s">
        <v>29</v>
      </c>
      <c r="H110" s="20" t="s">
        <v>3273</v>
      </c>
      <c r="I110" s="20">
        <v>112111</v>
      </c>
      <c r="J110" s="20">
        <v>131</v>
      </c>
      <c r="K110" s="20" t="s">
        <v>20</v>
      </c>
      <c r="L110" s="20">
        <v>1</v>
      </c>
      <c r="M110" s="122">
        <v>12241935</v>
      </c>
      <c r="N110" s="122">
        <f t="shared" si="6"/>
        <v>12241935</v>
      </c>
      <c r="O110" s="20" t="s">
        <v>21</v>
      </c>
      <c r="P110" s="20">
        <f t="shared" si="8"/>
        <v>81</v>
      </c>
    </row>
    <row r="111" spans="1:16" ht="15" customHeight="1" x14ac:dyDescent="0.2">
      <c r="A111" s="20" t="s">
        <v>2679</v>
      </c>
      <c r="B111" s="63" t="s">
        <v>377</v>
      </c>
      <c r="C111" s="20">
        <f t="shared" si="9"/>
        <v>312</v>
      </c>
      <c r="D111" s="20">
        <v>1</v>
      </c>
      <c r="G111" s="32" t="s">
        <v>411</v>
      </c>
      <c r="H111" s="20" t="s">
        <v>3272</v>
      </c>
      <c r="I111" s="20">
        <v>112111</v>
      </c>
      <c r="J111" s="20">
        <v>131</v>
      </c>
      <c r="K111" s="20" t="s">
        <v>20</v>
      </c>
      <c r="L111" s="20">
        <v>1</v>
      </c>
      <c r="M111" s="122">
        <v>16712903</v>
      </c>
      <c r="N111" s="122">
        <f t="shared" si="6"/>
        <v>16712903</v>
      </c>
      <c r="O111" s="20" t="s">
        <v>21</v>
      </c>
      <c r="P111" s="20">
        <f t="shared" si="8"/>
        <v>82</v>
      </c>
    </row>
    <row r="112" spans="1:16" ht="15" customHeight="1" x14ac:dyDescent="0.2">
      <c r="A112" s="20" t="s">
        <v>2678</v>
      </c>
      <c r="B112" s="63" t="s">
        <v>377</v>
      </c>
      <c r="C112" s="20">
        <f t="shared" si="9"/>
        <v>313</v>
      </c>
      <c r="D112" s="20">
        <v>1</v>
      </c>
      <c r="G112" s="32" t="s">
        <v>3287</v>
      </c>
      <c r="H112" s="20" t="s">
        <v>3290</v>
      </c>
      <c r="I112" s="20">
        <v>333821</v>
      </c>
      <c r="J112" s="20">
        <v>112111</v>
      </c>
      <c r="K112" s="20" t="s">
        <v>20</v>
      </c>
      <c r="L112" s="20">
        <v>1</v>
      </c>
      <c r="M112" s="122">
        <v>18830107</v>
      </c>
      <c r="N112" s="122">
        <f t="shared" si="6"/>
        <v>18830107</v>
      </c>
      <c r="O112" s="20" t="s">
        <v>21</v>
      </c>
      <c r="P112" s="20">
        <f t="shared" si="8"/>
        <v>83</v>
      </c>
    </row>
    <row r="113" spans="1:16" ht="15" customHeight="1" x14ac:dyDescent="0.2">
      <c r="A113" s="20" t="s">
        <v>2679</v>
      </c>
      <c r="B113" s="63" t="s">
        <v>377</v>
      </c>
      <c r="C113" s="20">
        <f t="shared" si="9"/>
        <v>314</v>
      </c>
      <c r="D113" s="20">
        <v>1</v>
      </c>
      <c r="G113" s="32" t="s">
        <v>143</v>
      </c>
      <c r="H113" s="20" t="s">
        <v>3264</v>
      </c>
      <c r="I113" s="20">
        <v>112111</v>
      </c>
      <c r="J113" s="20">
        <v>1111</v>
      </c>
      <c r="K113" s="20" t="s">
        <v>20</v>
      </c>
      <c r="L113" s="20">
        <v>1</v>
      </c>
      <c r="M113" s="122">
        <v>19000000</v>
      </c>
      <c r="N113" s="122">
        <f t="shared" si="6"/>
        <v>19000000</v>
      </c>
      <c r="O113" s="20" t="s">
        <v>21</v>
      </c>
      <c r="P113" s="20">
        <f t="shared" si="8"/>
        <v>84</v>
      </c>
    </row>
    <row r="114" spans="1:16" ht="15" customHeight="1" x14ac:dyDescent="0.2">
      <c r="A114" s="20" t="s">
        <v>2679</v>
      </c>
      <c r="B114" s="63" t="s">
        <v>652</v>
      </c>
      <c r="C114" s="20">
        <f t="shared" si="9"/>
        <v>315</v>
      </c>
      <c r="D114" s="20">
        <v>1</v>
      </c>
      <c r="G114" s="32" t="s">
        <v>3263</v>
      </c>
      <c r="H114" s="20" t="s">
        <v>2687</v>
      </c>
      <c r="I114" s="20">
        <v>112111</v>
      </c>
      <c r="J114" s="20">
        <v>5154</v>
      </c>
      <c r="K114" s="20" t="s">
        <v>20</v>
      </c>
      <c r="L114" s="20">
        <v>1</v>
      </c>
      <c r="M114" s="122">
        <v>1882</v>
      </c>
      <c r="N114" s="122">
        <f t="shared" si="6"/>
        <v>1882</v>
      </c>
      <c r="O114" s="20" t="s">
        <v>21</v>
      </c>
      <c r="P114" s="20">
        <f t="shared" si="8"/>
        <v>85</v>
      </c>
    </row>
    <row r="115" spans="1:16" ht="15" customHeight="1" x14ac:dyDescent="0.2">
      <c r="A115" s="20" t="s">
        <v>2678</v>
      </c>
      <c r="B115" s="63" t="s">
        <v>312</v>
      </c>
      <c r="C115" s="20">
        <f t="shared" si="9"/>
        <v>316</v>
      </c>
      <c r="D115" s="20">
        <v>1</v>
      </c>
      <c r="G115" s="32" t="s">
        <v>43</v>
      </c>
      <c r="H115" s="20" t="s">
        <v>2684</v>
      </c>
      <c r="I115" s="20">
        <v>3383</v>
      </c>
      <c r="J115" s="20">
        <v>112111</v>
      </c>
      <c r="K115" s="20" t="s">
        <v>20</v>
      </c>
      <c r="L115" s="20">
        <v>1</v>
      </c>
      <c r="M115" s="122">
        <v>690300</v>
      </c>
      <c r="N115" s="122">
        <f t="shared" si="6"/>
        <v>690300</v>
      </c>
      <c r="O115" s="20" t="s">
        <v>21</v>
      </c>
      <c r="P115" s="20">
        <f t="shared" si="8"/>
        <v>86</v>
      </c>
    </row>
    <row r="116" spans="1:16" ht="15" customHeight="1" x14ac:dyDescent="0.2">
      <c r="A116" s="20" t="s">
        <v>2679</v>
      </c>
      <c r="B116" s="63" t="s">
        <v>312</v>
      </c>
      <c r="C116" s="20">
        <f t="shared" si="9"/>
        <v>317</v>
      </c>
      <c r="D116" s="20">
        <v>1</v>
      </c>
      <c r="G116" s="32" t="s">
        <v>143</v>
      </c>
      <c r="H116" s="20" t="s">
        <v>3264</v>
      </c>
      <c r="I116" s="20">
        <v>112111</v>
      </c>
      <c r="J116" s="20">
        <v>1111</v>
      </c>
      <c r="K116" s="20" t="s">
        <v>20</v>
      </c>
      <c r="L116" s="20">
        <v>1</v>
      </c>
      <c r="M116" s="122">
        <v>400000</v>
      </c>
      <c r="N116" s="122">
        <f t="shared" si="6"/>
        <v>400000</v>
      </c>
      <c r="O116" s="20" t="s">
        <v>21</v>
      </c>
      <c r="P116" s="20">
        <f t="shared" si="8"/>
        <v>87</v>
      </c>
    </row>
    <row r="117" spans="1:16" ht="15" customHeight="1" x14ac:dyDescent="0.2">
      <c r="A117" s="20" t="s">
        <v>2678</v>
      </c>
      <c r="B117" s="63" t="s">
        <v>469</v>
      </c>
      <c r="C117" s="20">
        <f t="shared" si="9"/>
        <v>318</v>
      </c>
      <c r="D117" s="20">
        <v>1</v>
      </c>
      <c r="G117" s="32" t="s">
        <v>143</v>
      </c>
      <c r="H117" s="20" t="s">
        <v>2681</v>
      </c>
      <c r="I117" s="20">
        <v>1111</v>
      </c>
      <c r="J117" s="20">
        <v>112111</v>
      </c>
      <c r="K117" s="20" t="s">
        <v>20</v>
      </c>
      <c r="L117" s="20">
        <v>1</v>
      </c>
      <c r="M117" s="122">
        <v>45000000</v>
      </c>
      <c r="N117" s="122">
        <f t="shared" si="6"/>
        <v>45000000</v>
      </c>
      <c r="O117" s="20" t="s">
        <v>21</v>
      </c>
      <c r="P117" s="20">
        <f t="shared" si="8"/>
        <v>88</v>
      </c>
    </row>
    <row r="118" spans="1:16" ht="15" customHeight="1" x14ac:dyDescent="0.2">
      <c r="A118" s="20" t="s">
        <v>2679</v>
      </c>
      <c r="B118" s="63" t="s">
        <v>599</v>
      </c>
      <c r="C118" s="20">
        <f t="shared" si="9"/>
        <v>319</v>
      </c>
      <c r="D118" s="20">
        <v>1</v>
      </c>
      <c r="G118" s="32" t="s">
        <v>1664</v>
      </c>
      <c r="H118" s="20" t="s">
        <v>3271</v>
      </c>
      <c r="I118" s="20">
        <v>112111</v>
      </c>
      <c r="J118" s="20">
        <v>131</v>
      </c>
      <c r="K118" s="20" t="s">
        <v>20</v>
      </c>
      <c r="L118" s="20">
        <v>1</v>
      </c>
      <c r="M118" s="122">
        <v>12774194</v>
      </c>
      <c r="N118" s="122">
        <f t="shared" si="6"/>
        <v>12774194</v>
      </c>
      <c r="O118" s="20" t="s">
        <v>21</v>
      </c>
      <c r="P118" s="20">
        <f t="shared" si="8"/>
        <v>89</v>
      </c>
    </row>
    <row r="119" spans="1:16" ht="15" customHeight="1" x14ac:dyDescent="0.2">
      <c r="A119" s="20" t="s">
        <v>2679</v>
      </c>
      <c r="B119" s="63" t="s">
        <v>468</v>
      </c>
      <c r="C119" s="20">
        <f t="shared" si="9"/>
        <v>320</v>
      </c>
      <c r="D119" s="20">
        <v>1</v>
      </c>
      <c r="G119" s="32" t="s">
        <v>88</v>
      </c>
      <c r="H119" s="20" t="s">
        <v>3270</v>
      </c>
      <c r="I119" s="20">
        <v>112111</v>
      </c>
      <c r="J119" s="20">
        <v>131</v>
      </c>
      <c r="K119" s="20" t="s">
        <v>20</v>
      </c>
      <c r="L119" s="20">
        <v>1</v>
      </c>
      <c r="M119" s="122">
        <v>12774194</v>
      </c>
      <c r="N119" s="122">
        <f t="shared" si="6"/>
        <v>12774194</v>
      </c>
      <c r="O119" s="20" t="s">
        <v>21</v>
      </c>
      <c r="P119" s="20">
        <f t="shared" si="8"/>
        <v>90</v>
      </c>
    </row>
    <row r="120" spans="1:16" ht="15" customHeight="1" x14ac:dyDescent="0.2">
      <c r="A120" s="20" t="s">
        <v>2678</v>
      </c>
      <c r="B120" s="63" t="s">
        <v>868</v>
      </c>
      <c r="C120" s="20">
        <f t="shared" si="9"/>
        <v>321</v>
      </c>
      <c r="D120" s="20">
        <v>1</v>
      </c>
      <c r="G120" s="32" t="s">
        <v>143</v>
      </c>
      <c r="H120" s="20" t="s">
        <v>2681</v>
      </c>
      <c r="I120" s="20">
        <v>1111</v>
      </c>
      <c r="J120" s="20">
        <v>112111</v>
      </c>
      <c r="K120" s="20" t="s">
        <v>20</v>
      </c>
      <c r="L120" s="20">
        <v>1</v>
      </c>
      <c r="M120" s="122">
        <v>45000000</v>
      </c>
      <c r="N120" s="122">
        <f t="shared" si="6"/>
        <v>45000000</v>
      </c>
      <c r="O120" s="20" t="s">
        <v>21</v>
      </c>
      <c r="P120" s="20">
        <f t="shared" si="8"/>
        <v>91</v>
      </c>
    </row>
    <row r="121" spans="1:16" ht="15" customHeight="1" x14ac:dyDescent="0.2">
      <c r="A121" s="20" t="s">
        <v>2679</v>
      </c>
      <c r="B121" s="63" t="s">
        <v>413</v>
      </c>
      <c r="C121" s="20">
        <f t="shared" si="9"/>
        <v>322</v>
      </c>
      <c r="D121" s="20">
        <v>1</v>
      </c>
      <c r="G121" s="32" t="s">
        <v>65</v>
      </c>
      <c r="H121" s="20" t="s">
        <v>3269</v>
      </c>
      <c r="I121" s="20">
        <v>112111</v>
      </c>
      <c r="J121" s="20">
        <v>131</v>
      </c>
      <c r="K121" s="20" t="s">
        <v>20</v>
      </c>
      <c r="L121" s="20">
        <v>1</v>
      </c>
      <c r="M121" s="122">
        <v>12774194</v>
      </c>
      <c r="N121" s="122">
        <f t="shared" si="6"/>
        <v>12774194</v>
      </c>
      <c r="O121" s="20" t="s">
        <v>21</v>
      </c>
      <c r="P121" s="20">
        <f t="shared" si="8"/>
        <v>92</v>
      </c>
    </row>
    <row r="122" spans="1:16" ht="15" customHeight="1" x14ac:dyDescent="0.2">
      <c r="A122" s="20" t="s">
        <v>2679</v>
      </c>
      <c r="B122" s="63" t="s">
        <v>376</v>
      </c>
      <c r="C122" s="20">
        <f t="shared" si="9"/>
        <v>323</v>
      </c>
      <c r="D122" s="20">
        <v>1</v>
      </c>
      <c r="G122" s="32" t="s">
        <v>113</v>
      </c>
      <c r="H122" s="20" t="s">
        <v>3268</v>
      </c>
      <c r="I122" s="20">
        <v>112111</v>
      </c>
      <c r="J122" s="20">
        <v>131</v>
      </c>
      <c r="K122" s="20" t="s">
        <v>20</v>
      </c>
      <c r="L122" s="20">
        <v>1</v>
      </c>
      <c r="M122" s="122">
        <v>12241935</v>
      </c>
      <c r="N122" s="122">
        <f t="shared" si="6"/>
        <v>12241935</v>
      </c>
      <c r="O122" s="20" t="s">
        <v>21</v>
      </c>
      <c r="P122" s="20">
        <f t="shared" si="8"/>
        <v>93</v>
      </c>
    </row>
    <row r="123" spans="1:16" ht="15" customHeight="1" x14ac:dyDescent="0.2">
      <c r="A123" s="20" t="s">
        <v>2679</v>
      </c>
      <c r="B123" s="63" t="s">
        <v>867</v>
      </c>
      <c r="C123" s="20">
        <f t="shared" si="9"/>
        <v>324</v>
      </c>
      <c r="D123" s="20">
        <v>1</v>
      </c>
      <c r="G123" s="32" t="s">
        <v>109</v>
      </c>
      <c r="H123" s="20" t="s">
        <v>3267</v>
      </c>
      <c r="I123" s="20">
        <v>112111</v>
      </c>
      <c r="J123" s="20">
        <v>131</v>
      </c>
      <c r="K123" s="20" t="s">
        <v>20</v>
      </c>
      <c r="L123" s="20">
        <v>1</v>
      </c>
      <c r="M123" s="122">
        <v>12241935</v>
      </c>
      <c r="N123" s="122">
        <f t="shared" si="6"/>
        <v>12241935</v>
      </c>
      <c r="O123" s="20" t="s">
        <v>21</v>
      </c>
      <c r="P123" s="20">
        <f t="shared" si="8"/>
        <v>94</v>
      </c>
    </row>
    <row r="124" spans="1:16" ht="15" customHeight="1" x14ac:dyDescent="0.2">
      <c r="A124" s="20" t="s">
        <v>2679</v>
      </c>
      <c r="B124" s="63" t="s">
        <v>867</v>
      </c>
      <c r="C124" s="20">
        <f t="shared" si="9"/>
        <v>325</v>
      </c>
      <c r="D124" s="20">
        <v>1</v>
      </c>
      <c r="G124" s="32" t="s">
        <v>58</v>
      </c>
      <c r="H124" s="20" t="s">
        <v>3266</v>
      </c>
      <c r="I124" s="20">
        <v>112111</v>
      </c>
      <c r="J124" s="20">
        <v>131</v>
      </c>
      <c r="K124" s="20" t="s">
        <v>20</v>
      </c>
      <c r="L124" s="20">
        <v>1</v>
      </c>
      <c r="M124" s="122">
        <v>3193548</v>
      </c>
      <c r="N124" s="122">
        <f t="shared" si="6"/>
        <v>3193548</v>
      </c>
      <c r="O124" s="20" t="s">
        <v>21</v>
      </c>
      <c r="P124" s="20">
        <f t="shared" si="8"/>
        <v>95</v>
      </c>
    </row>
    <row r="125" spans="1:16" ht="15" customHeight="1" x14ac:dyDescent="0.2">
      <c r="A125" s="20" t="s">
        <v>2679</v>
      </c>
      <c r="B125" s="63" t="s">
        <v>308</v>
      </c>
      <c r="C125" s="20">
        <f t="shared" si="9"/>
        <v>326</v>
      </c>
      <c r="D125" s="20">
        <v>1</v>
      </c>
      <c r="G125" s="32" t="s">
        <v>29</v>
      </c>
      <c r="H125" s="20" t="s">
        <v>3265</v>
      </c>
      <c r="I125" s="20">
        <v>112111</v>
      </c>
      <c r="J125" s="20">
        <v>131</v>
      </c>
      <c r="K125" s="20" t="s">
        <v>20</v>
      </c>
      <c r="L125" s="20">
        <v>1</v>
      </c>
      <c r="M125" s="122">
        <v>12365591</v>
      </c>
      <c r="N125" s="122">
        <f t="shared" si="6"/>
        <v>12365591</v>
      </c>
      <c r="O125" s="20" t="s">
        <v>21</v>
      </c>
      <c r="P125" s="20">
        <f t="shared" si="8"/>
        <v>96</v>
      </c>
    </row>
    <row r="126" spans="1:16" ht="15" customHeight="1" x14ac:dyDescent="0.2">
      <c r="A126" s="20" t="s">
        <v>18</v>
      </c>
      <c r="B126" s="63">
        <v>46022</v>
      </c>
      <c r="C126" s="20">
        <f t="shared" ref="C126:C153" si="17">C125+D126</f>
        <v>327</v>
      </c>
      <c r="D126" s="20">
        <v>1</v>
      </c>
      <c r="G126" s="32" t="s">
        <v>45</v>
      </c>
      <c r="H126" s="20" t="s">
        <v>3094</v>
      </c>
      <c r="I126" s="20">
        <v>64277</v>
      </c>
      <c r="J126" s="20">
        <v>131</v>
      </c>
      <c r="K126" s="20" t="s">
        <v>20</v>
      </c>
      <c r="L126" s="20">
        <v>1</v>
      </c>
      <c r="M126" s="122">
        <v>22000</v>
      </c>
      <c r="N126" s="122">
        <f t="shared" si="6"/>
        <v>22000</v>
      </c>
      <c r="O126" s="20" t="s">
        <v>21</v>
      </c>
      <c r="P126" s="20">
        <f t="shared" si="8"/>
        <v>97</v>
      </c>
    </row>
    <row r="127" spans="1:16" ht="15" customHeight="1" x14ac:dyDescent="0.2">
      <c r="A127" s="20" t="s">
        <v>2719</v>
      </c>
      <c r="B127" s="63">
        <v>45961</v>
      </c>
      <c r="C127" s="20">
        <f t="shared" si="17"/>
        <v>328</v>
      </c>
      <c r="D127" s="20">
        <v>1</v>
      </c>
      <c r="G127" s="32" t="s">
        <v>43</v>
      </c>
      <c r="H127" s="20" t="s">
        <v>2684</v>
      </c>
      <c r="I127" s="20">
        <v>3383</v>
      </c>
      <c r="J127" s="20">
        <v>1111</v>
      </c>
      <c r="K127" s="20" t="s">
        <v>20</v>
      </c>
      <c r="L127" s="20">
        <v>1</v>
      </c>
      <c r="M127" s="122">
        <v>690300</v>
      </c>
      <c r="N127" s="122">
        <f t="shared" ref="N127:N155" si="18">M127*L127</f>
        <v>690300</v>
      </c>
      <c r="O127" s="20" t="s">
        <v>21</v>
      </c>
      <c r="P127" s="20">
        <f t="shared" ref="P127:P153" si="19">P126+D127</f>
        <v>98</v>
      </c>
    </row>
    <row r="128" spans="1:16" ht="15" customHeight="1" x14ac:dyDescent="0.2">
      <c r="A128" s="20" t="s">
        <v>2719</v>
      </c>
      <c r="B128" s="63">
        <v>45991</v>
      </c>
      <c r="C128" s="20">
        <f t="shared" si="17"/>
        <v>329</v>
      </c>
      <c r="D128" s="20">
        <v>1</v>
      </c>
      <c r="G128" s="32" t="s">
        <v>43</v>
      </c>
      <c r="H128" s="20" t="s">
        <v>2685</v>
      </c>
      <c r="I128" s="20">
        <v>3383</v>
      </c>
      <c r="J128" s="20">
        <v>1111</v>
      </c>
      <c r="K128" s="20" t="s">
        <v>20</v>
      </c>
      <c r="L128" s="20">
        <v>1</v>
      </c>
      <c r="M128" s="122">
        <v>690300</v>
      </c>
      <c r="N128" s="122">
        <f t="shared" si="18"/>
        <v>690300</v>
      </c>
      <c r="O128" s="20" t="s">
        <v>21</v>
      </c>
      <c r="P128" s="20">
        <f t="shared" si="19"/>
        <v>99</v>
      </c>
    </row>
    <row r="129" spans="1:16" ht="15" customHeight="1" x14ac:dyDescent="0.2">
      <c r="A129" s="20" t="s">
        <v>2719</v>
      </c>
      <c r="B129" s="63">
        <v>46022</v>
      </c>
      <c r="C129" s="20">
        <f t="shared" si="17"/>
        <v>330</v>
      </c>
      <c r="D129" s="20">
        <v>1</v>
      </c>
      <c r="G129" s="32" t="s">
        <v>43</v>
      </c>
      <c r="H129" s="20" t="s">
        <v>3036</v>
      </c>
      <c r="I129" s="20">
        <v>3383</v>
      </c>
      <c r="J129" s="20">
        <v>1111</v>
      </c>
      <c r="K129" s="20" t="s">
        <v>20</v>
      </c>
      <c r="L129" s="20">
        <v>1</v>
      </c>
      <c r="M129" s="122">
        <v>690300</v>
      </c>
      <c r="N129" s="122">
        <f t="shared" si="18"/>
        <v>690300</v>
      </c>
      <c r="O129" s="20" t="s">
        <v>21</v>
      </c>
      <c r="P129" s="20">
        <f t="shared" si="19"/>
        <v>100</v>
      </c>
    </row>
    <row r="130" spans="1:16" ht="15" customHeight="1" x14ac:dyDescent="0.2">
      <c r="A130" s="20" t="s">
        <v>2719</v>
      </c>
      <c r="B130" s="63">
        <v>45932</v>
      </c>
      <c r="C130" s="20">
        <f t="shared" si="17"/>
        <v>331</v>
      </c>
      <c r="D130" s="20">
        <v>1</v>
      </c>
      <c r="G130" s="32" t="s">
        <v>64</v>
      </c>
      <c r="H130" s="20" t="s">
        <v>3291</v>
      </c>
      <c r="I130" s="20">
        <v>331</v>
      </c>
      <c r="J130" s="20">
        <v>1111</v>
      </c>
      <c r="K130" s="20" t="s">
        <v>20</v>
      </c>
      <c r="L130" s="20">
        <v>1</v>
      </c>
      <c r="M130" s="122">
        <v>99000</v>
      </c>
      <c r="N130" s="122">
        <f t="shared" si="18"/>
        <v>99000</v>
      </c>
      <c r="O130" s="20" t="s">
        <v>21</v>
      </c>
      <c r="P130" s="20">
        <f t="shared" si="19"/>
        <v>101</v>
      </c>
    </row>
    <row r="131" spans="1:16" ht="15" customHeight="1" x14ac:dyDescent="0.2">
      <c r="A131" s="20" t="s">
        <v>2719</v>
      </c>
      <c r="B131" s="63">
        <v>45934</v>
      </c>
      <c r="C131" s="20">
        <f t="shared" si="17"/>
        <v>332</v>
      </c>
      <c r="D131" s="20">
        <v>1</v>
      </c>
      <c r="G131" s="32" t="s">
        <v>37</v>
      </c>
      <c r="H131" s="20" t="s">
        <v>3292</v>
      </c>
      <c r="I131" s="20">
        <v>331</v>
      </c>
      <c r="J131" s="20">
        <v>1111</v>
      </c>
      <c r="K131" s="20" t="s">
        <v>20</v>
      </c>
      <c r="L131" s="20">
        <v>1</v>
      </c>
      <c r="M131" s="122">
        <v>2700000</v>
      </c>
      <c r="N131" s="122">
        <f t="shared" si="18"/>
        <v>2700000</v>
      </c>
      <c r="O131" s="20" t="s">
        <v>21</v>
      </c>
      <c r="P131" s="20">
        <f t="shared" si="19"/>
        <v>102</v>
      </c>
    </row>
    <row r="132" spans="1:16" ht="15" customHeight="1" x14ac:dyDescent="0.2">
      <c r="A132" s="20" t="s">
        <v>2719</v>
      </c>
      <c r="B132" s="63">
        <v>45940</v>
      </c>
      <c r="C132" s="20">
        <f t="shared" si="17"/>
        <v>333</v>
      </c>
      <c r="D132" s="20">
        <v>1</v>
      </c>
      <c r="G132" s="32" t="s">
        <v>25</v>
      </c>
      <c r="H132" s="20" t="s">
        <v>3293</v>
      </c>
      <c r="I132" s="20">
        <v>331</v>
      </c>
      <c r="J132" s="20">
        <v>1111</v>
      </c>
      <c r="K132" s="20" t="s">
        <v>20</v>
      </c>
      <c r="L132" s="20">
        <v>1</v>
      </c>
      <c r="M132" s="122">
        <v>698760</v>
      </c>
      <c r="N132" s="122">
        <f t="shared" si="18"/>
        <v>698760</v>
      </c>
      <c r="O132" s="20" t="s">
        <v>21</v>
      </c>
      <c r="P132" s="20">
        <f t="shared" si="19"/>
        <v>103</v>
      </c>
    </row>
    <row r="133" spans="1:16" ht="15" customHeight="1" x14ac:dyDescent="0.2">
      <c r="A133" s="20" t="s">
        <v>2719</v>
      </c>
      <c r="B133" s="63">
        <v>45945</v>
      </c>
      <c r="C133" s="20">
        <f t="shared" si="17"/>
        <v>334</v>
      </c>
      <c r="D133" s="20">
        <v>1</v>
      </c>
      <c r="G133" s="32" t="s">
        <v>277</v>
      </c>
      <c r="H133" s="20" t="s">
        <v>3294</v>
      </c>
      <c r="I133" s="20">
        <v>331</v>
      </c>
      <c r="J133" s="20">
        <v>1111</v>
      </c>
      <c r="K133" s="20" t="s">
        <v>20</v>
      </c>
      <c r="L133" s="20">
        <v>1</v>
      </c>
      <c r="M133" s="122">
        <v>11190367</v>
      </c>
      <c r="N133" s="122">
        <f t="shared" si="18"/>
        <v>11190367</v>
      </c>
      <c r="O133" s="20" t="s">
        <v>21</v>
      </c>
      <c r="P133" s="20">
        <f t="shared" si="19"/>
        <v>104</v>
      </c>
    </row>
    <row r="134" spans="1:16" ht="15" customHeight="1" x14ac:dyDescent="0.2">
      <c r="A134" s="20" t="s">
        <v>2719</v>
      </c>
      <c r="B134" s="63">
        <v>45945</v>
      </c>
      <c r="C134" s="20">
        <f t="shared" si="17"/>
        <v>335</v>
      </c>
      <c r="D134" s="20">
        <v>1</v>
      </c>
      <c r="G134" s="32" t="s">
        <v>141</v>
      </c>
      <c r="H134" s="20" t="s">
        <v>3295</v>
      </c>
      <c r="I134" s="20">
        <v>331</v>
      </c>
      <c r="J134" s="20">
        <v>1111</v>
      </c>
      <c r="K134" s="20" t="s">
        <v>20</v>
      </c>
      <c r="L134" s="20">
        <v>1</v>
      </c>
      <c r="M134" s="122">
        <v>673000</v>
      </c>
      <c r="N134" s="122">
        <f t="shared" si="18"/>
        <v>673000</v>
      </c>
      <c r="O134" s="20" t="s">
        <v>21</v>
      </c>
      <c r="P134" s="20">
        <f t="shared" si="19"/>
        <v>105</v>
      </c>
    </row>
    <row r="135" spans="1:16" ht="15" customHeight="1" x14ac:dyDescent="0.2">
      <c r="A135" s="20" t="s">
        <v>2719</v>
      </c>
      <c r="B135" s="63">
        <v>45946</v>
      </c>
      <c r="C135" s="20">
        <f t="shared" si="17"/>
        <v>336</v>
      </c>
      <c r="D135" s="20">
        <v>1</v>
      </c>
      <c r="G135" s="32" t="s">
        <v>140</v>
      </c>
      <c r="H135" s="20" t="s">
        <v>3296</v>
      </c>
      <c r="I135" s="20">
        <v>331</v>
      </c>
      <c r="J135" s="20">
        <v>1111</v>
      </c>
      <c r="K135" s="20" t="s">
        <v>20</v>
      </c>
      <c r="L135" s="20">
        <v>1</v>
      </c>
      <c r="M135" s="122">
        <v>892080</v>
      </c>
      <c r="N135" s="122">
        <f t="shared" si="18"/>
        <v>892080</v>
      </c>
      <c r="O135" s="20" t="s">
        <v>21</v>
      </c>
      <c r="P135" s="20">
        <f t="shared" si="19"/>
        <v>106</v>
      </c>
    </row>
    <row r="136" spans="1:16" ht="15" customHeight="1" x14ac:dyDescent="0.2">
      <c r="A136" s="20" t="s">
        <v>2719</v>
      </c>
      <c r="B136" s="63">
        <v>45949</v>
      </c>
      <c r="C136" s="20">
        <f t="shared" si="17"/>
        <v>337</v>
      </c>
      <c r="D136" s="20">
        <v>1</v>
      </c>
      <c r="G136" s="32" t="s">
        <v>1657</v>
      </c>
      <c r="H136" s="20" t="s">
        <v>3297</v>
      </c>
      <c r="I136" s="20">
        <v>331</v>
      </c>
      <c r="J136" s="20">
        <v>1111</v>
      </c>
      <c r="K136" s="20" t="s">
        <v>20</v>
      </c>
      <c r="L136" s="20">
        <v>1</v>
      </c>
      <c r="M136" s="122">
        <v>1404000</v>
      </c>
      <c r="N136" s="122">
        <f t="shared" si="18"/>
        <v>1404000</v>
      </c>
      <c r="O136" s="20" t="s">
        <v>21</v>
      </c>
      <c r="P136" s="20">
        <f t="shared" si="19"/>
        <v>107</v>
      </c>
    </row>
    <row r="137" spans="1:16" ht="15" customHeight="1" x14ac:dyDescent="0.2">
      <c r="A137" s="20" t="s">
        <v>2719</v>
      </c>
      <c r="B137" s="63">
        <v>45960</v>
      </c>
      <c r="C137" s="20">
        <f t="shared" si="17"/>
        <v>338</v>
      </c>
      <c r="D137" s="20">
        <v>1</v>
      </c>
      <c r="G137" s="32" t="s">
        <v>37</v>
      </c>
      <c r="H137" s="20" t="s">
        <v>3298</v>
      </c>
      <c r="I137" s="20">
        <v>331</v>
      </c>
      <c r="J137" s="20">
        <v>1111</v>
      </c>
      <c r="K137" s="20" t="s">
        <v>20</v>
      </c>
      <c r="L137" s="20">
        <v>1</v>
      </c>
      <c r="M137" s="122">
        <v>2700000</v>
      </c>
      <c r="N137" s="122">
        <f t="shared" si="18"/>
        <v>2700000</v>
      </c>
      <c r="O137" s="20" t="s">
        <v>21</v>
      </c>
      <c r="P137" s="20">
        <f t="shared" si="19"/>
        <v>108</v>
      </c>
    </row>
    <row r="138" spans="1:16" ht="15" customHeight="1" x14ac:dyDescent="0.2">
      <c r="A138" s="20" t="s">
        <v>2719</v>
      </c>
      <c r="B138" s="63">
        <v>45961</v>
      </c>
      <c r="C138" s="20">
        <f t="shared" si="17"/>
        <v>339</v>
      </c>
      <c r="D138" s="20">
        <v>1</v>
      </c>
      <c r="G138" s="32" t="s">
        <v>142</v>
      </c>
      <c r="H138" s="20" t="s">
        <v>3299</v>
      </c>
      <c r="I138" s="20">
        <v>331</v>
      </c>
      <c r="J138" s="20">
        <v>1111</v>
      </c>
      <c r="K138" s="20" t="s">
        <v>20</v>
      </c>
      <c r="L138" s="20">
        <v>1</v>
      </c>
      <c r="M138" s="122">
        <v>330000</v>
      </c>
      <c r="N138" s="122">
        <f t="shared" si="18"/>
        <v>330000</v>
      </c>
      <c r="O138" s="20" t="s">
        <v>21</v>
      </c>
      <c r="P138" s="20">
        <f t="shared" si="19"/>
        <v>109</v>
      </c>
    </row>
    <row r="139" spans="1:16" ht="15" customHeight="1" x14ac:dyDescent="0.2">
      <c r="A139" s="20" t="s">
        <v>2719</v>
      </c>
      <c r="B139" s="63">
        <v>45967</v>
      </c>
      <c r="C139" s="20">
        <f t="shared" si="17"/>
        <v>340</v>
      </c>
      <c r="D139" s="20">
        <v>1</v>
      </c>
      <c r="G139" s="32" t="s">
        <v>25</v>
      </c>
      <c r="H139" s="20" t="s">
        <v>3300</v>
      </c>
      <c r="I139" s="20">
        <v>331</v>
      </c>
      <c r="J139" s="20">
        <v>1111</v>
      </c>
      <c r="K139" s="20" t="s">
        <v>20</v>
      </c>
      <c r="L139" s="20">
        <v>1</v>
      </c>
      <c r="M139" s="122">
        <v>305640</v>
      </c>
      <c r="N139" s="122">
        <f t="shared" si="18"/>
        <v>305640</v>
      </c>
      <c r="O139" s="20" t="s">
        <v>21</v>
      </c>
      <c r="P139" s="20">
        <f t="shared" si="19"/>
        <v>110</v>
      </c>
    </row>
    <row r="140" spans="1:16" ht="15" customHeight="1" x14ac:dyDescent="0.2">
      <c r="A140" s="20" t="s">
        <v>2719</v>
      </c>
      <c r="B140" s="63">
        <v>45970</v>
      </c>
      <c r="C140" s="20">
        <f t="shared" si="17"/>
        <v>341</v>
      </c>
      <c r="D140" s="20">
        <v>1</v>
      </c>
      <c r="G140" s="32" t="s">
        <v>1008</v>
      </c>
      <c r="H140" s="20" t="s">
        <v>3301</v>
      </c>
      <c r="I140" s="20">
        <v>331</v>
      </c>
      <c r="J140" s="20">
        <v>1111</v>
      </c>
      <c r="K140" s="20" t="s">
        <v>20</v>
      </c>
      <c r="L140" s="20">
        <v>1</v>
      </c>
      <c r="M140" s="122">
        <v>525000</v>
      </c>
      <c r="N140" s="122">
        <f t="shared" si="18"/>
        <v>525000</v>
      </c>
      <c r="O140" s="20" t="s">
        <v>21</v>
      </c>
      <c r="P140" s="20">
        <f t="shared" si="19"/>
        <v>111</v>
      </c>
    </row>
    <row r="141" spans="1:16" ht="15" customHeight="1" x14ac:dyDescent="0.2">
      <c r="A141" s="20" t="s">
        <v>2719</v>
      </c>
      <c r="B141" s="63">
        <v>45973</v>
      </c>
      <c r="C141" s="20">
        <f t="shared" si="17"/>
        <v>342</v>
      </c>
      <c r="D141" s="20">
        <v>1</v>
      </c>
      <c r="G141" s="32" t="s">
        <v>1658</v>
      </c>
      <c r="H141" s="20" t="s">
        <v>3302</v>
      </c>
      <c r="I141" s="20">
        <v>331</v>
      </c>
      <c r="J141" s="20">
        <v>1111</v>
      </c>
      <c r="K141" s="20" t="s">
        <v>20</v>
      </c>
      <c r="L141" s="20">
        <v>1</v>
      </c>
      <c r="M141" s="122">
        <v>464940</v>
      </c>
      <c r="N141" s="122">
        <f t="shared" si="18"/>
        <v>464940</v>
      </c>
      <c r="O141" s="20" t="s">
        <v>21</v>
      </c>
      <c r="P141" s="20">
        <f t="shared" si="19"/>
        <v>112</v>
      </c>
    </row>
    <row r="142" spans="1:16" ht="15" customHeight="1" x14ac:dyDescent="0.2">
      <c r="A142" s="20" t="s">
        <v>2719</v>
      </c>
      <c r="B142" s="63">
        <v>45973</v>
      </c>
      <c r="C142" s="20">
        <f t="shared" si="17"/>
        <v>343</v>
      </c>
      <c r="D142" s="20">
        <v>1</v>
      </c>
      <c r="G142" s="32" t="s">
        <v>1659</v>
      </c>
      <c r="H142" s="20" t="s">
        <v>3303</v>
      </c>
      <c r="I142" s="20">
        <v>331</v>
      </c>
      <c r="J142" s="20">
        <v>1111</v>
      </c>
      <c r="K142" s="20" t="s">
        <v>20</v>
      </c>
      <c r="L142" s="20">
        <v>1</v>
      </c>
      <c r="M142" s="122">
        <v>1780000</v>
      </c>
      <c r="N142" s="122">
        <f t="shared" si="18"/>
        <v>1780000</v>
      </c>
      <c r="O142" s="20" t="s">
        <v>21</v>
      </c>
      <c r="P142" s="20">
        <f t="shared" si="19"/>
        <v>113</v>
      </c>
    </row>
    <row r="143" spans="1:16" ht="15" customHeight="1" x14ac:dyDescent="0.2">
      <c r="A143" s="20" t="s">
        <v>2719</v>
      </c>
      <c r="B143" s="63">
        <v>45975</v>
      </c>
      <c r="C143" s="20">
        <f t="shared" si="17"/>
        <v>344</v>
      </c>
      <c r="D143" s="20">
        <v>1</v>
      </c>
      <c r="G143" s="32" t="s">
        <v>1660</v>
      </c>
      <c r="H143" s="20" t="s">
        <v>3304</v>
      </c>
      <c r="I143" s="20">
        <v>331</v>
      </c>
      <c r="J143" s="20">
        <v>1111</v>
      </c>
      <c r="K143" s="20" t="s">
        <v>20</v>
      </c>
      <c r="L143" s="20">
        <v>1</v>
      </c>
      <c r="M143" s="122">
        <v>1868400</v>
      </c>
      <c r="N143" s="122">
        <f t="shared" si="18"/>
        <v>1868400</v>
      </c>
      <c r="O143" s="20" t="s">
        <v>21</v>
      </c>
      <c r="P143" s="20">
        <f t="shared" si="19"/>
        <v>114</v>
      </c>
    </row>
    <row r="144" spans="1:16" ht="15" customHeight="1" x14ac:dyDescent="0.2">
      <c r="A144" s="20" t="s">
        <v>2719</v>
      </c>
      <c r="B144" s="63">
        <v>45976</v>
      </c>
      <c r="C144" s="20">
        <f t="shared" si="17"/>
        <v>345</v>
      </c>
      <c r="D144" s="20">
        <v>1</v>
      </c>
      <c r="G144" s="32" t="s">
        <v>277</v>
      </c>
      <c r="H144" s="20" t="s">
        <v>3305</v>
      </c>
      <c r="I144" s="20">
        <v>331</v>
      </c>
      <c r="J144" s="20">
        <v>1111</v>
      </c>
      <c r="K144" s="20" t="s">
        <v>20</v>
      </c>
      <c r="L144" s="20">
        <v>1</v>
      </c>
      <c r="M144" s="122">
        <v>11563379</v>
      </c>
      <c r="N144" s="122">
        <f t="shared" si="18"/>
        <v>11563379</v>
      </c>
      <c r="O144" s="20" t="s">
        <v>21</v>
      </c>
      <c r="P144" s="20">
        <f t="shared" si="19"/>
        <v>115</v>
      </c>
    </row>
    <row r="145" spans="1:16" ht="15" customHeight="1" x14ac:dyDescent="0.2">
      <c r="A145" s="20" t="s">
        <v>2719</v>
      </c>
      <c r="B145" s="63">
        <v>45979</v>
      </c>
      <c r="C145" s="20">
        <f t="shared" si="17"/>
        <v>346</v>
      </c>
      <c r="D145" s="20">
        <v>1</v>
      </c>
      <c r="G145" s="32" t="s">
        <v>141</v>
      </c>
      <c r="H145" s="20" t="s">
        <v>3306</v>
      </c>
      <c r="I145" s="20">
        <v>331</v>
      </c>
      <c r="J145" s="20">
        <v>1111</v>
      </c>
      <c r="K145" s="20" t="s">
        <v>20</v>
      </c>
      <c r="L145" s="20">
        <v>1</v>
      </c>
      <c r="M145" s="122">
        <v>1869000</v>
      </c>
      <c r="N145" s="122">
        <f t="shared" si="18"/>
        <v>1869000</v>
      </c>
      <c r="O145" s="20" t="s">
        <v>21</v>
      </c>
      <c r="P145" s="20">
        <f t="shared" si="19"/>
        <v>116</v>
      </c>
    </row>
    <row r="146" spans="1:16" ht="15" customHeight="1" x14ac:dyDescent="0.2">
      <c r="A146" s="20" t="s">
        <v>2719</v>
      </c>
      <c r="B146" s="63">
        <v>45983</v>
      </c>
      <c r="C146" s="20">
        <f t="shared" si="17"/>
        <v>347</v>
      </c>
      <c r="D146" s="20">
        <v>1</v>
      </c>
      <c r="G146" s="32" t="s">
        <v>131</v>
      </c>
      <c r="H146" s="20" t="s">
        <v>3307</v>
      </c>
      <c r="I146" s="20">
        <v>331</v>
      </c>
      <c r="J146" s="20">
        <v>1111</v>
      </c>
      <c r="K146" s="20" t="s">
        <v>20</v>
      </c>
      <c r="L146" s="20">
        <v>1</v>
      </c>
      <c r="M146" s="122">
        <v>648000</v>
      </c>
      <c r="N146" s="122">
        <f t="shared" si="18"/>
        <v>648000</v>
      </c>
      <c r="O146" s="20" t="s">
        <v>21</v>
      </c>
      <c r="P146" s="20">
        <f t="shared" si="19"/>
        <v>117</v>
      </c>
    </row>
    <row r="147" spans="1:16" ht="15" customHeight="1" x14ac:dyDescent="0.2">
      <c r="A147" s="20" t="s">
        <v>2719</v>
      </c>
      <c r="B147" s="63">
        <v>45987</v>
      </c>
      <c r="C147" s="20">
        <f t="shared" si="17"/>
        <v>348</v>
      </c>
      <c r="D147" s="20">
        <v>1</v>
      </c>
      <c r="G147" s="32" t="s">
        <v>1661</v>
      </c>
      <c r="H147" s="20" t="s">
        <v>3308</v>
      </c>
      <c r="I147" s="20">
        <v>331</v>
      </c>
      <c r="J147" s="20">
        <v>1111</v>
      </c>
      <c r="K147" s="20" t="s">
        <v>20</v>
      </c>
      <c r="L147" s="20">
        <v>1</v>
      </c>
      <c r="M147" s="122">
        <v>2120798</v>
      </c>
      <c r="N147" s="122">
        <f t="shared" si="18"/>
        <v>2120798</v>
      </c>
      <c r="O147" s="20" t="s">
        <v>21</v>
      </c>
      <c r="P147" s="20">
        <f t="shared" si="19"/>
        <v>118</v>
      </c>
    </row>
    <row r="148" spans="1:16" ht="15" customHeight="1" x14ac:dyDescent="0.2">
      <c r="A148" s="20" t="s">
        <v>2719</v>
      </c>
      <c r="B148" s="63">
        <v>45990</v>
      </c>
      <c r="C148" s="20">
        <f t="shared" si="17"/>
        <v>349</v>
      </c>
      <c r="D148" s="20">
        <v>1</v>
      </c>
      <c r="G148" s="32" t="s">
        <v>37</v>
      </c>
      <c r="H148" s="20" t="s">
        <v>3309</v>
      </c>
      <c r="I148" s="20">
        <v>331</v>
      </c>
      <c r="J148" s="20">
        <v>1111</v>
      </c>
      <c r="K148" s="20" t="s">
        <v>20</v>
      </c>
      <c r="L148" s="20">
        <v>1</v>
      </c>
      <c r="M148" s="122">
        <v>2700000</v>
      </c>
      <c r="N148" s="122">
        <f t="shared" si="18"/>
        <v>2700000</v>
      </c>
      <c r="O148" s="20" t="s">
        <v>21</v>
      </c>
      <c r="P148" s="20">
        <f t="shared" si="19"/>
        <v>119</v>
      </c>
    </row>
    <row r="149" spans="1:16" ht="15" customHeight="1" x14ac:dyDescent="0.2">
      <c r="A149" s="20" t="s">
        <v>2719</v>
      </c>
      <c r="B149" s="63">
        <v>45991</v>
      </c>
      <c r="C149" s="20">
        <f t="shared" si="17"/>
        <v>350</v>
      </c>
      <c r="D149" s="20">
        <v>1</v>
      </c>
      <c r="G149" s="32" t="s">
        <v>142</v>
      </c>
      <c r="H149" s="20" t="s">
        <v>3310</v>
      </c>
      <c r="I149" s="20">
        <v>331</v>
      </c>
      <c r="J149" s="20">
        <v>1111</v>
      </c>
      <c r="K149" s="20" t="s">
        <v>20</v>
      </c>
      <c r="L149" s="20">
        <v>1</v>
      </c>
      <c r="M149" s="122">
        <v>330000</v>
      </c>
      <c r="N149" s="122">
        <f t="shared" si="18"/>
        <v>330000</v>
      </c>
      <c r="O149" s="20" t="s">
        <v>21</v>
      </c>
      <c r="P149" s="20">
        <f t="shared" si="19"/>
        <v>120</v>
      </c>
    </row>
    <row r="150" spans="1:16" ht="15" customHeight="1" x14ac:dyDescent="0.2">
      <c r="A150" s="20" t="s">
        <v>2719</v>
      </c>
      <c r="B150" s="63">
        <v>45992</v>
      </c>
      <c r="C150" s="20">
        <f t="shared" si="17"/>
        <v>351</v>
      </c>
      <c r="D150" s="20">
        <v>1</v>
      </c>
      <c r="G150" s="32" t="s">
        <v>1662</v>
      </c>
      <c r="H150" s="20" t="s">
        <v>3311</v>
      </c>
      <c r="I150" s="20">
        <v>331</v>
      </c>
      <c r="J150" s="20">
        <v>1111</v>
      </c>
      <c r="K150" s="20" t="s">
        <v>20</v>
      </c>
      <c r="L150" s="20">
        <v>1</v>
      </c>
      <c r="M150" s="122">
        <v>5800000</v>
      </c>
      <c r="N150" s="122">
        <f t="shared" si="18"/>
        <v>5800000</v>
      </c>
      <c r="O150" s="20" t="s">
        <v>21</v>
      </c>
      <c r="P150" s="20">
        <f t="shared" si="19"/>
        <v>121</v>
      </c>
    </row>
    <row r="151" spans="1:16" ht="15" customHeight="1" x14ac:dyDescent="0.2">
      <c r="A151" s="20" t="s">
        <v>2719</v>
      </c>
      <c r="B151" s="63">
        <v>45998</v>
      </c>
      <c r="C151" s="20">
        <f t="shared" si="17"/>
        <v>352</v>
      </c>
      <c r="D151" s="20">
        <v>1</v>
      </c>
      <c r="G151" s="32" t="s">
        <v>1663</v>
      </c>
      <c r="H151" s="20" t="s">
        <v>3312</v>
      </c>
      <c r="I151" s="20">
        <v>331</v>
      </c>
      <c r="J151" s="20">
        <v>1111</v>
      </c>
      <c r="K151" s="20" t="s">
        <v>20</v>
      </c>
      <c r="L151" s="20">
        <v>1</v>
      </c>
      <c r="M151" s="122">
        <v>198000</v>
      </c>
      <c r="N151" s="122">
        <f t="shared" si="18"/>
        <v>198000</v>
      </c>
      <c r="O151" s="20" t="s">
        <v>21</v>
      </c>
      <c r="P151" s="20">
        <f t="shared" si="19"/>
        <v>122</v>
      </c>
    </row>
    <row r="152" spans="1:16" ht="15" customHeight="1" x14ac:dyDescent="0.2">
      <c r="A152" s="20" t="s">
        <v>2719</v>
      </c>
      <c r="B152" s="63">
        <v>46012</v>
      </c>
      <c r="C152" s="20">
        <f t="shared" si="17"/>
        <v>353</v>
      </c>
      <c r="D152" s="20">
        <v>1</v>
      </c>
      <c r="G152" s="32" t="s">
        <v>141</v>
      </c>
      <c r="H152" s="20" t="s">
        <v>3313</v>
      </c>
      <c r="I152" s="20">
        <v>331</v>
      </c>
      <c r="J152" s="20">
        <v>1111</v>
      </c>
      <c r="K152" s="20" t="s">
        <v>20</v>
      </c>
      <c r="L152" s="20">
        <v>1</v>
      </c>
      <c r="M152" s="122">
        <v>924000</v>
      </c>
      <c r="N152" s="122">
        <f t="shared" si="18"/>
        <v>924000</v>
      </c>
      <c r="O152" s="20" t="s">
        <v>21</v>
      </c>
      <c r="P152" s="20">
        <f t="shared" si="19"/>
        <v>123</v>
      </c>
    </row>
    <row r="153" spans="1:16" ht="15" customHeight="1" x14ac:dyDescent="0.2">
      <c r="A153" s="20" t="s">
        <v>2719</v>
      </c>
      <c r="B153" s="63">
        <v>46014</v>
      </c>
      <c r="C153" s="20">
        <f t="shared" si="17"/>
        <v>354</v>
      </c>
      <c r="D153" s="20">
        <v>1</v>
      </c>
      <c r="G153" s="32" t="s">
        <v>39</v>
      </c>
      <c r="H153" s="20" t="s">
        <v>3314</v>
      </c>
      <c r="I153" s="20">
        <v>331</v>
      </c>
      <c r="J153" s="20">
        <v>1111</v>
      </c>
      <c r="K153" s="20" t="s">
        <v>20</v>
      </c>
      <c r="L153" s="20">
        <v>1</v>
      </c>
      <c r="M153" s="122">
        <v>344520</v>
      </c>
      <c r="N153" s="122">
        <f t="shared" si="18"/>
        <v>344520</v>
      </c>
      <c r="O153" s="20" t="s">
        <v>21</v>
      </c>
      <c r="P153" s="20">
        <f t="shared" si="19"/>
        <v>124</v>
      </c>
    </row>
    <row r="154" spans="1:16" ht="15" customHeight="1" x14ac:dyDescent="0.2">
      <c r="A154" s="20" t="s">
        <v>18</v>
      </c>
      <c r="B154" s="63">
        <v>46022</v>
      </c>
      <c r="C154" s="20">
        <f t="shared" ref="C154" si="20">C153+D154</f>
        <v>355</v>
      </c>
      <c r="D154" s="20">
        <v>1</v>
      </c>
      <c r="G154" s="32" t="s">
        <v>29</v>
      </c>
      <c r="H154" s="20" t="s">
        <v>3039</v>
      </c>
      <c r="I154" s="20">
        <v>8118</v>
      </c>
      <c r="J154" s="20">
        <v>131</v>
      </c>
      <c r="K154" s="20" t="s">
        <v>20</v>
      </c>
      <c r="L154" s="20">
        <v>1</v>
      </c>
      <c r="M154" s="122">
        <v>10000</v>
      </c>
      <c r="N154" s="122">
        <f t="shared" si="18"/>
        <v>10000</v>
      </c>
      <c r="O154" s="20" t="s">
        <v>21</v>
      </c>
      <c r="P154" s="20">
        <f t="shared" ref="P154" si="21">P153+D154</f>
        <v>125</v>
      </c>
    </row>
    <row r="155" spans="1:16" ht="15" customHeight="1" x14ac:dyDescent="0.2">
      <c r="A155" s="20" t="s">
        <v>2719</v>
      </c>
      <c r="B155" s="63">
        <v>45891</v>
      </c>
      <c r="C155" s="20">
        <f t="shared" ref="C155" si="22">C154+D155</f>
        <v>356</v>
      </c>
      <c r="D155" s="20">
        <v>1</v>
      </c>
      <c r="G155" s="32" t="s">
        <v>3287</v>
      </c>
      <c r="H155" s="20" t="s">
        <v>3315</v>
      </c>
      <c r="I155" s="20">
        <v>333822</v>
      </c>
      <c r="J155" s="20">
        <v>1111</v>
      </c>
      <c r="K155" s="20" t="s">
        <v>20</v>
      </c>
      <c r="L155" s="20">
        <v>1</v>
      </c>
      <c r="M155" s="122">
        <v>844563</v>
      </c>
      <c r="N155" s="122">
        <f t="shared" si="18"/>
        <v>844563</v>
      </c>
      <c r="O155" s="20" t="s">
        <v>21</v>
      </c>
      <c r="P155" s="20">
        <f t="shared" ref="P155" si="23">P154+D155</f>
        <v>126</v>
      </c>
    </row>
  </sheetData>
  <autoFilter ref="A3:P126" xr:uid="{00000000-0009-0000-0000-00000D000000}">
    <sortState xmlns:xlrd2="http://schemas.microsoft.com/office/spreadsheetml/2017/richdata2" ref="A4:P80">
      <sortCondition ref="P3:P80"/>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Y165"/>
  <sheetViews>
    <sheetView workbookViewId="0">
      <selection activeCell="P1" sqref="P1"/>
    </sheetView>
  </sheetViews>
  <sheetFormatPr defaultRowHeight="15" customHeight="1" x14ac:dyDescent="0.2"/>
  <cols>
    <col min="1" max="1" width="9.140625" style="12"/>
    <col min="2" max="2" width="10.7109375" style="36" bestFit="1" customWidth="1"/>
    <col min="3" max="6" width="9.140625" style="12"/>
    <col min="7" max="7" width="11" style="14" bestFit="1" customWidth="1"/>
    <col min="8" max="8" width="42.7109375" style="12" customWidth="1"/>
    <col min="9" max="12" width="9.140625" style="12"/>
    <col min="13" max="14" width="11.5703125" style="17" bestFit="1" customWidth="1"/>
    <col min="15" max="15" width="11.5703125" style="12" bestFit="1" customWidth="1"/>
    <col min="16" max="16" width="9.85546875" style="12" bestFit="1" customWidth="1"/>
    <col min="17" max="17" width="9.140625" style="12"/>
    <col min="18" max="18" width="12.7109375" style="14" bestFit="1" customWidth="1"/>
    <col min="19" max="25" width="9.140625" style="14"/>
    <col min="26" max="16384" width="9.140625" style="12"/>
  </cols>
  <sheetData>
    <row r="1" spans="1:17" ht="15" customHeight="1" thickBot="1" x14ac:dyDescent="0.25">
      <c r="A1" s="174" t="s">
        <v>0</v>
      </c>
      <c r="B1" s="219" t="s">
        <v>1</v>
      </c>
      <c r="C1" s="174" t="s">
        <v>2</v>
      </c>
      <c r="D1" s="176" t="s">
        <v>3</v>
      </c>
      <c r="E1" s="172" t="s">
        <v>4</v>
      </c>
      <c r="F1" s="176" t="s">
        <v>5</v>
      </c>
      <c r="G1" s="181" t="s">
        <v>6</v>
      </c>
      <c r="H1" s="221" t="s">
        <v>7</v>
      </c>
      <c r="I1" s="185" t="s">
        <v>8</v>
      </c>
      <c r="J1" s="186"/>
      <c r="K1" s="174" t="s">
        <v>9</v>
      </c>
      <c r="L1" s="174" t="s">
        <v>10</v>
      </c>
      <c r="M1" s="179" t="s">
        <v>11</v>
      </c>
      <c r="N1" s="179" t="s">
        <v>12</v>
      </c>
      <c r="O1" s="1"/>
      <c r="P1" s="152" t="s">
        <v>3991</v>
      </c>
    </row>
    <row r="2" spans="1:17" ht="15" customHeight="1" thickBot="1" x14ac:dyDescent="0.25">
      <c r="A2" s="175"/>
      <c r="B2" s="220"/>
      <c r="C2" s="175"/>
      <c r="D2" s="177"/>
      <c r="E2" s="178"/>
      <c r="F2" s="223"/>
      <c r="G2" s="182"/>
      <c r="H2" s="222"/>
      <c r="I2" s="15" t="s">
        <v>13</v>
      </c>
      <c r="J2" s="2" t="s">
        <v>14</v>
      </c>
      <c r="K2" s="175"/>
      <c r="L2" s="175"/>
      <c r="M2" s="180"/>
      <c r="N2" s="180"/>
      <c r="O2" s="3"/>
    </row>
    <row r="3" spans="1:17" ht="15" customHeight="1" x14ac:dyDescent="0.2">
      <c r="A3" s="4"/>
      <c r="B3" s="5"/>
      <c r="C3" s="4">
        <v>146</v>
      </c>
      <c r="D3" s="6"/>
      <c r="E3" s="6"/>
      <c r="F3" s="6"/>
      <c r="G3" s="4" t="s">
        <v>15</v>
      </c>
      <c r="H3" s="7"/>
      <c r="I3" s="8"/>
      <c r="J3" s="8"/>
      <c r="K3" s="9"/>
      <c r="L3" s="10"/>
      <c r="M3" s="16"/>
      <c r="N3" s="16"/>
      <c r="O3" s="12" t="s">
        <v>16</v>
      </c>
      <c r="P3" s="12" t="s">
        <v>17</v>
      </c>
      <c r="Q3" s="12" t="s">
        <v>4512</v>
      </c>
    </row>
    <row r="4" spans="1:17" ht="15" customHeight="1" x14ac:dyDescent="0.2">
      <c r="A4" s="12" t="s">
        <v>18</v>
      </c>
      <c r="B4" s="36">
        <v>45936</v>
      </c>
      <c r="C4" s="123">
        <f t="shared" ref="C4:C35" si="0">C3+D4</f>
        <v>147</v>
      </c>
      <c r="D4" s="12">
        <v>1</v>
      </c>
      <c r="G4" s="14" t="s">
        <v>37</v>
      </c>
      <c r="H4" s="12" t="s">
        <v>1690</v>
      </c>
      <c r="I4" s="20">
        <v>64277</v>
      </c>
      <c r="J4" s="20">
        <v>331</v>
      </c>
      <c r="K4" s="12" t="s">
        <v>20</v>
      </c>
      <c r="L4" s="12">
        <v>1</v>
      </c>
      <c r="M4" s="17">
        <v>3240000</v>
      </c>
      <c r="N4" s="17">
        <f t="shared" ref="N4:N35" si="1">L4*M4</f>
        <v>3240000</v>
      </c>
      <c r="O4" s="17" t="s">
        <v>21</v>
      </c>
      <c r="P4" s="12">
        <v>1</v>
      </c>
      <c r="Q4" s="12">
        <f>LEN(H4)</f>
        <v>42</v>
      </c>
    </row>
    <row r="5" spans="1:17" ht="15" customHeight="1" x14ac:dyDescent="0.2">
      <c r="A5" s="12" t="s">
        <v>18</v>
      </c>
      <c r="B5" s="36">
        <v>45936</v>
      </c>
      <c r="C5" s="123">
        <f t="shared" si="0"/>
        <v>148</v>
      </c>
      <c r="D5" s="12">
        <v>1</v>
      </c>
      <c r="G5" s="14" t="s">
        <v>1722</v>
      </c>
      <c r="H5" s="12" t="s">
        <v>1729</v>
      </c>
      <c r="I5" s="12">
        <v>64276</v>
      </c>
      <c r="J5" s="20">
        <v>331</v>
      </c>
      <c r="K5" s="12" t="s">
        <v>20</v>
      </c>
      <c r="L5" s="12">
        <v>1</v>
      </c>
      <c r="M5" s="17">
        <v>3260400</v>
      </c>
      <c r="N5" s="17">
        <f t="shared" si="1"/>
        <v>3260400</v>
      </c>
      <c r="O5" s="17" t="s">
        <v>21</v>
      </c>
      <c r="P5" s="12">
        <f>P4+D5</f>
        <v>2</v>
      </c>
      <c r="Q5" s="12">
        <f t="shared" ref="Q5:Q68" si="2">LEN(H5)</f>
        <v>35</v>
      </c>
    </row>
    <row r="6" spans="1:17" ht="15" customHeight="1" x14ac:dyDescent="0.2">
      <c r="A6" s="12" t="s">
        <v>18</v>
      </c>
      <c r="B6" s="36">
        <v>45936</v>
      </c>
      <c r="C6" s="123">
        <f t="shared" si="0"/>
        <v>149</v>
      </c>
      <c r="D6" s="12">
        <v>1</v>
      </c>
      <c r="G6" s="14" t="s">
        <v>1722</v>
      </c>
      <c r="H6" s="12" t="s">
        <v>1730</v>
      </c>
      <c r="I6" s="12">
        <v>64276</v>
      </c>
      <c r="J6" s="20">
        <v>331</v>
      </c>
      <c r="K6" s="12" t="s">
        <v>20</v>
      </c>
      <c r="L6" s="12">
        <v>1</v>
      </c>
      <c r="M6" s="17">
        <v>1746000</v>
      </c>
      <c r="N6" s="17">
        <f t="shared" si="1"/>
        <v>1746000</v>
      </c>
      <c r="O6" s="17" t="s">
        <v>21</v>
      </c>
      <c r="P6" s="12">
        <f t="shared" ref="P6:P69" si="3">P5+D6</f>
        <v>3</v>
      </c>
      <c r="Q6" s="12">
        <f t="shared" si="2"/>
        <v>35</v>
      </c>
    </row>
    <row r="7" spans="1:17" ht="15" customHeight="1" x14ac:dyDescent="0.2">
      <c r="A7" s="12" t="s">
        <v>18</v>
      </c>
      <c r="B7" s="36">
        <v>45952</v>
      </c>
      <c r="C7" s="123">
        <f t="shared" si="0"/>
        <v>150</v>
      </c>
      <c r="D7" s="12">
        <v>1</v>
      </c>
      <c r="G7" s="14" t="s">
        <v>1722</v>
      </c>
      <c r="H7" s="12" t="s">
        <v>1731</v>
      </c>
      <c r="I7" s="12">
        <v>64276</v>
      </c>
      <c r="J7" s="20">
        <v>331</v>
      </c>
      <c r="K7" s="12" t="s">
        <v>20</v>
      </c>
      <c r="L7" s="12">
        <v>1</v>
      </c>
      <c r="M7" s="17">
        <v>789600</v>
      </c>
      <c r="N7" s="17">
        <f t="shared" si="1"/>
        <v>789600</v>
      </c>
      <c r="O7" s="17" t="s">
        <v>21</v>
      </c>
      <c r="P7" s="12">
        <f t="shared" si="3"/>
        <v>4</v>
      </c>
      <c r="Q7" s="12">
        <f t="shared" si="2"/>
        <v>36</v>
      </c>
    </row>
    <row r="8" spans="1:17" ht="15" customHeight="1" x14ac:dyDescent="0.2">
      <c r="A8" s="12" t="s">
        <v>18</v>
      </c>
      <c r="B8" s="36">
        <v>45952</v>
      </c>
      <c r="C8" s="123">
        <f t="shared" si="0"/>
        <v>151</v>
      </c>
      <c r="D8" s="12">
        <v>1</v>
      </c>
      <c r="G8" s="14" t="s">
        <v>1722</v>
      </c>
      <c r="H8" s="12" t="s">
        <v>1732</v>
      </c>
      <c r="I8" s="12">
        <v>64276</v>
      </c>
      <c r="J8" s="20">
        <v>331</v>
      </c>
      <c r="K8" s="12" t="s">
        <v>20</v>
      </c>
      <c r="L8" s="12">
        <v>1</v>
      </c>
      <c r="M8" s="17">
        <v>2910000</v>
      </c>
      <c r="N8" s="17">
        <f t="shared" si="1"/>
        <v>2910000</v>
      </c>
      <c r="O8" s="17" t="s">
        <v>21</v>
      </c>
      <c r="P8" s="12">
        <f t="shared" si="3"/>
        <v>5</v>
      </c>
      <c r="Q8" s="12">
        <f t="shared" si="2"/>
        <v>36</v>
      </c>
    </row>
    <row r="9" spans="1:17" ht="15" customHeight="1" x14ac:dyDescent="0.2">
      <c r="A9" s="12" t="s">
        <v>18</v>
      </c>
      <c r="B9" s="36">
        <v>45964</v>
      </c>
      <c r="C9" s="123">
        <f t="shared" si="0"/>
        <v>152</v>
      </c>
      <c r="D9" s="12">
        <v>1</v>
      </c>
      <c r="G9" s="14" t="s">
        <v>37</v>
      </c>
      <c r="H9" s="12" t="s">
        <v>1691</v>
      </c>
      <c r="I9" s="20">
        <v>64277</v>
      </c>
      <c r="J9" s="20">
        <v>331</v>
      </c>
      <c r="K9" s="12" t="s">
        <v>20</v>
      </c>
      <c r="L9" s="12">
        <v>1</v>
      </c>
      <c r="M9" s="17">
        <v>3240000</v>
      </c>
      <c r="N9" s="17">
        <f t="shared" si="1"/>
        <v>3240000</v>
      </c>
      <c r="O9" s="17" t="s">
        <v>21</v>
      </c>
      <c r="P9" s="12">
        <f t="shared" si="3"/>
        <v>6</v>
      </c>
      <c r="Q9" s="12">
        <f t="shared" si="2"/>
        <v>42</v>
      </c>
    </row>
    <row r="10" spans="1:17" ht="15" customHeight="1" x14ac:dyDescent="0.2">
      <c r="A10" s="12" t="s">
        <v>18</v>
      </c>
      <c r="B10" s="36">
        <v>45974</v>
      </c>
      <c r="C10" s="123">
        <f t="shared" si="0"/>
        <v>153</v>
      </c>
      <c r="D10" s="12">
        <v>1</v>
      </c>
      <c r="G10" s="14" t="s">
        <v>1722</v>
      </c>
      <c r="H10" s="12" t="s">
        <v>151</v>
      </c>
      <c r="I10" s="12">
        <v>64276</v>
      </c>
      <c r="J10" s="20">
        <v>331</v>
      </c>
      <c r="K10" s="12" t="s">
        <v>20</v>
      </c>
      <c r="L10" s="12">
        <v>1</v>
      </c>
      <c r="M10" s="17">
        <v>3158400</v>
      </c>
      <c r="N10" s="17">
        <f t="shared" si="1"/>
        <v>3158400</v>
      </c>
      <c r="O10" s="17" t="s">
        <v>21</v>
      </c>
      <c r="P10" s="12">
        <f t="shared" si="3"/>
        <v>7</v>
      </c>
      <c r="Q10" s="12">
        <f t="shared" si="2"/>
        <v>36</v>
      </c>
    </row>
    <row r="11" spans="1:17" ht="15" customHeight="1" x14ac:dyDescent="0.2">
      <c r="A11" s="12" t="s">
        <v>18</v>
      </c>
      <c r="B11" s="36">
        <v>45980</v>
      </c>
      <c r="C11" s="123">
        <f t="shared" si="0"/>
        <v>154</v>
      </c>
      <c r="D11" s="12">
        <v>1</v>
      </c>
      <c r="G11" s="14" t="s">
        <v>41</v>
      </c>
      <c r="H11" s="12" t="s">
        <v>1733</v>
      </c>
      <c r="I11" s="20">
        <v>64277</v>
      </c>
      <c r="J11" s="20">
        <v>331</v>
      </c>
      <c r="K11" s="12" t="s">
        <v>20</v>
      </c>
      <c r="L11" s="12">
        <v>1</v>
      </c>
      <c r="M11" s="17">
        <v>1272780</v>
      </c>
      <c r="N11" s="17">
        <f t="shared" si="1"/>
        <v>1272780</v>
      </c>
      <c r="O11" s="17" t="s">
        <v>21</v>
      </c>
      <c r="P11" s="12">
        <f t="shared" si="3"/>
        <v>8</v>
      </c>
      <c r="Q11" s="12">
        <f t="shared" si="2"/>
        <v>44</v>
      </c>
    </row>
    <row r="12" spans="1:17" ht="15" customHeight="1" x14ac:dyDescent="0.2">
      <c r="A12" s="12" t="s">
        <v>18</v>
      </c>
      <c r="B12" s="36">
        <v>45990</v>
      </c>
      <c r="C12" s="123">
        <f t="shared" si="0"/>
        <v>155</v>
      </c>
      <c r="D12" s="12">
        <v>1</v>
      </c>
      <c r="G12" s="14" t="s">
        <v>37</v>
      </c>
      <c r="H12" s="12" t="s">
        <v>1692</v>
      </c>
      <c r="I12" s="20">
        <v>64277</v>
      </c>
      <c r="J12" s="20">
        <v>331</v>
      </c>
      <c r="K12" s="12" t="s">
        <v>20</v>
      </c>
      <c r="L12" s="12">
        <v>1</v>
      </c>
      <c r="M12" s="17">
        <v>3240000</v>
      </c>
      <c r="N12" s="17">
        <f t="shared" si="1"/>
        <v>3240000</v>
      </c>
      <c r="O12" s="17" t="s">
        <v>21</v>
      </c>
      <c r="P12" s="12">
        <f t="shared" si="3"/>
        <v>9</v>
      </c>
      <c r="Q12" s="12">
        <f t="shared" si="2"/>
        <v>42</v>
      </c>
    </row>
    <row r="13" spans="1:17" ht="15" customHeight="1" x14ac:dyDescent="0.2">
      <c r="A13" s="12" t="s">
        <v>18</v>
      </c>
      <c r="B13" s="36">
        <v>45931</v>
      </c>
      <c r="C13" s="123">
        <f t="shared" si="0"/>
        <v>156</v>
      </c>
      <c r="D13" s="12">
        <v>1</v>
      </c>
      <c r="G13" s="12" t="s">
        <v>1723</v>
      </c>
      <c r="H13" s="12" t="s">
        <v>1693</v>
      </c>
      <c r="I13" s="12">
        <v>131</v>
      </c>
      <c r="J13" s="20">
        <v>5113</v>
      </c>
      <c r="K13" s="12" t="s">
        <v>20</v>
      </c>
      <c r="L13" s="12">
        <v>1</v>
      </c>
      <c r="M13" s="17">
        <v>9677419</v>
      </c>
      <c r="N13" s="17">
        <f t="shared" si="1"/>
        <v>9677419</v>
      </c>
      <c r="O13" s="17" t="s">
        <v>21</v>
      </c>
      <c r="P13" s="12">
        <f t="shared" si="3"/>
        <v>10</v>
      </c>
      <c r="Q13" s="12">
        <f t="shared" si="2"/>
        <v>169</v>
      </c>
    </row>
    <row r="14" spans="1:17" ht="15" customHeight="1" x14ac:dyDescent="0.2">
      <c r="A14" s="12" t="s">
        <v>18</v>
      </c>
      <c r="B14" s="36">
        <v>45931</v>
      </c>
      <c r="C14" s="123">
        <f t="shared" si="0"/>
        <v>156</v>
      </c>
      <c r="D14" s="12">
        <v>0</v>
      </c>
      <c r="G14" s="14" t="s">
        <v>1723</v>
      </c>
      <c r="H14" s="12" t="s">
        <v>1734</v>
      </c>
      <c r="I14" s="12">
        <v>333821</v>
      </c>
      <c r="J14" s="20">
        <v>131</v>
      </c>
      <c r="K14" s="12" t="s">
        <v>20</v>
      </c>
      <c r="L14" s="12">
        <v>1</v>
      </c>
      <c r="M14" s="17">
        <v>96774</v>
      </c>
      <c r="N14" s="17">
        <f t="shared" si="1"/>
        <v>96774</v>
      </c>
      <c r="O14" s="17" t="s">
        <v>21</v>
      </c>
      <c r="P14" s="12">
        <f t="shared" si="3"/>
        <v>10</v>
      </c>
      <c r="Q14" s="12">
        <f t="shared" si="2"/>
        <v>185</v>
      </c>
    </row>
    <row r="15" spans="1:17" ht="15" customHeight="1" x14ac:dyDescent="0.2">
      <c r="A15" s="12" t="s">
        <v>18</v>
      </c>
      <c r="B15" s="36">
        <v>45932</v>
      </c>
      <c r="C15" s="123">
        <f t="shared" si="0"/>
        <v>157</v>
      </c>
      <c r="D15" s="12">
        <v>1</v>
      </c>
      <c r="G15" s="12" t="s">
        <v>66</v>
      </c>
      <c r="H15" s="12" t="s">
        <v>1694</v>
      </c>
      <c r="I15" s="12">
        <v>131</v>
      </c>
      <c r="J15" s="20">
        <v>5113</v>
      </c>
      <c r="K15" s="12" t="s">
        <v>20</v>
      </c>
      <c r="L15" s="12">
        <v>1</v>
      </c>
      <c r="M15" s="17">
        <v>10752688</v>
      </c>
      <c r="N15" s="17">
        <f t="shared" si="1"/>
        <v>10752688</v>
      </c>
      <c r="O15" s="17" t="s">
        <v>21</v>
      </c>
      <c r="P15" s="12">
        <f t="shared" si="3"/>
        <v>11</v>
      </c>
      <c r="Q15" s="12">
        <f t="shared" si="2"/>
        <v>169</v>
      </c>
    </row>
    <row r="16" spans="1:17" ht="15" customHeight="1" x14ac:dyDescent="0.2">
      <c r="A16" s="12" t="s">
        <v>18</v>
      </c>
      <c r="B16" s="36">
        <v>45932</v>
      </c>
      <c r="C16" s="123">
        <f t="shared" si="0"/>
        <v>157</v>
      </c>
      <c r="D16" s="12">
        <v>0</v>
      </c>
      <c r="G16" s="14" t="s">
        <v>66</v>
      </c>
      <c r="H16" s="12" t="s">
        <v>1735</v>
      </c>
      <c r="I16" s="12">
        <v>333821</v>
      </c>
      <c r="J16" s="20">
        <v>131</v>
      </c>
      <c r="K16" s="12" t="s">
        <v>20</v>
      </c>
      <c r="L16" s="12">
        <v>1</v>
      </c>
      <c r="M16" s="17">
        <v>107527</v>
      </c>
      <c r="N16" s="17">
        <f t="shared" si="1"/>
        <v>107527</v>
      </c>
      <c r="O16" s="17" t="s">
        <v>21</v>
      </c>
      <c r="P16" s="12">
        <f t="shared" si="3"/>
        <v>11</v>
      </c>
      <c r="Q16" s="12">
        <f t="shared" si="2"/>
        <v>185</v>
      </c>
    </row>
    <row r="17" spans="1:17" ht="15" customHeight="1" x14ac:dyDescent="0.2">
      <c r="A17" s="12" t="s">
        <v>18</v>
      </c>
      <c r="B17" s="36">
        <v>45936</v>
      </c>
      <c r="C17" s="123">
        <f t="shared" si="0"/>
        <v>158</v>
      </c>
      <c r="D17" s="12">
        <v>1</v>
      </c>
      <c r="G17" s="12" t="s">
        <v>96</v>
      </c>
      <c r="H17" s="12" t="s">
        <v>1695</v>
      </c>
      <c r="I17" s="12">
        <v>131</v>
      </c>
      <c r="J17" s="20">
        <v>5113</v>
      </c>
      <c r="K17" s="12" t="s">
        <v>20</v>
      </c>
      <c r="L17" s="12">
        <v>1</v>
      </c>
      <c r="M17" s="17">
        <v>10752688</v>
      </c>
      <c r="N17" s="17">
        <f t="shared" si="1"/>
        <v>10752688</v>
      </c>
      <c r="O17" s="17" t="s">
        <v>21</v>
      </c>
      <c r="P17" s="12">
        <f t="shared" si="3"/>
        <v>12</v>
      </c>
      <c r="Q17" s="12">
        <f t="shared" si="2"/>
        <v>162</v>
      </c>
    </row>
    <row r="18" spans="1:17" ht="15" customHeight="1" x14ac:dyDescent="0.2">
      <c r="A18" s="12" t="s">
        <v>18</v>
      </c>
      <c r="B18" s="36">
        <v>45936</v>
      </c>
      <c r="C18" s="123">
        <f t="shared" si="0"/>
        <v>158</v>
      </c>
      <c r="D18" s="12">
        <v>0</v>
      </c>
      <c r="G18" s="14" t="s">
        <v>96</v>
      </c>
      <c r="H18" s="12" t="s">
        <v>1736</v>
      </c>
      <c r="I18" s="12">
        <v>333821</v>
      </c>
      <c r="J18" s="20">
        <v>131</v>
      </c>
      <c r="K18" s="12" t="s">
        <v>20</v>
      </c>
      <c r="L18" s="12">
        <v>1</v>
      </c>
      <c r="M18" s="17">
        <v>107527</v>
      </c>
      <c r="N18" s="17">
        <f t="shared" si="1"/>
        <v>107527</v>
      </c>
      <c r="O18" s="17" t="s">
        <v>21</v>
      </c>
      <c r="P18" s="12">
        <f t="shared" si="3"/>
        <v>12</v>
      </c>
      <c r="Q18" s="12">
        <f t="shared" si="2"/>
        <v>178</v>
      </c>
    </row>
    <row r="19" spans="1:17" ht="15" customHeight="1" x14ac:dyDescent="0.2">
      <c r="A19" s="12" t="s">
        <v>18</v>
      </c>
      <c r="B19" s="36">
        <v>45940</v>
      </c>
      <c r="C19" s="123">
        <f t="shared" si="0"/>
        <v>159</v>
      </c>
      <c r="D19" s="12">
        <v>1</v>
      </c>
      <c r="G19" s="12" t="s">
        <v>108</v>
      </c>
      <c r="H19" s="12" t="s">
        <v>1696</v>
      </c>
      <c r="I19" s="12">
        <v>131</v>
      </c>
      <c r="J19" s="20">
        <v>5113</v>
      </c>
      <c r="K19" s="12" t="s">
        <v>20</v>
      </c>
      <c r="L19" s="12">
        <v>1</v>
      </c>
      <c r="M19" s="17">
        <v>11559140</v>
      </c>
      <c r="N19" s="17">
        <f t="shared" si="1"/>
        <v>11559140</v>
      </c>
      <c r="O19" s="17" t="s">
        <v>21</v>
      </c>
      <c r="P19" s="12">
        <f t="shared" si="3"/>
        <v>13</v>
      </c>
      <c r="Q19" s="12">
        <f t="shared" si="2"/>
        <v>111</v>
      </c>
    </row>
    <row r="20" spans="1:17" ht="15" customHeight="1" x14ac:dyDescent="0.2">
      <c r="A20" s="12" t="s">
        <v>18</v>
      </c>
      <c r="B20" s="36">
        <v>45940</v>
      </c>
      <c r="C20" s="123">
        <f t="shared" si="0"/>
        <v>159</v>
      </c>
      <c r="D20" s="12">
        <v>0</v>
      </c>
      <c r="G20" s="14" t="s">
        <v>108</v>
      </c>
      <c r="H20" s="12" t="s">
        <v>1737</v>
      </c>
      <c r="I20" s="12">
        <v>333821</v>
      </c>
      <c r="J20" s="20">
        <v>131</v>
      </c>
      <c r="K20" s="12" t="s">
        <v>20</v>
      </c>
      <c r="L20" s="12">
        <v>1</v>
      </c>
      <c r="M20" s="17">
        <v>115591</v>
      </c>
      <c r="N20" s="17">
        <f t="shared" si="1"/>
        <v>115591</v>
      </c>
      <c r="O20" s="17" t="s">
        <v>21</v>
      </c>
      <c r="P20" s="12">
        <f t="shared" si="3"/>
        <v>13</v>
      </c>
      <c r="Q20" s="12">
        <f t="shared" si="2"/>
        <v>127</v>
      </c>
    </row>
    <row r="21" spans="1:17" ht="15" customHeight="1" x14ac:dyDescent="0.2">
      <c r="A21" s="12" t="s">
        <v>18</v>
      </c>
      <c r="B21" s="36">
        <v>45944</v>
      </c>
      <c r="C21" s="123">
        <f t="shared" si="0"/>
        <v>160</v>
      </c>
      <c r="D21" s="12">
        <v>1</v>
      </c>
      <c r="G21" s="12" t="s">
        <v>94</v>
      </c>
      <c r="H21" s="12" t="s">
        <v>1697</v>
      </c>
      <c r="I21" s="12">
        <v>131</v>
      </c>
      <c r="J21" s="20">
        <v>5113</v>
      </c>
      <c r="K21" s="12" t="s">
        <v>20</v>
      </c>
      <c r="L21" s="12">
        <v>1</v>
      </c>
      <c r="M21" s="17">
        <v>10752688</v>
      </c>
      <c r="N21" s="17">
        <f t="shared" si="1"/>
        <v>10752688</v>
      </c>
      <c r="O21" s="17" t="s">
        <v>21</v>
      </c>
      <c r="P21" s="12">
        <f t="shared" si="3"/>
        <v>14</v>
      </c>
      <c r="Q21" s="12">
        <f t="shared" si="2"/>
        <v>102</v>
      </c>
    </row>
    <row r="22" spans="1:17" ht="15" customHeight="1" x14ac:dyDescent="0.2">
      <c r="A22" s="12" t="s">
        <v>18</v>
      </c>
      <c r="B22" s="36">
        <v>45944</v>
      </c>
      <c r="C22" s="123">
        <f t="shared" si="0"/>
        <v>160</v>
      </c>
      <c r="D22" s="12">
        <v>0</v>
      </c>
      <c r="G22" s="14" t="s">
        <v>94</v>
      </c>
      <c r="H22" s="12" t="s">
        <v>1738</v>
      </c>
      <c r="I22" s="12">
        <v>333821</v>
      </c>
      <c r="J22" s="20">
        <v>131</v>
      </c>
      <c r="K22" s="12" t="s">
        <v>20</v>
      </c>
      <c r="L22" s="12">
        <v>1</v>
      </c>
      <c r="M22" s="17">
        <v>107527</v>
      </c>
      <c r="N22" s="17">
        <f t="shared" si="1"/>
        <v>107527</v>
      </c>
      <c r="O22" s="17" t="s">
        <v>21</v>
      </c>
      <c r="P22" s="12">
        <f t="shared" si="3"/>
        <v>14</v>
      </c>
      <c r="Q22" s="12">
        <f t="shared" si="2"/>
        <v>118</v>
      </c>
    </row>
    <row r="23" spans="1:17" ht="15" customHeight="1" x14ac:dyDescent="0.2">
      <c r="A23" s="12" t="s">
        <v>18</v>
      </c>
      <c r="B23" s="36">
        <v>45944</v>
      </c>
      <c r="C23" s="123">
        <f t="shared" si="0"/>
        <v>161</v>
      </c>
      <c r="D23" s="12">
        <v>1</v>
      </c>
      <c r="G23" s="12" t="s">
        <v>97</v>
      </c>
      <c r="H23" s="12" t="s">
        <v>1698</v>
      </c>
      <c r="I23" s="12">
        <v>131</v>
      </c>
      <c r="J23" s="20">
        <v>5113</v>
      </c>
      <c r="K23" s="12" t="s">
        <v>20</v>
      </c>
      <c r="L23" s="12">
        <v>1</v>
      </c>
      <c r="M23" s="17">
        <v>10752688</v>
      </c>
      <c r="N23" s="17">
        <f t="shared" si="1"/>
        <v>10752688</v>
      </c>
      <c r="O23" s="17" t="s">
        <v>21</v>
      </c>
      <c r="P23" s="12">
        <f t="shared" si="3"/>
        <v>15</v>
      </c>
      <c r="Q23" s="12">
        <f t="shared" si="2"/>
        <v>112</v>
      </c>
    </row>
    <row r="24" spans="1:17" ht="15" customHeight="1" x14ac:dyDescent="0.2">
      <c r="A24" s="12" t="s">
        <v>18</v>
      </c>
      <c r="B24" s="36">
        <v>45944</v>
      </c>
      <c r="C24" s="123">
        <f t="shared" si="0"/>
        <v>161</v>
      </c>
      <c r="D24" s="12">
        <v>0</v>
      </c>
      <c r="G24" s="14" t="s">
        <v>97</v>
      </c>
      <c r="H24" s="12" t="s">
        <v>1739</v>
      </c>
      <c r="I24" s="12">
        <v>333821</v>
      </c>
      <c r="J24" s="20">
        <v>131</v>
      </c>
      <c r="K24" s="12" t="s">
        <v>20</v>
      </c>
      <c r="L24" s="12">
        <v>1</v>
      </c>
      <c r="M24" s="17">
        <v>107527</v>
      </c>
      <c r="N24" s="17">
        <f t="shared" si="1"/>
        <v>107527</v>
      </c>
      <c r="O24" s="17" t="s">
        <v>21</v>
      </c>
      <c r="P24" s="12">
        <f t="shared" si="3"/>
        <v>15</v>
      </c>
      <c r="Q24" s="12">
        <f t="shared" si="2"/>
        <v>128</v>
      </c>
    </row>
    <row r="25" spans="1:17" ht="15" customHeight="1" x14ac:dyDescent="0.2">
      <c r="A25" s="12" t="s">
        <v>18</v>
      </c>
      <c r="B25" s="36">
        <v>45945</v>
      </c>
      <c r="C25" s="123">
        <f t="shared" si="0"/>
        <v>162</v>
      </c>
      <c r="D25" s="12">
        <v>1</v>
      </c>
      <c r="G25" s="12" t="s">
        <v>87</v>
      </c>
      <c r="H25" s="12" t="s">
        <v>1699</v>
      </c>
      <c r="I25" s="12">
        <v>131</v>
      </c>
      <c r="J25" s="20">
        <v>5113</v>
      </c>
      <c r="K25" s="12" t="s">
        <v>20</v>
      </c>
      <c r="L25" s="12">
        <v>1</v>
      </c>
      <c r="M25" s="17">
        <v>12903226</v>
      </c>
      <c r="N25" s="17">
        <f t="shared" si="1"/>
        <v>12903226</v>
      </c>
      <c r="O25" s="17" t="s">
        <v>21</v>
      </c>
      <c r="P25" s="12">
        <f t="shared" si="3"/>
        <v>16</v>
      </c>
      <c r="Q25" s="12">
        <f t="shared" si="2"/>
        <v>148</v>
      </c>
    </row>
    <row r="26" spans="1:17" ht="15" customHeight="1" x14ac:dyDescent="0.2">
      <c r="A26" s="12" t="s">
        <v>18</v>
      </c>
      <c r="B26" s="36">
        <v>45945</v>
      </c>
      <c r="C26" s="123">
        <f t="shared" si="0"/>
        <v>162</v>
      </c>
      <c r="D26" s="12">
        <v>0</v>
      </c>
      <c r="G26" s="14" t="s">
        <v>87</v>
      </c>
      <c r="H26" s="12" t="s">
        <v>1740</v>
      </c>
      <c r="I26" s="12">
        <v>333821</v>
      </c>
      <c r="J26" s="20">
        <v>131</v>
      </c>
      <c r="K26" s="12" t="s">
        <v>20</v>
      </c>
      <c r="L26" s="12">
        <v>1</v>
      </c>
      <c r="M26" s="17">
        <v>129032</v>
      </c>
      <c r="N26" s="17">
        <f t="shared" si="1"/>
        <v>129032</v>
      </c>
      <c r="O26" s="17" t="s">
        <v>21</v>
      </c>
      <c r="P26" s="12">
        <f t="shared" si="3"/>
        <v>16</v>
      </c>
      <c r="Q26" s="12">
        <f t="shared" si="2"/>
        <v>164</v>
      </c>
    </row>
    <row r="27" spans="1:17" ht="15" customHeight="1" x14ac:dyDescent="0.2">
      <c r="A27" s="12" t="s">
        <v>18</v>
      </c>
      <c r="B27" s="36">
        <v>45951</v>
      </c>
      <c r="C27" s="123">
        <f t="shared" si="0"/>
        <v>163</v>
      </c>
      <c r="D27" s="12">
        <v>1</v>
      </c>
      <c r="G27" s="12" t="s">
        <v>54</v>
      </c>
      <c r="H27" s="12" t="s">
        <v>1700</v>
      </c>
      <c r="I27" s="12">
        <v>131</v>
      </c>
      <c r="J27" s="20">
        <v>5113</v>
      </c>
      <c r="K27" s="12" t="s">
        <v>20</v>
      </c>
      <c r="L27" s="12">
        <v>1</v>
      </c>
      <c r="M27" s="17">
        <v>12903226</v>
      </c>
      <c r="N27" s="17">
        <f t="shared" si="1"/>
        <v>12903226</v>
      </c>
      <c r="O27" s="17" t="s">
        <v>21</v>
      </c>
      <c r="P27" s="12">
        <f t="shared" si="3"/>
        <v>17</v>
      </c>
      <c r="Q27" s="12">
        <f t="shared" si="2"/>
        <v>147</v>
      </c>
    </row>
    <row r="28" spans="1:17" ht="15" customHeight="1" x14ac:dyDescent="0.2">
      <c r="A28" s="12" t="s">
        <v>18</v>
      </c>
      <c r="B28" s="36">
        <v>45951</v>
      </c>
      <c r="C28" s="123">
        <f t="shared" si="0"/>
        <v>163</v>
      </c>
      <c r="D28" s="12">
        <v>0</v>
      </c>
      <c r="G28" s="14" t="s">
        <v>54</v>
      </c>
      <c r="H28" s="12" t="s">
        <v>1741</v>
      </c>
      <c r="I28" s="12">
        <v>333821</v>
      </c>
      <c r="J28" s="20">
        <v>131</v>
      </c>
      <c r="K28" s="12" t="s">
        <v>20</v>
      </c>
      <c r="L28" s="12">
        <v>1</v>
      </c>
      <c r="M28" s="17">
        <v>129032</v>
      </c>
      <c r="N28" s="17">
        <f t="shared" si="1"/>
        <v>129032</v>
      </c>
      <c r="O28" s="17" t="s">
        <v>21</v>
      </c>
      <c r="P28" s="12">
        <f t="shared" si="3"/>
        <v>17</v>
      </c>
      <c r="Q28" s="12">
        <f t="shared" si="2"/>
        <v>163</v>
      </c>
    </row>
    <row r="29" spans="1:17" ht="15" customHeight="1" x14ac:dyDescent="0.2">
      <c r="A29" s="12" t="s">
        <v>18</v>
      </c>
      <c r="B29" s="36">
        <v>45951</v>
      </c>
      <c r="C29" s="123">
        <f t="shared" si="0"/>
        <v>164</v>
      </c>
      <c r="D29" s="12">
        <v>1</v>
      </c>
      <c r="G29" s="12" t="s">
        <v>96</v>
      </c>
      <c r="H29" s="12" t="s">
        <v>1701</v>
      </c>
      <c r="I29" s="12">
        <v>131</v>
      </c>
      <c r="J29" s="20">
        <v>5113</v>
      </c>
      <c r="K29" s="12" t="s">
        <v>20</v>
      </c>
      <c r="L29" s="12">
        <v>1</v>
      </c>
      <c r="M29" s="17">
        <v>10752688</v>
      </c>
      <c r="N29" s="17">
        <f t="shared" si="1"/>
        <v>10752688</v>
      </c>
      <c r="O29" s="17" t="s">
        <v>21</v>
      </c>
      <c r="P29" s="12">
        <f t="shared" si="3"/>
        <v>18</v>
      </c>
      <c r="Q29" s="12">
        <f t="shared" si="2"/>
        <v>163</v>
      </c>
    </row>
    <row r="30" spans="1:17" ht="15" customHeight="1" x14ac:dyDescent="0.2">
      <c r="A30" s="12" t="s">
        <v>18</v>
      </c>
      <c r="B30" s="36">
        <v>45951</v>
      </c>
      <c r="C30" s="123">
        <f t="shared" si="0"/>
        <v>164</v>
      </c>
      <c r="D30" s="12">
        <v>0</v>
      </c>
      <c r="G30" s="14" t="s">
        <v>96</v>
      </c>
      <c r="H30" s="12" t="s">
        <v>1742</v>
      </c>
      <c r="I30" s="12">
        <v>333821</v>
      </c>
      <c r="J30" s="20">
        <v>131</v>
      </c>
      <c r="K30" s="12" t="s">
        <v>20</v>
      </c>
      <c r="L30" s="12">
        <v>1</v>
      </c>
      <c r="M30" s="17">
        <v>107527</v>
      </c>
      <c r="N30" s="17">
        <f t="shared" si="1"/>
        <v>107527</v>
      </c>
      <c r="O30" s="17" t="s">
        <v>21</v>
      </c>
      <c r="P30" s="12">
        <f t="shared" si="3"/>
        <v>18</v>
      </c>
      <c r="Q30" s="12">
        <f t="shared" si="2"/>
        <v>179</v>
      </c>
    </row>
    <row r="31" spans="1:17" ht="15" customHeight="1" x14ac:dyDescent="0.2">
      <c r="A31" s="12" t="s">
        <v>18</v>
      </c>
      <c r="B31" s="36">
        <v>45954</v>
      </c>
      <c r="C31" s="123">
        <f t="shared" si="0"/>
        <v>165</v>
      </c>
      <c r="D31" s="12">
        <v>1</v>
      </c>
      <c r="G31" s="12" t="s">
        <v>60</v>
      </c>
      <c r="H31" s="12" t="s">
        <v>1702</v>
      </c>
      <c r="I31" s="12">
        <v>131</v>
      </c>
      <c r="J31" s="20">
        <v>5113</v>
      </c>
      <c r="K31" s="12" t="s">
        <v>20</v>
      </c>
      <c r="L31" s="12">
        <v>1</v>
      </c>
      <c r="M31" s="17">
        <v>10752688</v>
      </c>
      <c r="N31" s="17">
        <f t="shared" si="1"/>
        <v>10752688</v>
      </c>
      <c r="O31" s="17" t="s">
        <v>21</v>
      </c>
      <c r="P31" s="12">
        <f t="shared" si="3"/>
        <v>19</v>
      </c>
      <c r="Q31" s="12">
        <f t="shared" si="2"/>
        <v>154</v>
      </c>
    </row>
    <row r="32" spans="1:17" ht="15" customHeight="1" x14ac:dyDescent="0.2">
      <c r="A32" s="12" t="s">
        <v>18</v>
      </c>
      <c r="B32" s="36">
        <v>45954</v>
      </c>
      <c r="C32" s="123">
        <f t="shared" si="0"/>
        <v>165</v>
      </c>
      <c r="D32" s="12">
        <v>0</v>
      </c>
      <c r="G32" s="14" t="s">
        <v>60</v>
      </c>
      <c r="H32" s="12" t="s">
        <v>1743</v>
      </c>
      <c r="I32" s="12">
        <v>333821</v>
      </c>
      <c r="J32" s="20">
        <v>131</v>
      </c>
      <c r="K32" s="12" t="s">
        <v>20</v>
      </c>
      <c r="L32" s="12">
        <v>1</v>
      </c>
      <c r="M32" s="17">
        <v>107527</v>
      </c>
      <c r="N32" s="17">
        <f t="shared" si="1"/>
        <v>107527</v>
      </c>
      <c r="O32" s="17" t="s">
        <v>21</v>
      </c>
      <c r="P32" s="12">
        <f t="shared" si="3"/>
        <v>19</v>
      </c>
      <c r="Q32" s="12">
        <f t="shared" si="2"/>
        <v>170</v>
      </c>
    </row>
    <row r="33" spans="1:17" ht="15" customHeight="1" x14ac:dyDescent="0.2">
      <c r="A33" s="12" t="s">
        <v>18</v>
      </c>
      <c r="B33" s="36">
        <v>45954</v>
      </c>
      <c r="C33" s="123">
        <f t="shared" si="0"/>
        <v>166</v>
      </c>
      <c r="D33" s="12">
        <v>1</v>
      </c>
      <c r="G33" s="12" t="s">
        <v>90</v>
      </c>
      <c r="H33" s="12" t="s">
        <v>1703</v>
      </c>
      <c r="I33" s="12">
        <v>131</v>
      </c>
      <c r="J33" s="20">
        <v>5113</v>
      </c>
      <c r="K33" s="12" t="s">
        <v>20</v>
      </c>
      <c r="L33" s="12">
        <v>1</v>
      </c>
      <c r="M33" s="17">
        <v>15053764</v>
      </c>
      <c r="N33" s="17">
        <f t="shared" si="1"/>
        <v>15053764</v>
      </c>
      <c r="O33" s="17" t="s">
        <v>21</v>
      </c>
      <c r="P33" s="12">
        <f t="shared" si="3"/>
        <v>20</v>
      </c>
      <c r="Q33" s="12">
        <f t="shared" si="2"/>
        <v>158</v>
      </c>
    </row>
    <row r="34" spans="1:17" ht="15" customHeight="1" x14ac:dyDescent="0.2">
      <c r="A34" s="12" t="s">
        <v>18</v>
      </c>
      <c r="B34" s="36">
        <v>45954</v>
      </c>
      <c r="C34" s="123">
        <f t="shared" si="0"/>
        <v>166</v>
      </c>
      <c r="D34" s="12">
        <v>0</v>
      </c>
      <c r="G34" s="14" t="s">
        <v>90</v>
      </c>
      <c r="H34" s="12" t="s">
        <v>1744</v>
      </c>
      <c r="I34" s="12">
        <v>333821</v>
      </c>
      <c r="J34" s="20">
        <v>131</v>
      </c>
      <c r="K34" s="12" t="s">
        <v>20</v>
      </c>
      <c r="L34" s="12">
        <v>1</v>
      </c>
      <c r="M34" s="17">
        <v>150538</v>
      </c>
      <c r="N34" s="17">
        <f t="shared" si="1"/>
        <v>150538</v>
      </c>
      <c r="O34" s="17" t="s">
        <v>21</v>
      </c>
      <c r="P34" s="12">
        <f t="shared" si="3"/>
        <v>20</v>
      </c>
      <c r="Q34" s="12">
        <f t="shared" si="2"/>
        <v>174</v>
      </c>
    </row>
    <row r="35" spans="1:17" ht="15" customHeight="1" x14ac:dyDescent="0.2">
      <c r="A35" s="12" t="s">
        <v>18</v>
      </c>
      <c r="B35" s="36">
        <v>45958</v>
      </c>
      <c r="C35" s="123">
        <f t="shared" si="0"/>
        <v>167</v>
      </c>
      <c r="D35" s="12">
        <v>1</v>
      </c>
      <c r="G35" s="12" t="s">
        <v>66</v>
      </c>
      <c r="H35" s="12" t="s">
        <v>1704</v>
      </c>
      <c r="I35" s="12">
        <v>131</v>
      </c>
      <c r="J35" s="20">
        <v>5113</v>
      </c>
      <c r="K35" s="12" t="s">
        <v>20</v>
      </c>
      <c r="L35" s="12">
        <v>1</v>
      </c>
      <c r="M35" s="17">
        <v>10752688</v>
      </c>
      <c r="N35" s="17">
        <f t="shared" si="1"/>
        <v>10752688</v>
      </c>
      <c r="O35" s="17" t="s">
        <v>21</v>
      </c>
      <c r="P35" s="12">
        <f t="shared" si="3"/>
        <v>21</v>
      </c>
      <c r="Q35" s="12">
        <f t="shared" si="2"/>
        <v>113</v>
      </c>
    </row>
    <row r="36" spans="1:17" ht="15" customHeight="1" x14ac:dyDescent="0.2">
      <c r="A36" s="12" t="s">
        <v>18</v>
      </c>
      <c r="B36" s="36">
        <v>45958</v>
      </c>
      <c r="C36" s="123">
        <f t="shared" ref="C36:C67" si="4">C35+D36</f>
        <v>167</v>
      </c>
      <c r="D36" s="12">
        <v>0</v>
      </c>
      <c r="G36" s="14" t="s">
        <v>66</v>
      </c>
      <c r="H36" s="12" t="s">
        <v>1745</v>
      </c>
      <c r="I36" s="12">
        <v>333821</v>
      </c>
      <c r="J36" s="20">
        <v>131</v>
      </c>
      <c r="K36" s="12" t="s">
        <v>20</v>
      </c>
      <c r="L36" s="12">
        <v>1</v>
      </c>
      <c r="M36" s="17">
        <v>107527</v>
      </c>
      <c r="N36" s="17">
        <f t="shared" ref="N36:N67" si="5">L36*M36</f>
        <v>107527</v>
      </c>
      <c r="O36" s="17" t="s">
        <v>21</v>
      </c>
      <c r="P36" s="12">
        <f t="shared" si="3"/>
        <v>21</v>
      </c>
      <c r="Q36" s="12">
        <f t="shared" si="2"/>
        <v>129</v>
      </c>
    </row>
    <row r="37" spans="1:17" ht="15" customHeight="1" x14ac:dyDescent="0.2">
      <c r="A37" s="12" t="s">
        <v>18</v>
      </c>
      <c r="B37" s="36">
        <v>45960</v>
      </c>
      <c r="C37" s="123">
        <f t="shared" si="4"/>
        <v>168</v>
      </c>
      <c r="D37" s="12">
        <v>1</v>
      </c>
      <c r="G37" s="12" t="s">
        <v>50</v>
      </c>
      <c r="H37" s="12" t="s">
        <v>1705</v>
      </c>
      <c r="I37" s="12">
        <v>131</v>
      </c>
      <c r="J37" s="20">
        <v>5113</v>
      </c>
      <c r="K37" s="12" t="s">
        <v>20</v>
      </c>
      <c r="L37" s="12">
        <v>1</v>
      </c>
      <c r="M37" s="17">
        <v>15205822</v>
      </c>
      <c r="N37" s="17">
        <f t="shared" si="5"/>
        <v>15205822</v>
      </c>
      <c r="O37" s="17" t="s">
        <v>21</v>
      </c>
      <c r="P37" s="12">
        <f t="shared" si="3"/>
        <v>22</v>
      </c>
      <c r="Q37" s="12">
        <f t="shared" si="2"/>
        <v>180</v>
      </c>
    </row>
    <row r="38" spans="1:17" ht="15" customHeight="1" x14ac:dyDescent="0.2">
      <c r="A38" s="12" t="s">
        <v>18</v>
      </c>
      <c r="B38" s="36">
        <v>45960</v>
      </c>
      <c r="C38" s="123">
        <f t="shared" si="4"/>
        <v>168</v>
      </c>
      <c r="D38" s="12">
        <v>0</v>
      </c>
      <c r="G38" s="14" t="s">
        <v>50</v>
      </c>
      <c r="H38" s="12" t="s">
        <v>1746</v>
      </c>
      <c r="I38" s="12">
        <v>333821</v>
      </c>
      <c r="J38" s="20">
        <v>131</v>
      </c>
      <c r="K38" s="12" t="s">
        <v>20</v>
      </c>
      <c r="L38" s="12">
        <v>1</v>
      </c>
      <c r="M38" s="17">
        <v>152058</v>
      </c>
      <c r="N38" s="17">
        <f t="shared" si="5"/>
        <v>152058</v>
      </c>
      <c r="O38" s="17" t="s">
        <v>21</v>
      </c>
      <c r="P38" s="12">
        <f t="shared" si="3"/>
        <v>22</v>
      </c>
      <c r="Q38" s="12">
        <f t="shared" si="2"/>
        <v>196</v>
      </c>
    </row>
    <row r="39" spans="1:17" ht="15" customHeight="1" x14ac:dyDescent="0.2">
      <c r="A39" s="12" t="s">
        <v>18</v>
      </c>
      <c r="B39" s="36">
        <v>45961</v>
      </c>
      <c r="C39" s="123">
        <f t="shared" si="4"/>
        <v>169</v>
      </c>
      <c r="D39" s="12">
        <v>1</v>
      </c>
      <c r="G39" s="12" t="s">
        <v>1724</v>
      </c>
      <c r="H39" s="12" t="s">
        <v>1706</v>
      </c>
      <c r="I39" s="12">
        <v>131</v>
      </c>
      <c r="J39" s="20">
        <v>5113</v>
      </c>
      <c r="K39" s="12" t="s">
        <v>20</v>
      </c>
      <c r="L39" s="12">
        <v>1</v>
      </c>
      <c r="M39" s="17">
        <v>38709678</v>
      </c>
      <c r="N39" s="17">
        <f t="shared" si="5"/>
        <v>38709678</v>
      </c>
      <c r="O39" s="17" t="s">
        <v>21</v>
      </c>
      <c r="P39" s="12">
        <f t="shared" si="3"/>
        <v>23</v>
      </c>
      <c r="Q39" s="12">
        <f t="shared" si="2"/>
        <v>115</v>
      </c>
    </row>
    <row r="40" spans="1:17" ht="15" customHeight="1" x14ac:dyDescent="0.2">
      <c r="A40" s="12" t="s">
        <v>18</v>
      </c>
      <c r="B40" s="36">
        <v>45961</v>
      </c>
      <c r="C40" s="123">
        <f t="shared" si="4"/>
        <v>169</v>
      </c>
      <c r="D40" s="12">
        <v>0</v>
      </c>
      <c r="G40" s="14" t="s">
        <v>1724</v>
      </c>
      <c r="H40" s="12" t="s">
        <v>1747</v>
      </c>
      <c r="I40" s="12">
        <v>333821</v>
      </c>
      <c r="J40" s="20">
        <v>131</v>
      </c>
      <c r="K40" s="12" t="s">
        <v>20</v>
      </c>
      <c r="L40" s="12">
        <v>1</v>
      </c>
      <c r="M40" s="17">
        <v>387097</v>
      </c>
      <c r="N40" s="17">
        <f t="shared" si="5"/>
        <v>387097</v>
      </c>
      <c r="O40" s="17" t="s">
        <v>21</v>
      </c>
      <c r="P40" s="12">
        <f t="shared" si="3"/>
        <v>23</v>
      </c>
      <c r="Q40" s="12">
        <f t="shared" si="2"/>
        <v>131</v>
      </c>
    </row>
    <row r="41" spans="1:17" ht="15" customHeight="1" x14ac:dyDescent="0.2">
      <c r="A41" s="12" t="s">
        <v>18</v>
      </c>
      <c r="B41" s="36">
        <v>45965</v>
      </c>
      <c r="C41" s="123">
        <f t="shared" si="4"/>
        <v>170</v>
      </c>
      <c r="D41" s="12">
        <v>1</v>
      </c>
      <c r="G41" s="12" t="s">
        <v>1725</v>
      </c>
      <c r="H41" s="12" t="s">
        <v>1707</v>
      </c>
      <c r="I41" s="12">
        <v>131</v>
      </c>
      <c r="J41" s="20">
        <v>5113</v>
      </c>
      <c r="K41" s="12" t="s">
        <v>20</v>
      </c>
      <c r="L41" s="12">
        <v>1</v>
      </c>
      <c r="M41" s="17">
        <v>16129032</v>
      </c>
      <c r="N41" s="17">
        <f t="shared" si="5"/>
        <v>16129032</v>
      </c>
      <c r="O41" s="17" t="s">
        <v>21</v>
      </c>
      <c r="P41" s="12">
        <f t="shared" si="3"/>
        <v>24</v>
      </c>
      <c r="Q41" s="12">
        <f t="shared" si="2"/>
        <v>140</v>
      </c>
    </row>
    <row r="42" spans="1:17" ht="15" customHeight="1" x14ac:dyDescent="0.2">
      <c r="A42" s="12" t="s">
        <v>18</v>
      </c>
      <c r="B42" s="36">
        <v>45965</v>
      </c>
      <c r="C42" s="123">
        <f t="shared" si="4"/>
        <v>170</v>
      </c>
      <c r="D42" s="12">
        <v>0</v>
      </c>
      <c r="G42" s="14" t="s">
        <v>1725</v>
      </c>
      <c r="H42" s="12" t="s">
        <v>1748</v>
      </c>
      <c r="I42" s="12">
        <v>333821</v>
      </c>
      <c r="J42" s="20">
        <v>131</v>
      </c>
      <c r="K42" s="12" t="s">
        <v>20</v>
      </c>
      <c r="L42" s="12">
        <v>1</v>
      </c>
      <c r="M42" s="17">
        <v>161290</v>
      </c>
      <c r="N42" s="17">
        <f t="shared" si="5"/>
        <v>161290</v>
      </c>
      <c r="O42" s="17" t="s">
        <v>21</v>
      </c>
      <c r="P42" s="12">
        <f t="shared" si="3"/>
        <v>24</v>
      </c>
      <c r="Q42" s="12">
        <f t="shared" si="2"/>
        <v>156</v>
      </c>
    </row>
    <row r="43" spans="1:17" ht="15" customHeight="1" x14ac:dyDescent="0.2">
      <c r="A43" s="12" t="s">
        <v>18</v>
      </c>
      <c r="B43" s="36">
        <v>45965</v>
      </c>
      <c r="C43" s="123">
        <f t="shared" si="4"/>
        <v>171</v>
      </c>
      <c r="D43" s="12">
        <v>1</v>
      </c>
      <c r="G43" s="12" t="s">
        <v>66</v>
      </c>
      <c r="H43" s="12" t="s">
        <v>1708</v>
      </c>
      <c r="I43" s="12">
        <v>131</v>
      </c>
      <c r="J43" s="20">
        <v>5113</v>
      </c>
      <c r="K43" s="12" t="s">
        <v>20</v>
      </c>
      <c r="L43" s="12">
        <v>1</v>
      </c>
      <c r="M43" s="17">
        <v>15053763</v>
      </c>
      <c r="N43" s="17">
        <f t="shared" si="5"/>
        <v>15053763</v>
      </c>
      <c r="O43" s="17" t="s">
        <v>21</v>
      </c>
      <c r="P43" s="12">
        <f t="shared" si="3"/>
        <v>25</v>
      </c>
      <c r="Q43" s="12">
        <f t="shared" si="2"/>
        <v>112</v>
      </c>
    </row>
    <row r="44" spans="1:17" ht="15" customHeight="1" x14ac:dyDescent="0.2">
      <c r="A44" s="12" t="s">
        <v>18</v>
      </c>
      <c r="B44" s="36">
        <v>45965</v>
      </c>
      <c r="C44" s="123">
        <f t="shared" si="4"/>
        <v>171</v>
      </c>
      <c r="D44" s="12">
        <v>0</v>
      </c>
      <c r="G44" s="14" t="s">
        <v>66</v>
      </c>
      <c r="H44" s="12" t="s">
        <v>1749</v>
      </c>
      <c r="I44" s="12">
        <v>333821</v>
      </c>
      <c r="J44" s="20">
        <v>131</v>
      </c>
      <c r="K44" s="12" t="s">
        <v>20</v>
      </c>
      <c r="L44" s="12">
        <v>1</v>
      </c>
      <c r="M44" s="17">
        <v>150537</v>
      </c>
      <c r="N44" s="17">
        <f t="shared" si="5"/>
        <v>150537</v>
      </c>
      <c r="O44" s="17" t="s">
        <v>21</v>
      </c>
      <c r="P44" s="12">
        <f t="shared" si="3"/>
        <v>25</v>
      </c>
      <c r="Q44" s="12">
        <f t="shared" si="2"/>
        <v>128</v>
      </c>
    </row>
    <row r="45" spans="1:17" ht="15" customHeight="1" x14ac:dyDescent="0.2">
      <c r="A45" s="12" t="s">
        <v>18</v>
      </c>
      <c r="B45" s="36">
        <v>45965</v>
      </c>
      <c r="C45" s="123">
        <f t="shared" si="4"/>
        <v>172</v>
      </c>
      <c r="D45" s="12">
        <v>1</v>
      </c>
      <c r="G45" s="12" t="s">
        <v>1722</v>
      </c>
      <c r="H45" s="12" t="s">
        <v>4513</v>
      </c>
      <c r="I45" s="12">
        <v>131</v>
      </c>
      <c r="J45" s="20">
        <v>5113</v>
      </c>
      <c r="K45" s="12" t="s">
        <v>20</v>
      </c>
      <c r="L45" s="12">
        <v>1</v>
      </c>
      <c r="M45" s="17">
        <v>53763440</v>
      </c>
      <c r="N45" s="17">
        <f t="shared" si="5"/>
        <v>53763440</v>
      </c>
      <c r="O45" s="17" t="s">
        <v>21</v>
      </c>
      <c r="P45" s="12">
        <f t="shared" si="3"/>
        <v>26</v>
      </c>
      <c r="Q45" s="12">
        <f t="shared" si="2"/>
        <v>116</v>
      </c>
    </row>
    <row r="46" spans="1:17" ht="15" customHeight="1" x14ac:dyDescent="0.2">
      <c r="A46" s="12" t="s">
        <v>18</v>
      </c>
      <c r="B46" s="36">
        <v>45965</v>
      </c>
      <c r="C46" s="123">
        <f t="shared" si="4"/>
        <v>172</v>
      </c>
      <c r="D46" s="12">
        <v>0</v>
      </c>
      <c r="G46" s="14" t="s">
        <v>1722</v>
      </c>
      <c r="H46" s="12" t="s">
        <v>4514</v>
      </c>
      <c r="I46" s="12">
        <v>333821</v>
      </c>
      <c r="J46" s="20">
        <v>131</v>
      </c>
      <c r="K46" s="12" t="s">
        <v>20</v>
      </c>
      <c r="L46" s="12">
        <v>1</v>
      </c>
      <c r="M46" s="17">
        <v>537634</v>
      </c>
      <c r="N46" s="17">
        <f t="shared" si="5"/>
        <v>537634</v>
      </c>
      <c r="O46" s="17" t="s">
        <v>21</v>
      </c>
      <c r="P46" s="12">
        <f t="shared" si="3"/>
        <v>26</v>
      </c>
      <c r="Q46" s="12">
        <f t="shared" si="2"/>
        <v>132</v>
      </c>
    </row>
    <row r="47" spans="1:17" ht="15" customHeight="1" x14ac:dyDescent="0.2">
      <c r="A47" s="12" t="s">
        <v>18</v>
      </c>
      <c r="B47" s="36">
        <v>45968</v>
      </c>
      <c r="C47" s="123">
        <f t="shared" si="4"/>
        <v>173</v>
      </c>
      <c r="D47" s="12">
        <v>1</v>
      </c>
      <c r="G47" s="12" t="s">
        <v>108</v>
      </c>
      <c r="H47" s="12" t="s">
        <v>1709</v>
      </c>
      <c r="I47" s="12">
        <v>131</v>
      </c>
      <c r="J47" s="20">
        <v>5113</v>
      </c>
      <c r="K47" s="12" t="s">
        <v>20</v>
      </c>
      <c r="L47" s="12">
        <v>1</v>
      </c>
      <c r="M47" s="17">
        <v>11559139</v>
      </c>
      <c r="N47" s="17">
        <f t="shared" si="5"/>
        <v>11559139</v>
      </c>
      <c r="O47" s="17" t="s">
        <v>21</v>
      </c>
      <c r="P47" s="12">
        <f t="shared" si="3"/>
        <v>27</v>
      </c>
      <c r="Q47" s="12">
        <f t="shared" si="2"/>
        <v>154</v>
      </c>
    </row>
    <row r="48" spans="1:17" ht="15" customHeight="1" x14ac:dyDescent="0.2">
      <c r="A48" s="12" t="s">
        <v>18</v>
      </c>
      <c r="B48" s="36">
        <v>45968</v>
      </c>
      <c r="C48" s="123">
        <f t="shared" si="4"/>
        <v>173</v>
      </c>
      <c r="D48" s="12">
        <v>0</v>
      </c>
      <c r="G48" s="14" t="s">
        <v>108</v>
      </c>
      <c r="H48" s="12" t="s">
        <v>1750</v>
      </c>
      <c r="I48" s="12">
        <v>333821</v>
      </c>
      <c r="J48" s="20">
        <v>131</v>
      </c>
      <c r="K48" s="12" t="s">
        <v>20</v>
      </c>
      <c r="L48" s="12">
        <v>1</v>
      </c>
      <c r="M48" s="17">
        <v>115591</v>
      </c>
      <c r="N48" s="17">
        <f t="shared" si="5"/>
        <v>115591</v>
      </c>
      <c r="O48" s="17" t="s">
        <v>21</v>
      </c>
      <c r="P48" s="12">
        <f t="shared" si="3"/>
        <v>27</v>
      </c>
      <c r="Q48" s="12">
        <f t="shared" si="2"/>
        <v>170</v>
      </c>
    </row>
    <row r="49" spans="1:17" ht="15" customHeight="1" x14ac:dyDescent="0.2">
      <c r="A49" s="12" t="s">
        <v>18</v>
      </c>
      <c r="B49" s="36">
        <v>45973</v>
      </c>
      <c r="C49" s="123">
        <f t="shared" si="4"/>
        <v>174</v>
      </c>
      <c r="D49" s="12">
        <v>1</v>
      </c>
      <c r="G49" s="12" t="s">
        <v>1726</v>
      </c>
      <c r="H49" s="12" t="s">
        <v>1710</v>
      </c>
      <c r="I49" s="12">
        <v>131</v>
      </c>
      <c r="J49" s="20">
        <v>5113</v>
      </c>
      <c r="K49" s="12" t="s">
        <v>20</v>
      </c>
      <c r="L49" s="12">
        <v>1</v>
      </c>
      <c r="M49" s="17">
        <v>15053764</v>
      </c>
      <c r="N49" s="17">
        <f t="shared" si="5"/>
        <v>15053764</v>
      </c>
      <c r="O49" s="17" t="s">
        <v>21</v>
      </c>
      <c r="P49" s="12">
        <f t="shared" si="3"/>
        <v>28</v>
      </c>
      <c r="Q49" s="12">
        <f t="shared" si="2"/>
        <v>143</v>
      </c>
    </row>
    <row r="50" spans="1:17" ht="15" customHeight="1" x14ac:dyDescent="0.2">
      <c r="A50" s="12" t="s">
        <v>18</v>
      </c>
      <c r="B50" s="36">
        <v>45973</v>
      </c>
      <c r="C50" s="123">
        <f t="shared" si="4"/>
        <v>174</v>
      </c>
      <c r="D50" s="12">
        <v>0</v>
      </c>
      <c r="G50" s="14" t="s">
        <v>1726</v>
      </c>
      <c r="H50" s="12" t="s">
        <v>1751</v>
      </c>
      <c r="I50" s="12">
        <v>333821</v>
      </c>
      <c r="J50" s="20">
        <v>131</v>
      </c>
      <c r="K50" s="12" t="s">
        <v>20</v>
      </c>
      <c r="L50" s="12">
        <v>1</v>
      </c>
      <c r="M50" s="17">
        <v>150538</v>
      </c>
      <c r="N50" s="17">
        <f t="shared" si="5"/>
        <v>150538</v>
      </c>
      <c r="O50" s="17" t="s">
        <v>21</v>
      </c>
      <c r="P50" s="12">
        <f t="shared" si="3"/>
        <v>28</v>
      </c>
      <c r="Q50" s="12">
        <f t="shared" si="2"/>
        <v>159</v>
      </c>
    </row>
    <row r="51" spans="1:17" ht="15" customHeight="1" x14ac:dyDescent="0.2">
      <c r="A51" s="12" t="s">
        <v>18</v>
      </c>
      <c r="B51" s="36">
        <v>45975</v>
      </c>
      <c r="C51" s="123">
        <f t="shared" si="4"/>
        <v>175</v>
      </c>
      <c r="D51" s="12">
        <v>1</v>
      </c>
      <c r="G51" s="12" t="s">
        <v>108</v>
      </c>
      <c r="H51" s="12" t="s">
        <v>1711</v>
      </c>
      <c r="I51" s="12">
        <v>131</v>
      </c>
      <c r="J51" s="20">
        <v>5113</v>
      </c>
      <c r="K51" s="12" t="s">
        <v>20</v>
      </c>
      <c r="L51" s="12">
        <v>1</v>
      </c>
      <c r="M51" s="17">
        <v>15591398</v>
      </c>
      <c r="N51" s="17">
        <f t="shared" si="5"/>
        <v>15591398</v>
      </c>
      <c r="O51" s="17" t="s">
        <v>21</v>
      </c>
      <c r="P51" s="12">
        <f t="shared" si="3"/>
        <v>29</v>
      </c>
      <c r="Q51" s="12">
        <f t="shared" si="2"/>
        <v>144</v>
      </c>
    </row>
    <row r="52" spans="1:17" ht="15" customHeight="1" x14ac:dyDescent="0.2">
      <c r="A52" s="12" t="s">
        <v>18</v>
      </c>
      <c r="B52" s="36">
        <v>45975</v>
      </c>
      <c r="C52" s="123">
        <f t="shared" si="4"/>
        <v>175</v>
      </c>
      <c r="D52" s="12">
        <v>0</v>
      </c>
      <c r="G52" s="14" t="s">
        <v>108</v>
      </c>
      <c r="H52" s="12" t="s">
        <v>1752</v>
      </c>
      <c r="I52" s="12">
        <v>333821</v>
      </c>
      <c r="J52" s="20">
        <v>131</v>
      </c>
      <c r="K52" s="12" t="s">
        <v>20</v>
      </c>
      <c r="L52" s="12">
        <v>1</v>
      </c>
      <c r="M52" s="17">
        <v>155914</v>
      </c>
      <c r="N52" s="17">
        <f t="shared" si="5"/>
        <v>155914</v>
      </c>
      <c r="O52" s="17" t="s">
        <v>21</v>
      </c>
      <c r="P52" s="12">
        <f t="shared" si="3"/>
        <v>29</v>
      </c>
      <c r="Q52" s="12">
        <f t="shared" si="2"/>
        <v>160</v>
      </c>
    </row>
    <row r="53" spans="1:17" ht="15" customHeight="1" x14ac:dyDescent="0.2">
      <c r="A53" s="12" t="s">
        <v>18</v>
      </c>
      <c r="B53" s="36">
        <v>45978</v>
      </c>
      <c r="C53" s="123">
        <f t="shared" si="4"/>
        <v>176</v>
      </c>
      <c r="D53" s="12">
        <v>1</v>
      </c>
      <c r="G53" s="12" t="s">
        <v>26</v>
      </c>
      <c r="H53" s="12" t="s">
        <v>1712</v>
      </c>
      <c r="I53" s="12">
        <v>131</v>
      </c>
      <c r="J53" s="20">
        <v>5113</v>
      </c>
      <c r="K53" s="12" t="s">
        <v>20</v>
      </c>
      <c r="L53" s="12">
        <v>1</v>
      </c>
      <c r="M53" s="17">
        <v>12903226</v>
      </c>
      <c r="N53" s="17">
        <f t="shared" si="5"/>
        <v>12903226</v>
      </c>
      <c r="O53" s="17" t="s">
        <v>21</v>
      </c>
      <c r="P53" s="12">
        <f t="shared" si="3"/>
        <v>30</v>
      </c>
      <c r="Q53" s="12">
        <f t="shared" si="2"/>
        <v>167</v>
      </c>
    </row>
    <row r="54" spans="1:17" ht="15" customHeight="1" x14ac:dyDescent="0.2">
      <c r="A54" s="12" t="s">
        <v>18</v>
      </c>
      <c r="B54" s="36">
        <v>45978</v>
      </c>
      <c r="C54" s="123">
        <f t="shared" si="4"/>
        <v>176</v>
      </c>
      <c r="D54" s="12">
        <v>0</v>
      </c>
      <c r="G54" s="14" t="s">
        <v>26</v>
      </c>
      <c r="H54" s="12" t="s">
        <v>1753</v>
      </c>
      <c r="I54" s="12">
        <v>333821</v>
      </c>
      <c r="J54" s="20">
        <v>131</v>
      </c>
      <c r="K54" s="12" t="s">
        <v>20</v>
      </c>
      <c r="L54" s="12">
        <v>1</v>
      </c>
      <c r="M54" s="17">
        <v>129032</v>
      </c>
      <c r="N54" s="17">
        <f t="shared" si="5"/>
        <v>129032</v>
      </c>
      <c r="O54" s="17" t="s">
        <v>21</v>
      </c>
      <c r="P54" s="12">
        <f t="shared" si="3"/>
        <v>30</v>
      </c>
      <c r="Q54" s="12">
        <f t="shared" si="2"/>
        <v>183</v>
      </c>
    </row>
    <row r="55" spans="1:17" ht="15" customHeight="1" x14ac:dyDescent="0.2">
      <c r="A55" s="12" t="s">
        <v>18</v>
      </c>
      <c r="B55" s="36">
        <v>45982</v>
      </c>
      <c r="C55" s="123">
        <f t="shared" si="4"/>
        <v>177</v>
      </c>
      <c r="D55" s="12">
        <v>1</v>
      </c>
      <c r="G55" s="12" t="s">
        <v>95</v>
      </c>
      <c r="H55" s="12" t="s">
        <v>4515</v>
      </c>
      <c r="I55" s="12">
        <v>131</v>
      </c>
      <c r="J55" s="20">
        <v>5113</v>
      </c>
      <c r="K55" s="12" t="s">
        <v>20</v>
      </c>
      <c r="L55" s="12">
        <v>1</v>
      </c>
      <c r="M55" s="17">
        <v>12903226</v>
      </c>
      <c r="N55" s="17">
        <f t="shared" si="5"/>
        <v>12903226</v>
      </c>
      <c r="O55" s="17" t="s">
        <v>21</v>
      </c>
      <c r="P55" s="12">
        <f t="shared" si="3"/>
        <v>31</v>
      </c>
      <c r="Q55" s="12">
        <f t="shared" si="2"/>
        <v>174</v>
      </c>
    </row>
    <row r="56" spans="1:17" ht="15" customHeight="1" x14ac:dyDescent="0.2">
      <c r="A56" s="12" t="s">
        <v>18</v>
      </c>
      <c r="B56" s="36">
        <v>45982</v>
      </c>
      <c r="C56" s="123">
        <f t="shared" si="4"/>
        <v>177</v>
      </c>
      <c r="D56" s="12">
        <v>0</v>
      </c>
      <c r="G56" s="14" t="s">
        <v>95</v>
      </c>
      <c r="H56" s="12" t="s">
        <v>4516</v>
      </c>
      <c r="I56" s="12">
        <v>333821</v>
      </c>
      <c r="J56" s="20">
        <v>131</v>
      </c>
      <c r="K56" s="12" t="s">
        <v>20</v>
      </c>
      <c r="L56" s="12">
        <v>1</v>
      </c>
      <c r="M56" s="17">
        <v>129032</v>
      </c>
      <c r="N56" s="17">
        <f t="shared" si="5"/>
        <v>129032</v>
      </c>
      <c r="O56" s="17" t="s">
        <v>21</v>
      </c>
      <c r="P56" s="12">
        <f t="shared" si="3"/>
        <v>31</v>
      </c>
      <c r="Q56" s="12">
        <f t="shared" si="2"/>
        <v>190</v>
      </c>
    </row>
    <row r="57" spans="1:17" ht="15" customHeight="1" x14ac:dyDescent="0.2">
      <c r="A57" s="12" t="s">
        <v>18</v>
      </c>
      <c r="B57" s="36">
        <v>45986</v>
      </c>
      <c r="C57" s="123">
        <f t="shared" si="4"/>
        <v>178</v>
      </c>
      <c r="D57" s="12">
        <v>1</v>
      </c>
      <c r="G57" s="12" t="s">
        <v>26</v>
      </c>
      <c r="H57" s="12" t="s">
        <v>1713</v>
      </c>
      <c r="I57" s="12">
        <v>131</v>
      </c>
      <c r="J57" s="20">
        <v>5113</v>
      </c>
      <c r="K57" s="12" t="s">
        <v>20</v>
      </c>
      <c r="L57" s="12">
        <v>1</v>
      </c>
      <c r="M57" s="17">
        <v>12903226</v>
      </c>
      <c r="N57" s="17">
        <f t="shared" si="5"/>
        <v>12903226</v>
      </c>
      <c r="O57" s="17" t="s">
        <v>21</v>
      </c>
      <c r="P57" s="12">
        <f t="shared" si="3"/>
        <v>32</v>
      </c>
      <c r="Q57" s="12">
        <f t="shared" si="2"/>
        <v>167</v>
      </c>
    </row>
    <row r="58" spans="1:17" ht="15" customHeight="1" x14ac:dyDescent="0.2">
      <c r="A58" s="12" t="s">
        <v>18</v>
      </c>
      <c r="B58" s="36">
        <v>45986</v>
      </c>
      <c r="C58" s="123">
        <f t="shared" si="4"/>
        <v>178</v>
      </c>
      <c r="D58" s="12">
        <v>0</v>
      </c>
      <c r="G58" s="14" t="s">
        <v>26</v>
      </c>
      <c r="H58" s="12" t="s">
        <v>1754</v>
      </c>
      <c r="I58" s="12">
        <v>333821</v>
      </c>
      <c r="J58" s="20">
        <v>131</v>
      </c>
      <c r="K58" s="12" t="s">
        <v>20</v>
      </c>
      <c r="L58" s="12">
        <v>1</v>
      </c>
      <c r="M58" s="17">
        <v>129032</v>
      </c>
      <c r="N58" s="17">
        <f t="shared" si="5"/>
        <v>129032</v>
      </c>
      <c r="O58" s="17" t="s">
        <v>21</v>
      </c>
      <c r="P58" s="12">
        <f t="shared" si="3"/>
        <v>32</v>
      </c>
      <c r="Q58" s="12">
        <f t="shared" si="2"/>
        <v>183</v>
      </c>
    </row>
    <row r="59" spans="1:17" ht="15" customHeight="1" x14ac:dyDescent="0.2">
      <c r="A59" s="12" t="s">
        <v>18</v>
      </c>
      <c r="B59" s="36">
        <v>45992</v>
      </c>
      <c r="C59" s="123">
        <f t="shared" si="4"/>
        <v>179</v>
      </c>
      <c r="D59" s="12">
        <v>1</v>
      </c>
      <c r="G59" s="12" t="s">
        <v>1727</v>
      </c>
      <c r="H59" s="12" t="s">
        <v>1714</v>
      </c>
      <c r="I59" s="12">
        <v>131</v>
      </c>
      <c r="J59" s="20">
        <v>5113</v>
      </c>
      <c r="K59" s="12" t="s">
        <v>20</v>
      </c>
      <c r="L59" s="12">
        <v>1</v>
      </c>
      <c r="M59" s="17">
        <v>12903226</v>
      </c>
      <c r="N59" s="17">
        <f t="shared" si="5"/>
        <v>12903226</v>
      </c>
      <c r="O59" s="17" t="s">
        <v>21</v>
      </c>
      <c r="P59" s="12">
        <f t="shared" si="3"/>
        <v>33</v>
      </c>
      <c r="Q59" s="12">
        <f t="shared" si="2"/>
        <v>162</v>
      </c>
    </row>
    <row r="60" spans="1:17" ht="15" customHeight="1" x14ac:dyDescent="0.2">
      <c r="A60" s="12" t="s">
        <v>18</v>
      </c>
      <c r="B60" s="36">
        <v>45992</v>
      </c>
      <c r="C60" s="123">
        <f t="shared" si="4"/>
        <v>179</v>
      </c>
      <c r="D60" s="12">
        <v>0</v>
      </c>
      <c r="G60" s="14" t="s">
        <v>1727</v>
      </c>
      <c r="H60" s="12" t="s">
        <v>1755</v>
      </c>
      <c r="I60" s="12">
        <v>333821</v>
      </c>
      <c r="J60" s="20">
        <v>131</v>
      </c>
      <c r="K60" s="12" t="s">
        <v>20</v>
      </c>
      <c r="L60" s="12">
        <v>1</v>
      </c>
      <c r="M60" s="17">
        <v>129032</v>
      </c>
      <c r="N60" s="17">
        <f t="shared" si="5"/>
        <v>129032</v>
      </c>
      <c r="O60" s="17" t="s">
        <v>21</v>
      </c>
      <c r="P60" s="12">
        <f t="shared" si="3"/>
        <v>33</v>
      </c>
      <c r="Q60" s="12">
        <f t="shared" si="2"/>
        <v>178</v>
      </c>
    </row>
    <row r="61" spans="1:17" ht="15" customHeight="1" x14ac:dyDescent="0.2">
      <c r="A61" s="12" t="s">
        <v>18</v>
      </c>
      <c r="B61" s="36">
        <v>45993</v>
      </c>
      <c r="C61" s="123">
        <f t="shared" si="4"/>
        <v>180</v>
      </c>
      <c r="D61" s="12">
        <v>1</v>
      </c>
      <c r="G61" s="12" t="s">
        <v>653</v>
      </c>
      <c r="H61" s="12" t="s">
        <v>1715</v>
      </c>
      <c r="I61" s="12">
        <v>131</v>
      </c>
      <c r="J61" s="20">
        <v>5113</v>
      </c>
      <c r="K61" s="12" t="s">
        <v>20</v>
      </c>
      <c r="L61" s="12">
        <v>1</v>
      </c>
      <c r="M61" s="17">
        <v>15053764</v>
      </c>
      <c r="N61" s="17">
        <f t="shared" si="5"/>
        <v>15053764</v>
      </c>
      <c r="O61" s="17" t="s">
        <v>21</v>
      </c>
      <c r="P61" s="12">
        <f t="shared" si="3"/>
        <v>34</v>
      </c>
      <c r="Q61" s="12">
        <f t="shared" si="2"/>
        <v>173</v>
      </c>
    </row>
    <row r="62" spans="1:17" ht="15" customHeight="1" x14ac:dyDescent="0.2">
      <c r="A62" s="12" t="s">
        <v>18</v>
      </c>
      <c r="B62" s="36">
        <v>45993</v>
      </c>
      <c r="C62" s="123">
        <f t="shared" si="4"/>
        <v>180</v>
      </c>
      <c r="D62" s="12">
        <v>0</v>
      </c>
      <c r="G62" s="14" t="s">
        <v>653</v>
      </c>
      <c r="H62" s="12" t="s">
        <v>1756</v>
      </c>
      <c r="I62" s="12">
        <v>333821</v>
      </c>
      <c r="J62" s="20">
        <v>131</v>
      </c>
      <c r="K62" s="12" t="s">
        <v>20</v>
      </c>
      <c r="L62" s="12">
        <v>1</v>
      </c>
      <c r="M62" s="17">
        <v>150538</v>
      </c>
      <c r="N62" s="17">
        <f t="shared" si="5"/>
        <v>150538</v>
      </c>
      <c r="O62" s="17" t="s">
        <v>21</v>
      </c>
      <c r="P62" s="12">
        <f t="shared" si="3"/>
        <v>34</v>
      </c>
      <c r="Q62" s="12">
        <f t="shared" si="2"/>
        <v>189</v>
      </c>
    </row>
    <row r="63" spans="1:17" ht="15" customHeight="1" x14ac:dyDescent="0.2">
      <c r="A63" s="12" t="s">
        <v>18</v>
      </c>
      <c r="B63" s="36">
        <v>46000</v>
      </c>
      <c r="C63" s="123">
        <f t="shared" si="4"/>
        <v>181</v>
      </c>
      <c r="D63" s="12">
        <v>1</v>
      </c>
      <c r="G63" s="12" t="s">
        <v>66</v>
      </c>
      <c r="H63" s="12" t="s">
        <v>1716</v>
      </c>
      <c r="I63" s="12">
        <v>131</v>
      </c>
      <c r="J63" s="20">
        <v>5113</v>
      </c>
      <c r="K63" s="12" t="s">
        <v>20</v>
      </c>
      <c r="L63" s="12">
        <v>1</v>
      </c>
      <c r="M63" s="17">
        <v>12903226</v>
      </c>
      <c r="N63" s="17">
        <f t="shared" si="5"/>
        <v>12903226</v>
      </c>
      <c r="O63" s="17" t="s">
        <v>21</v>
      </c>
      <c r="P63" s="12">
        <f t="shared" si="3"/>
        <v>35</v>
      </c>
      <c r="Q63" s="12">
        <f t="shared" si="2"/>
        <v>156</v>
      </c>
    </row>
    <row r="64" spans="1:17" ht="15" customHeight="1" x14ac:dyDescent="0.2">
      <c r="A64" s="12" t="s">
        <v>18</v>
      </c>
      <c r="B64" s="36">
        <v>46000</v>
      </c>
      <c r="C64" s="123">
        <f t="shared" si="4"/>
        <v>181</v>
      </c>
      <c r="D64" s="12">
        <v>0</v>
      </c>
      <c r="G64" s="14" t="s">
        <v>66</v>
      </c>
      <c r="H64" s="12" t="s">
        <v>1757</v>
      </c>
      <c r="I64" s="12">
        <v>333821</v>
      </c>
      <c r="J64" s="20">
        <v>131</v>
      </c>
      <c r="K64" s="12" t="s">
        <v>20</v>
      </c>
      <c r="L64" s="12">
        <v>1</v>
      </c>
      <c r="M64" s="17">
        <v>129032</v>
      </c>
      <c r="N64" s="17">
        <f t="shared" si="5"/>
        <v>129032</v>
      </c>
      <c r="O64" s="17" t="s">
        <v>21</v>
      </c>
      <c r="P64" s="12">
        <f t="shared" si="3"/>
        <v>35</v>
      </c>
      <c r="Q64" s="12">
        <f t="shared" si="2"/>
        <v>172</v>
      </c>
    </row>
    <row r="65" spans="1:17" ht="15" customHeight="1" x14ac:dyDescent="0.2">
      <c r="A65" s="12" t="s">
        <v>18</v>
      </c>
      <c r="B65" s="36">
        <v>46003</v>
      </c>
      <c r="C65" s="123">
        <f t="shared" si="4"/>
        <v>182</v>
      </c>
      <c r="D65" s="12">
        <v>1</v>
      </c>
      <c r="G65" s="12" t="s">
        <v>47</v>
      </c>
      <c r="H65" s="12" t="s">
        <v>4517</v>
      </c>
      <c r="I65" s="12">
        <v>131</v>
      </c>
      <c r="J65" s="20">
        <v>5113</v>
      </c>
      <c r="K65" s="12" t="s">
        <v>20</v>
      </c>
      <c r="L65" s="12">
        <v>1</v>
      </c>
      <c r="M65" s="17">
        <v>12903226</v>
      </c>
      <c r="N65" s="17">
        <f t="shared" si="5"/>
        <v>12903226</v>
      </c>
      <c r="O65" s="17" t="s">
        <v>21</v>
      </c>
      <c r="P65" s="12">
        <f t="shared" si="3"/>
        <v>36</v>
      </c>
      <c r="Q65" s="12">
        <f t="shared" si="2"/>
        <v>175</v>
      </c>
    </row>
    <row r="66" spans="1:17" ht="15" customHeight="1" x14ac:dyDescent="0.2">
      <c r="A66" s="12" t="s">
        <v>18</v>
      </c>
      <c r="B66" s="36">
        <v>46003</v>
      </c>
      <c r="C66" s="123">
        <f t="shared" si="4"/>
        <v>182</v>
      </c>
      <c r="D66" s="12">
        <v>0</v>
      </c>
      <c r="G66" s="14" t="s">
        <v>47</v>
      </c>
      <c r="H66" s="12" t="s">
        <v>4518</v>
      </c>
      <c r="I66" s="12">
        <v>333821</v>
      </c>
      <c r="J66" s="20">
        <v>131</v>
      </c>
      <c r="K66" s="12" t="s">
        <v>20</v>
      </c>
      <c r="L66" s="12">
        <v>1</v>
      </c>
      <c r="M66" s="17">
        <v>129032</v>
      </c>
      <c r="N66" s="17">
        <f t="shared" si="5"/>
        <v>129032</v>
      </c>
      <c r="O66" s="17" t="s">
        <v>21</v>
      </c>
      <c r="P66" s="12">
        <f t="shared" si="3"/>
        <v>36</v>
      </c>
      <c r="Q66" s="12">
        <f t="shared" si="2"/>
        <v>191</v>
      </c>
    </row>
    <row r="67" spans="1:17" ht="15" customHeight="1" x14ac:dyDescent="0.2">
      <c r="A67" s="12" t="s">
        <v>18</v>
      </c>
      <c r="B67" s="36">
        <v>46007</v>
      </c>
      <c r="C67" s="123">
        <f t="shared" si="4"/>
        <v>183</v>
      </c>
      <c r="D67" s="12">
        <v>1</v>
      </c>
      <c r="G67" s="12" t="s">
        <v>47</v>
      </c>
      <c r="H67" s="12" t="s">
        <v>4519</v>
      </c>
      <c r="I67" s="12">
        <v>131</v>
      </c>
      <c r="J67" s="20">
        <v>5113</v>
      </c>
      <c r="K67" s="12" t="s">
        <v>20</v>
      </c>
      <c r="L67" s="12">
        <v>1</v>
      </c>
      <c r="M67" s="17">
        <v>21505377</v>
      </c>
      <c r="N67" s="17">
        <f t="shared" si="5"/>
        <v>21505377</v>
      </c>
      <c r="O67" s="17" t="s">
        <v>21</v>
      </c>
      <c r="P67" s="12">
        <f t="shared" si="3"/>
        <v>37</v>
      </c>
      <c r="Q67" s="12">
        <f t="shared" si="2"/>
        <v>176</v>
      </c>
    </row>
    <row r="68" spans="1:17" ht="15" customHeight="1" x14ac:dyDescent="0.2">
      <c r="A68" s="12" t="s">
        <v>18</v>
      </c>
      <c r="B68" s="36">
        <v>46007</v>
      </c>
      <c r="C68" s="123">
        <f t="shared" ref="C68:C78" si="6">C67+D68</f>
        <v>183</v>
      </c>
      <c r="D68" s="12">
        <v>0</v>
      </c>
      <c r="G68" s="14" t="s">
        <v>47</v>
      </c>
      <c r="H68" s="12" t="s">
        <v>4520</v>
      </c>
      <c r="I68" s="12">
        <v>333821</v>
      </c>
      <c r="J68" s="20">
        <v>131</v>
      </c>
      <c r="K68" s="12" t="s">
        <v>20</v>
      </c>
      <c r="L68" s="12">
        <v>1</v>
      </c>
      <c r="M68" s="17">
        <v>215054</v>
      </c>
      <c r="N68" s="17">
        <f t="shared" ref="N68:N78" si="7">L68*M68</f>
        <v>215054</v>
      </c>
      <c r="O68" s="17" t="s">
        <v>21</v>
      </c>
      <c r="P68" s="12">
        <f t="shared" si="3"/>
        <v>37</v>
      </c>
      <c r="Q68" s="12">
        <f t="shared" si="2"/>
        <v>192</v>
      </c>
    </row>
    <row r="69" spans="1:17" ht="15" customHeight="1" x14ac:dyDescent="0.2">
      <c r="A69" s="12" t="s">
        <v>18</v>
      </c>
      <c r="B69" s="36">
        <v>46007</v>
      </c>
      <c r="C69" s="123">
        <f t="shared" si="6"/>
        <v>184</v>
      </c>
      <c r="D69" s="12">
        <v>1</v>
      </c>
      <c r="G69" s="12" t="s">
        <v>1728</v>
      </c>
      <c r="H69" s="12" t="s">
        <v>1717</v>
      </c>
      <c r="I69" s="12">
        <v>131</v>
      </c>
      <c r="J69" s="20">
        <v>5113</v>
      </c>
      <c r="K69" s="12" t="s">
        <v>20</v>
      </c>
      <c r="L69" s="12">
        <v>1</v>
      </c>
      <c r="M69" s="17">
        <v>12903226</v>
      </c>
      <c r="N69" s="17">
        <f t="shared" si="7"/>
        <v>12903226</v>
      </c>
      <c r="O69" s="17" t="s">
        <v>21</v>
      </c>
      <c r="P69" s="12">
        <f t="shared" si="3"/>
        <v>38</v>
      </c>
      <c r="Q69" s="12">
        <f t="shared" ref="Q69:Q133" si="8">LEN(H69)</f>
        <v>156</v>
      </c>
    </row>
    <row r="70" spans="1:17" ht="15" customHeight="1" x14ac:dyDescent="0.2">
      <c r="A70" s="12" t="s">
        <v>18</v>
      </c>
      <c r="B70" s="36">
        <v>46007</v>
      </c>
      <c r="C70" s="123">
        <f t="shared" si="6"/>
        <v>184</v>
      </c>
      <c r="D70" s="12">
        <v>0</v>
      </c>
      <c r="G70" s="14" t="s">
        <v>1728</v>
      </c>
      <c r="H70" s="12" t="s">
        <v>1758</v>
      </c>
      <c r="I70" s="12">
        <v>333821</v>
      </c>
      <c r="J70" s="20">
        <v>131</v>
      </c>
      <c r="K70" s="12" t="s">
        <v>20</v>
      </c>
      <c r="L70" s="12">
        <v>1</v>
      </c>
      <c r="M70" s="17">
        <v>129032</v>
      </c>
      <c r="N70" s="17">
        <f t="shared" si="7"/>
        <v>129032</v>
      </c>
      <c r="O70" s="17" t="s">
        <v>21</v>
      </c>
      <c r="P70" s="12">
        <f t="shared" ref="P70:P134" si="9">P69+D70</f>
        <v>38</v>
      </c>
      <c r="Q70" s="12">
        <f t="shared" si="8"/>
        <v>172</v>
      </c>
    </row>
    <row r="71" spans="1:17" ht="15" customHeight="1" x14ac:dyDescent="0.2">
      <c r="A71" s="12" t="s">
        <v>18</v>
      </c>
      <c r="B71" s="36">
        <v>46007</v>
      </c>
      <c r="C71" s="123">
        <f t="shared" si="6"/>
        <v>185</v>
      </c>
      <c r="D71" s="12">
        <v>1</v>
      </c>
      <c r="G71" s="12" t="s">
        <v>59</v>
      </c>
      <c r="H71" s="12" t="s">
        <v>1718</v>
      </c>
      <c r="I71" s="12">
        <v>131</v>
      </c>
      <c r="J71" s="20">
        <v>5113</v>
      </c>
      <c r="K71" s="12" t="s">
        <v>20</v>
      </c>
      <c r="L71" s="12">
        <v>1</v>
      </c>
      <c r="M71" s="17">
        <v>9503638</v>
      </c>
      <c r="N71" s="17">
        <f t="shared" si="7"/>
        <v>9503638</v>
      </c>
      <c r="O71" s="17" t="s">
        <v>21</v>
      </c>
      <c r="P71" s="12">
        <f t="shared" si="9"/>
        <v>39</v>
      </c>
      <c r="Q71" s="12">
        <f t="shared" si="8"/>
        <v>124</v>
      </c>
    </row>
    <row r="72" spans="1:17" ht="15" customHeight="1" x14ac:dyDescent="0.2">
      <c r="A72" s="12" t="s">
        <v>18</v>
      </c>
      <c r="B72" s="36">
        <v>46007</v>
      </c>
      <c r="C72" s="123">
        <f t="shared" si="6"/>
        <v>185</v>
      </c>
      <c r="D72" s="12">
        <v>0</v>
      </c>
      <c r="G72" s="14" t="s">
        <v>59</v>
      </c>
      <c r="H72" s="12" t="s">
        <v>1759</v>
      </c>
      <c r="I72" s="12">
        <v>333821</v>
      </c>
      <c r="J72" s="20">
        <v>131</v>
      </c>
      <c r="K72" s="12" t="s">
        <v>20</v>
      </c>
      <c r="L72" s="12">
        <v>1</v>
      </c>
      <c r="M72" s="17">
        <v>95036</v>
      </c>
      <c r="N72" s="17">
        <f t="shared" si="7"/>
        <v>95036</v>
      </c>
      <c r="O72" s="17" t="s">
        <v>21</v>
      </c>
      <c r="P72" s="12">
        <f t="shared" si="9"/>
        <v>39</v>
      </c>
      <c r="Q72" s="12">
        <f t="shared" si="8"/>
        <v>140</v>
      </c>
    </row>
    <row r="73" spans="1:17" ht="15" customHeight="1" x14ac:dyDescent="0.2">
      <c r="A73" s="12" t="s">
        <v>18</v>
      </c>
      <c r="B73" s="36">
        <v>46013</v>
      </c>
      <c r="C73" s="123">
        <f t="shared" si="6"/>
        <v>186</v>
      </c>
      <c r="D73" s="12">
        <v>1</v>
      </c>
      <c r="G73" s="12" t="s">
        <v>85</v>
      </c>
      <c r="H73" s="12" t="s">
        <v>1719</v>
      </c>
      <c r="I73" s="12">
        <v>131</v>
      </c>
      <c r="J73" s="20">
        <v>5113</v>
      </c>
      <c r="K73" s="12" t="s">
        <v>20</v>
      </c>
      <c r="L73" s="12">
        <v>1</v>
      </c>
      <c r="M73" s="17">
        <v>12903226</v>
      </c>
      <c r="N73" s="17">
        <f t="shared" si="7"/>
        <v>12903226</v>
      </c>
      <c r="O73" s="17" t="s">
        <v>21</v>
      </c>
      <c r="P73" s="12">
        <f t="shared" si="9"/>
        <v>40</v>
      </c>
      <c r="Q73" s="12">
        <f t="shared" si="8"/>
        <v>175</v>
      </c>
    </row>
    <row r="74" spans="1:17" ht="15" customHeight="1" x14ac:dyDescent="0.2">
      <c r="A74" s="12" t="s">
        <v>18</v>
      </c>
      <c r="B74" s="36">
        <v>46013</v>
      </c>
      <c r="C74" s="123">
        <f t="shared" si="6"/>
        <v>186</v>
      </c>
      <c r="D74" s="12">
        <v>0</v>
      </c>
      <c r="G74" s="14" t="s">
        <v>85</v>
      </c>
      <c r="H74" s="12" t="s">
        <v>1760</v>
      </c>
      <c r="I74" s="12">
        <v>333821</v>
      </c>
      <c r="J74" s="20">
        <v>131</v>
      </c>
      <c r="K74" s="12" t="s">
        <v>20</v>
      </c>
      <c r="L74" s="12">
        <v>1</v>
      </c>
      <c r="M74" s="17">
        <v>129032</v>
      </c>
      <c r="N74" s="17">
        <f t="shared" si="7"/>
        <v>129032</v>
      </c>
      <c r="O74" s="17" t="s">
        <v>21</v>
      </c>
      <c r="P74" s="12">
        <f t="shared" si="9"/>
        <v>40</v>
      </c>
      <c r="Q74" s="12">
        <f t="shared" si="8"/>
        <v>191</v>
      </c>
    </row>
    <row r="75" spans="1:17" ht="15" customHeight="1" x14ac:dyDescent="0.2">
      <c r="A75" s="12" t="s">
        <v>18</v>
      </c>
      <c r="B75" s="36">
        <v>46013</v>
      </c>
      <c r="C75" s="123">
        <f t="shared" si="6"/>
        <v>187</v>
      </c>
      <c r="D75" s="12">
        <v>1</v>
      </c>
      <c r="G75" s="12" t="s">
        <v>539</v>
      </c>
      <c r="H75" s="12" t="s">
        <v>1720</v>
      </c>
      <c r="I75" s="12">
        <v>131</v>
      </c>
      <c r="J75" s="20">
        <v>5113</v>
      </c>
      <c r="K75" s="12" t="s">
        <v>20</v>
      </c>
      <c r="L75" s="12">
        <v>1</v>
      </c>
      <c r="M75" s="17">
        <v>16129032</v>
      </c>
      <c r="N75" s="17">
        <f t="shared" si="7"/>
        <v>16129032</v>
      </c>
      <c r="O75" s="17" t="s">
        <v>21</v>
      </c>
      <c r="P75" s="12">
        <f t="shared" si="9"/>
        <v>41</v>
      </c>
      <c r="Q75" s="12">
        <f t="shared" si="8"/>
        <v>164</v>
      </c>
    </row>
    <row r="76" spans="1:17" ht="15" customHeight="1" x14ac:dyDescent="0.2">
      <c r="A76" s="12" t="s">
        <v>18</v>
      </c>
      <c r="B76" s="36">
        <v>46013</v>
      </c>
      <c r="C76" s="123">
        <f t="shared" si="6"/>
        <v>187</v>
      </c>
      <c r="D76" s="12">
        <v>0</v>
      </c>
      <c r="G76" s="14" t="s">
        <v>539</v>
      </c>
      <c r="H76" s="12" t="s">
        <v>1761</v>
      </c>
      <c r="I76" s="12">
        <v>333821</v>
      </c>
      <c r="J76" s="20">
        <v>131</v>
      </c>
      <c r="K76" s="12" t="s">
        <v>20</v>
      </c>
      <c r="L76" s="12">
        <v>1</v>
      </c>
      <c r="M76" s="17">
        <v>161290</v>
      </c>
      <c r="N76" s="17">
        <f t="shared" si="7"/>
        <v>161290</v>
      </c>
      <c r="O76" s="17" t="s">
        <v>21</v>
      </c>
      <c r="P76" s="12">
        <f t="shared" si="9"/>
        <v>41</v>
      </c>
      <c r="Q76" s="12">
        <f t="shared" si="8"/>
        <v>180</v>
      </c>
    </row>
    <row r="77" spans="1:17" ht="15" customHeight="1" x14ac:dyDescent="0.2">
      <c r="A77" s="12" t="s">
        <v>18</v>
      </c>
      <c r="B77" s="36">
        <v>46013</v>
      </c>
      <c r="C77" s="123">
        <f t="shared" si="6"/>
        <v>188</v>
      </c>
      <c r="D77" s="12">
        <v>1</v>
      </c>
      <c r="G77" s="12" t="s">
        <v>59</v>
      </c>
      <c r="H77" s="12" t="s">
        <v>1721</v>
      </c>
      <c r="I77" s="12">
        <v>131</v>
      </c>
      <c r="J77" s="20">
        <v>5113</v>
      </c>
      <c r="K77" s="12" t="s">
        <v>20</v>
      </c>
      <c r="L77" s="12">
        <v>1</v>
      </c>
      <c r="M77" s="17">
        <v>9503638</v>
      </c>
      <c r="N77" s="17">
        <f t="shared" si="7"/>
        <v>9503638</v>
      </c>
      <c r="O77" s="17" t="s">
        <v>21</v>
      </c>
      <c r="P77" s="12">
        <f t="shared" si="9"/>
        <v>42</v>
      </c>
      <c r="Q77" s="12">
        <f t="shared" si="8"/>
        <v>166</v>
      </c>
    </row>
    <row r="78" spans="1:17" ht="15" customHeight="1" x14ac:dyDescent="0.2">
      <c r="A78" s="12" t="s">
        <v>18</v>
      </c>
      <c r="B78" s="36">
        <v>46013</v>
      </c>
      <c r="C78" s="123">
        <f t="shared" si="6"/>
        <v>188</v>
      </c>
      <c r="D78" s="12">
        <v>0</v>
      </c>
      <c r="G78" s="14" t="s">
        <v>59</v>
      </c>
      <c r="H78" s="12" t="s">
        <v>1762</v>
      </c>
      <c r="I78" s="12">
        <v>333821</v>
      </c>
      <c r="J78" s="20">
        <v>131</v>
      </c>
      <c r="K78" s="12" t="s">
        <v>20</v>
      </c>
      <c r="L78" s="12">
        <v>1</v>
      </c>
      <c r="M78" s="17">
        <v>95036</v>
      </c>
      <c r="N78" s="17">
        <f t="shared" si="7"/>
        <v>95036</v>
      </c>
      <c r="O78" s="17" t="s">
        <v>21</v>
      </c>
      <c r="P78" s="12">
        <f t="shared" si="9"/>
        <v>42</v>
      </c>
      <c r="Q78" s="12">
        <f t="shared" si="8"/>
        <v>182</v>
      </c>
    </row>
    <row r="79" spans="1:17" ht="15" customHeight="1" x14ac:dyDescent="0.2">
      <c r="A79" s="12" t="s">
        <v>18</v>
      </c>
      <c r="B79" s="36">
        <v>45961</v>
      </c>
      <c r="C79" s="123">
        <f t="shared" ref="C79:C81" si="10">C78+D79</f>
        <v>189</v>
      </c>
      <c r="D79" s="12">
        <v>1</v>
      </c>
      <c r="G79" s="14" t="s">
        <v>43</v>
      </c>
      <c r="H79" s="12" t="s">
        <v>371</v>
      </c>
      <c r="I79" s="12">
        <v>64271</v>
      </c>
      <c r="J79" s="12">
        <v>3383</v>
      </c>
      <c r="K79" s="12" t="s">
        <v>20</v>
      </c>
      <c r="L79" s="12">
        <v>1</v>
      </c>
      <c r="M79" s="17">
        <v>690300</v>
      </c>
      <c r="N79" s="17">
        <f t="shared" ref="N79:N144" si="11">L79*M79</f>
        <v>690300</v>
      </c>
      <c r="O79" s="17" t="s">
        <v>21</v>
      </c>
      <c r="P79" s="12">
        <f t="shared" si="9"/>
        <v>43</v>
      </c>
      <c r="Q79" s="12">
        <f t="shared" si="8"/>
        <v>30</v>
      </c>
    </row>
    <row r="80" spans="1:17" ht="15" customHeight="1" x14ac:dyDescent="0.2">
      <c r="A80" s="12" t="s">
        <v>18</v>
      </c>
      <c r="B80" s="36">
        <v>45991</v>
      </c>
      <c r="C80" s="123">
        <f t="shared" si="10"/>
        <v>190</v>
      </c>
      <c r="D80" s="12">
        <v>1</v>
      </c>
      <c r="G80" s="14" t="s">
        <v>43</v>
      </c>
      <c r="H80" s="12" t="s">
        <v>372</v>
      </c>
      <c r="I80" s="12">
        <v>64271</v>
      </c>
      <c r="J80" s="12">
        <v>3383</v>
      </c>
      <c r="K80" s="12" t="s">
        <v>20</v>
      </c>
      <c r="L80" s="12">
        <v>1</v>
      </c>
      <c r="M80" s="17">
        <v>690300</v>
      </c>
      <c r="N80" s="17">
        <f t="shared" si="11"/>
        <v>690300</v>
      </c>
      <c r="O80" s="17" t="s">
        <v>21</v>
      </c>
      <c r="P80" s="12">
        <f t="shared" si="9"/>
        <v>44</v>
      </c>
      <c r="Q80" s="12">
        <f t="shared" si="8"/>
        <v>30</v>
      </c>
    </row>
    <row r="81" spans="1:17" ht="15" customHeight="1" x14ac:dyDescent="0.2">
      <c r="A81" s="12" t="s">
        <v>18</v>
      </c>
      <c r="B81" s="36">
        <v>46022</v>
      </c>
      <c r="C81" s="123">
        <f t="shared" si="10"/>
        <v>191</v>
      </c>
      <c r="D81" s="12">
        <v>1</v>
      </c>
      <c r="G81" s="14" t="s">
        <v>43</v>
      </c>
      <c r="H81" s="12" t="s">
        <v>373</v>
      </c>
      <c r="I81" s="12">
        <v>64271</v>
      </c>
      <c r="J81" s="12">
        <v>3383</v>
      </c>
      <c r="K81" s="12" t="s">
        <v>20</v>
      </c>
      <c r="L81" s="12">
        <v>1</v>
      </c>
      <c r="M81" s="17">
        <v>690300</v>
      </c>
      <c r="N81" s="17">
        <f t="shared" si="11"/>
        <v>690300</v>
      </c>
      <c r="O81" s="17" t="s">
        <v>21</v>
      </c>
      <c r="P81" s="12">
        <f t="shared" si="9"/>
        <v>45</v>
      </c>
      <c r="Q81" s="12">
        <f t="shared" si="8"/>
        <v>30</v>
      </c>
    </row>
    <row r="82" spans="1:17" ht="15" customHeight="1" x14ac:dyDescent="0.2">
      <c r="A82" s="12" t="s">
        <v>2679</v>
      </c>
      <c r="B82" s="36">
        <v>45936</v>
      </c>
      <c r="C82" s="123">
        <f t="shared" ref="C82:C125" si="12">C81+D82</f>
        <v>192</v>
      </c>
      <c r="D82" s="12">
        <v>1</v>
      </c>
      <c r="G82" s="14" t="s">
        <v>1723</v>
      </c>
      <c r="H82" s="12" t="s">
        <v>4467</v>
      </c>
      <c r="I82" s="12">
        <v>112111</v>
      </c>
      <c r="J82" s="12">
        <v>131</v>
      </c>
      <c r="K82" s="12" t="s">
        <v>20</v>
      </c>
      <c r="L82" s="12">
        <v>1</v>
      </c>
      <c r="M82" s="17">
        <v>9580645</v>
      </c>
      <c r="N82" s="17">
        <f t="shared" si="11"/>
        <v>9580645</v>
      </c>
      <c r="O82" s="17" t="s">
        <v>21</v>
      </c>
      <c r="P82" s="12">
        <f t="shared" si="9"/>
        <v>46</v>
      </c>
      <c r="Q82" s="12">
        <f t="shared" si="8"/>
        <v>174</v>
      </c>
    </row>
    <row r="83" spans="1:17" ht="15" customHeight="1" x14ac:dyDescent="0.2">
      <c r="A83" s="12" t="s">
        <v>2678</v>
      </c>
      <c r="B83" s="36">
        <v>45936</v>
      </c>
      <c r="C83" s="123">
        <f t="shared" si="12"/>
        <v>193</v>
      </c>
      <c r="D83" s="12">
        <v>1</v>
      </c>
      <c r="G83" s="14" t="s">
        <v>4466</v>
      </c>
      <c r="H83" s="12" t="s">
        <v>3094</v>
      </c>
      <c r="I83" s="12">
        <v>6425</v>
      </c>
      <c r="J83" s="12">
        <v>112111</v>
      </c>
      <c r="K83" s="12" t="s">
        <v>20</v>
      </c>
      <c r="L83" s="12">
        <v>1</v>
      </c>
      <c r="M83" s="17">
        <v>33000</v>
      </c>
      <c r="N83" s="17">
        <f t="shared" si="11"/>
        <v>33000</v>
      </c>
      <c r="O83" s="17" t="s">
        <v>21</v>
      </c>
      <c r="P83" s="12">
        <f t="shared" si="9"/>
        <v>47</v>
      </c>
      <c r="Q83" s="12">
        <f t="shared" si="8"/>
        <v>13</v>
      </c>
    </row>
    <row r="84" spans="1:17" ht="15" customHeight="1" x14ac:dyDescent="0.2">
      <c r="A84" s="12" t="s">
        <v>2679</v>
      </c>
      <c r="B84" s="36">
        <v>45936</v>
      </c>
      <c r="C84" s="123">
        <f t="shared" si="12"/>
        <v>194</v>
      </c>
      <c r="D84" s="12">
        <v>1</v>
      </c>
      <c r="G84" s="14" t="s">
        <v>46</v>
      </c>
      <c r="H84" s="12" t="s">
        <v>4468</v>
      </c>
      <c r="I84" s="12">
        <v>112111</v>
      </c>
      <c r="J84" s="12">
        <v>131</v>
      </c>
      <c r="K84" s="12" t="s">
        <v>20</v>
      </c>
      <c r="L84" s="12">
        <v>1</v>
      </c>
      <c r="M84" s="17">
        <v>6387097</v>
      </c>
      <c r="N84" s="17">
        <f t="shared" si="11"/>
        <v>6387097</v>
      </c>
      <c r="O84" s="17" t="s">
        <v>21</v>
      </c>
      <c r="P84" s="12">
        <f t="shared" si="9"/>
        <v>48</v>
      </c>
      <c r="Q84" s="12">
        <f t="shared" si="8"/>
        <v>161</v>
      </c>
    </row>
    <row r="85" spans="1:17" ht="15" customHeight="1" x14ac:dyDescent="0.2">
      <c r="A85" s="12" t="s">
        <v>2678</v>
      </c>
      <c r="B85" s="36">
        <v>45936</v>
      </c>
      <c r="C85" s="123">
        <f t="shared" si="12"/>
        <v>195</v>
      </c>
      <c r="D85" s="12">
        <v>1</v>
      </c>
      <c r="G85" s="14" t="s">
        <v>92</v>
      </c>
      <c r="H85" s="12" t="s">
        <v>3017</v>
      </c>
      <c r="I85" s="12">
        <v>1111</v>
      </c>
      <c r="J85" s="12">
        <v>112111</v>
      </c>
      <c r="K85" s="12" t="s">
        <v>20</v>
      </c>
      <c r="L85" s="12">
        <v>1</v>
      </c>
      <c r="M85" s="17">
        <v>35000000</v>
      </c>
      <c r="N85" s="17">
        <f t="shared" si="11"/>
        <v>35000000</v>
      </c>
      <c r="O85" s="17" t="s">
        <v>21</v>
      </c>
      <c r="P85" s="12">
        <f t="shared" si="9"/>
        <v>49</v>
      </c>
      <c r="Q85" s="12">
        <f t="shared" si="8"/>
        <v>40</v>
      </c>
    </row>
    <row r="86" spans="1:17" ht="15" customHeight="1" x14ac:dyDescent="0.2">
      <c r="A86" s="12" t="s">
        <v>2679</v>
      </c>
      <c r="B86" s="36">
        <v>45937</v>
      </c>
      <c r="C86" s="123">
        <f t="shared" si="12"/>
        <v>196</v>
      </c>
      <c r="D86" s="12">
        <v>1</v>
      </c>
      <c r="G86" s="14" t="s">
        <v>97</v>
      </c>
      <c r="H86" s="12" t="s">
        <v>4469</v>
      </c>
      <c r="I86" s="12">
        <v>112111</v>
      </c>
      <c r="J86" s="12">
        <v>131</v>
      </c>
      <c r="K86" s="12" t="s">
        <v>20</v>
      </c>
      <c r="L86" s="12">
        <v>1</v>
      </c>
      <c r="M86" s="17">
        <v>5322580</v>
      </c>
      <c r="N86" s="17">
        <f t="shared" si="11"/>
        <v>5322580</v>
      </c>
      <c r="O86" s="17" t="s">
        <v>21</v>
      </c>
      <c r="P86" s="12">
        <f t="shared" si="9"/>
        <v>50</v>
      </c>
      <c r="Q86" s="12">
        <f t="shared" si="8"/>
        <v>117</v>
      </c>
    </row>
    <row r="87" spans="1:17" ht="15" customHeight="1" x14ac:dyDescent="0.2">
      <c r="A87" s="12" t="s">
        <v>2679</v>
      </c>
      <c r="B87" s="36">
        <v>45937</v>
      </c>
      <c r="C87" s="123">
        <f t="shared" si="12"/>
        <v>197</v>
      </c>
      <c r="D87" s="12">
        <v>1</v>
      </c>
      <c r="G87" s="14" t="s">
        <v>93</v>
      </c>
      <c r="H87" s="12" t="s">
        <v>3019</v>
      </c>
      <c r="I87" s="12">
        <v>112111</v>
      </c>
      <c r="J87" s="12">
        <v>3388</v>
      </c>
      <c r="K87" s="12" t="s">
        <v>20</v>
      </c>
      <c r="L87" s="12">
        <v>1</v>
      </c>
      <c r="M87" s="17">
        <v>12000000</v>
      </c>
      <c r="N87" s="17">
        <f t="shared" si="11"/>
        <v>12000000</v>
      </c>
      <c r="O87" s="17" t="s">
        <v>21</v>
      </c>
      <c r="P87" s="12">
        <f t="shared" si="9"/>
        <v>51</v>
      </c>
      <c r="Q87" s="12">
        <f t="shared" si="8"/>
        <v>27</v>
      </c>
    </row>
    <row r="88" spans="1:17" ht="15" customHeight="1" x14ac:dyDescent="0.2">
      <c r="A88" s="12" t="s">
        <v>2678</v>
      </c>
      <c r="B88" s="36">
        <v>45937</v>
      </c>
      <c r="C88" s="123">
        <f t="shared" si="12"/>
        <v>198</v>
      </c>
      <c r="D88" s="12">
        <v>1</v>
      </c>
      <c r="G88" s="14" t="s">
        <v>93</v>
      </c>
      <c r="H88" s="12" t="s">
        <v>4470</v>
      </c>
      <c r="I88" s="12">
        <v>3388</v>
      </c>
      <c r="J88" s="12">
        <v>112111</v>
      </c>
      <c r="K88" s="12" t="s">
        <v>20</v>
      </c>
      <c r="L88" s="12">
        <v>1</v>
      </c>
      <c r="M88" s="17">
        <v>12000000</v>
      </c>
      <c r="N88" s="17">
        <f t="shared" si="11"/>
        <v>12000000</v>
      </c>
      <c r="O88" s="17" t="s">
        <v>21</v>
      </c>
      <c r="P88" s="12">
        <f t="shared" si="9"/>
        <v>52</v>
      </c>
      <c r="Q88" s="12">
        <f t="shared" si="8"/>
        <v>32</v>
      </c>
    </row>
    <row r="89" spans="1:17" ht="15" customHeight="1" x14ac:dyDescent="0.2">
      <c r="A89" s="12" t="s">
        <v>2678</v>
      </c>
      <c r="B89" s="36">
        <v>45938</v>
      </c>
      <c r="C89" s="123">
        <f t="shared" si="12"/>
        <v>199</v>
      </c>
      <c r="D89" s="12">
        <v>1</v>
      </c>
      <c r="G89" s="14" t="s">
        <v>4466</v>
      </c>
      <c r="H89" s="12" t="s">
        <v>3094</v>
      </c>
      <c r="I89" s="12">
        <v>6425</v>
      </c>
      <c r="J89" s="12">
        <v>112111</v>
      </c>
      <c r="K89" s="12" t="s">
        <v>20</v>
      </c>
      <c r="L89" s="12">
        <v>1</v>
      </c>
      <c r="M89" s="17">
        <v>16500</v>
      </c>
      <c r="N89" s="17">
        <f t="shared" si="11"/>
        <v>16500</v>
      </c>
      <c r="O89" s="17" t="s">
        <v>21</v>
      </c>
      <c r="P89" s="12">
        <f t="shared" si="9"/>
        <v>53</v>
      </c>
      <c r="Q89" s="12">
        <f t="shared" si="8"/>
        <v>13</v>
      </c>
    </row>
    <row r="90" spans="1:17" ht="15" customHeight="1" x14ac:dyDescent="0.2">
      <c r="A90" s="12" t="s">
        <v>2679</v>
      </c>
      <c r="B90" s="36">
        <v>45947</v>
      </c>
      <c r="C90" s="123">
        <f t="shared" si="12"/>
        <v>200</v>
      </c>
      <c r="D90" s="12">
        <v>1</v>
      </c>
      <c r="G90" s="14" t="s">
        <v>66</v>
      </c>
      <c r="H90" s="12" t="s">
        <v>4487</v>
      </c>
      <c r="I90" s="12">
        <v>112111</v>
      </c>
      <c r="J90" s="12">
        <v>131</v>
      </c>
      <c r="K90" s="12" t="s">
        <v>20</v>
      </c>
      <c r="L90" s="12">
        <v>1</v>
      </c>
      <c r="M90" s="17">
        <v>12774194</v>
      </c>
      <c r="N90" s="17">
        <f t="shared" si="11"/>
        <v>12774194</v>
      </c>
      <c r="O90" s="17" t="s">
        <v>21</v>
      </c>
      <c r="P90" s="12">
        <f t="shared" si="9"/>
        <v>54</v>
      </c>
      <c r="Q90" s="12">
        <f t="shared" si="8"/>
        <v>163</v>
      </c>
    </row>
    <row r="91" spans="1:17" ht="15" customHeight="1" x14ac:dyDescent="0.2">
      <c r="A91" s="12" t="s">
        <v>2679</v>
      </c>
      <c r="B91" s="36">
        <v>45947</v>
      </c>
      <c r="C91" s="123">
        <f t="shared" si="12"/>
        <v>201</v>
      </c>
      <c r="D91" s="12">
        <v>1</v>
      </c>
      <c r="G91" s="14" t="s">
        <v>87</v>
      </c>
      <c r="H91" s="12" t="s">
        <v>4472</v>
      </c>
      <c r="I91" s="12">
        <v>112111</v>
      </c>
      <c r="J91" s="12">
        <v>131</v>
      </c>
      <c r="K91" s="12" t="s">
        <v>20</v>
      </c>
      <c r="L91" s="12">
        <v>1</v>
      </c>
      <c r="M91" s="17">
        <v>12774194</v>
      </c>
      <c r="N91" s="17">
        <f t="shared" si="11"/>
        <v>12774194</v>
      </c>
      <c r="O91" s="17" t="s">
        <v>21</v>
      </c>
      <c r="P91" s="12">
        <f t="shared" si="9"/>
        <v>55</v>
      </c>
      <c r="Q91" s="12">
        <f t="shared" si="8"/>
        <v>153</v>
      </c>
    </row>
    <row r="92" spans="1:17" ht="15" customHeight="1" x14ac:dyDescent="0.2">
      <c r="A92" s="12" t="s">
        <v>2678</v>
      </c>
      <c r="B92" s="36">
        <v>45951</v>
      </c>
      <c r="C92" s="123">
        <f t="shared" si="12"/>
        <v>202</v>
      </c>
      <c r="D92" s="12">
        <v>1</v>
      </c>
      <c r="G92" s="14" t="s">
        <v>94</v>
      </c>
      <c r="H92" s="12" t="s">
        <v>4474</v>
      </c>
      <c r="I92" s="12">
        <v>131</v>
      </c>
      <c r="J92" s="12">
        <v>112111</v>
      </c>
      <c r="K92" s="12" t="s">
        <v>20</v>
      </c>
      <c r="L92" s="12">
        <v>1</v>
      </c>
      <c r="M92" s="17">
        <v>10645161</v>
      </c>
      <c r="N92" s="17">
        <f t="shared" si="11"/>
        <v>10645161</v>
      </c>
      <c r="O92" s="17" t="s">
        <v>21</v>
      </c>
      <c r="P92" s="12">
        <f t="shared" si="9"/>
        <v>56</v>
      </c>
      <c r="Q92" s="12">
        <f t="shared" si="8"/>
        <v>107</v>
      </c>
    </row>
    <row r="93" spans="1:17" ht="15" customHeight="1" x14ac:dyDescent="0.2">
      <c r="A93" s="12" t="s">
        <v>2678</v>
      </c>
      <c r="B93" s="36">
        <v>45951</v>
      </c>
      <c r="C93" s="123">
        <f t="shared" si="12"/>
        <v>203</v>
      </c>
      <c r="D93" s="12">
        <v>1</v>
      </c>
      <c r="G93" s="14" t="s">
        <v>93</v>
      </c>
      <c r="H93" s="12" t="s">
        <v>4470</v>
      </c>
      <c r="I93" s="12">
        <v>131</v>
      </c>
      <c r="J93" s="12">
        <v>112111</v>
      </c>
      <c r="K93" s="12" t="s">
        <v>20</v>
      </c>
      <c r="L93" s="12">
        <v>1</v>
      </c>
      <c r="M93" s="17">
        <v>20000000</v>
      </c>
      <c r="N93" s="17">
        <f t="shared" si="11"/>
        <v>20000000</v>
      </c>
      <c r="O93" s="17" t="s">
        <v>21</v>
      </c>
      <c r="P93" s="12">
        <f t="shared" si="9"/>
        <v>57</v>
      </c>
      <c r="Q93" s="12">
        <f t="shared" si="8"/>
        <v>32</v>
      </c>
    </row>
    <row r="94" spans="1:17" ht="15" customHeight="1" x14ac:dyDescent="0.2">
      <c r="A94" s="12" t="s">
        <v>2678</v>
      </c>
      <c r="B94" s="36">
        <v>45951</v>
      </c>
      <c r="C94" s="123">
        <f t="shared" si="12"/>
        <v>204</v>
      </c>
      <c r="D94" s="12">
        <v>1</v>
      </c>
      <c r="G94" s="14" t="s">
        <v>96</v>
      </c>
      <c r="H94" s="12" t="s">
        <v>4479</v>
      </c>
      <c r="I94" s="12">
        <v>131</v>
      </c>
      <c r="J94" s="12">
        <v>112111</v>
      </c>
      <c r="K94" s="12" t="s">
        <v>20</v>
      </c>
      <c r="L94" s="12">
        <v>1</v>
      </c>
      <c r="M94" s="17">
        <v>10645161</v>
      </c>
      <c r="N94" s="17">
        <f t="shared" si="11"/>
        <v>10645161</v>
      </c>
      <c r="O94" s="17" t="s">
        <v>21</v>
      </c>
      <c r="P94" s="12">
        <f t="shared" si="9"/>
        <v>58</v>
      </c>
      <c r="Q94" s="12">
        <f t="shared" si="8"/>
        <v>167</v>
      </c>
    </row>
    <row r="95" spans="1:17" ht="15" customHeight="1" x14ac:dyDescent="0.2">
      <c r="A95" s="12" t="s">
        <v>2679</v>
      </c>
      <c r="B95" s="36">
        <v>45951</v>
      </c>
      <c r="C95" s="123">
        <f t="shared" si="12"/>
        <v>205</v>
      </c>
      <c r="D95" s="12">
        <v>1</v>
      </c>
      <c r="G95" s="14" t="s">
        <v>96</v>
      </c>
      <c r="H95" s="12" t="s">
        <v>4478</v>
      </c>
      <c r="I95" s="12">
        <v>112111</v>
      </c>
      <c r="J95" s="12">
        <v>131</v>
      </c>
      <c r="K95" s="12" t="s">
        <v>20</v>
      </c>
      <c r="L95" s="12">
        <v>1</v>
      </c>
      <c r="M95" s="17">
        <v>10645161</v>
      </c>
      <c r="N95" s="17">
        <f t="shared" si="11"/>
        <v>10645161</v>
      </c>
      <c r="O95" s="17" t="s">
        <v>21</v>
      </c>
      <c r="P95" s="12">
        <f t="shared" si="9"/>
        <v>59</v>
      </c>
      <c r="Q95" s="12">
        <f t="shared" si="8"/>
        <v>167</v>
      </c>
    </row>
    <row r="96" spans="1:17" ht="15" customHeight="1" x14ac:dyDescent="0.2">
      <c r="A96" s="12" t="s">
        <v>2679</v>
      </c>
      <c r="B96" s="36">
        <v>45952</v>
      </c>
      <c r="C96" s="123">
        <f t="shared" si="12"/>
        <v>206</v>
      </c>
      <c r="D96" s="12">
        <v>1</v>
      </c>
      <c r="G96" s="14" t="s">
        <v>108</v>
      </c>
      <c r="H96" s="12" t="s">
        <v>4475</v>
      </c>
      <c r="I96" s="12">
        <v>112111</v>
      </c>
      <c r="J96" s="12">
        <v>131</v>
      </c>
      <c r="K96" s="12" t="s">
        <v>20</v>
      </c>
      <c r="L96" s="12">
        <v>1</v>
      </c>
      <c r="M96" s="17">
        <v>11443549</v>
      </c>
      <c r="N96" s="17">
        <f t="shared" si="11"/>
        <v>11443549</v>
      </c>
      <c r="O96" s="17" t="s">
        <v>21</v>
      </c>
      <c r="P96" s="12">
        <f t="shared" si="9"/>
        <v>60</v>
      </c>
      <c r="Q96" s="12">
        <f t="shared" si="8"/>
        <v>116</v>
      </c>
    </row>
    <row r="97" spans="1:17" ht="15" customHeight="1" x14ac:dyDescent="0.2">
      <c r="A97" s="12" t="s">
        <v>2679</v>
      </c>
      <c r="B97" s="36">
        <v>45952</v>
      </c>
      <c r="C97" s="123">
        <f t="shared" si="12"/>
        <v>207</v>
      </c>
      <c r="D97" s="12">
        <v>1</v>
      </c>
      <c r="G97" s="14" t="s">
        <v>94</v>
      </c>
      <c r="H97" s="12" t="s">
        <v>4476</v>
      </c>
      <c r="I97" s="12">
        <v>112111</v>
      </c>
      <c r="J97" s="12">
        <v>131</v>
      </c>
      <c r="K97" s="12" t="s">
        <v>20</v>
      </c>
      <c r="L97" s="12">
        <v>1</v>
      </c>
      <c r="M97" s="17">
        <v>10645161</v>
      </c>
      <c r="N97" s="17">
        <f t="shared" si="11"/>
        <v>10645161</v>
      </c>
      <c r="O97" s="17" t="s">
        <v>21</v>
      </c>
      <c r="P97" s="12">
        <f t="shared" si="9"/>
        <v>61</v>
      </c>
      <c r="Q97" s="12">
        <f t="shared" si="8"/>
        <v>107</v>
      </c>
    </row>
    <row r="98" spans="1:17" ht="15" customHeight="1" x14ac:dyDescent="0.2">
      <c r="A98" s="12" t="s">
        <v>2678</v>
      </c>
      <c r="B98" s="36">
        <v>45952</v>
      </c>
      <c r="C98" s="123">
        <f t="shared" si="12"/>
        <v>208</v>
      </c>
      <c r="D98" s="12">
        <v>1</v>
      </c>
      <c r="G98" s="14" t="s">
        <v>97</v>
      </c>
      <c r="H98" s="12" t="s">
        <v>4477</v>
      </c>
      <c r="I98" s="12">
        <v>131</v>
      </c>
      <c r="J98" s="12">
        <v>112111</v>
      </c>
      <c r="K98" s="12" t="s">
        <v>20</v>
      </c>
      <c r="L98" s="12">
        <v>1</v>
      </c>
      <c r="M98" s="17">
        <v>5322581</v>
      </c>
      <c r="N98" s="17">
        <f t="shared" si="11"/>
        <v>5322581</v>
      </c>
      <c r="O98" s="17" t="s">
        <v>21</v>
      </c>
      <c r="P98" s="12">
        <f t="shared" si="9"/>
        <v>62</v>
      </c>
      <c r="Q98" s="12">
        <f t="shared" si="8"/>
        <v>117</v>
      </c>
    </row>
    <row r="99" spans="1:17" ht="15" customHeight="1" x14ac:dyDescent="0.2">
      <c r="A99" s="12" t="s">
        <v>2679</v>
      </c>
      <c r="B99" s="36">
        <v>45952</v>
      </c>
      <c r="C99" s="123">
        <f t="shared" si="12"/>
        <v>209</v>
      </c>
      <c r="D99" s="12">
        <v>1</v>
      </c>
      <c r="G99" s="14" t="s">
        <v>97</v>
      </c>
      <c r="H99" s="12" t="s">
        <v>4469</v>
      </c>
      <c r="I99" s="12">
        <v>112111</v>
      </c>
      <c r="J99" s="12">
        <v>131</v>
      </c>
      <c r="K99" s="12" t="s">
        <v>20</v>
      </c>
      <c r="L99" s="12">
        <v>1</v>
      </c>
      <c r="M99" s="17">
        <v>5322581</v>
      </c>
      <c r="N99" s="17">
        <f t="shared" si="11"/>
        <v>5322581</v>
      </c>
      <c r="O99" s="17" t="s">
        <v>21</v>
      </c>
      <c r="P99" s="12">
        <f t="shared" si="9"/>
        <v>63</v>
      </c>
      <c r="Q99" s="12">
        <f t="shared" si="8"/>
        <v>117</v>
      </c>
    </row>
    <row r="100" spans="1:17" ht="15" customHeight="1" x14ac:dyDescent="0.2">
      <c r="A100" s="12" t="s">
        <v>2679</v>
      </c>
      <c r="B100" s="36">
        <v>45952</v>
      </c>
      <c r="C100" s="123">
        <f t="shared" si="12"/>
        <v>210</v>
      </c>
      <c r="D100" s="12">
        <v>1</v>
      </c>
      <c r="G100" s="14" t="s">
        <v>96</v>
      </c>
      <c r="H100" s="12" t="s">
        <v>4473</v>
      </c>
      <c r="I100" s="12">
        <v>112111</v>
      </c>
      <c r="J100" s="12">
        <v>131</v>
      </c>
      <c r="K100" s="12" t="s">
        <v>20</v>
      </c>
      <c r="L100" s="12">
        <v>1</v>
      </c>
      <c r="M100" s="17">
        <v>10645161</v>
      </c>
      <c r="N100" s="17">
        <f t="shared" si="11"/>
        <v>10645161</v>
      </c>
      <c r="O100" s="17" t="s">
        <v>21</v>
      </c>
      <c r="P100" s="12">
        <f t="shared" si="9"/>
        <v>64</v>
      </c>
      <c r="Q100" s="12">
        <f t="shared" si="8"/>
        <v>168</v>
      </c>
    </row>
    <row r="101" spans="1:17" ht="15" customHeight="1" x14ac:dyDescent="0.2">
      <c r="A101" s="12" t="s">
        <v>2679</v>
      </c>
      <c r="B101" s="36">
        <v>45953</v>
      </c>
      <c r="C101" s="123">
        <f t="shared" si="12"/>
        <v>211</v>
      </c>
      <c r="D101" s="12">
        <v>1</v>
      </c>
      <c r="G101" s="14" t="s">
        <v>54</v>
      </c>
      <c r="H101" s="12" t="s">
        <v>4480</v>
      </c>
      <c r="I101" s="12">
        <v>112111</v>
      </c>
      <c r="J101" s="12">
        <v>131</v>
      </c>
      <c r="K101" s="12" t="s">
        <v>20</v>
      </c>
      <c r="L101" s="12">
        <v>1</v>
      </c>
      <c r="M101" s="17">
        <v>12774194</v>
      </c>
      <c r="N101" s="17">
        <f t="shared" si="11"/>
        <v>12774194</v>
      </c>
      <c r="O101" s="17" t="s">
        <v>21</v>
      </c>
      <c r="P101" s="12">
        <f t="shared" si="9"/>
        <v>65</v>
      </c>
      <c r="Q101" s="12">
        <f t="shared" si="8"/>
        <v>152</v>
      </c>
    </row>
    <row r="102" spans="1:17" ht="15" customHeight="1" x14ac:dyDescent="0.2">
      <c r="A102" s="12" t="s">
        <v>2678</v>
      </c>
      <c r="B102" s="36">
        <v>45956</v>
      </c>
      <c r="C102" s="123">
        <f t="shared" si="12"/>
        <v>212</v>
      </c>
      <c r="D102" s="12">
        <v>1</v>
      </c>
      <c r="G102" s="14" t="s">
        <v>43</v>
      </c>
      <c r="H102" s="12" t="s">
        <v>2684</v>
      </c>
      <c r="I102" s="12">
        <v>3383</v>
      </c>
      <c r="J102" s="12">
        <v>112111</v>
      </c>
      <c r="K102" s="12" t="s">
        <v>20</v>
      </c>
      <c r="L102" s="12">
        <v>1</v>
      </c>
      <c r="M102" s="17">
        <v>690300</v>
      </c>
      <c r="N102" s="17">
        <f t="shared" si="11"/>
        <v>690300</v>
      </c>
      <c r="O102" s="17" t="s">
        <v>21</v>
      </c>
      <c r="P102" s="12">
        <f t="shared" si="9"/>
        <v>66</v>
      </c>
      <c r="Q102" s="12">
        <f t="shared" si="8"/>
        <v>34</v>
      </c>
    </row>
    <row r="103" spans="1:17" ht="15" customHeight="1" x14ac:dyDescent="0.2">
      <c r="A103" s="12" t="s">
        <v>2679</v>
      </c>
      <c r="B103" s="36">
        <v>45957</v>
      </c>
      <c r="C103" s="123">
        <f t="shared" si="12"/>
        <v>213</v>
      </c>
      <c r="D103" s="12">
        <v>1</v>
      </c>
      <c r="G103" s="14" t="s">
        <v>90</v>
      </c>
      <c r="H103" s="12" t="s">
        <v>4481</v>
      </c>
      <c r="I103" s="12">
        <v>112111</v>
      </c>
      <c r="J103" s="12">
        <v>131</v>
      </c>
      <c r="K103" s="12" t="s">
        <v>20</v>
      </c>
      <c r="L103" s="12">
        <v>1</v>
      </c>
      <c r="M103" s="17">
        <v>14903226</v>
      </c>
      <c r="N103" s="17">
        <f t="shared" si="11"/>
        <v>14903226</v>
      </c>
      <c r="O103" s="17" t="s">
        <v>21</v>
      </c>
      <c r="P103" s="12">
        <f t="shared" si="9"/>
        <v>67</v>
      </c>
      <c r="Q103" s="12">
        <f t="shared" si="8"/>
        <v>163</v>
      </c>
    </row>
    <row r="104" spans="1:17" ht="15" customHeight="1" x14ac:dyDescent="0.2">
      <c r="A104" s="12" t="s">
        <v>2678</v>
      </c>
      <c r="B104" s="36">
        <v>45957</v>
      </c>
      <c r="C104" s="123">
        <f t="shared" si="12"/>
        <v>214</v>
      </c>
      <c r="D104" s="12">
        <v>1</v>
      </c>
      <c r="G104" s="14" t="s">
        <v>2717</v>
      </c>
      <c r="H104" s="12" t="s">
        <v>2718</v>
      </c>
      <c r="I104" s="12">
        <v>333821</v>
      </c>
      <c r="J104" s="12">
        <v>112111</v>
      </c>
      <c r="K104" s="12" t="s">
        <v>20</v>
      </c>
      <c r="L104" s="12">
        <v>1</v>
      </c>
      <c r="M104" s="17">
        <v>25935483</v>
      </c>
      <c r="N104" s="17">
        <f t="shared" si="11"/>
        <v>25935483</v>
      </c>
      <c r="O104" s="17" t="s">
        <v>21</v>
      </c>
      <c r="P104" s="12">
        <f t="shared" si="9"/>
        <v>68</v>
      </c>
      <c r="Q104" s="12">
        <f t="shared" si="8"/>
        <v>27</v>
      </c>
    </row>
    <row r="105" spans="1:17" ht="15" customHeight="1" x14ac:dyDescent="0.2">
      <c r="A105" s="12" t="s">
        <v>2679</v>
      </c>
      <c r="B105" s="36">
        <v>45958</v>
      </c>
      <c r="C105" s="123">
        <f t="shared" si="12"/>
        <v>215</v>
      </c>
      <c r="D105" s="12">
        <v>1</v>
      </c>
      <c r="G105" s="14" t="s">
        <v>26</v>
      </c>
      <c r="H105" s="12" t="s">
        <v>4482</v>
      </c>
      <c r="I105" s="12">
        <v>112111</v>
      </c>
      <c r="J105" s="12">
        <v>131</v>
      </c>
      <c r="K105" s="12" t="s">
        <v>20</v>
      </c>
      <c r="L105" s="12">
        <v>1</v>
      </c>
      <c r="M105" s="17">
        <v>12774194</v>
      </c>
      <c r="N105" s="17">
        <f t="shared" si="11"/>
        <v>12774194</v>
      </c>
      <c r="O105" s="17" t="s">
        <v>21</v>
      </c>
      <c r="P105" s="12">
        <f t="shared" si="9"/>
        <v>69</v>
      </c>
      <c r="Q105" s="12">
        <f t="shared" si="8"/>
        <v>171</v>
      </c>
    </row>
    <row r="106" spans="1:17" ht="15" customHeight="1" x14ac:dyDescent="0.2">
      <c r="A106" s="12" t="s">
        <v>2678</v>
      </c>
      <c r="B106" s="36">
        <v>45958</v>
      </c>
      <c r="C106" s="123">
        <f t="shared" si="12"/>
        <v>216</v>
      </c>
      <c r="D106" s="12">
        <v>1</v>
      </c>
      <c r="G106" s="14" t="s">
        <v>92</v>
      </c>
      <c r="H106" s="12" t="s">
        <v>3017</v>
      </c>
      <c r="I106" s="12">
        <v>1111</v>
      </c>
      <c r="J106" s="12">
        <v>112111</v>
      </c>
      <c r="K106" s="12" t="s">
        <v>20</v>
      </c>
      <c r="L106" s="12">
        <v>1</v>
      </c>
      <c r="M106" s="17">
        <v>58000000</v>
      </c>
      <c r="N106" s="17">
        <f t="shared" si="11"/>
        <v>58000000</v>
      </c>
      <c r="O106" s="17" t="s">
        <v>21</v>
      </c>
      <c r="P106" s="12">
        <f t="shared" si="9"/>
        <v>70</v>
      </c>
      <c r="Q106" s="12">
        <f t="shared" si="8"/>
        <v>40</v>
      </c>
    </row>
    <row r="107" spans="1:17" ht="15" customHeight="1" x14ac:dyDescent="0.2">
      <c r="A107" s="12" t="s">
        <v>2679</v>
      </c>
      <c r="B107" s="36">
        <v>45959</v>
      </c>
      <c r="C107" s="123">
        <f t="shared" si="12"/>
        <v>217</v>
      </c>
      <c r="D107" s="12">
        <v>1</v>
      </c>
      <c r="G107" s="14" t="s">
        <v>60</v>
      </c>
      <c r="H107" s="12" t="s">
        <v>4483</v>
      </c>
      <c r="I107" s="12">
        <v>112111</v>
      </c>
      <c r="J107" s="12">
        <v>131</v>
      </c>
      <c r="K107" s="12" t="s">
        <v>20</v>
      </c>
      <c r="L107" s="12">
        <v>1</v>
      </c>
      <c r="M107" s="17">
        <v>10645161</v>
      </c>
      <c r="N107" s="17">
        <f t="shared" si="11"/>
        <v>10645161</v>
      </c>
      <c r="O107" s="17" t="s">
        <v>21</v>
      </c>
      <c r="P107" s="12">
        <f t="shared" si="9"/>
        <v>71</v>
      </c>
      <c r="Q107" s="12">
        <f t="shared" si="8"/>
        <v>159</v>
      </c>
    </row>
    <row r="108" spans="1:17" ht="15" customHeight="1" x14ac:dyDescent="0.2">
      <c r="A108" s="12" t="s">
        <v>2679</v>
      </c>
      <c r="B108" s="36">
        <v>45960</v>
      </c>
      <c r="C108" s="123">
        <f t="shared" si="12"/>
        <v>218</v>
      </c>
      <c r="D108" s="12">
        <v>1</v>
      </c>
      <c r="G108" s="14" t="s">
        <v>66</v>
      </c>
      <c r="H108" s="12" t="s">
        <v>4488</v>
      </c>
      <c r="I108" s="12">
        <v>112111</v>
      </c>
      <c r="J108" s="12">
        <v>131</v>
      </c>
      <c r="K108" s="12" t="s">
        <v>20</v>
      </c>
      <c r="L108" s="12">
        <v>1</v>
      </c>
      <c r="M108" s="17">
        <v>10645161</v>
      </c>
      <c r="N108" s="17">
        <f t="shared" si="11"/>
        <v>10645161</v>
      </c>
      <c r="O108" s="17" t="s">
        <v>21</v>
      </c>
      <c r="P108" s="12">
        <f t="shared" si="9"/>
        <v>72</v>
      </c>
      <c r="Q108" s="12">
        <f t="shared" si="8"/>
        <v>119</v>
      </c>
    </row>
    <row r="109" spans="1:17" ht="15" customHeight="1" x14ac:dyDescent="0.2">
      <c r="A109" s="12" t="s">
        <v>2679</v>
      </c>
      <c r="B109" s="36">
        <v>45960</v>
      </c>
      <c r="C109" s="123">
        <f t="shared" si="12"/>
        <v>219</v>
      </c>
      <c r="D109" s="12">
        <v>1</v>
      </c>
      <c r="G109" s="14" t="s">
        <v>85</v>
      </c>
      <c r="H109" s="12" t="s">
        <v>4484</v>
      </c>
      <c r="I109" s="12">
        <v>112111</v>
      </c>
      <c r="J109" s="12">
        <v>131</v>
      </c>
      <c r="K109" s="12" t="s">
        <v>20</v>
      </c>
      <c r="L109" s="12">
        <v>1</v>
      </c>
      <c r="M109" s="17">
        <v>12774194</v>
      </c>
      <c r="N109" s="17">
        <f t="shared" si="11"/>
        <v>12774194</v>
      </c>
      <c r="O109" s="17" t="s">
        <v>21</v>
      </c>
      <c r="P109" s="12">
        <f t="shared" si="9"/>
        <v>73</v>
      </c>
      <c r="Q109" s="12">
        <f t="shared" si="8"/>
        <v>180</v>
      </c>
    </row>
    <row r="110" spans="1:17" ht="15" customHeight="1" x14ac:dyDescent="0.2">
      <c r="A110" s="12" t="s">
        <v>2679</v>
      </c>
      <c r="B110" s="36">
        <v>45961</v>
      </c>
      <c r="C110" s="123">
        <f t="shared" si="12"/>
        <v>220</v>
      </c>
      <c r="D110" s="12">
        <v>1</v>
      </c>
      <c r="G110" s="14" t="s">
        <v>1722</v>
      </c>
      <c r="H110" s="12" t="s">
        <v>4521</v>
      </c>
      <c r="I110" s="12">
        <v>112111</v>
      </c>
      <c r="J110" s="12">
        <v>131</v>
      </c>
      <c r="K110" s="12" t="s">
        <v>20</v>
      </c>
      <c r="L110" s="12">
        <v>1</v>
      </c>
      <c r="M110" s="17">
        <v>53225806</v>
      </c>
      <c r="N110" s="17">
        <f t="shared" si="11"/>
        <v>53225806</v>
      </c>
      <c r="O110" s="17" t="s">
        <v>21</v>
      </c>
      <c r="P110" s="12">
        <f t="shared" si="9"/>
        <v>74</v>
      </c>
      <c r="Q110" s="12">
        <f t="shared" si="8"/>
        <v>121</v>
      </c>
    </row>
    <row r="111" spans="1:17" ht="15" customHeight="1" x14ac:dyDescent="0.2">
      <c r="A111" s="12" t="s">
        <v>2678</v>
      </c>
      <c r="B111" s="36">
        <v>45961</v>
      </c>
      <c r="C111" s="123">
        <f t="shared" si="12"/>
        <v>221</v>
      </c>
      <c r="D111" s="12">
        <v>1</v>
      </c>
      <c r="G111" s="14" t="s">
        <v>92</v>
      </c>
      <c r="H111" s="12" t="s">
        <v>3017</v>
      </c>
      <c r="I111" s="12">
        <v>1111</v>
      </c>
      <c r="J111" s="12">
        <v>112111</v>
      </c>
      <c r="K111" s="12" t="s">
        <v>20</v>
      </c>
      <c r="L111" s="12">
        <v>1</v>
      </c>
      <c r="M111" s="17">
        <v>87000000</v>
      </c>
      <c r="N111" s="17">
        <f t="shared" si="11"/>
        <v>87000000</v>
      </c>
      <c r="O111" s="17" t="s">
        <v>21</v>
      </c>
      <c r="P111" s="12">
        <f t="shared" si="9"/>
        <v>75</v>
      </c>
      <c r="Q111" s="12">
        <f t="shared" si="8"/>
        <v>40</v>
      </c>
    </row>
    <row r="112" spans="1:17" ht="15" customHeight="1" x14ac:dyDescent="0.2">
      <c r="A112" s="12" t="s">
        <v>2679</v>
      </c>
      <c r="B112" s="36">
        <v>45961</v>
      </c>
      <c r="C112" s="123">
        <f t="shared" si="12"/>
        <v>222</v>
      </c>
      <c r="D112" s="12">
        <v>1</v>
      </c>
      <c r="G112" s="14" t="s">
        <v>4466</v>
      </c>
      <c r="H112" s="12" t="s">
        <v>2687</v>
      </c>
      <c r="I112" s="12">
        <v>112111</v>
      </c>
      <c r="J112" s="12">
        <v>5154</v>
      </c>
      <c r="K112" s="12" t="s">
        <v>20</v>
      </c>
      <c r="L112" s="12">
        <v>1</v>
      </c>
      <c r="M112" s="17">
        <v>2406</v>
      </c>
      <c r="N112" s="17">
        <f t="shared" si="11"/>
        <v>2406</v>
      </c>
      <c r="O112" s="17" t="s">
        <v>21</v>
      </c>
      <c r="P112" s="12">
        <f t="shared" si="9"/>
        <v>76</v>
      </c>
      <c r="Q112" s="12">
        <f t="shared" si="8"/>
        <v>12</v>
      </c>
    </row>
    <row r="113" spans="1:17" ht="15" customHeight="1" x14ac:dyDescent="0.2">
      <c r="A113" s="12" t="s">
        <v>2679</v>
      </c>
      <c r="B113" s="36">
        <v>45961</v>
      </c>
      <c r="C113" s="123">
        <f t="shared" si="12"/>
        <v>223</v>
      </c>
      <c r="D113" s="12">
        <v>1</v>
      </c>
      <c r="G113" s="14" t="s">
        <v>4466</v>
      </c>
      <c r="H113" s="12" t="s">
        <v>2687</v>
      </c>
      <c r="I113" s="12">
        <v>112111</v>
      </c>
      <c r="J113" s="12">
        <v>5154</v>
      </c>
      <c r="K113" s="12" t="s">
        <v>20</v>
      </c>
      <c r="L113" s="12">
        <v>1</v>
      </c>
      <c r="M113" s="17">
        <v>2406</v>
      </c>
      <c r="N113" s="17">
        <f t="shared" si="11"/>
        <v>2406</v>
      </c>
      <c r="O113" s="17" t="s">
        <v>21</v>
      </c>
      <c r="P113" s="12">
        <f t="shared" si="9"/>
        <v>77</v>
      </c>
      <c r="Q113" s="12">
        <f t="shared" si="8"/>
        <v>12</v>
      </c>
    </row>
    <row r="114" spans="1:17" ht="15" customHeight="1" x14ac:dyDescent="0.2">
      <c r="A114" s="12" t="s">
        <v>2679</v>
      </c>
      <c r="B114" s="36">
        <v>45964</v>
      </c>
      <c r="C114" s="123">
        <f t="shared" si="12"/>
        <v>224</v>
      </c>
      <c r="D114" s="12">
        <v>1</v>
      </c>
      <c r="G114" s="14" t="s">
        <v>66</v>
      </c>
      <c r="H114" s="12" t="s">
        <v>4471</v>
      </c>
      <c r="I114" s="12">
        <v>112111</v>
      </c>
      <c r="J114" s="12">
        <v>131</v>
      </c>
      <c r="K114" s="12" t="s">
        <v>20</v>
      </c>
      <c r="L114" s="12">
        <v>1</v>
      </c>
      <c r="M114" s="17">
        <v>12774194</v>
      </c>
      <c r="N114" s="17">
        <f t="shared" si="11"/>
        <v>12774194</v>
      </c>
      <c r="O114" s="17" t="s">
        <v>21</v>
      </c>
      <c r="P114" s="12">
        <f t="shared" si="9"/>
        <v>78</v>
      </c>
      <c r="Q114" s="12">
        <f t="shared" si="8"/>
        <v>126</v>
      </c>
    </row>
    <row r="115" spans="1:17" ht="15" customHeight="1" x14ac:dyDescent="0.2">
      <c r="A115" s="12" t="s">
        <v>2679</v>
      </c>
      <c r="B115" s="36">
        <v>45965</v>
      </c>
      <c r="C115" s="123">
        <f t="shared" si="12"/>
        <v>225</v>
      </c>
      <c r="D115" s="12">
        <v>1</v>
      </c>
      <c r="G115" s="14" t="s">
        <v>1725</v>
      </c>
      <c r="H115" s="12" t="s">
        <v>4485</v>
      </c>
      <c r="I115" s="12">
        <v>112111</v>
      </c>
      <c r="J115" s="12">
        <v>131</v>
      </c>
      <c r="K115" s="12" t="s">
        <v>20</v>
      </c>
      <c r="L115" s="12">
        <v>1</v>
      </c>
      <c r="M115" s="17">
        <v>15967742</v>
      </c>
      <c r="N115" s="17">
        <f t="shared" si="11"/>
        <v>15967742</v>
      </c>
      <c r="O115" s="17" t="s">
        <v>21</v>
      </c>
      <c r="P115" s="12">
        <f t="shared" si="9"/>
        <v>79</v>
      </c>
      <c r="Q115" s="12">
        <f t="shared" si="8"/>
        <v>145</v>
      </c>
    </row>
    <row r="116" spans="1:17" ht="15" customHeight="1" x14ac:dyDescent="0.2">
      <c r="A116" s="12" t="s">
        <v>2678</v>
      </c>
      <c r="B116" s="36">
        <v>45966</v>
      </c>
      <c r="C116" s="123">
        <f t="shared" si="12"/>
        <v>226</v>
      </c>
      <c r="D116" s="12">
        <v>1</v>
      </c>
      <c r="G116" s="14" t="s">
        <v>4466</v>
      </c>
      <c r="H116" s="12" t="s">
        <v>3094</v>
      </c>
      <c r="I116" s="12">
        <v>6425</v>
      </c>
      <c r="J116" s="12">
        <v>112111</v>
      </c>
      <c r="K116" s="12" t="s">
        <v>20</v>
      </c>
      <c r="L116" s="12">
        <v>1</v>
      </c>
      <c r="M116" s="17">
        <v>16500</v>
      </c>
      <c r="N116" s="17">
        <f t="shared" si="11"/>
        <v>16500</v>
      </c>
      <c r="O116" s="17" t="s">
        <v>21</v>
      </c>
      <c r="P116" s="12">
        <f t="shared" si="9"/>
        <v>80</v>
      </c>
      <c r="Q116" s="12">
        <f t="shared" si="8"/>
        <v>13</v>
      </c>
    </row>
    <row r="117" spans="1:17" ht="15" customHeight="1" x14ac:dyDescent="0.2">
      <c r="A117" s="12" t="s">
        <v>2678</v>
      </c>
      <c r="B117" s="36">
        <v>45973</v>
      </c>
      <c r="C117" s="123">
        <f t="shared" si="12"/>
        <v>227</v>
      </c>
      <c r="D117" s="12">
        <v>1</v>
      </c>
      <c r="G117" s="14" t="s">
        <v>92</v>
      </c>
      <c r="H117" s="12" t="s">
        <v>3017</v>
      </c>
      <c r="I117" s="12">
        <v>1111</v>
      </c>
      <c r="J117" s="12">
        <v>112111</v>
      </c>
      <c r="K117" s="12" t="s">
        <v>20</v>
      </c>
      <c r="L117" s="12">
        <v>1</v>
      </c>
      <c r="M117" s="17">
        <v>29000000</v>
      </c>
      <c r="N117" s="17">
        <f t="shared" si="11"/>
        <v>29000000</v>
      </c>
      <c r="O117" s="17" t="s">
        <v>21</v>
      </c>
      <c r="P117" s="12">
        <f t="shared" si="9"/>
        <v>81</v>
      </c>
      <c r="Q117" s="12">
        <f t="shared" si="8"/>
        <v>40</v>
      </c>
    </row>
    <row r="118" spans="1:17" ht="15" customHeight="1" x14ac:dyDescent="0.2">
      <c r="A118" s="12" t="s">
        <v>2679</v>
      </c>
      <c r="B118" s="36">
        <v>45975</v>
      </c>
      <c r="C118" s="123">
        <f t="shared" si="12"/>
        <v>228</v>
      </c>
      <c r="D118" s="12">
        <v>1</v>
      </c>
      <c r="G118" s="14" t="s">
        <v>66</v>
      </c>
      <c r="H118" s="12" t="s">
        <v>4489</v>
      </c>
      <c r="I118" s="12">
        <v>112111</v>
      </c>
      <c r="J118" s="12">
        <v>131</v>
      </c>
      <c r="K118" s="12" t="s">
        <v>20</v>
      </c>
      <c r="L118" s="12">
        <v>1</v>
      </c>
      <c r="M118" s="17">
        <v>10645161</v>
      </c>
      <c r="N118" s="17">
        <f t="shared" si="11"/>
        <v>10645161</v>
      </c>
      <c r="O118" s="17" t="s">
        <v>21</v>
      </c>
      <c r="P118" s="12">
        <f t="shared" si="9"/>
        <v>82</v>
      </c>
      <c r="Q118" s="12">
        <f t="shared" si="8"/>
        <v>174</v>
      </c>
    </row>
    <row r="119" spans="1:17" ht="15" customHeight="1" x14ac:dyDescent="0.2">
      <c r="A119" s="12" t="s">
        <v>2679</v>
      </c>
      <c r="B119" s="36">
        <v>45979</v>
      </c>
      <c r="C119" s="123">
        <f t="shared" si="12"/>
        <v>229</v>
      </c>
      <c r="D119" s="12">
        <v>1</v>
      </c>
      <c r="G119" s="14" t="s">
        <v>66</v>
      </c>
      <c r="H119" s="12" t="s">
        <v>4490</v>
      </c>
      <c r="I119" s="12">
        <v>112111</v>
      </c>
      <c r="J119" s="12">
        <v>131</v>
      </c>
      <c r="K119" s="12" t="s">
        <v>20</v>
      </c>
      <c r="L119" s="12">
        <v>1</v>
      </c>
      <c r="M119" s="17">
        <v>10645161</v>
      </c>
      <c r="N119" s="17">
        <f t="shared" si="11"/>
        <v>10645161</v>
      </c>
      <c r="O119" s="17" t="s">
        <v>21</v>
      </c>
      <c r="P119" s="12">
        <f t="shared" si="9"/>
        <v>83</v>
      </c>
      <c r="Q119" s="12">
        <f t="shared" si="8"/>
        <v>118</v>
      </c>
    </row>
    <row r="120" spans="1:17" ht="15" customHeight="1" x14ac:dyDescent="0.2">
      <c r="A120" s="12" t="s">
        <v>2678</v>
      </c>
      <c r="B120" s="36">
        <v>45991</v>
      </c>
      <c r="C120" s="123">
        <f t="shared" si="12"/>
        <v>230</v>
      </c>
      <c r="D120" s="12">
        <v>1</v>
      </c>
      <c r="G120" s="14" t="s">
        <v>92</v>
      </c>
      <c r="H120" s="12" t="s">
        <v>3017</v>
      </c>
      <c r="I120" s="12">
        <v>1111</v>
      </c>
      <c r="J120" s="12">
        <v>112111</v>
      </c>
      <c r="K120" s="12" t="s">
        <v>20</v>
      </c>
      <c r="L120" s="12">
        <v>1</v>
      </c>
      <c r="M120" s="17">
        <v>21570857</v>
      </c>
      <c r="N120" s="17">
        <f t="shared" si="11"/>
        <v>21570857</v>
      </c>
      <c r="O120" s="17" t="s">
        <v>21</v>
      </c>
      <c r="P120" s="12">
        <f t="shared" si="9"/>
        <v>84</v>
      </c>
      <c r="Q120" s="12">
        <f t="shared" si="8"/>
        <v>40</v>
      </c>
    </row>
    <row r="121" spans="1:17" ht="15" customHeight="1" x14ac:dyDescent="0.2">
      <c r="A121" s="12" t="s">
        <v>2679</v>
      </c>
      <c r="B121" s="36">
        <v>45991</v>
      </c>
      <c r="C121" s="123">
        <f t="shared" si="12"/>
        <v>231</v>
      </c>
      <c r="D121" s="12">
        <v>1</v>
      </c>
      <c r="G121" s="14" t="s">
        <v>4466</v>
      </c>
      <c r="H121" s="12" t="s">
        <v>2687</v>
      </c>
      <c r="I121" s="12">
        <v>112111</v>
      </c>
      <c r="J121" s="12">
        <v>5154</v>
      </c>
      <c r="K121" s="12" t="s">
        <v>20</v>
      </c>
      <c r="L121" s="12">
        <v>1</v>
      </c>
      <c r="M121" s="17">
        <v>1512</v>
      </c>
      <c r="N121" s="17">
        <f t="shared" si="11"/>
        <v>1512</v>
      </c>
      <c r="O121" s="17" t="s">
        <v>21</v>
      </c>
      <c r="P121" s="12">
        <f t="shared" si="9"/>
        <v>85</v>
      </c>
      <c r="Q121" s="12">
        <f t="shared" si="8"/>
        <v>12</v>
      </c>
    </row>
    <row r="122" spans="1:17" ht="15" customHeight="1" x14ac:dyDescent="0.2">
      <c r="A122" s="12" t="s">
        <v>2679</v>
      </c>
      <c r="B122" s="36">
        <v>46006</v>
      </c>
      <c r="C122" s="123">
        <f t="shared" si="12"/>
        <v>232</v>
      </c>
      <c r="D122" s="12">
        <v>1</v>
      </c>
      <c r="G122" s="14" t="s">
        <v>50</v>
      </c>
      <c r="H122" s="12" t="s">
        <v>4486</v>
      </c>
      <c r="I122" s="12">
        <v>112111</v>
      </c>
      <c r="J122" s="12">
        <v>131</v>
      </c>
      <c r="K122" s="12" t="s">
        <v>20</v>
      </c>
      <c r="L122" s="12">
        <v>1</v>
      </c>
      <c r="M122" s="17">
        <v>15053764</v>
      </c>
      <c r="N122" s="17">
        <f t="shared" si="11"/>
        <v>15053764</v>
      </c>
      <c r="O122" s="17" t="s">
        <v>21</v>
      </c>
      <c r="P122" s="12">
        <f t="shared" si="9"/>
        <v>86</v>
      </c>
      <c r="Q122" s="12">
        <f t="shared" si="8"/>
        <v>185</v>
      </c>
    </row>
    <row r="123" spans="1:17" ht="15" customHeight="1" x14ac:dyDescent="0.2">
      <c r="A123" s="12" t="s">
        <v>2678</v>
      </c>
      <c r="B123" s="36">
        <v>46007</v>
      </c>
      <c r="C123" s="123">
        <f t="shared" si="12"/>
        <v>233</v>
      </c>
      <c r="D123" s="12">
        <v>1</v>
      </c>
      <c r="G123" s="14" t="s">
        <v>4466</v>
      </c>
      <c r="H123" s="12" t="s">
        <v>3094</v>
      </c>
      <c r="I123" s="12">
        <v>6425</v>
      </c>
      <c r="J123" s="12">
        <v>112111</v>
      </c>
      <c r="K123" s="12" t="s">
        <v>20</v>
      </c>
      <c r="L123" s="12">
        <v>1</v>
      </c>
      <c r="M123" s="17">
        <v>16500</v>
      </c>
      <c r="N123" s="17">
        <f t="shared" si="11"/>
        <v>16500</v>
      </c>
      <c r="O123" s="17" t="s">
        <v>21</v>
      </c>
      <c r="P123" s="12">
        <f t="shared" si="9"/>
        <v>87</v>
      </c>
      <c r="Q123" s="12">
        <f t="shared" si="8"/>
        <v>13</v>
      </c>
    </row>
    <row r="124" spans="1:17" ht="15" customHeight="1" x14ac:dyDescent="0.2">
      <c r="A124" s="12" t="s">
        <v>2678</v>
      </c>
      <c r="B124" s="36">
        <v>46015</v>
      </c>
      <c r="C124" s="123">
        <f t="shared" si="12"/>
        <v>234</v>
      </c>
      <c r="D124" s="12">
        <v>1</v>
      </c>
      <c r="G124" s="14" t="s">
        <v>92</v>
      </c>
      <c r="H124" s="12" t="s">
        <v>3017</v>
      </c>
      <c r="I124" s="12">
        <v>1111</v>
      </c>
      <c r="J124" s="12">
        <v>112111</v>
      </c>
      <c r="K124" s="12" t="s">
        <v>20</v>
      </c>
      <c r="L124" s="12">
        <v>1</v>
      </c>
      <c r="M124" s="17">
        <v>15038776</v>
      </c>
      <c r="N124" s="17">
        <f t="shared" si="11"/>
        <v>15038776</v>
      </c>
      <c r="O124" s="17" t="s">
        <v>21</v>
      </c>
      <c r="P124" s="12">
        <f t="shared" si="9"/>
        <v>88</v>
      </c>
      <c r="Q124" s="12">
        <f t="shared" si="8"/>
        <v>40</v>
      </c>
    </row>
    <row r="125" spans="1:17" ht="15" customHeight="1" x14ac:dyDescent="0.2">
      <c r="A125" s="12" t="s">
        <v>2679</v>
      </c>
      <c r="B125" s="36">
        <v>46022</v>
      </c>
      <c r="C125" s="123">
        <f t="shared" si="12"/>
        <v>235</v>
      </c>
      <c r="D125" s="12">
        <v>1</v>
      </c>
      <c r="G125" s="14" t="s">
        <v>4466</v>
      </c>
      <c r="H125" s="12" t="s">
        <v>2687</v>
      </c>
      <c r="I125" s="12">
        <v>112111</v>
      </c>
      <c r="J125" s="12">
        <v>5154</v>
      </c>
      <c r="K125" s="12" t="s">
        <v>20</v>
      </c>
      <c r="L125" s="12">
        <v>1</v>
      </c>
      <c r="M125" s="17">
        <v>371</v>
      </c>
      <c r="N125" s="17">
        <f t="shared" si="11"/>
        <v>371</v>
      </c>
      <c r="O125" s="17" t="s">
        <v>21</v>
      </c>
      <c r="P125" s="12">
        <f t="shared" si="9"/>
        <v>89</v>
      </c>
      <c r="Q125" s="12">
        <f t="shared" si="8"/>
        <v>12</v>
      </c>
    </row>
    <row r="126" spans="1:17" ht="15" customHeight="1" x14ac:dyDescent="0.2">
      <c r="A126" s="12" t="s">
        <v>2679</v>
      </c>
      <c r="B126" s="36">
        <v>45960</v>
      </c>
      <c r="C126" s="123">
        <f t="shared" ref="C126:C165" si="13">C125+D126</f>
        <v>236</v>
      </c>
      <c r="D126" s="12">
        <v>1</v>
      </c>
      <c r="G126" s="14" t="s">
        <v>1724</v>
      </c>
      <c r="H126" s="12" t="s">
        <v>4491</v>
      </c>
      <c r="I126" s="12">
        <v>112121</v>
      </c>
      <c r="J126" s="12">
        <v>131</v>
      </c>
      <c r="K126" s="12" t="s">
        <v>20</v>
      </c>
      <c r="L126" s="12">
        <v>1</v>
      </c>
      <c r="M126" s="17">
        <v>38322581</v>
      </c>
      <c r="N126" s="17">
        <f t="shared" si="11"/>
        <v>38322581</v>
      </c>
      <c r="O126" s="17" t="s">
        <v>21</v>
      </c>
      <c r="P126" s="12">
        <f t="shared" si="9"/>
        <v>90</v>
      </c>
      <c r="Q126" s="12">
        <f t="shared" si="8"/>
        <v>120</v>
      </c>
    </row>
    <row r="127" spans="1:17" ht="15" customHeight="1" x14ac:dyDescent="0.2">
      <c r="A127" s="12" t="s">
        <v>2678</v>
      </c>
      <c r="B127" s="36">
        <v>45965</v>
      </c>
      <c r="C127" s="123">
        <f t="shared" si="13"/>
        <v>237</v>
      </c>
      <c r="D127" s="12">
        <v>1</v>
      </c>
      <c r="G127" s="14" t="s">
        <v>92</v>
      </c>
      <c r="H127" s="12" t="s">
        <v>3017</v>
      </c>
      <c r="I127" s="12">
        <v>1111</v>
      </c>
      <c r="J127" s="12">
        <v>112121</v>
      </c>
      <c r="K127" s="12" t="s">
        <v>20</v>
      </c>
      <c r="L127" s="12">
        <v>1</v>
      </c>
      <c r="M127" s="17">
        <v>38000000</v>
      </c>
      <c r="N127" s="17">
        <f t="shared" si="11"/>
        <v>38000000</v>
      </c>
      <c r="O127" s="17" t="s">
        <v>21</v>
      </c>
      <c r="P127" s="12">
        <f t="shared" si="9"/>
        <v>91</v>
      </c>
      <c r="Q127" s="12">
        <f t="shared" si="8"/>
        <v>40</v>
      </c>
    </row>
    <row r="128" spans="1:17" ht="15" customHeight="1" x14ac:dyDescent="0.2">
      <c r="A128" s="12" t="s">
        <v>2679</v>
      </c>
      <c r="B128" s="36">
        <v>45971</v>
      </c>
      <c r="C128" s="123">
        <f t="shared" si="13"/>
        <v>238</v>
      </c>
      <c r="D128" s="12">
        <v>1</v>
      </c>
      <c r="G128" s="14" t="s">
        <v>108</v>
      </c>
      <c r="H128" s="12" t="s">
        <v>4492</v>
      </c>
      <c r="I128" s="12">
        <v>112121</v>
      </c>
      <c r="J128" s="12">
        <v>131</v>
      </c>
      <c r="K128" s="12" t="s">
        <v>20</v>
      </c>
      <c r="L128" s="12">
        <v>1</v>
      </c>
      <c r="M128" s="17">
        <v>11443548</v>
      </c>
      <c r="N128" s="17">
        <f t="shared" si="11"/>
        <v>11443548</v>
      </c>
      <c r="O128" s="17" t="s">
        <v>21</v>
      </c>
      <c r="P128" s="12">
        <f t="shared" si="9"/>
        <v>92</v>
      </c>
      <c r="Q128" s="12">
        <f t="shared" si="8"/>
        <v>159</v>
      </c>
    </row>
    <row r="129" spans="1:17" ht="15" customHeight="1" x14ac:dyDescent="0.2">
      <c r="A129" s="12" t="s">
        <v>2679</v>
      </c>
      <c r="B129" s="36">
        <v>45971</v>
      </c>
      <c r="C129" s="123">
        <f t="shared" ref="C129:C130" si="14">C128+D129</f>
        <v>238</v>
      </c>
      <c r="D129" s="12">
        <v>0</v>
      </c>
      <c r="G129" s="14" t="s">
        <v>108</v>
      </c>
      <c r="H129" s="12" t="s">
        <v>4492</v>
      </c>
      <c r="I129" s="12">
        <v>112121</v>
      </c>
      <c r="J129" s="12">
        <v>7118</v>
      </c>
      <c r="K129" s="12" t="s">
        <v>20</v>
      </c>
      <c r="L129" s="12">
        <v>1</v>
      </c>
      <c r="M129" s="17">
        <v>1</v>
      </c>
      <c r="N129" s="17">
        <f t="shared" ref="N129" si="15">L129*M129</f>
        <v>1</v>
      </c>
      <c r="O129" s="17" t="s">
        <v>21</v>
      </c>
      <c r="P129" s="12">
        <f t="shared" ref="P129:P130" si="16">P128+D129</f>
        <v>92</v>
      </c>
      <c r="Q129" s="12">
        <f t="shared" ref="Q129:Q130" si="17">LEN(H129)</f>
        <v>159</v>
      </c>
    </row>
    <row r="130" spans="1:17" ht="15" customHeight="1" x14ac:dyDescent="0.2">
      <c r="A130" s="12" t="s">
        <v>2679</v>
      </c>
      <c r="B130" s="36">
        <v>45985</v>
      </c>
      <c r="C130" s="123">
        <f t="shared" si="14"/>
        <v>239</v>
      </c>
      <c r="D130" s="12">
        <v>1</v>
      </c>
      <c r="G130" s="14" t="s">
        <v>108</v>
      </c>
      <c r="H130" s="12" t="s">
        <v>4494</v>
      </c>
      <c r="I130" s="12">
        <v>112121</v>
      </c>
      <c r="J130" s="12">
        <v>131</v>
      </c>
      <c r="K130" s="12" t="s">
        <v>20</v>
      </c>
      <c r="L130" s="12">
        <v>1</v>
      </c>
      <c r="M130" s="17">
        <v>15435484</v>
      </c>
      <c r="N130" s="17">
        <f t="shared" si="11"/>
        <v>15435484</v>
      </c>
      <c r="O130" s="17" t="s">
        <v>21</v>
      </c>
      <c r="P130" s="12">
        <f t="shared" si="16"/>
        <v>93</v>
      </c>
      <c r="Q130" s="12">
        <f t="shared" si="17"/>
        <v>149</v>
      </c>
    </row>
    <row r="131" spans="1:17" ht="15" customHeight="1" x14ac:dyDescent="0.2">
      <c r="A131" s="12" t="s">
        <v>2679</v>
      </c>
      <c r="B131" s="36">
        <v>45986</v>
      </c>
      <c r="C131" s="123">
        <f t="shared" si="13"/>
        <v>240</v>
      </c>
      <c r="D131" s="12">
        <v>1</v>
      </c>
      <c r="G131" s="14" t="s">
        <v>4493</v>
      </c>
      <c r="H131" s="12" t="s">
        <v>2687</v>
      </c>
      <c r="I131" s="12">
        <v>112121</v>
      </c>
      <c r="J131" s="12">
        <v>5154</v>
      </c>
      <c r="K131" s="12" t="s">
        <v>20</v>
      </c>
      <c r="L131" s="12">
        <v>1</v>
      </c>
      <c r="M131" s="17">
        <v>108</v>
      </c>
      <c r="N131" s="17">
        <f t="shared" si="11"/>
        <v>108</v>
      </c>
      <c r="O131" s="17" t="s">
        <v>21</v>
      </c>
      <c r="P131" s="12">
        <f t="shared" si="9"/>
        <v>94</v>
      </c>
      <c r="Q131" s="12">
        <f t="shared" si="8"/>
        <v>12</v>
      </c>
    </row>
    <row r="132" spans="1:17" ht="15" customHeight="1" x14ac:dyDescent="0.2">
      <c r="A132" s="12" t="s">
        <v>2678</v>
      </c>
      <c r="B132" s="36">
        <v>45990</v>
      </c>
      <c r="C132" s="123">
        <f t="shared" si="13"/>
        <v>241</v>
      </c>
      <c r="D132" s="12">
        <v>1</v>
      </c>
      <c r="G132" s="14" t="s">
        <v>43</v>
      </c>
      <c r="H132" s="12" t="s">
        <v>2685</v>
      </c>
      <c r="I132" s="12">
        <v>3383</v>
      </c>
      <c r="J132" s="12">
        <v>112121</v>
      </c>
      <c r="K132" s="12" t="s">
        <v>20</v>
      </c>
      <c r="L132" s="12">
        <v>1</v>
      </c>
      <c r="M132" s="17">
        <v>690300</v>
      </c>
      <c r="N132" s="17">
        <f t="shared" si="11"/>
        <v>690300</v>
      </c>
      <c r="O132" s="17" t="s">
        <v>21</v>
      </c>
      <c r="P132" s="12">
        <f t="shared" si="9"/>
        <v>95</v>
      </c>
      <c r="Q132" s="12">
        <f t="shared" si="8"/>
        <v>34</v>
      </c>
    </row>
    <row r="133" spans="1:17" ht="15" customHeight="1" x14ac:dyDescent="0.2">
      <c r="A133" s="12" t="s">
        <v>2679</v>
      </c>
      <c r="B133" s="36">
        <v>45991</v>
      </c>
      <c r="C133" s="123">
        <f t="shared" si="13"/>
        <v>242</v>
      </c>
      <c r="D133" s="12">
        <v>1</v>
      </c>
      <c r="G133" s="14" t="s">
        <v>93</v>
      </c>
      <c r="H133" s="12" t="s">
        <v>3019</v>
      </c>
      <c r="I133" s="12">
        <v>112121</v>
      </c>
      <c r="J133" s="12">
        <v>3388</v>
      </c>
      <c r="K133" s="12" t="s">
        <v>20</v>
      </c>
      <c r="L133" s="12">
        <v>1</v>
      </c>
      <c r="M133" s="17">
        <v>18000000</v>
      </c>
      <c r="N133" s="17">
        <f t="shared" si="11"/>
        <v>18000000</v>
      </c>
      <c r="O133" s="17" t="s">
        <v>21</v>
      </c>
      <c r="P133" s="12">
        <f t="shared" si="9"/>
        <v>96</v>
      </c>
      <c r="Q133" s="12">
        <f t="shared" si="8"/>
        <v>27</v>
      </c>
    </row>
    <row r="134" spans="1:17" ht="15" customHeight="1" x14ac:dyDescent="0.2">
      <c r="A134" s="12" t="s">
        <v>2678</v>
      </c>
      <c r="B134" s="36">
        <v>45991</v>
      </c>
      <c r="C134" s="123">
        <f t="shared" si="13"/>
        <v>243</v>
      </c>
      <c r="D134" s="12">
        <v>1</v>
      </c>
      <c r="G134" s="14" t="s">
        <v>93</v>
      </c>
      <c r="H134" s="12" t="s">
        <v>4470</v>
      </c>
      <c r="I134" s="12">
        <v>3388</v>
      </c>
      <c r="J134" s="12">
        <v>112121</v>
      </c>
      <c r="K134" s="12" t="s">
        <v>20</v>
      </c>
      <c r="L134" s="12">
        <v>1</v>
      </c>
      <c r="M134" s="17">
        <v>12774194</v>
      </c>
      <c r="N134" s="17">
        <f t="shared" si="11"/>
        <v>12774194</v>
      </c>
      <c r="O134" s="17" t="s">
        <v>21</v>
      </c>
      <c r="P134" s="12">
        <f t="shared" si="9"/>
        <v>97</v>
      </c>
      <c r="Q134" s="12">
        <f t="shared" ref="Q134:Q165" si="18">LEN(H134)</f>
        <v>32</v>
      </c>
    </row>
    <row r="135" spans="1:17" ht="15" customHeight="1" x14ac:dyDescent="0.2">
      <c r="A135" s="12" t="s">
        <v>2678</v>
      </c>
      <c r="B135" s="36">
        <v>45992</v>
      </c>
      <c r="C135" s="123">
        <f t="shared" si="13"/>
        <v>244</v>
      </c>
      <c r="D135" s="12">
        <v>1</v>
      </c>
      <c r="G135" s="14" t="s">
        <v>93</v>
      </c>
      <c r="H135" s="12" t="s">
        <v>4470</v>
      </c>
      <c r="I135" s="12">
        <v>3388</v>
      </c>
      <c r="J135" s="12">
        <v>112121</v>
      </c>
      <c r="K135" s="12" t="s">
        <v>20</v>
      </c>
      <c r="L135" s="12">
        <v>1</v>
      </c>
      <c r="M135" s="17">
        <v>16129032</v>
      </c>
      <c r="N135" s="17">
        <f t="shared" si="11"/>
        <v>16129032</v>
      </c>
      <c r="O135" s="17" t="s">
        <v>21</v>
      </c>
      <c r="P135" s="12">
        <f t="shared" ref="P135:P165" si="19">P134+D135</f>
        <v>98</v>
      </c>
      <c r="Q135" s="12">
        <f t="shared" si="18"/>
        <v>32</v>
      </c>
    </row>
    <row r="136" spans="1:17" ht="15" customHeight="1" x14ac:dyDescent="0.2">
      <c r="A136" s="12" t="s">
        <v>2679</v>
      </c>
      <c r="B136" s="36">
        <v>45992</v>
      </c>
      <c r="C136" s="123">
        <f t="shared" si="13"/>
        <v>245</v>
      </c>
      <c r="D136" s="12">
        <v>1</v>
      </c>
      <c r="G136" s="14" t="s">
        <v>93</v>
      </c>
      <c r="H136" s="12" t="s">
        <v>3019</v>
      </c>
      <c r="I136" s="12">
        <v>112121</v>
      </c>
      <c r="J136" s="12">
        <v>3388</v>
      </c>
      <c r="K136" s="12" t="s">
        <v>20</v>
      </c>
      <c r="L136" s="12">
        <v>1</v>
      </c>
      <c r="M136" s="17">
        <v>12774194</v>
      </c>
      <c r="N136" s="17">
        <f t="shared" si="11"/>
        <v>12774194</v>
      </c>
      <c r="O136" s="17" t="s">
        <v>21</v>
      </c>
      <c r="P136" s="12">
        <f t="shared" si="19"/>
        <v>99</v>
      </c>
      <c r="Q136" s="12">
        <f t="shared" si="18"/>
        <v>27</v>
      </c>
    </row>
    <row r="137" spans="1:17" ht="15" customHeight="1" x14ac:dyDescent="0.2">
      <c r="A137" s="12" t="s">
        <v>2679</v>
      </c>
      <c r="B137" s="36">
        <v>45993</v>
      </c>
      <c r="C137" s="123">
        <f t="shared" si="13"/>
        <v>246</v>
      </c>
      <c r="D137" s="12">
        <v>1</v>
      </c>
      <c r="G137" s="14" t="s">
        <v>653</v>
      </c>
      <c r="H137" s="12" t="s">
        <v>4495</v>
      </c>
      <c r="I137" s="12">
        <v>112121</v>
      </c>
      <c r="J137" s="12">
        <v>131</v>
      </c>
      <c r="K137" s="12" t="s">
        <v>20</v>
      </c>
      <c r="L137" s="12">
        <v>1</v>
      </c>
      <c r="M137" s="17">
        <v>14903226</v>
      </c>
      <c r="N137" s="17">
        <f t="shared" si="11"/>
        <v>14903226</v>
      </c>
      <c r="O137" s="17" t="s">
        <v>21</v>
      </c>
      <c r="P137" s="12">
        <f t="shared" si="19"/>
        <v>100</v>
      </c>
      <c r="Q137" s="12">
        <f t="shared" si="18"/>
        <v>178</v>
      </c>
    </row>
    <row r="138" spans="1:17" ht="15" customHeight="1" x14ac:dyDescent="0.2">
      <c r="A138" s="12" t="s">
        <v>2679</v>
      </c>
      <c r="B138" s="36">
        <v>45993</v>
      </c>
      <c r="C138" s="123">
        <f t="shared" ref="C138:C139" si="20">C137+D138</f>
        <v>246</v>
      </c>
      <c r="D138" s="12">
        <v>0</v>
      </c>
      <c r="G138" s="14" t="s">
        <v>653</v>
      </c>
      <c r="H138" s="12" t="s">
        <v>4495</v>
      </c>
      <c r="I138" s="12">
        <v>112121</v>
      </c>
      <c r="J138" s="12">
        <v>7118</v>
      </c>
      <c r="K138" s="12" t="s">
        <v>20</v>
      </c>
      <c r="L138" s="12">
        <v>1</v>
      </c>
      <c r="M138" s="17">
        <v>40</v>
      </c>
      <c r="N138" s="17">
        <f t="shared" ref="N138" si="21">L138*M138</f>
        <v>40</v>
      </c>
      <c r="O138" s="17" t="s">
        <v>21</v>
      </c>
      <c r="P138" s="12">
        <f t="shared" ref="P138:P139" si="22">P137+D138</f>
        <v>100</v>
      </c>
      <c r="Q138" s="12">
        <f t="shared" ref="Q138" si="23">LEN(H138)</f>
        <v>178</v>
      </c>
    </row>
    <row r="139" spans="1:17" ht="15" customHeight="1" x14ac:dyDescent="0.2">
      <c r="A139" s="12" t="s">
        <v>2678</v>
      </c>
      <c r="B139" s="36">
        <v>45993</v>
      </c>
      <c r="C139" s="123">
        <f t="shared" si="20"/>
        <v>247</v>
      </c>
      <c r="D139" s="12">
        <v>1</v>
      </c>
      <c r="G139" s="14" t="s">
        <v>93</v>
      </c>
      <c r="H139" s="12" t="s">
        <v>4470</v>
      </c>
      <c r="I139" s="12">
        <v>3388</v>
      </c>
      <c r="J139" s="12">
        <v>112121</v>
      </c>
      <c r="K139" s="12" t="s">
        <v>20</v>
      </c>
      <c r="L139" s="12">
        <v>1</v>
      </c>
      <c r="M139" s="17">
        <v>18000000</v>
      </c>
      <c r="N139" s="17">
        <f t="shared" si="11"/>
        <v>18000000</v>
      </c>
      <c r="O139" s="17" t="s">
        <v>21</v>
      </c>
      <c r="P139" s="12">
        <f t="shared" si="22"/>
        <v>101</v>
      </c>
      <c r="Q139" s="12">
        <f t="shared" si="18"/>
        <v>32</v>
      </c>
    </row>
    <row r="140" spans="1:17" ht="15" customHeight="1" x14ac:dyDescent="0.2">
      <c r="A140" s="12" t="s">
        <v>2679</v>
      </c>
      <c r="B140" s="36">
        <v>45993</v>
      </c>
      <c r="C140" s="123">
        <f t="shared" si="13"/>
        <v>248</v>
      </c>
      <c r="D140" s="12">
        <v>1</v>
      </c>
      <c r="G140" s="14" t="s">
        <v>93</v>
      </c>
      <c r="H140" s="12" t="s">
        <v>3019</v>
      </c>
      <c r="I140" s="12">
        <v>112121</v>
      </c>
      <c r="J140" s="12">
        <v>3388</v>
      </c>
      <c r="K140" s="12" t="s">
        <v>20</v>
      </c>
      <c r="L140" s="12">
        <v>1</v>
      </c>
      <c r="M140" s="17">
        <v>16129032</v>
      </c>
      <c r="N140" s="17">
        <f t="shared" si="11"/>
        <v>16129032</v>
      </c>
      <c r="O140" s="17" t="s">
        <v>21</v>
      </c>
      <c r="P140" s="12">
        <f t="shared" si="19"/>
        <v>102</v>
      </c>
      <c r="Q140" s="12">
        <f t="shared" si="18"/>
        <v>27</v>
      </c>
    </row>
    <row r="141" spans="1:17" ht="15" customHeight="1" x14ac:dyDescent="0.2">
      <c r="A141" s="12" t="s">
        <v>2678</v>
      </c>
      <c r="B141" s="36">
        <v>45995</v>
      </c>
      <c r="C141" s="123">
        <f t="shared" si="13"/>
        <v>249</v>
      </c>
      <c r="D141" s="12">
        <v>1</v>
      </c>
      <c r="G141" s="14" t="s">
        <v>92</v>
      </c>
      <c r="H141" s="12" t="s">
        <v>3017</v>
      </c>
      <c r="I141" s="12">
        <v>1111</v>
      </c>
      <c r="J141" s="12">
        <v>112121</v>
      </c>
      <c r="K141" s="12" t="s">
        <v>20</v>
      </c>
      <c r="L141" s="12">
        <v>1</v>
      </c>
      <c r="M141" s="17">
        <v>40000000</v>
      </c>
      <c r="N141" s="17">
        <f t="shared" si="11"/>
        <v>40000000</v>
      </c>
      <c r="O141" s="17" t="s">
        <v>21</v>
      </c>
      <c r="P141" s="12">
        <f t="shared" si="19"/>
        <v>103</v>
      </c>
      <c r="Q141" s="12">
        <f t="shared" si="18"/>
        <v>40</v>
      </c>
    </row>
    <row r="142" spans="1:17" ht="15" customHeight="1" x14ac:dyDescent="0.2">
      <c r="A142" s="12" t="s">
        <v>2679</v>
      </c>
      <c r="B142" s="36">
        <v>45997</v>
      </c>
      <c r="C142" s="123">
        <f t="shared" si="13"/>
        <v>250</v>
      </c>
      <c r="D142" s="12">
        <v>1</v>
      </c>
      <c r="G142" s="14" t="s">
        <v>1726</v>
      </c>
      <c r="H142" s="12" t="s">
        <v>4496</v>
      </c>
      <c r="I142" s="12">
        <v>112121</v>
      </c>
      <c r="J142" s="12">
        <v>131</v>
      </c>
      <c r="K142" s="12" t="s">
        <v>20</v>
      </c>
      <c r="L142" s="12">
        <v>1</v>
      </c>
      <c r="M142" s="17">
        <v>14903226</v>
      </c>
      <c r="N142" s="17">
        <f t="shared" si="11"/>
        <v>14903226</v>
      </c>
      <c r="O142" s="17" t="s">
        <v>21</v>
      </c>
      <c r="P142" s="12">
        <f t="shared" si="19"/>
        <v>104</v>
      </c>
      <c r="Q142" s="12">
        <f t="shared" si="18"/>
        <v>148</v>
      </c>
    </row>
    <row r="143" spans="1:17" ht="15" customHeight="1" x14ac:dyDescent="0.2">
      <c r="A143" s="12" t="s">
        <v>2679</v>
      </c>
      <c r="B143" s="36">
        <v>46000</v>
      </c>
      <c r="C143" s="123">
        <f t="shared" si="13"/>
        <v>251</v>
      </c>
      <c r="D143" s="12">
        <v>1</v>
      </c>
      <c r="G143" s="14" t="s">
        <v>85</v>
      </c>
      <c r="H143" s="12" t="s">
        <v>4484</v>
      </c>
      <c r="I143" s="12">
        <v>112121</v>
      </c>
      <c r="J143" s="12">
        <v>131</v>
      </c>
      <c r="K143" s="12" t="s">
        <v>20</v>
      </c>
      <c r="L143" s="12">
        <v>1</v>
      </c>
      <c r="M143" s="17">
        <v>12774194</v>
      </c>
      <c r="N143" s="17">
        <f t="shared" si="11"/>
        <v>12774194</v>
      </c>
      <c r="O143" s="17" t="s">
        <v>21</v>
      </c>
      <c r="P143" s="12">
        <f t="shared" si="19"/>
        <v>105</v>
      </c>
      <c r="Q143" s="12">
        <f t="shared" si="18"/>
        <v>180</v>
      </c>
    </row>
    <row r="144" spans="1:17" ht="15" customHeight="1" x14ac:dyDescent="0.2">
      <c r="A144" s="12" t="s">
        <v>2679</v>
      </c>
      <c r="B144" s="36">
        <v>46001</v>
      </c>
      <c r="C144" s="123">
        <f t="shared" si="13"/>
        <v>252</v>
      </c>
      <c r="D144" s="12">
        <v>1</v>
      </c>
      <c r="G144" s="14" t="s">
        <v>45</v>
      </c>
      <c r="H144" s="12" t="s">
        <v>4524</v>
      </c>
      <c r="I144" s="12">
        <v>112121</v>
      </c>
      <c r="J144" s="12">
        <v>131</v>
      </c>
      <c r="K144" s="12" t="s">
        <v>20</v>
      </c>
      <c r="L144" s="12">
        <v>1</v>
      </c>
      <c r="M144" s="17">
        <v>15967742</v>
      </c>
      <c r="N144" s="17">
        <f t="shared" si="11"/>
        <v>15967742</v>
      </c>
      <c r="O144" s="17" t="s">
        <v>21</v>
      </c>
      <c r="P144" s="12">
        <f t="shared" si="19"/>
        <v>106</v>
      </c>
      <c r="Q144" s="12">
        <f t="shared" si="18"/>
        <v>14</v>
      </c>
    </row>
    <row r="145" spans="1:17" ht="15" customHeight="1" x14ac:dyDescent="0.2">
      <c r="A145" s="12" t="s">
        <v>2679</v>
      </c>
      <c r="B145" s="36">
        <v>46002</v>
      </c>
      <c r="C145" s="123">
        <f t="shared" si="13"/>
        <v>253</v>
      </c>
      <c r="D145" s="12">
        <v>1</v>
      </c>
      <c r="G145" s="14" t="s">
        <v>539</v>
      </c>
      <c r="H145" s="12" t="s">
        <v>4502</v>
      </c>
      <c r="I145" s="12">
        <v>112121</v>
      </c>
      <c r="J145" s="12">
        <v>131</v>
      </c>
      <c r="K145" s="12" t="s">
        <v>20</v>
      </c>
      <c r="L145" s="12">
        <v>1</v>
      </c>
      <c r="M145" s="17">
        <v>15967742</v>
      </c>
      <c r="N145" s="17">
        <f t="shared" ref="N145:N165" si="24">L145*M145</f>
        <v>15967742</v>
      </c>
      <c r="O145" s="17" t="s">
        <v>21</v>
      </c>
      <c r="P145" s="12">
        <f t="shared" si="19"/>
        <v>107</v>
      </c>
      <c r="Q145" s="12">
        <f t="shared" si="18"/>
        <v>169</v>
      </c>
    </row>
    <row r="146" spans="1:17" ht="15" customHeight="1" x14ac:dyDescent="0.2">
      <c r="A146" s="12" t="s">
        <v>2678</v>
      </c>
      <c r="B146" s="36">
        <v>46002</v>
      </c>
      <c r="C146" s="123">
        <f t="shared" si="13"/>
        <v>254</v>
      </c>
      <c r="D146" s="12">
        <v>1</v>
      </c>
      <c r="G146" s="14" t="s">
        <v>92</v>
      </c>
      <c r="H146" s="12" t="s">
        <v>3017</v>
      </c>
      <c r="I146" s="12">
        <v>1111</v>
      </c>
      <c r="J146" s="12">
        <v>112121</v>
      </c>
      <c r="K146" s="12" t="s">
        <v>20</v>
      </c>
      <c r="L146" s="12">
        <v>1</v>
      </c>
      <c r="M146" s="17">
        <v>60000000</v>
      </c>
      <c r="N146" s="17">
        <f t="shared" si="24"/>
        <v>60000000</v>
      </c>
      <c r="O146" s="17" t="s">
        <v>21</v>
      </c>
      <c r="P146" s="12">
        <f t="shared" si="19"/>
        <v>108</v>
      </c>
      <c r="Q146" s="12">
        <f t="shared" si="18"/>
        <v>40</v>
      </c>
    </row>
    <row r="147" spans="1:17" ht="15" customHeight="1" x14ac:dyDescent="0.2">
      <c r="A147" s="12" t="s">
        <v>2679</v>
      </c>
      <c r="B147" s="36">
        <v>46007</v>
      </c>
      <c r="C147" s="123">
        <f t="shared" si="13"/>
        <v>255</v>
      </c>
      <c r="D147" s="12">
        <v>1</v>
      </c>
      <c r="G147" s="14" t="s">
        <v>59</v>
      </c>
      <c r="H147" s="12" t="s">
        <v>4497</v>
      </c>
      <c r="I147" s="12">
        <v>112121</v>
      </c>
      <c r="J147" s="12">
        <v>131</v>
      </c>
      <c r="K147" s="12" t="s">
        <v>20</v>
      </c>
      <c r="L147" s="12">
        <v>1</v>
      </c>
      <c r="M147" s="17">
        <v>9408602</v>
      </c>
      <c r="N147" s="17">
        <f t="shared" si="24"/>
        <v>9408602</v>
      </c>
      <c r="O147" s="17" t="s">
        <v>21</v>
      </c>
      <c r="P147" s="12">
        <f t="shared" si="19"/>
        <v>109</v>
      </c>
      <c r="Q147" s="12">
        <f t="shared" si="18"/>
        <v>129</v>
      </c>
    </row>
    <row r="148" spans="1:17" ht="15" customHeight="1" x14ac:dyDescent="0.2">
      <c r="A148" s="12" t="s">
        <v>2679</v>
      </c>
      <c r="B148" s="36">
        <v>46009</v>
      </c>
      <c r="C148" s="123">
        <f t="shared" si="13"/>
        <v>256</v>
      </c>
      <c r="D148" s="12">
        <v>1</v>
      </c>
      <c r="G148" s="14" t="s">
        <v>26</v>
      </c>
      <c r="H148" s="12" t="s">
        <v>4500</v>
      </c>
      <c r="I148" s="12">
        <v>112121</v>
      </c>
      <c r="J148" s="12">
        <v>131</v>
      </c>
      <c r="K148" s="12" t="s">
        <v>20</v>
      </c>
      <c r="L148" s="12">
        <v>1</v>
      </c>
      <c r="M148" s="17">
        <v>12774194</v>
      </c>
      <c r="N148" s="17">
        <f t="shared" si="24"/>
        <v>12774194</v>
      </c>
      <c r="O148" s="17" t="s">
        <v>21</v>
      </c>
      <c r="P148" s="12">
        <f t="shared" si="19"/>
        <v>110</v>
      </c>
      <c r="Q148" s="12">
        <f t="shared" si="18"/>
        <v>172</v>
      </c>
    </row>
    <row r="149" spans="1:17" ht="15" customHeight="1" x14ac:dyDescent="0.2">
      <c r="A149" s="12" t="s">
        <v>2679</v>
      </c>
      <c r="B149" s="36">
        <v>46013</v>
      </c>
      <c r="C149" s="123">
        <f t="shared" si="13"/>
        <v>257</v>
      </c>
      <c r="D149" s="12">
        <v>1</v>
      </c>
      <c r="G149" s="14" t="s">
        <v>47</v>
      </c>
      <c r="H149" s="12" t="s">
        <v>4522</v>
      </c>
      <c r="I149" s="12">
        <v>112121</v>
      </c>
      <c r="J149" s="12">
        <v>131</v>
      </c>
      <c r="K149" s="12" t="s">
        <v>20</v>
      </c>
      <c r="L149" s="12">
        <v>1</v>
      </c>
      <c r="M149" s="17">
        <v>21290323</v>
      </c>
      <c r="N149" s="17">
        <f t="shared" si="24"/>
        <v>21290323</v>
      </c>
      <c r="O149" s="17" t="s">
        <v>21</v>
      </c>
      <c r="P149" s="12">
        <f t="shared" si="19"/>
        <v>111</v>
      </c>
      <c r="Q149" s="12">
        <f t="shared" si="18"/>
        <v>181</v>
      </c>
    </row>
    <row r="150" spans="1:17" ht="15" customHeight="1" x14ac:dyDescent="0.2">
      <c r="A150" s="12" t="s">
        <v>2679</v>
      </c>
      <c r="B150" s="36">
        <v>46013</v>
      </c>
      <c r="C150" s="123">
        <f t="shared" si="13"/>
        <v>258</v>
      </c>
      <c r="D150" s="12">
        <v>1</v>
      </c>
      <c r="G150" s="14" t="s">
        <v>1727</v>
      </c>
      <c r="H150" s="12" t="s">
        <v>4498</v>
      </c>
      <c r="I150" s="12">
        <v>112121</v>
      </c>
      <c r="J150" s="12">
        <v>131</v>
      </c>
      <c r="K150" s="12" t="s">
        <v>20</v>
      </c>
      <c r="L150" s="12">
        <v>1</v>
      </c>
      <c r="M150" s="17">
        <v>12774194</v>
      </c>
      <c r="N150" s="17">
        <f t="shared" si="24"/>
        <v>12774194</v>
      </c>
      <c r="O150" s="17" t="s">
        <v>21</v>
      </c>
      <c r="P150" s="12">
        <f t="shared" si="19"/>
        <v>112</v>
      </c>
      <c r="Q150" s="12">
        <f t="shared" si="18"/>
        <v>167</v>
      </c>
    </row>
    <row r="151" spans="1:17" ht="15" customHeight="1" x14ac:dyDescent="0.2">
      <c r="A151" s="12" t="s">
        <v>2678</v>
      </c>
      <c r="B151" s="36">
        <v>46015</v>
      </c>
      <c r="C151" s="123">
        <f t="shared" si="13"/>
        <v>259</v>
      </c>
      <c r="D151" s="12">
        <v>1</v>
      </c>
      <c r="G151" s="14" t="s">
        <v>92</v>
      </c>
      <c r="H151" s="12" t="s">
        <v>3017</v>
      </c>
      <c r="I151" s="12">
        <v>1111</v>
      </c>
      <c r="J151" s="12">
        <v>112121</v>
      </c>
      <c r="K151" s="12" t="s">
        <v>20</v>
      </c>
      <c r="L151" s="12">
        <v>1</v>
      </c>
      <c r="M151" s="17">
        <v>50000000</v>
      </c>
      <c r="N151" s="17">
        <f t="shared" si="24"/>
        <v>50000000</v>
      </c>
      <c r="O151" s="17" t="s">
        <v>21</v>
      </c>
      <c r="P151" s="12">
        <f t="shared" si="19"/>
        <v>113</v>
      </c>
      <c r="Q151" s="12">
        <f t="shared" si="18"/>
        <v>40</v>
      </c>
    </row>
    <row r="152" spans="1:17" ht="15" customHeight="1" x14ac:dyDescent="0.2">
      <c r="A152" s="12" t="s">
        <v>2679</v>
      </c>
      <c r="B152" s="36">
        <v>46015</v>
      </c>
      <c r="C152" s="123">
        <f t="shared" si="13"/>
        <v>260</v>
      </c>
      <c r="D152" s="12">
        <v>1</v>
      </c>
      <c r="G152" s="14" t="s">
        <v>66</v>
      </c>
      <c r="H152" s="12" t="s">
        <v>4501</v>
      </c>
      <c r="I152" s="12">
        <v>112121</v>
      </c>
      <c r="J152" s="12">
        <v>131</v>
      </c>
      <c r="K152" s="12" t="s">
        <v>20</v>
      </c>
      <c r="L152" s="12">
        <v>1</v>
      </c>
      <c r="M152" s="17">
        <v>14903226</v>
      </c>
      <c r="N152" s="17">
        <f t="shared" si="24"/>
        <v>14903226</v>
      </c>
      <c r="O152" s="17" t="s">
        <v>21</v>
      </c>
      <c r="P152" s="12">
        <f t="shared" si="19"/>
        <v>114</v>
      </c>
      <c r="Q152" s="12">
        <f t="shared" si="18"/>
        <v>117</v>
      </c>
    </row>
    <row r="153" spans="1:17" ht="15" customHeight="1" x14ac:dyDescent="0.2">
      <c r="A153" s="12" t="s">
        <v>2679</v>
      </c>
      <c r="B153" s="36">
        <v>46016</v>
      </c>
      <c r="C153" s="123">
        <f t="shared" si="13"/>
        <v>261</v>
      </c>
      <c r="D153" s="12">
        <v>1</v>
      </c>
      <c r="G153" s="14" t="s">
        <v>26</v>
      </c>
      <c r="H153" s="12" t="s">
        <v>4499</v>
      </c>
      <c r="I153" s="12">
        <v>112121</v>
      </c>
      <c r="J153" s="12">
        <v>131</v>
      </c>
      <c r="K153" s="12" t="s">
        <v>20</v>
      </c>
      <c r="L153" s="12">
        <v>1</v>
      </c>
      <c r="M153" s="17">
        <v>12774194</v>
      </c>
      <c r="N153" s="17">
        <f t="shared" si="24"/>
        <v>12774194</v>
      </c>
      <c r="O153" s="17" t="s">
        <v>21</v>
      </c>
      <c r="P153" s="12">
        <f t="shared" si="19"/>
        <v>115</v>
      </c>
      <c r="Q153" s="12">
        <f t="shared" si="18"/>
        <v>172</v>
      </c>
    </row>
    <row r="154" spans="1:17" ht="15" customHeight="1" x14ac:dyDescent="0.2">
      <c r="A154" s="12" t="s">
        <v>2678</v>
      </c>
      <c r="B154" s="36">
        <v>46016</v>
      </c>
      <c r="C154" s="123">
        <f t="shared" si="13"/>
        <v>262</v>
      </c>
      <c r="D154" s="12">
        <v>1</v>
      </c>
      <c r="G154" s="14" t="s">
        <v>92</v>
      </c>
      <c r="H154" s="12" t="s">
        <v>3017</v>
      </c>
      <c r="I154" s="12">
        <v>1111</v>
      </c>
      <c r="J154" s="12">
        <v>112121</v>
      </c>
      <c r="K154" s="12" t="s">
        <v>20</v>
      </c>
      <c r="L154" s="12">
        <v>1</v>
      </c>
      <c r="M154" s="17">
        <v>30000000</v>
      </c>
      <c r="N154" s="17">
        <f t="shared" si="24"/>
        <v>30000000</v>
      </c>
      <c r="O154" s="17" t="s">
        <v>21</v>
      </c>
      <c r="P154" s="12">
        <f t="shared" si="19"/>
        <v>116</v>
      </c>
      <c r="Q154" s="12">
        <f t="shared" si="18"/>
        <v>40</v>
      </c>
    </row>
    <row r="155" spans="1:17" ht="15" customHeight="1" x14ac:dyDescent="0.2">
      <c r="A155" s="12" t="s">
        <v>2679</v>
      </c>
      <c r="B155" s="36">
        <v>46016</v>
      </c>
      <c r="C155" s="123">
        <f t="shared" si="13"/>
        <v>263</v>
      </c>
      <c r="D155" s="12">
        <v>1</v>
      </c>
      <c r="G155" s="14" t="s">
        <v>4493</v>
      </c>
      <c r="H155" s="12" t="s">
        <v>2687</v>
      </c>
      <c r="I155" s="12">
        <v>112121</v>
      </c>
      <c r="J155" s="12">
        <v>5154</v>
      </c>
      <c r="K155" s="12" t="s">
        <v>20</v>
      </c>
      <c r="L155" s="12">
        <v>1</v>
      </c>
      <c r="M155" s="17">
        <v>191</v>
      </c>
      <c r="N155" s="17">
        <f t="shared" si="24"/>
        <v>191</v>
      </c>
      <c r="O155" s="17" t="s">
        <v>21</v>
      </c>
      <c r="P155" s="12">
        <f t="shared" si="19"/>
        <v>117</v>
      </c>
      <c r="Q155" s="12">
        <f t="shared" si="18"/>
        <v>12</v>
      </c>
    </row>
    <row r="156" spans="1:17" ht="15" customHeight="1" x14ac:dyDescent="0.2">
      <c r="A156" s="12" t="s">
        <v>2679</v>
      </c>
      <c r="B156" s="36">
        <v>46020</v>
      </c>
      <c r="C156" s="123">
        <f t="shared" si="13"/>
        <v>264</v>
      </c>
      <c r="D156" s="12">
        <v>1</v>
      </c>
      <c r="G156" s="14" t="s">
        <v>47</v>
      </c>
      <c r="H156" s="12" t="s">
        <v>4523</v>
      </c>
      <c r="I156" s="12">
        <v>112121</v>
      </c>
      <c r="J156" s="12">
        <v>131</v>
      </c>
      <c r="K156" s="12" t="s">
        <v>20</v>
      </c>
      <c r="L156" s="12">
        <v>1</v>
      </c>
      <c r="M156" s="17">
        <v>12774194</v>
      </c>
      <c r="N156" s="17">
        <f t="shared" si="24"/>
        <v>12774194</v>
      </c>
      <c r="O156" s="17" t="s">
        <v>21</v>
      </c>
      <c r="P156" s="12">
        <f t="shared" si="19"/>
        <v>118</v>
      </c>
      <c r="Q156" s="12">
        <f t="shared" si="18"/>
        <v>180</v>
      </c>
    </row>
    <row r="157" spans="1:17" ht="15" customHeight="1" x14ac:dyDescent="0.2">
      <c r="A157" s="12" t="s">
        <v>2719</v>
      </c>
      <c r="B157" s="36">
        <v>45936</v>
      </c>
      <c r="C157" s="123">
        <f t="shared" si="13"/>
        <v>265</v>
      </c>
      <c r="D157" s="12">
        <v>1</v>
      </c>
      <c r="G157" s="14" t="s">
        <v>37</v>
      </c>
      <c r="H157" s="12" t="s">
        <v>4503</v>
      </c>
      <c r="I157" s="20">
        <v>331</v>
      </c>
      <c r="J157" s="20">
        <v>1111</v>
      </c>
      <c r="K157" s="12" t="s">
        <v>20</v>
      </c>
      <c r="L157" s="12">
        <v>1</v>
      </c>
      <c r="M157" s="17">
        <v>3240000</v>
      </c>
      <c r="N157" s="17">
        <f t="shared" si="24"/>
        <v>3240000</v>
      </c>
      <c r="O157" s="17" t="s">
        <v>21</v>
      </c>
      <c r="P157" s="12">
        <f t="shared" si="19"/>
        <v>119</v>
      </c>
      <c r="Q157" s="12">
        <f t="shared" si="18"/>
        <v>53</v>
      </c>
    </row>
    <row r="158" spans="1:17" ht="15" customHeight="1" x14ac:dyDescent="0.2">
      <c r="A158" s="12" t="s">
        <v>2719</v>
      </c>
      <c r="B158" s="36">
        <v>45936</v>
      </c>
      <c r="C158" s="123">
        <f t="shared" si="13"/>
        <v>266</v>
      </c>
      <c r="D158" s="12">
        <v>1</v>
      </c>
      <c r="G158" s="14" t="s">
        <v>1722</v>
      </c>
      <c r="H158" s="12" t="s">
        <v>4504</v>
      </c>
      <c r="I158" s="20">
        <v>331</v>
      </c>
      <c r="J158" s="20">
        <v>1111</v>
      </c>
      <c r="K158" s="12" t="s">
        <v>20</v>
      </c>
      <c r="L158" s="12">
        <v>1</v>
      </c>
      <c r="M158" s="17">
        <v>3260400</v>
      </c>
      <c r="N158" s="17">
        <f t="shared" si="24"/>
        <v>3260400</v>
      </c>
      <c r="O158" s="17" t="s">
        <v>21</v>
      </c>
      <c r="P158" s="12">
        <f t="shared" si="19"/>
        <v>120</v>
      </c>
      <c r="Q158" s="12">
        <f t="shared" si="18"/>
        <v>46</v>
      </c>
    </row>
    <row r="159" spans="1:17" ht="15" customHeight="1" x14ac:dyDescent="0.2">
      <c r="A159" s="12" t="s">
        <v>2719</v>
      </c>
      <c r="B159" s="36">
        <v>45936</v>
      </c>
      <c r="C159" s="123">
        <f t="shared" si="13"/>
        <v>267</v>
      </c>
      <c r="D159" s="12">
        <v>1</v>
      </c>
      <c r="G159" s="14" t="s">
        <v>1722</v>
      </c>
      <c r="H159" s="12" t="s">
        <v>4505</v>
      </c>
      <c r="I159" s="20">
        <v>331</v>
      </c>
      <c r="J159" s="20">
        <v>1111</v>
      </c>
      <c r="K159" s="12" t="s">
        <v>20</v>
      </c>
      <c r="L159" s="12">
        <v>1</v>
      </c>
      <c r="M159" s="17">
        <v>1746000</v>
      </c>
      <c r="N159" s="17">
        <f t="shared" si="24"/>
        <v>1746000</v>
      </c>
      <c r="O159" s="17" t="s">
        <v>21</v>
      </c>
      <c r="P159" s="12">
        <f t="shared" si="19"/>
        <v>121</v>
      </c>
      <c r="Q159" s="12">
        <f t="shared" si="18"/>
        <v>46</v>
      </c>
    </row>
    <row r="160" spans="1:17" ht="15" customHeight="1" x14ac:dyDescent="0.2">
      <c r="A160" s="12" t="s">
        <v>2719</v>
      </c>
      <c r="B160" s="36">
        <v>45952</v>
      </c>
      <c r="C160" s="123">
        <f t="shared" si="13"/>
        <v>268</v>
      </c>
      <c r="D160" s="12">
        <v>1</v>
      </c>
      <c r="G160" s="14" t="s">
        <v>1722</v>
      </c>
      <c r="H160" s="12" t="s">
        <v>4506</v>
      </c>
      <c r="I160" s="20">
        <v>331</v>
      </c>
      <c r="J160" s="20">
        <v>1111</v>
      </c>
      <c r="K160" s="12" t="s">
        <v>20</v>
      </c>
      <c r="L160" s="12">
        <v>1</v>
      </c>
      <c r="M160" s="17">
        <v>789600</v>
      </c>
      <c r="N160" s="17">
        <f t="shared" si="24"/>
        <v>789600</v>
      </c>
      <c r="O160" s="17" t="s">
        <v>21</v>
      </c>
      <c r="P160" s="12">
        <f t="shared" si="19"/>
        <v>122</v>
      </c>
      <c r="Q160" s="12">
        <f t="shared" si="18"/>
        <v>47</v>
      </c>
    </row>
    <row r="161" spans="1:17" ht="15" customHeight="1" x14ac:dyDescent="0.2">
      <c r="A161" s="12" t="s">
        <v>2719</v>
      </c>
      <c r="B161" s="36">
        <v>45952</v>
      </c>
      <c r="C161" s="123">
        <f t="shared" si="13"/>
        <v>269</v>
      </c>
      <c r="D161" s="12">
        <v>1</v>
      </c>
      <c r="G161" s="14" t="s">
        <v>1722</v>
      </c>
      <c r="H161" s="12" t="s">
        <v>4507</v>
      </c>
      <c r="I161" s="20">
        <v>331</v>
      </c>
      <c r="J161" s="20">
        <v>1111</v>
      </c>
      <c r="K161" s="12" t="s">
        <v>20</v>
      </c>
      <c r="L161" s="12">
        <v>1</v>
      </c>
      <c r="M161" s="17">
        <v>2910000</v>
      </c>
      <c r="N161" s="17">
        <f t="shared" si="24"/>
        <v>2910000</v>
      </c>
      <c r="O161" s="17" t="s">
        <v>21</v>
      </c>
      <c r="P161" s="12">
        <f t="shared" si="19"/>
        <v>123</v>
      </c>
      <c r="Q161" s="12">
        <f t="shared" si="18"/>
        <v>47</v>
      </c>
    </row>
    <row r="162" spans="1:17" ht="15" customHeight="1" x14ac:dyDescent="0.2">
      <c r="A162" s="12" t="s">
        <v>2719</v>
      </c>
      <c r="B162" s="36">
        <v>45964</v>
      </c>
      <c r="C162" s="123">
        <f t="shared" si="13"/>
        <v>270</v>
      </c>
      <c r="D162" s="12">
        <v>1</v>
      </c>
      <c r="G162" s="14" t="s">
        <v>37</v>
      </c>
      <c r="H162" s="12" t="s">
        <v>4508</v>
      </c>
      <c r="I162" s="20">
        <v>331</v>
      </c>
      <c r="J162" s="20">
        <v>1111</v>
      </c>
      <c r="K162" s="12" t="s">
        <v>20</v>
      </c>
      <c r="L162" s="12">
        <v>1</v>
      </c>
      <c r="M162" s="17">
        <v>3240000</v>
      </c>
      <c r="N162" s="17">
        <f t="shared" si="24"/>
        <v>3240000</v>
      </c>
      <c r="O162" s="17" t="s">
        <v>21</v>
      </c>
      <c r="P162" s="12">
        <f t="shared" si="19"/>
        <v>124</v>
      </c>
      <c r="Q162" s="12">
        <f t="shared" si="18"/>
        <v>53</v>
      </c>
    </row>
    <row r="163" spans="1:17" ht="15" customHeight="1" x14ac:dyDescent="0.2">
      <c r="A163" s="12" t="s">
        <v>2719</v>
      </c>
      <c r="B163" s="36">
        <v>45974</v>
      </c>
      <c r="C163" s="123">
        <f t="shared" si="13"/>
        <v>271</v>
      </c>
      <c r="D163" s="12">
        <v>1</v>
      </c>
      <c r="G163" s="14" t="s">
        <v>1722</v>
      </c>
      <c r="H163" s="12" t="s">
        <v>4509</v>
      </c>
      <c r="I163" s="20">
        <v>331</v>
      </c>
      <c r="J163" s="20">
        <v>1111</v>
      </c>
      <c r="K163" s="12" t="s">
        <v>20</v>
      </c>
      <c r="L163" s="12">
        <v>1</v>
      </c>
      <c r="M163" s="17">
        <v>3158400</v>
      </c>
      <c r="N163" s="17">
        <f t="shared" si="24"/>
        <v>3158400</v>
      </c>
      <c r="O163" s="17" t="s">
        <v>21</v>
      </c>
      <c r="P163" s="12">
        <f t="shared" si="19"/>
        <v>125</v>
      </c>
      <c r="Q163" s="12">
        <f t="shared" si="18"/>
        <v>47</v>
      </c>
    </row>
    <row r="164" spans="1:17" ht="15" customHeight="1" x14ac:dyDescent="0.2">
      <c r="A164" s="12" t="s">
        <v>2719</v>
      </c>
      <c r="B164" s="36">
        <v>45980</v>
      </c>
      <c r="C164" s="123">
        <f t="shared" si="13"/>
        <v>272</v>
      </c>
      <c r="D164" s="12">
        <v>1</v>
      </c>
      <c r="G164" s="14" t="s">
        <v>41</v>
      </c>
      <c r="H164" s="12" t="s">
        <v>4510</v>
      </c>
      <c r="I164" s="20">
        <v>331</v>
      </c>
      <c r="J164" s="20">
        <v>1111</v>
      </c>
      <c r="K164" s="12" t="s">
        <v>20</v>
      </c>
      <c r="L164" s="12">
        <v>1</v>
      </c>
      <c r="M164" s="17">
        <v>1272780</v>
      </c>
      <c r="N164" s="17">
        <f t="shared" si="24"/>
        <v>1272780</v>
      </c>
      <c r="O164" s="17" t="s">
        <v>21</v>
      </c>
      <c r="P164" s="12">
        <f t="shared" si="19"/>
        <v>126</v>
      </c>
      <c r="Q164" s="12">
        <f t="shared" si="18"/>
        <v>55</v>
      </c>
    </row>
    <row r="165" spans="1:17" ht="15" customHeight="1" x14ac:dyDescent="0.2">
      <c r="A165" s="12" t="s">
        <v>2719</v>
      </c>
      <c r="B165" s="36">
        <v>45990</v>
      </c>
      <c r="C165" s="123">
        <f t="shared" si="13"/>
        <v>273</v>
      </c>
      <c r="D165" s="12">
        <v>1</v>
      </c>
      <c r="G165" s="14" t="s">
        <v>37</v>
      </c>
      <c r="H165" s="12" t="s">
        <v>4511</v>
      </c>
      <c r="I165" s="20">
        <v>331</v>
      </c>
      <c r="J165" s="20">
        <v>1111</v>
      </c>
      <c r="K165" s="12" t="s">
        <v>20</v>
      </c>
      <c r="L165" s="12">
        <v>1</v>
      </c>
      <c r="M165" s="17">
        <v>3240000</v>
      </c>
      <c r="N165" s="17">
        <f t="shared" si="24"/>
        <v>3240000</v>
      </c>
      <c r="O165" s="17" t="s">
        <v>21</v>
      </c>
      <c r="P165" s="12">
        <f t="shared" si="19"/>
        <v>127</v>
      </c>
      <c r="Q165" s="12">
        <f t="shared" si="18"/>
        <v>53</v>
      </c>
    </row>
  </sheetData>
  <autoFilter ref="A3:Q165" xr:uid="{00000000-0009-0000-0000-00000E000000}"/>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rgb="FF92D050"/>
  </sheetPr>
  <dimension ref="A1:Y264"/>
  <sheetViews>
    <sheetView tabSelected="1" workbookViewId="0">
      <selection activeCell="H115" sqref="H115"/>
    </sheetView>
  </sheetViews>
  <sheetFormatPr defaultRowHeight="15" customHeight="1" x14ac:dyDescent="0.2"/>
  <cols>
    <col min="1" max="1" width="9.140625" style="20"/>
    <col min="2" max="2" width="10.7109375" style="109" bestFit="1" customWidth="1"/>
    <col min="3" max="4" width="9.140625" style="20"/>
    <col min="5" max="5" width="16.140625" style="20" customWidth="1"/>
    <col min="6" max="6" width="10.5703125" style="32" customWidth="1"/>
    <col min="7" max="7" width="14.85546875" style="32" bestFit="1" customWidth="1"/>
    <col min="8" max="8" width="49.7109375" style="32" customWidth="1"/>
    <col min="9" max="12" width="9.140625" style="20"/>
    <col min="13" max="13" width="11.28515625" style="34" bestFit="1" customWidth="1"/>
    <col min="14" max="14" width="11.28515625" style="33" bestFit="1" customWidth="1"/>
    <col min="15" max="15" width="9.140625" style="20"/>
    <col min="16" max="16" width="11.28515625" style="20" bestFit="1" customWidth="1"/>
    <col min="17" max="16384" width="9.140625" style="20"/>
  </cols>
  <sheetData>
    <row r="1" spans="1:17" ht="15" customHeight="1" thickBot="1" x14ac:dyDescent="0.25">
      <c r="A1" s="232" t="s">
        <v>0</v>
      </c>
      <c r="B1" s="232" t="s">
        <v>1</v>
      </c>
      <c r="C1" s="232" t="s">
        <v>2</v>
      </c>
      <c r="D1" s="234" t="s">
        <v>3</v>
      </c>
      <c r="E1" s="230" t="s">
        <v>4</v>
      </c>
      <c r="F1" s="230" t="s">
        <v>5</v>
      </c>
      <c r="G1" s="239" t="s">
        <v>6</v>
      </c>
      <c r="H1" s="241" t="s">
        <v>7</v>
      </c>
      <c r="I1" s="243" t="s">
        <v>8</v>
      </c>
      <c r="J1" s="244"/>
      <c r="K1" s="232" t="s">
        <v>9</v>
      </c>
      <c r="L1" s="232" t="s">
        <v>10</v>
      </c>
      <c r="M1" s="192" t="s">
        <v>11</v>
      </c>
      <c r="N1" s="237" t="s">
        <v>12</v>
      </c>
      <c r="O1" s="19"/>
      <c r="P1" s="152" t="s">
        <v>3991</v>
      </c>
    </row>
    <row r="2" spans="1:17" ht="15" customHeight="1" thickBot="1" x14ac:dyDescent="0.25">
      <c r="A2" s="233"/>
      <c r="B2" s="233"/>
      <c r="C2" s="233"/>
      <c r="D2" s="235"/>
      <c r="E2" s="236"/>
      <c r="F2" s="231"/>
      <c r="G2" s="240"/>
      <c r="H2" s="242"/>
      <c r="I2" s="21" t="s">
        <v>13</v>
      </c>
      <c r="J2" s="22" t="s">
        <v>14</v>
      </c>
      <c r="K2" s="233"/>
      <c r="L2" s="233"/>
      <c r="M2" s="193"/>
      <c r="N2" s="238"/>
      <c r="O2" s="23"/>
    </row>
    <row r="3" spans="1:17" ht="15" customHeight="1" x14ac:dyDescent="0.2">
      <c r="A3" s="24"/>
      <c r="B3" s="25"/>
      <c r="C3" s="24">
        <v>180</v>
      </c>
      <c r="D3" s="26"/>
      <c r="E3" s="26"/>
      <c r="F3" s="26"/>
      <c r="G3" s="24" t="s">
        <v>15</v>
      </c>
      <c r="H3" s="27"/>
      <c r="I3" s="28"/>
      <c r="J3" s="28"/>
      <c r="K3" s="29"/>
      <c r="L3" s="30"/>
      <c r="M3" s="35"/>
      <c r="N3" s="31"/>
      <c r="O3" s="20" t="s">
        <v>16</v>
      </c>
      <c r="P3" s="20" t="s">
        <v>17</v>
      </c>
    </row>
    <row r="4" spans="1:17" ht="15" hidden="1" customHeight="1" x14ac:dyDescent="0.2">
      <c r="A4" s="20" t="s">
        <v>18</v>
      </c>
      <c r="B4" s="63">
        <v>45931</v>
      </c>
      <c r="C4" s="32">
        <f t="shared" ref="C4:C34" si="0">C3+D4</f>
        <v>181</v>
      </c>
      <c r="D4" s="20">
        <v>1</v>
      </c>
      <c r="G4" s="32" t="s">
        <v>1846</v>
      </c>
      <c r="H4" s="32" t="s">
        <v>3493</v>
      </c>
      <c r="I4" s="20">
        <v>64277</v>
      </c>
      <c r="J4" s="20">
        <v>331</v>
      </c>
      <c r="K4" s="20" t="s">
        <v>20</v>
      </c>
      <c r="L4" s="20">
        <v>1</v>
      </c>
      <c r="M4" s="34">
        <v>204000</v>
      </c>
      <c r="N4" s="34">
        <f t="shared" ref="N4:N37" si="1">L4*M4</f>
        <v>204000</v>
      </c>
      <c r="O4" s="20" t="s">
        <v>21</v>
      </c>
      <c r="P4" s="20">
        <v>1</v>
      </c>
      <c r="Q4" s="20">
        <f>LEN(H4)</f>
        <v>27</v>
      </c>
    </row>
    <row r="5" spans="1:17" ht="15" hidden="1" customHeight="1" x14ac:dyDescent="0.2">
      <c r="A5" s="20" t="s">
        <v>18</v>
      </c>
      <c r="B5" s="63">
        <v>45932</v>
      </c>
      <c r="C5" s="32">
        <f t="shared" si="0"/>
        <v>182</v>
      </c>
      <c r="D5" s="20">
        <v>1</v>
      </c>
      <c r="G5" s="32" t="s">
        <v>74</v>
      </c>
      <c r="H5" s="32" t="s">
        <v>1861</v>
      </c>
      <c r="I5" s="20">
        <v>64277</v>
      </c>
      <c r="J5" s="20">
        <v>331</v>
      </c>
      <c r="K5" s="20" t="s">
        <v>20</v>
      </c>
      <c r="L5" s="20">
        <v>1</v>
      </c>
      <c r="M5" s="34">
        <v>905040</v>
      </c>
      <c r="N5" s="34">
        <f t="shared" si="1"/>
        <v>905040</v>
      </c>
      <c r="O5" s="20" t="s">
        <v>21</v>
      </c>
      <c r="P5" s="20">
        <f>P4+D5</f>
        <v>2</v>
      </c>
      <c r="Q5" s="20">
        <f t="shared" ref="Q5:Q68" si="2">LEN(H5)</f>
        <v>41</v>
      </c>
    </row>
    <row r="6" spans="1:17" ht="15" hidden="1" customHeight="1" x14ac:dyDescent="0.2">
      <c r="A6" s="20" t="s">
        <v>18</v>
      </c>
      <c r="B6" s="63">
        <v>45934</v>
      </c>
      <c r="C6" s="32">
        <f t="shared" si="0"/>
        <v>183</v>
      </c>
      <c r="D6" s="20">
        <v>1</v>
      </c>
      <c r="G6" s="32" t="s">
        <v>37</v>
      </c>
      <c r="H6" s="32" t="s">
        <v>1763</v>
      </c>
      <c r="I6" s="20">
        <v>64277</v>
      </c>
      <c r="J6" s="20">
        <v>331</v>
      </c>
      <c r="K6" s="20" t="s">
        <v>20</v>
      </c>
      <c r="L6" s="20">
        <v>1</v>
      </c>
      <c r="M6" s="34">
        <v>3240000</v>
      </c>
      <c r="N6" s="34">
        <f t="shared" si="1"/>
        <v>3240000</v>
      </c>
      <c r="O6" s="20" t="s">
        <v>21</v>
      </c>
      <c r="P6" s="20">
        <f t="shared" ref="P6:P69" si="3">P5+D6</f>
        <v>3</v>
      </c>
      <c r="Q6" s="20">
        <f t="shared" si="2"/>
        <v>42</v>
      </c>
    </row>
    <row r="7" spans="1:17" ht="15" hidden="1" customHeight="1" x14ac:dyDescent="0.2">
      <c r="A7" s="20" t="s">
        <v>18</v>
      </c>
      <c r="B7" s="63">
        <v>45935</v>
      </c>
      <c r="C7" s="32">
        <f t="shared" si="0"/>
        <v>184</v>
      </c>
      <c r="D7" s="20">
        <v>1</v>
      </c>
      <c r="G7" s="32" t="s">
        <v>1847</v>
      </c>
      <c r="H7" s="32" t="s">
        <v>1862</v>
      </c>
      <c r="I7" s="20">
        <v>64277</v>
      </c>
      <c r="J7" s="20">
        <v>331</v>
      </c>
      <c r="K7" s="20" t="s">
        <v>20</v>
      </c>
      <c r="L7" s="20">
        <v>1</v>
      </c>
      <c r="M7" s="34">
        <v>549990</v>
      </c>
      <c r="N7" s="34">
        <f t="shared" si="1"/>
        <v>549990</v>
      </c>
      <c r="O7" s="20" t="s">
        <v>21</v>
      </c>
      <c r="P7" s="20">
        <f t="shared" si="3"/>
        <v>4</v>
      </c>
      <c r="Q7" s="20">
        <f t="shared" si="2"/>
        <v>41</v>
      </c>
    </row>
    <row r="8" spans="1:17" ht="15" hidden="1" customHeight="1" x14ac:dyDescent="0.2">
      <c r="A8" s="20" t="s">
        <v>18</v>
      </c>
      <c r="B8" s="63">
        <v>45941</v>
      </c>
      <c r="C8" s="32">
        <f t="shared" si="0"/>
        <v>185</v>
      </c>
      <c r="D8" s="20">
        <v>1</v>
      </c>
      <c r="G8" s="32" t="s">
        <v>76</v>
      </c>
      <c r="H8" s="32" t="s">
        <v>1863</v>
      </c>
      <c r="I8" s="20">
        <v>64277</v>
      </c>
      <c r="J8" s="20">
        <v>331</v>
      </c>
      <c r="K8" s="20" t="s">
        <v>20</v>
      </c>
      <c r="L8" s="20">
        <v>1</v>
      </c>
      <c r="M8" s="34">
        <v>394200</v>
      </c>
      <c r="N8" s="34">
        <f t="shared" si="1"/>
        <v>394200</v>
      </c>
      <c r="O8" s="20" t="s">
        <v>21</v>
      </c>
      <c r="P8" s="20">
        <f t="shared" si="3"/>
        <v>5</v>
      </c>
      <c r="Q8" s="20">
        <f t="shared" si="2"/>
        <v>42</v>
      </c>
    </row>
    <row r="9" spans="1:17" ht="15" hidden="1" customHeight="1" x14ac:dyDescent="0.2">
      <c r="A9" s="20" t="s">
        <v>18</v>
      </c>
      <c r="B9" s="63">
        <v>45943</v>
      </c>
      <c r="C9" s="32">
        <f t="shared" si="0"/>
        <v>186</v>
      </c>
      <c r="D9" s="20">
        <v>1</v>
      </c>
      <c r="G9" s="32" t="s">
        <v>28</v>
      </c>
      <c r="H9" s="32" t="s">
        <v>1864</v>
      </c>
      <c r="I9" s="20">
        <v>64277</v>
      </c>
      <c r="J9" s="20">
        <v>331</v>
      </c>
      <c r="K9" s="20" t="s">
        <v>20</v>
      </c>
      <c r="L9" s="20">
        <v>1</v>
      </c>
      <c r="M9" s="34">
        <v>582120</v>
      </c>
      <c r="N9" s="34">
        <f t="shared" si="1"/>
        <v>582120</v>
      </c>
      <c r="O9" s="20" t="s">
        <v>21</v>
      </c>
      <c r="P9" s="20">
        <f t="shared" si="3"/>
        <v>6</v>
      </c>
      <c r="Q9" s="20">
        <f t="shared" si="2"/>
        <v>42</v>
      </c>
    </row>
    <row r="10" spans="1:17" ht="15" hidden="1" customHeight="1" x14ac:dyDescent="0.2">
      <c r="A10" s="20" t="s">
        <v>18</v>
      </c>
      <c r="B10" s="63">
        <v>45947</v>
      </c>
      <c r="C10" s="32">
        <f t="shared" si="0"/>
        <v>187</v>
      </c>
      <c r="D10" s="20">
        <v>1</v>
      </c>
      <c r="G10" s="32" t="s">
        <v>1001</v>
      </c>
      <c r="H10" s="32" t="s">
        <v>1865</v>
      </c>
      <c r="I10" s="20">
        <v>64277</v>
      </c>
      <c r="J10" s="20">
        <v>331</v>
      </c>
      <c r="K10" s="20" t="s">
        <v>20</v>
      </c>
      <c r="L10" s="20">
        <v>1</v>
      </c>
      <c r="M10" s="34">
        <v>1169960</v>
      </c>
      <c r="N10" s="34">
        <f t="shared" si="1"/>
        <v>1169960</v>
      </c>
      <c r="O10" s="20" t="s">
        <v>21</v>
      </c>
      <c r="P10" s="20">
        <f t="shared" si="3"/>
        <v>7</v>
      </c>
      <c r="Q10" s="20">
        <f t="shared" si="2"/>
        <v>41</v>
      </c>
    </row>
    <row r="11" spans="1:17" ht="15" hidden="1" customHeight="1" x14ac:dyDescent="0.2">
      <c r="A11" s="20" t="s">
        <v>18</v>
      </c>
      <c r="B11" s="63">
        <v>45947</v>
      </c>
      <c r="C11" s="32">
        <f t="shared" si="0"/>
        <v>188</v>
      </c>
      <c r="D11" s="20">
        <v>1</v>
      </c>
      <c r="G11" s="32" t="s">
        <v>1353</v>
      </c>
      <c r="H11" s="32" t="s">
        <v>1879</v>
      </c>
      <c r="I11" s="20">
        <v>64276</v>
      </c>
      <c r="J11" s="20">
        <v>331</v>
      </c>
      <c r="K11" s="20" t="s">
        <v>20</v>
      </c>
      <c r="L11" s="20">
        <v>1</v>
      </c>
      <c r="M11" s="34">
        <v>3571000</v>
      </c>
      <c r="N11" s="34">
        <f t="shared" si="1"/>
        <v>3571000</v>
      </c>
      <c r="O11" s="20" t="s">
        <v>21</v>
      </c>
      <c r="P11" s="20">
        <f t="shared" si="3"/>
        <v>8</v>
      </c>
      <c r="Q11" s="20">
        <f t="shared" si="2"/>
        <v>38</v>
      </c>
    </row>
    <row r="12" spans="1:17" ht="15" hidden="1" customHeight="1" x14ac:dyDescent="0.2">
      <c r="A12" s="20" t="s">
        <v>18</v>
      </c>
      <c r="B12" s="63">
        <v>45949</v>
      </c>
      <c r="C12" s="32">
        <f t="shared" si="0"/>
        <v>189</v>
      </c>
      <c r="D12" s="20">
        <v>1</v>
      </c>
      <c r="G12" s="32" t="s">
        <v>76</v>
      </c>
      <c r="H12" s="32" t="s">
        <v>1866</v>
      </c>
      <c r="I12" s="20">
        <v>64277</v>
      </c>
      <c r="J12" s="20">
        <v>331</v>
      </c>
      <c r="K12" s="20" t="s">
        <v>20</v>
      </c>
      <c r="L12" s="20">
        <v>1</v>
      </c>
      <c r="M12" s="34">
        <v>574560</v>
      </c>
      <c r="N12" s="34">
        <f t="shared" si="1"/>
        <v>574560</v>
      </c>
      <c r="O12" s="20" t="s">
        <v>21</v>
      </c>
      <c r="P12" s="20">
        <f t="shared" si="3"/>
        <v>9</v>
      </c>
      <c r="Q12" s="20">
        <f t="shared" si="2"/>
        <v>42</v>
      </c>
    </row>
    <row r="13" spans="1:17" ht="15" hidden="1" customHeight="1" x14ac:dyDescent="0.2">
      <c r="A13" s="20" t="s">
        <v>18</v>
      </c>
      <c r="B13" s="63">
        <v>45958</v>
      </c>
      <c r="C13" s="32">
        <f t="shared" si="0"/>
        <v>190</v>
      </c>
      <c r="D13" s="20">
        <v>1</v>
      </c>
      <c r="G13" s="32" t="s">
        <v>61</v>
      </c>
      <c r="H13" s="32" t="s">
        <v>1867</v>
      </c>
      <c r="I13" s="20">
        <v>64277</v>
      </c>
      <c r="J13" s="20">
        <v>331</v>
      </c>
      <c r="K13" s="20" t="s">
        <v>20</v>
      </c>
      <c r="L13" s="20">
        <v>1</v>
      </c>
      <c r="M13" s="34">
        <v>513000</v>
      </c>
      <c r="N13" s="34">
        <f t="shared" si="1"/>
        <v>513000</v>
      </c>
      <c r="O13" s="20" t="s">
        <v>21</v>
      </c>
      <c r="P13" s="20">
        <f t="shared" si="3"/>
        <v>10</v>
      </c>
      <c r="Q13" s="20">
        <f t="shared" si="2"/>
        <v>42</v>
      </c>
    </row>
    <row r="14" spans="1:17" ht="15" hidden="1" customHeight="1" x14ac:dyDescent="0.2">
      <c r="A14" s="20" t="s">
        <v>18</v>
      </c>
      <c r="B14" s="63">
        <v>45959</v>
      </c>
      <c r="C14" s="32">
        <f t="shared" si="0"/>
        <v>191</v>
      </c>
      <c r="D14" s="20">
        <v>1</v>
      </c>
      <c r="G14" s="32" t="s">
        <v>1848</v>
      </c>
      <c r="H14" s="32" t="s">
        <v>1868</v>
      </c>
      <c r="I14" s="20">
        <v>64277</v>
      </c>
      <c r="J14" s="20">
        <v>331</v>
      </c>
      <c r="K14" s="20" t="s">
        <v>20</v>
      </c>
      <c r="L14" s="20">
        <v>1</v>
      </c>
      <c r="M14" s="34">
        <v>535248</v>
      </c>
      <c r="N14" s="34">
        <f t="shared" si="1"/>
        <v>535248</v>
      </c>
      <c r="O14" s="20" t="s">
        <v>21</v>
      </c>
      <c r="P14" s="20">
        <f t="shared" si="3"/>
        <v>11</v>
      </c>
      <c r="Q14" s="20">
        <f t="shared" si="2"/>
        <v>42</v>
      </c>
    </row>
    <row r="15" spans="1:17" ht="15" hidden="1" customHeight="1" x14ac:dyDescent="0.2">
      <c r="A15" s="20" t="s">
        <v>18</v>
      </c>
      <c r="B15" s="63">
        <v>45960</v>
      </c>
      <c r="C15" s="32">
        <f t="shared" si="0"/>
        <v>192</v>
      </c>
      <c r="D15" s="20">
        <v>1</v>
      </c>
      <c r="G15" s="32" t="s">
        <v>37</v>
      </c>
      <c r="H15" s="32" t="s">
        <v>1764</v>
      </c>
      <c r="I15" s="20">
        <v>64277</v>
      </c>
      <c r="J15" s="20">
        <v>331</v>
      </c>
      <c r="K15" s="20" t="s">
        <v>20</v>
      </c>
      <c r="L15" s="20">
        <v>1</v>
      </c>
      <c r="M15" s="34">
        <v>3240000</v>
      </c>
      <c r="N15" s="34">
        <f t="shared" si="1"/>
        <v>3240000</v>
      </c>
      <c r="O15" s="20" t="s">
        <v>21</v>
      </c>
      <c r="P15" s="20">
        <f t="shared" si="3"/>
        <v>12</v>
      </c>
      <c r="Q15" s="20">
        <f t="shared" si="2"/>
        <v>42</v>
      </c>
    </row>
    <row r="16" spans="1:17" ht="15" hidden="1" customHeight="1" x14ac:dyDescent="0.2">
      <c r="A16" s="20" t="s">
        <v>18</v>
      </c>
      <c r="B16" s="63">
        <v>45961</v>
      </c>
      <c r="C16" s="32">
        <f t="shared" si="0"/>
        <v>193</v>
      </c>
      <c r="D16" s="20">
        <v>1</v>
      </c>
      <c r="G16" s="32" t="s">
        <v>77</v>
      </c>
      <c r="H16" s="32" t="s">
        <v>1880</v>
      </c>
      <c r="I16" s="20">
        <v>64276</v>
      </c>
      <c r="J16" s="20">
        <v>331</v>
      </c>
      <c r="K16" s="20" t="s">
        <v>20</v>
      </c>
      <c r="L16" s="20">
        <v>1</v>
      </c>
      <c r="M16" s="34">
        <v>8899994</v>
      </c>
      <c r="N16" s="34">
        <f t="shared" si="1"/>
        <v>8899994</v>
      </c>
      <c r="O16" s="20" t="s">
        <v>21</v>
      </c>
      <c r="P16" s="20">
        <f t="shared" si="3"/>
        <v>13</v>
      </c>
      <c r="Q16" s="20">
        <f t="shared" si="2"/>
        <v>36</v>
      </c>
    </row>
    <row r="17" spans="1:17" ht="15" hidden="1" customHeight="1" x14ac:dyDescent="0.2">
      <c r="A17" s="20" t="s">
        <v>18</v>
      </c>
      <c r="B17" s="63">
        <v>45965</v>
      </c>
      <c r="C17" s="32">
        <f t="shared" si="0"/>
        <v>194</v>
      </c>
      <c r="D17" s="20">
        <v>1</v>
      </c>
      <c r="G17" s="32" t="s">
        <v>1849</v>
      </c>
      <c r="H17" s="32" t="s">
        <v>1881</v>
      </c>
      <c r="I17" s="20">
        <v>64276</v>
      </c>
      <c r="J17" s="20">
        <v>331</v>
      </c>
      <c r="K17" s="20" t="s">
        <v>20</v>
      </c>
      <c r="L17" s="20">
        <v>1</v>
      </c>
      <c r="M17" s="34">
        <v>2771050</v>
      </c>
      <c r="N17" s="34">
        <f t="shared" si="1"/>
        <v>2771050</v>
      </c>
      <c r="O17" s="20" t="s">
        <v>21</v>
      </c>
      <c r="P17" s="20">
        <f t="shared" si="3"/>
        <v>14</v>
      </c>
      <c r="Q17" s="20">
        <f t="shared" si="2"/>
        <v>38</v>
      </c>
    </row>
    <row r="18" spans="1:17" ht="15" hidden="1" customHeight="1" x14ac:dyDescent="0.2">
      <c r="A18" s="20" t="s">
        <v>18</v>
      </c>
      <c r="B18" s="63">
        <v>45965</v>
      </c>
      <c r="C18" s="32">
        <f t="shared" si="0"/>
        <v>195</v>
      </c>
      <c r="D18" s="20">
        <v>1</v>
      </c>
      <c r="G18" s="32" t="s">
        <v>1031</v>
      </c>
      <c r="H18" s="32" t="s">
        <v>1869</v>
      </c>
      <c r="I18" s="20">
        <v>64277</v>
      </c>
      <c r="J18" s="20">
        <v>331</v>
      </c>
      <c r="K18" s="20" t="s">
        <v>20</v>
      </c>
      <c r="L18" s="20">
        <v>1</v>
      </c>
      <c r="M18" s="34">
        <v>345600</v>
      </c>
      <c r="N18" s="34">
        <f t="shared" si="1"/>
        <v>345600</v>
      </c>
      <c r="O18" s="20" t="s">
        <v>21</v>
      </c>
      <c r="P18" s="20">
        <f t="shared" si="3"/>
        <v>15</v>
      </c>
      <c r="Q18" s="20">
        <f t="shared" si="2"/>
        <v>42</v>
      </c>
    </row>
    <row r="19" spans="1:17" ht="15" hidden="1" customHeight="1" x14ac:dyDescent="0.2">
      <c r="A19" s="20" t="s">
        <v>18</v>
      </c>
      <c r="B19" s="63">
        <v>45969</v>
      </c>
      <c r="C19" s="32">
        <f t="shared" si="0"/>
        <v>196</v>
      </c>
      <c r="D19" s="20">
        <v>1</v>
      </c>
      <c r="G19" s="32" t="s">
        <v>76</v>
      </c>
      <c r="H19" s="32" t="s">
        <v>1870</v>
      </c>
      <c r="I19" s="20">
        <v>64277</v>
      </c>
      <c r="J19" s="20">
        <v>331</v>
      </c>
      <c r="K19" s="20" t="s">
        <v>20</v>
      </c>
      <c r="L19" s="20">
        <v>1</v>
      </c>
      <c r="M19" s="34">
        <v>677160</v>
      </c>
      <c r="N19" s="34">
        <f t="shared" si="1"/>
        <v>677160</v>
      </c>
      <c r="O19" s="20" t="s">
        <v>21</v>
      </c>
      <c r="P19" s="20">
        <f t="shared" si="3"/>
        <v>16</v>
      </c>
      <c r="Q19" s="20">
        <f t="shared" si="2"/>
        <v>42</v>
      </c>
    </row>
    <row r="20" spans="1:17" ht="15" hidden="1" customHeight="1" x14ac:dyDescent="0.2">
      <c r="A20" s="20" t="s">
        <v>18</v>
      </c>
      <c r="B20" s="63">
        <v>45978</v>
      </c>
      <c r="C20" s="32">
        <f t="shared" si="0"/>
        <v>197</v>
      </c>
      <c r="D20" s="20">
        <v>1</v>
      </c>
      <c r="G20" s="32" t="s">
        <v>61</v>
      </c>
      <c r="H20" s="32" t="s">
        <v>1871</v>
      </c>
      <c r="I20" s="20">
        <v>64277</v>
      </c>
      <c r="J20" s="20">
        <v>331</v>
      </c>
      <c r="K20" s="20" t="s">
        <v>20</v>
      </c>
      <c r="L20" s="20">
        <v>1</v>
      </c>
      <c r="M20" s="34">
        <v>514080</v>
      </c>
      <c r="N20" s="34">
        <f t="shared" si="1"/>
        <v>514080</v>
      </c>
      <c r="O20" s="20" t="s">
        <v>21</v>
      </c>
      <c r="P20" s="20">
        <f t="shared" si="3"/>
        <v>17</v>
      </c>
      <c r="Q20" s="20">
        <f t="shared" si="2"/>
        <v>42</v>
      </c>
    </row>
    <row r="21" spans="1:17" ht="15" hidden="1" customHeight="1" x14ac:dyDescent="0.2">
      <c r="A21" s="20" t="s">
        <v>18</v>
      </c>
      <c r="B21" s="63">
        <v>45980</v>
      </c>
      <c r="C21" s="32">
        <f t="shared" si="0"/>
        <v>198</v>
      </c>
      <c r="D21" s="20">
        <v>1</v>
      </c>
      <c r="G21" s="32" t="s">
        <v>1850</v>
      </c>
      <c r="H21" s="32" t="s">
        <v>1882</v>
      </c>
      <c r="I21" s="20">
        <v>64276</v>
      </c>
      <c r="J21" s="20">
        <v>331</v>
      </c>
      <c r="K21" s="20" t="s">
        <v>20</v>
      </c>
      <c r="L21" s="20">
        <v>1</v>
      </c>
      <c r="M21" s="34">
        <v>963000</v>
      </c>
      <c r="N21" s="34">
        <f t="shared" si="1"/>
        <v>963000</v>
      </c>
      <c r="O21" s="20" t="s">
        <v>21</v>
      </c>
      <c r="P21" s="20">
        <f t="shared" si="3"/>
        <v>18</v>
      </c>
      <c r="Q21" s="20">
        <f t="shared" si="2"/>
        <v>34</v>
      </c>
    </row>
    <row r="22" spans="1:17" ht="15" hidden="1" customHeight="1" x14ac:dyDescent="0.2">
      <c r="A22" s="20" t="s">
        <v>18</v>
      </c>
      <c r="B22" s="63">
        <v>45981</v>
      </c>
      <c r="C22" s="32">
        <f t="shared" si="0"/>
        <v>199</v>
      </c>
      <c r="D22" s="20">
        <v>1</v>
      </c>
      <c r="G22" s="32" t="s">
        <v>28</v>
      </c>
      <c r="H22" s="32" t="s">
        <v>1872</v>
      </c>
      <c r="I22" s="20">
        <v>64277</v>
      </c>
      <c r="J22" s="20">
        <v>331</v>
      </c>
      <c r="K22" s="20" t="s">
        <v>20</v>
      </c>
      <c r="L22" s="20">
        <v>1</v>
      </c>
      <c r="M22" s="34">
        <v>395280</v>
      </c>
      <c r="N22" s="34">
        <f t="shared" si="1"/>
        <v>395280</v>
      </c>
      <c r="O22" s="20" t="s">
        <v>21</v>
      </c>
      <c r="P22" s="20">
        <f t="shared" si="3"/>
        <v>19</v>
      </c>
      <c r="Q22" s="20">
        <f t="shared" si="2"/>
        <v>41</v>
      </c>
    </row>
    <row r="23" spans="1:17" ht="15" hidden="1" customHeight="1" x14ac:dyDescent="0.2">
      <c r="A23" s="20" t="s">
        <v>18</v>
      </c>
      <c r="B23" s="63">
        <v>45988</v>
      </c>
      <c r="C23" s="32">
        <f t="shared" si="0"/>
        <v>200</v>
      </c>
      <c r="D23" s="20">
        <v>1</v>
      </c>
      <c r="G23" s="32" t="s">
        <v>120</v>
      </c>
      <c r="H23" s="32" t="s">
        <v>1883</v>
      </c>
      <c r="I23" s="20">
        <v>64276</v>
      </c>
      <c r="J23" s="20">
        <v>331</v>
      </c>
      <c r="K23" s="20" t="s">
        <v>20</v>
      </c>
      <c r="L23" s="20">
        <v>1</v>
      </c>
      <c r="M23" s="34">
        <v>7002000</v>
      </c>
      <c r="N23" s="34">
        <f t="shared" si="1"/>
        <v>7002000</v>
      </c>
      <c r="O23" s="20" t="s">
        <v>21</v>
      </c>
      <c r="P23" s="20">
        <f t="shared" si="3"/>
        <v>20</v>
      </c>
      <c r="Q23" s="20">
        <f t="shared" si="2"/>
        <v>38</v>
      </c>
    </row>
    <row r="24" spans="1:17" ht="15" hidden="1" customHeight="1" x14ac:dyDescent="0.2">
      <c r="A24" s="20" t="s">
        <v>18</v>
      </c>
      <c r="B24" s="63">
        <v>45989</v>
      </c>
      <c r="C24" s="32">
        <f t="shared" si="0"/>
        <v>201</v>
      </c>
      <c r="D24" s="20">
        <v>1</v>
      </c>
      <c r="G24" s="32" t="s">
        <v>76</v>
      </c>
      <c r="H24" s="32" t="s">
        <v>1873</v>
      </c>
      <c r="I24" s="20">
        <v>64277</v>
      </c>
      <c r="J24" s="20">
        <v>331</v>
      </c>
      <c r="K24" s="20" t="s">
        <v>20</v>
      </c>
      <c r="L24" s="20">
        <v>1</v>
      </c>
      <c r="M24" s="34">
        <v>329400</v>
      </c>
      <c r="N24" s="34">
        <f t="shared" si="1"/>
        <v>329400</v>
      </c>
      <c r="O24" s="20" t="s">
        <v>21</v>
      </c>
      <c r="P24" s="20">
        <f t="shared" si="3"/>
        <v>21</v>
      </c>
      <c r="Q24" s="20">
        <f t="shared" si="2"/>
        <v>42</v>
      </c>
    </row>
    <row r="25" spans="1:17" ht="15" hidden="1" customHeight="1" x14ac:dyDescent="0.2">
      <c r="A25" s="20" t="s">
        <v>18</v>
      </c>
      <c r="B25" s="63">
        <v>45990</v>
      </c>
      <c r="C25" s="32">
        <f t="shared" si="0"/>
        <v>202</v>
      </c>
      <c r="D25" s="20">
        <v>1</v>
      </c>
      <c r="G25" s="32" t="s">
        <v>1851</v>
      </c>
      <c r="H25" s="32" t="s">
        <v>1887</v>
      </c>
      <c r="I25" s="20">
        <v>64277</v>
      </c>
      <c r="J25" s="20">
        <v>331</v>
      </c>
      <c r="K25" s="20" t="s">
        <v>20</v>
      </c>
      <c r="L25" s="20">
        <v>1</v>
      </c>
      <c r="M25" s="34">
        <v>500000</v>
      </c>
      <c r="N25" s="34">
        <f t="shared" si="1"/>
        <v>500000</v>
      </c>
      <c r="O25" s="20" t="s">
        <v>21</v>
      </c>
      <c r="P25" s="20">
        <f t="shared" si="3"/>
        <v>22</v>
      </c>
      <c r="Q25" s="20">
        <f t="shared" si="2"/>
        <v>37</v>
      </c>
    </row>
    <row r="26" spans="1:17" ht="15" hidden="1" customHeight="1" x14ac:dyDescent="0.2">
      <c r="A26" s="20" t="s">
        <v>18</v>
      </c>
      <c r="B26" s="63">
        <v>45995</v>
      </c>
      <c r="C26" s="32">
        <f t="shared" si="0"/>
        <v>203</v>
      </c>
      <c r="D26" s="20">
        <v>1</v>
      </c>
      <c r="G26" s="32" t="s">
        <v>37</v>
      </c>
      <c r="H26" s="32" t="s">
        <v>1765</v>
      </c>
      <c r="I26" s="20">
        <v>64277</v>
      </c>
      <c r="J26" s="20">
        <v>331</v>
      </c>
      <c r="K26" s="20" t="s">
        <v>20</v>
      </c>
      <c r="L26" s="20">
        <v>1</v>
      </c>
      <c r="M26" s="34">
        <v>5400000</v>
      </c>
      <c r="N26" s="34">
        <f t="shared" si="1"/>
        <v>5400000</v>
      </c>
      <c r="O26" s="20" t="s">
        <v>21</v>
      </c>
      <c r="P26" s="20">
        <f t="shared" si="3"/>
        <v>23</v>
      </c>
      <c r="Q26" s="20">
        <f t="shared" si="2"/>
        <v>42</v>
      </c>
    </row>
    <row r="27" spans="1:17" ht="15" hidden="1" customHeight="1" x14ac:dyDescent="0.2">
      <c r="A27" s="20" t="s">
        <v>18</v>
      </c>
      <c r="B27" s="63">
        <v>45997</v>
      </c>
      <c r="C27" s="32">
        <f t="shared" si="0"/>
        <v>204</v>
      </c>
      <c r="D27" s="20">
        <v>1</v>
      </c>
      <c r="G27" s="32" t="s">
        <v>25</v>
      </c>
      <c r="H27" s="32" t="s">
        <v>1874</v>
      </c>
      <c r="I27" s="20">
        <v>64277</v>
      </c>
      <c r="J27" s="20">
        <v>331</v>
      </c>
      <c r="K27" s="20" t="s">
        <v>20</v>
      </c>
      <c r="L27" s="20">
        <v>1</v>
      </c>
      <c r="M27" s="34">
        <v>663120</v>
      </c>
      <c r="N27" s="34">
        <f t="shared" si="1"/>
        <v>663120</v>
      </c>
      <c r="O27" s="20" t="s">
        <v>21</v>
      </c>
      <c r="P27" s="20">
        <f t="shared" si="3"/>
        <v>24</v>
      </c>
      <c r="Q27" s="20">
        <f t="shared" si="2"/>
        <v>44</v>
      </c>
    </row>
    <row r="28" spans="1:17" ht="15" hidden="1" customHeight="1" x14ac:dyDescent="0.2">
      <c r="A28" s="20" t="s">
        <v>18</v>
      </c>
      <c r="B28" s="63">
        <v>46004</v>
      </c>
      <c r="C28" s="32">
        <f t="shared" si="0"/>
        <v>205</v>
      </c>
      <c r="D28" s="20">
        <v>1</v>
      </c>
      <c r="G28" s="32" t="s">
        <v>1852</v>
      </c>
      <c r="H28" s="32" t="s">
        <v>1875</v>
      </c>
      <c r="I28" s="20">
        <v>64277</v>
      </c>
      <c r="J28" s="20">
        <v>331</v>
      </c>
      <c r="K28" s="20" t="s">
        <v>20</v>
      </c>
      <c r="L28" s="20">
        <v>1</v>
      </c>
      <c r="M28" s="34">
        <v>687960</v>
      </c>
      <c r="N28" s="34">
        <f t="shared" si="1"/>
        <v>687960</v>
      </c>
      <c r="O28" s="20" t="s">
        <v>21</v>
      </c>
      <c r="P28" s="20">
        <f t="shared" si="3"/>
        <v>25</v>
      </c>
      <c r="Q28" s="20">
        <f t="shared" si="2"/>
        <v>42</v>
      </c>
    </row>
    <row r="29" spans="1:17" ht="15" hidden="1" customHeight="1" x14ac:dyDescent="0.2">
      <c r="A29" s="20" t="s">
        <v>18</v>
      </c>
      <c r="B29" s="63">
        <v>46004</v>
      </c>
      <c r="C29" s="32">
        <f t="shared" si="0"/>
        <v>206</v>
      </c>
      <c r="D29" s="20">
        <v>1</v>
      </c>
      <c r="G29" s="32" t="s">
        <v>120</v>
      </c>
      <c r="H29" s="32" t="s">
        <v>1884</v>
      </c>
      <c r="I29" s="20">
        <v>64276</v>
      </c>
      <c r="J29" s="20">
        <v>331</v>
      </c>
      <c r="K29" s="20" t="s">
        <v>20</v>
      </c>
      <c r="L29" s="20">
        <v>1</v>
      </c>
      <c r="M29" s="34">
        <v>3770998</v>
      </c>
      <c r="N29" s="34">
        <f t="shared" si="1"/>
        <v>3770998</v>
      </c>
      <c r="O29" s="20" t="s">
        <v>21</v>
      </c>
      <c r="P29" s="20">
        <f t="shared" si="3"/>
        <v>26</v>
      </c>
      <c r="Q29" s="20">
        <f t="shared" si="2"/>
        <v>39</v>
      </c>
    </row>
    <row r="30" spans="1:17" ht="15" hidden="1" customHeight="1" x14ac:dyDescent="0.2">
      <c r="A30" s="20" t="s">
        <v>18</v>
      </c>
      <c r="B30" s="63">
        <v>46009</v>
      </c>
      <c r="C30" s="32">
        <f t="shared" si="0"/>
        <v>207</v>
      </c>
      <c r="D30" s="20">
        <v>1</v>
      </c>
      <c r="G30" s="32" t="s">
        <v>139</v>
      </c>
      <c r="H30" s="32" t="s">
        <v>1885</v>
      </c>
      <c r="I30" s="20">
        <v>64276</v>
      </c>
      <c r="J30" s="20">
        <v>331</v>
      </c>
      <c r="K30" s="20" t="s">
        <v>20</v>
      </c>
      <c r="L30" s="20">
        <v>1</v>
      </c>
      <c r="M30" s="34">
        <v>2300000</v>
      </c>
      <c r="N30" s="34">
        <f t="shared" si="1"/>
        <v>2300000</v>
      </c>
      <c r="O30" s="20" t="s">
        <v>21</v>
      </c>
      <c r="P30" s="20">
        <f t="shared" si="3"/>
        <v>27</v>
      </c>
      <c r="Q30" s="20">
        <f t="shared" si="2"/>
        <v>36</v>
      </c>
    </row>
    <row r="31" spans="1:17" ht="15" hidden="1" customHeight="1" x14ac:dyDescent="0.2">
      <c r="A31" s="20" t="s">
        <v>18</v>
      </c>
      <c r="B31" s="63">
        <v>46010</v>
      </c>
      <c r="C31" s="32">
        <f t="shared" si="0"/>
        <v>208</v>
      </c>
      <c r="D31" s="20">
        <v>1</v>
      </c>
      <c r="G31" s="32" t="s">
        <v>1853</v>
      </c>
      <c r="H31" s="32" t="s">
        <v>1876</v>
      </c>
      <c r="I31" s="20">
        <v>64277</v>
      </c>
      <c r="J31" s="20">
        <v>331</v>
      </c>
      <c r="K31" s="20" t="s">
        <v>20</v>
      </c>
      <c r="L31" s="20">
        <v>1</v>
      </c>
      <c r="M31" s="34">
        <v>1236060</v>
      </c>
      <c r="N31" s="34">
        <f t="shared" si="1"/>
        <v>1236060</v>
      </c>
      <c r="O31" s="20" t="s">
        <v>21</v>
      </c>
      <c r="P31" s="20">
        <f t="shared" si="3"/>
        <v>28</v>
      </c>
      <c r="Q31" s="20">
        <f t="shared" si="2"/>
        <v>41</v>
      </c>
    </row>
    <row r="32" spans="1:17" ht="15" hidden="1" customHeight="1" x14ac:dyDescent="0.2">
      <c r="A32" s="20" t="s">
        <v>18</v>
      </c>
      <c r="B32" s="63">
        <v>46011</v>
      </c>
      <c r="C32" s="32">
        <f t="shared" si="0"/>
        <v>209</v>
      </c>
      <c r="D32" s="20">
        <v>1</v>
      </c>
      <c r="G32" s="32" t="s">
        <v>28</v>
      </c>
      <c r="H32" s="32" t="s">
        <v>1877</v>
      </c>
      <c r="I32" s="20">
        <v>64277</v>
      </c>
      <c r="J32" s="20">
        <v>331</v>
      </c>
      <c r="K32" s="20" t="s">
        <v>20</v>
      </c>
      <c r="L32" s="20">
        <v>1</v>
      </c>
      <c r="M32" s="34">
        <v>1605960</v>
      </c>
      <c r="N32" s="34">
        <f t="shared" si="1"/>
        <v>1605960</v>
      </c>
      <c r="O32" s="20" t="s">
        <v>21</v>
      </c>
      <c r="P32" s="20">
        <f t="shared" si="3"/>
        <v>29</v>
      </c>
      <c r="Q32" s="20">
        <f t="shared" si="2"/>
        <v>42</v>
      </c>
    </row>
    <row r="33" spans="1:17" ht="15" hidden="1" customHeight="1" x14ac:dyDescent="0.2">
      <c r="A33" s="20" t="s">
        <v>18</v>
      </c>
      <c r="B33" s="63">
        <v>46018</v>
      </c>
      <c r="C33" s="32">
        <f t="shared" si="0"/>
        <v>210</v>
      </c>
      <c r="D33" s="20">
        <v>1</v>
      </c>
      <c r="G33" s="32" t="s">
        <v>78</v>
      </c>
      <c r="H33" s="32" t="s">
        <v>1886</v>
      </c>
      <c r="I33" s="20">
        <v>64276</v>
      </c>
      <c r="J33" s="20">
        <v>331</v>
      </c>
      <c r="K33" s="20" t="s">
        <v>20</v>
      </c>
      <c r="L33" s="20">
        <v>1</v>
      </c>
      <c r="M33" s="34">
        <v>33891391</v>
      </c>
      <c r="N33" s="34">
        <f t="shared" si="1"/>
        <v>33891391</v>
      </c>
      <c r="O33" s="20" t="s">
        <v>21</v>
      </c>
      <c r="P33" s="20">
        <f t="shared" si="3"/>
        <v>30</v>
      </c>
      <c r="Q33" s="20">
        <f t="shared" si="2"/>
        <v>37</v>
      </c>
    </row>
    <row r="34" spans="1:17" ht="15" hidden="1" customHeight="1" x14ac:dyDescent="0.2">
      <c r="A34" s="20" t="s">
        <v>18</v>
      </c>
      <c r="B34" s="63">
        <v>46018</v>
      </c>
      <c r="C34" s="32">
        <f t="shared" si="0"/>
        <v>211</v>
      </c>
      <c r="D34" s="20">
        <v>1</v>
      </c>
      <c r="G34" s="32" t="s">
        <v>52</v>
      </c>
      <c r="H34" s="32" t="s">
        <v>1878</v>
      </c>
      <c r="I34" s="20">
        <v>64277</v>
      </c>
      <c r="J34" s="20">
        <v>331</v>
      </c>
      <c r="K34" s="20" t="s">
        <v>20</v>
      </c>
      <c r="L34" s="20">
        <v>1</v>
      </c>
      <c r="M34" s="34">
        <v>220320</v>
      </c>
      <c r="N34" s="34">
        <f t="shared" si="1"/>
        <v>220320</v>
      </c>
      <c r="O34" s="20" t="s">
        <v>21</v>
      </c>
      <c r="P34" s="20">
        <f t="shared" si="3"/>
        <v>31</v>
      </c>
      <c r="Q34" s="20">
        <f t="shared" si="2"/>
        <v>42</v>
      </c>
    </row>
    <row r="35" spans="1:17" ht="15" hidden="1" customHeight="1" x14ac:dyDescent="0.2">
      <c r="A35" s="20" t="s">
        <v>18</v>
      </c>
      <c r="B35" s="63" t="s">
        <v>2561</v>
      </c>
      <c r="C35" s="32">
        <f t="shared" ref="C35:C37" si="4">C34+D35</f>
        <v>212</v>
      </c>
      <c r="D35" s="20">
        <v>1</v>
      </c>
      <c r="G35" s="32" t="s">
        <v>75</v>
      </c>
      <c r="H35" s="32" t="s">
        <v>2648</v>
      </c>
      <c r="I35" s="20">
        <v>64276</v>
      </c>
      <c r="J35" s="20">
        <v>331</v>
      </c>
      <c r="K35" s="20" t="s">
        <v>20</v>
      </c>
      <c r="L35" s="20">
        <v>1</v>
      </c>
      <c r="M35" s="34">
        <v>2210000</v>
      </c>
      <c r="N35" s="34">
        <f t="shared" ref="N35:N36" si="5">L35*M35</f>
        <v>2210000</v>
      </c>
      <c r="O35" s="20" t="s">
        <v>21</v>
      </c>
      <c r="P35" s="20">
        <f t="shared" si="3"/>
        <v>32</v>
      </c>
      <c r="Q35" s="20">
        <f t="shared" si="2"/>
        <v>37</v>
      </c>
    </row>
    <row r="36" spans="1:17" ht="15" hidden="1" customHeight="1" x14ac:dyDescent="0.2">
      <c r="A36" s="20" t="s">
        <v>18</v>
      </c>
      <c r="B36" s="63" t="s">
        <v>2513</v>
      </c>
      <c r="C36" s="32">
        <f t="shared" si="4"/>
        <v>213</v>
      </c>
      <c r="D36" s="20">
        <v>1</v>
      </c>
      <c r="G36" s="32" t="s">
        <v>2647</v>
      </c>
      <c r="H36" s="32" t="s">
        <v>2649</v>
      </c>
      <c r="I36" s="20">
        <v>64277</v>
      </c>
      <c r="J36" s="20">
        <v>331</v>
      </c>
      <c r="K36" s="20" t="s">
        <v>20</v>
      </c>
      <c r="L36" s="20">
        <v>1</v>
      </c>
      <c r="M36" s="34">
        <v>864000</v>
      </c>
      <c r="N36" s="34">
        <f t="shared" si="5"/>
        <v>864000</v>
      </c>
      <c r="O36" s="20" t="s">
        <v>21</v>
      </c>
      <c r="P36" s="20">
        <f t="shared" si="3"/>
        <v>33</v>
      </c>
      <c r="Q36" s="20">
        <f t="shared" si="2"/>
        <v>40</v>
      </c>
    </row>
    <row r="37" spans="1:17" ht="15" hidden="1" customHeight="1" x14ac:dyDescent="0.2">
      <c r="A37" s="20" t="s">
        <v>18</v>
      </c>
      <c r="B37" s="63">
        <v>45931</v>
      </c>
      <c r="C37" s="32">
        <f t="shared" si="4"/>
        <v>214</v>
      </c>
      <c r="D37" s="20">
        <v>1</v>
      </c>
      <c r="G37" s="20" t="s">
        <v>65</v>
      </c>
      <c r="H37" s="32" t="s">
        <v>1766</v>
      </c>
      <c r="I37" s="20">
        <v>131</v>
      </c>
      <c r="J37" s="20">
        <v>5113</v>
      </c>
      <c r="K37" s="20" t="s">
        <v>20</v>
      </c>
      <c r="L37" s="20">
        <v>1</v>
      </c>
      <c r="M37" s="34">
        <v>13440861</v>
      </c>
      <c r="N37" s="34">
        <f t="shared" si="1"/>
        <v>13440861</v>
      </c>
      <c r="O37" s="20" t="s">
        <v>21</v>
      </c>
      <c r="P37" s="20">
        <f t="shared" si="3"/>
        <v>34</v>
      </c>
      <c r="Q37" s="20">
        <f t="shared" si="2"/>
        <v>140</v>
      </c>
    </row>
    <row r="38" spans="1:17" ht="15" hidden="1" customHeight="1" x14ac:dyDescent="0.2">
      <c r="A38" s="20" t="s">
        <v>18</v>
      </c>
      <c r="B38" s="63">
        <v>45931</v>
      </c>
      <c r="C38" s="32">
        <f t="shared" ref="C38:C69" si="6">C37+D38</f>
        <v>214</v>
      </c>
      <c r="D38" s="20">
        <v>0</v>
      </c>
      <c r="G38" s="32" t="s">
        <v>65</v>
      </c>
      <c r="H38" s="20" t="s">
        <v>1807</v>
      </c>
      <c r="I38" s="12">
        <v>333821</v>
      </c>
      <c r="J38" s="20">
        <v>131</v>
      </c>
      <c r="K38" s="20" t="s">
        <v>20</v>
      </c>
      <c r="L38" s="20">
        <v>1</v>
      </c>
      <c r="M38" s="34">
        <v>134409</v>
      </c>
      <c r="N38" s="34">
        <f t="shared" ref="N38:N69" si="7">L38*M38</f>
        <v>134409</v>
      </c>
      <c r="O38" s="20" t="s">
        <v>21</v>
      </c>
      <c r="P38" s="20">
        <f t="shared" si="3"/>
        <v>34</v>
      </c>
      <c r="Q38" s="20">
        <f t="shared" si="2"/>
        <v>156</v>
      </c>
    </row>
    <row r="39" spans="1:17" ht="15" hidden="1" customHeight="1" x14ac:dyDescent="0.2">
      <c r="A39" s="20" t="s">
        <v>18</v>
      </c>
      <c r="B39" s="63">
        <v>45931</v>
      </c>
      <c r="C39" s="32">
        <f t="shared" si="6"/>
        <v>215</v>
      </c>
      <c r="D39" s="20">
        <v>1</v>
      </c>
      <c r="G39" s="20" t="s">
        <v>66</v>
      </c>
      <c r="H39" s="32" t="s">
        <v>1767</v>
      </c>
      <c r="I39" s="20">
        <v>131</v>
      </c>
      <c r="J39" s="20">
        <v>5113</v>
      </c>
      <c r="K39" s="20" t="s">
        <v>20</v>
      </c>
      <c r="L39" s="20">
        <v>1</v>
      </c>
      <c r="M39" s="34">
        <v>16129032</v>
      </c>
      <c r="N39" s="34">
        <f t="shared" si="7"/>
        <v>16129032</v>
      </c>
      <c r="O39" s="20" t="s">
        <v>21</v>
      </c>
      <c r="P39" s="20">
        <f t="shared" si="3"/>
        <v>35</v>
      </c>
      <c r="Q39" s="20">
        <f t="shared" si="2"/>
        <v>136</v>
      </c>
    </row>
    <row r="40" spans="1:17" ht="15" hidden="1" customHeight="1" x14ac:dyDescent="0.2">
      <c r="A40" s="20" t="s">
        <v>18</v>
      </c>
      <c r="B40" s="63">
        <v>45931</v>
      </c>
      <c r="C40" s="32">
        <f t="shared" si="6"/>
        <v>215</v>
      </c>
      <c r="D40" s="20">
        <v>0</v>
      </c>
      <c r="G40" s="32" t="s">
        <v>66</v>
      </c>
      <c r="H40" s="20" t="s">
        <v>1808</v>
      </c>
      <c r="I40" s="12">
        <v>333821</v>
      </c>
      <c r="J40" s="20">
        <v>131</v>
      </c>
      <c r="K40" s="20" t="s">
        <v>20</v>
      </c>
      <c r="L40" s="20">
        <v>1</v>
      </c>
      <c r="M40" s="34">
        <v>161290</v>
      </c>
      <c r="N40" s="34">
        <f t="shared" si="7"/>
        <v>161290</v>
      </c>
      <c r="O40" s="20" t="s">
        <v>21</v>
      </c>
      <c r="P40" s="20">
        <f t="shared" si="3"/>
        <v>35</v>
      </c>
      <c r="Q40" s="20">
        <f t="shared" si="2"/>
        <v>152</v>
      </c>
    </row>
    <row r="41" spans="1:17" ht="15" hidden="1" customHeight="1" x14ac:dyDescent="0.2">
      <c r="A41" s="20" t="s">
        <v>18</v>
      </c>
      <c r="B41" s="63">
        <v>45932</v>
      </c>
      <c r="C41" s="32">
        <f t="shared" si="6"/>
        <v>216</v>
      </c>
      <c r="D41" s="20">
        <v>1</v>
      </c>
      <c r="G41" s="20" t="s">
        <v>69</v>
      </c>
      <c r="H41" s="32" t="s">
        <v>1768</v>
      </c>
      <c r="I41" s="20">
        <v>131</v>
      </c>
      <c r="J41" s="20">
        <v>5113</v>
      </c>
      <c r="K41" s="20" t="s">
        <v>20</v>
      </c>
      <c r="L41" s="20">
        <v>1</v>
      </c>
      <c r="M41" s="34">
        <v>6451612</v>
      </c>
      <c r="N41" s="34">
        <f t="shared" si="7"/>
        <v>6451612</v>
      </c>
      <c r="O41" s="20" t="s">
        <v>21</v>
      </c>
      <c r="P41" s="20">
        <f t="shared" si="3"/>
        <v>36</v>
      </c>
      <c r="Q41" s="20">
        <f t="shared" si="2"/>
        <v>155</v>
      </c>
    </row>
    <row r="42" spans="1:17" ht="15" hidden="1" customHeight="1" x14ac:dyDescent="0.2">
      <c r="A42" s="20" t="s">
        <v>18</v>
      </c>
      <c r="B42" s="63">
        <v>45932</v>
      </c>
      <c r="C42" s="32">
        <f t="shared" si="6"/>
        <v>216</v>
      </c>
      <c r="D42" s="20">
        <v>0</v>
      </c>
      <c r="G42" s="32" t="s">
        <v>69</v>
      </c>
      <c r="H42" s="20" t="s">
        <v>1809</v>
      </c>
      <c r="I42" s="12">
        <v>333821</v>
      </c>
      <c r="J42" s="20">
        <v>131</v>
      </c>
      <c r="K42" s="20" t="s">
        <v>20</v>
      </c>
      <c r="L42" s="20">
        <v>1</v>
      </c>
      <c r="M42" s="34">
        <v>64516</v>
      </c>
      <c r="N42" s="34">
        <f t="shared" si="7"/>
        <v>64516</v>
      </c>
      <c r="O42" s="20" t="s">
        <v>21</v>
      </c>
      <c r="P42" s="20">
        <f t="shared" si="3"/>
        <v>36</v>
      </c>
      <c r="Q42" s="20">
        <f t="shared" si="2"/>
        <v>171</v>
      </c>
    </row>
    <row r="43" spans="1:17" ht="15" hidden="1" customHeight="1" x14ac:dyDescent="0.2">
      <c r="A43" s="20" t="s">
        <v>18</v>
      </c>
      <c r="B43" s="63">
        <v>45932</v>
      </c>
      <c r="C43" s="32">
        <f t="shared" si="6"/>
        <v>217</v>
      </c>
      <c r="D43" s="20">
        <v>1</v>
      </c>
      <c r="G43" s="20" t="s">
        <v>1360</v>
      </c>
      <c r="H43" s="32" t="s">
        <v>1769</v>
      </c>
      <c r="I43" s="20">
        <v>131</v>
      </c>
      <c r="J43" s="20">
        <v>5113</v>
      </c>
      <c r="K43" s="20" t="s">
        <v>20</v>
      </c>
      <c r="L43" s="20">
        <v>1</v>
      </c>
      <c r="M43" s="34">
        <v>26881720</v>
      </c>
      <c r="N43" s="34">
        <f t="shared" si="7"/>
        <v>26881720</v>
      </c>
      <c r="O43" s="20" t="s">
        <v>21</v>
      </c>
      <c r="P43" s="20">
        <f t="shared" si="3"/>
        <v>37</v>
      </c>
      <c r="Q43" s="20">
        <f t="shared" si="2"/>
        <v>125</v>
      </c>
    </row>
    <row r="44" spans="1:17" ht="15" hidden="1" customHeight="1" x14ac:dyDescent="0.2">
      <c r="A44" s="20" t="s">
        <v>18</v>
      </c>
      <c r="B44" s="63">
        <v>45932</v>
      </c>
      <c r="C44" s="32">
        <f t="shared" si="6"/>
        <v>217</v>
      </c>
      <c r="D44" s="20">
        <v>0</v>
      </c>
      <c r="G44" s="32" t="s">
        <v>1360</v>
      </c>
      <c r="H44" s="20" t="s">
        <v>1810</v>
      </c>
      <c r="I44" s="12">
        <v>333821</v>
      </c>
      <c r="J44" s="20">
        <v>131</v>
      </c>
      <c r="K44" s="20" t="s">
        <v>20</v>
      </c>
      <c r="L44" s="20">
        <v>1</v>
      </c>
      <c r="M44" s="34">
        <v>268817</v>
      </c>
      <c r="N44" s="34">
        <f t="shared" si="7"/>
        <v>268817</v>
      </c>
      <c r="O44" s="20" t="s">
        <v>21</v>
      </c>
      <c r="P44" s="20">
        <f t="shared" si="3"/>
        <v>37</v>
      </c>
      <c r="Q44" s="20">
        <f t="shared" si="2"/>
        <v>141</v>
      </c>
    </row>
    <row r="45" spans="1:17" ht="15" hidden="1" customHeight="1" x14ac:dyDescent="0.2">
      <c r="A45" s="20" t="s">
        <v>18</v>
      </c>
      <c r="B45" s="63">
        <v>45936</v>
      </c>
      <c r="C45" s="32">
        <f t="shared" si="6"/>
        <v>218</v>
      </c>
      <c r="D45" s="20">
        <v>1</v>
      </c>
      <c r="G45" s="20" t="s">
        <v>47</v>
      </c>
      <c r="H45" s="32" t="s">
        <v>1770</v>
      </c>
      <c r="I45" s="20">
        <v>131</v>
      </c>
      <c r="J45" s="20">
        <v>5113</v>
      </c>
      <c r="K45" s="20" t="s">
        <v>20</v>
      </c>
      <c r="L45" s="20">
        <v>1</v>
      </c>
      <c r="M45" s="34">
        <v>18817205</v>
      </c>
      <c r="N45" s="34">
        <f t="shared" si="7"/>
        <v>18817205</v>
      </c>
      <c r="O45" s="20" t="s">
        <v>21</v>
      </c>
      <c r="P45" s="20">
        <f t="shared" si="3"/>
        <v>38</v>
      </c>
      <c r="Q45" s="20">
        <f t="shared" si="2"/>
        <v>114</v>
      </c>
    </row>
    <row r="46" spans="1:17" ht="15" hidden="1" customHeight="1" x14ac:dyDescent="0.2">
      <c r="A46" s="20" t="s">
        <v>18</v>
      </c>
      <c r="B46" s="63">
        <v>45936</v>
      </c>
      <c r="C46" s="32">
        <f t="shared" si="6"/>
        <v>218</v>
      </c>
      <c r="D46" s="20">
        <v>0</v>
      </c>
      <c r="G46" s="32" t="s">
        <v>47</v>
      </c>
      <c r="H46" s="20" t="s">
        <v>1811</v>
      </c>
      <c r="I46" s="12">
        <v>333821</v>
      </c>
      <c r="J46" s="20">
        <v>131</v>
      </c>
      <c r="K46" s="20" t="s">
        <v>20</v>
      </c>
      <c r="L46" s="20">
        <v>1</v>
      </c>
      <c r="M46" s="34">
        <v>188172</v>
      </c>
      <c r="N46" s="34">
        <f t="shared" si="7"/>
        <v>188172</v>
      </c>
      <c r="O46" s="20" t="s">
        <v>21</v>
      </c>
      <c r="P46" s="20">
        <f t="shared" si="3"/>
        <v>38</v>
      </c>
      <c r="Q46" s="20">
        <f t="shared" si="2"/>
        <v>130</v>
      </c>
    </row>
    <row r="47" spans="1:17" ht="15" hidden="1" customHeight="1" x14ac:dyDescent="0.2">
      <c r="A47" s="20" t="s">
        <v>18</v>
      </c>
      <c r="B47" s="63">
        <v>45937</v>
      </c>
      <c r="C47" s="32">
        <f t="shared" si="6"/>
        <v>219</v>
      </c>
      <c r="D47" s="20">
        <v>1</v>
      </c>
      <c r="G47" s="20" t="s">
        <v>81</v>
      </c>
      <c r="H47" s="32" t="s">
        <v>1771</v>
      </c>
      <c r="I47" s="20">
        <v>131</v>
      </c>
      <c r="J47" s="20">
        <v>5113</v>
      </c>
      <c r="K47" s="20" t="s">
        <v>20</v>
      </c>
      <c r="L47" s="20">
        <v>1</v>
      </c>
      <c r="M47" s="34">
        <v>16197459</v>
      </c>
      <c r="N47" s="34">
        <f t="shared" si="7"/>
        <v>16197459</v>
      </c>
      <c r="O47" s="20" t="s">
        <v>21</v>
      </c>
      <c r="P47" s="20">
        <f t="shared" si="3"/>
        <v>39</v>
      </c>
      <c r="Q47" s="20">
        <f t="shared" si="2"/>
        <v>173</v>
      </c>
    </row>
    <row r="48" spans="1:17" ht="15" hidden="1" customHeight="1" x14ac:dyDescent="0.2">
      <c r="A48" s="20" t="s">
        <v>18</v>
      </c>
      <c r="B48" s="63">
        <v>45937</v>
      </c>
      <c r="C48" s="32">
        <f t="shared" si="6"/>
        <v>219</v>
      </c>
      <c r="D48" s="20">
        <v>0</v>
      </c>
      <c r="G48" s="32" t="s">
        <v>81</v>
      </c>
      <c r="H48" s="20" t="s">
        <v>1812</v>
      </c>
      <c r="I48" s="12">
        <v>333821</v>
      </c>
      <c r="J48" s="20">
        <v>131</v>
      </c>
      <c r="K48" s="20" t="s">
        <v>20</v>
      </c>
      <c r="L48" s="20">
        <v>1</v>
      </c>
      <c r="M48" s="34">
        <v>161975</v>
      </c>
      <c r="N48" s="34">
        <f t="shared" si="7"/>
        <v>161975</v>
      </c>
      <c r="O48" s="20" t="s">
        <v>21</v>
      </c>
      <c r="P48" s="20">
        <f t="shared" si="3"/>
        <v>39</v>
      </c>
      <c r="Q48" s="20">
        <f t="shared" si="2"/>
        <v>189</v>
      </c>
    </row>
    <row r="49" spans="1:17" ht="15" hidden="1" customHeight="1" x14ac:dyDescent="0.2">
      <c r="A49" s="20" t="s">
        <v>18</v>
      </c>
      <c r="B49" s="63">
        <v>45938</v>
      </c>
      <c r="C49" s="32">
        <f t="shared" si="6"/>
        <v>220</v>
      </c>
      <c r="D49" s="20">
        <v>1</v>
      </c>
      <c r="G49" s="20" t="s">
        <v>66</v>
      </c>
      <c r="H49" s="32" t="s">
        <v>1772</v>
      </c>
      <c r="I49" s="20">
        <v>131</v>
      </c>
      <c r="J49" s="20">
        <v>5113</v>
      </c>
      <c r="K49" s="20" t="s">
        <v>20</v>
      </c>
      <c r="L49" s="20">
        <v>1</v>
      </c>
      <c r="M49" s="34">
        <v>16129032</v>
      </c>
      <c r="N49" s="34">
        <f t="shared" si="7"/>
        <v>16129032</v>
      </c>
      <c r="O49" s="20" t="s">
        <v>21</v>
      </c>
      <c r="P49" s="20">
        <f t="shared" si="3"/>
        <v>40</v>
      </c>
      <c r="Q49" s="20">
        <f t="shared" si="2"/>
        <v>128</v>
      </c>
    </row>
    <row r="50" spans="1:17" ht="15" hidden="1" customHeight="1" x14ac:dyDescent="0.2">
      <c r="A50" s="20" t="s">
        <v>18</v>
      </c>
      <c r="B50" s="63">
        <v>45938</v>
      </c>
      <c r="C50" s="32">
        <f t="shared" si="6"/>
        <v>220</v>
      </c>
      <c r="D50" s="20">
        <v>0</v>
      </c>
      <c r="G50" s="32" t="s">
        <v>66</v>
      </c>
      <c r="H50" s="20" t="s">
        <v>1813</v>
      </c>
      <c r="I50" s="12">
        <v>333821</v>
      </c>
      <c r="J50" s="20">
        <v>131</v>
      </c>
      <c r="K50" s="20" t="s">
        <v>20</v>
      </c>
      <c r="L50" s="20">
        <v>1</v>
      </c>
      <c r="M50" s="34">
        <v>161290</v>
      </c>
      <c r="N50" s="34">
        <f t="shared" si="7"/>
        <v>161290</v>
      </c>
      <c r="O50" s="20" t="s">
        <v>21</v>
      </c>
      <c r="P50" s="20">
        <f t="shared" si="3"/>
        <v>40</v>
      </c>
      <c r="Q50" s="20">
        <f t="shared" si="2"/>
        <v>144</v>
      </c>
    </row>
    <row r="51" spans="1:17" ht="15" hidden="1" customHeight="1" x14ac:dyDescent="0.2">
      <c r="A51" s="20" t="s">
        <v>18</v>
      </c>
      <c r="B51" s="63">
        <v>45939</v>
      </c>
      <c r="C51" s="32">
        <f t="shared" si="6"/>
        <v>221</v>
      </c>
      <c r="D51" s="20">
        <v>1</v>
      </c>
      <c r="G51" s="20" t="s">
        <v>85</v>
      </c>
      <c r="H51" s="32" t="s">
        <v>1773</v>
      </c>
      <c r="I51" s="20">
        <v>131</v>
      </c>
      <c r="J51" s="20">
        <v>5113</v>
      </c>
      <c r="K51" s="20" t="s">
        <v>20</v>
      </c>
      <c r="L51" s="20">
        <v>1</v>
      </c>
      <c r="M51" s="34">
        <v>16129032</v>
      </c>
      <c r="N51" s="34">
        <f t="shared" si="7"/>
        <v>16129032</v>
      </c>
      <c r="O51" s="20" t="s">
        <v>21</v>
      </c>
      <c r="P51" s="20">
        <f t="shared" si="3"/>
        <v>41</v>
      </c>
      <c r="Q51" s="20">
        <f t="shared" si="2"/>
        <v>138</v>
      </c>
    </row>
    <row r="52" spans="1:17" ht="15" hidden="1" customHeight="1" x14ac:dyDescent="0.2">
      <c r="A52" s="20" t="s">
        <v>18</v>
      </c>
      <c r="B52" s="63">
        <v>45939</v>
      </c>
      <c r="C52" s="32">
        <f t="shared" si="6"/>
        <v>221</v>
      </c>
      <c r="D52" s="20">
        <v>0</v>
      </c>
      <c r="G52" s="32" t="s">
        <v>85</v>
      </c>
      <c r="H52" s="20" t="s">
        <v>1814</v>
      </c>
      <c r="I52" s="12">
        <v>333821</v>
      </c>
      <c r="J52" s="20">
        <v>131</v>
      </c>
      <c r="K52" s="20" t="s">
        <v>20</v>
      </c>
      <c r="L52" s="20">
        <v>1</v>
      </c>
      <c r="M52" s="34">
        <v>0</v>
      </c>
      <c r="N52" s="34">
        <f t="shared" si="7"/>
        <v>0</v>
      </c>
      <c r="O52" s="20" t="s">
        <v>21</v>
      </c>
      <c r="P52" s="20">
        <f t="shared" si="3"/>
        <v>41</v>
      </c>
      <c r="Q52" s="20">
        <f t="shared" si="2"/>
        <v>154</v>
      </c>
    </row>
    <row r="53" spans="1:17" ht="15" hidden="1" customHeight="1" x14ac:dyDescent="0.2">
      <c r="A53" s="20" t="s">
        <v>18</v>
      </c>
      <c r="B53" s="63">
        <v>45940</v>
      </c>
      <c r="C53" s="32">
        <f t="shared" si="6"/>
        <v>222</v>
      </c>
      <c r="D53" s="20">
        <v>1</v>
      </c>
      <c r="G53" s="20" t="s">
        <v>1854</v>
      </c>
      <c r="H53" s="32" t="s">
        <v>3565</v>
      </c>
      <c r="I53" s="20">
        <v>131</v>
      </c>
      <c r="J53" s="20">
        <v>5113</v>
      </c>
      <c r="K53" s="20" t="s">
        <v>20</v>
      </c>
      <c r="L53" s="20">
        <v>1</v>
      </c>
      <c r="M53" s="34">
        <v>15053764</v>
      </c>
      <c r="N53" s="34">
        <f t="shared" si="7"/>
        <v>15053764</v>
      </c>
      <c r="O53" s="20" t="s">
        <v>21</v>
      </c>
      <c r="P53" s="20">
        <f t="shared" si="3"/>
        <v>42</v>
      </c>
      <c r="Q53" s="20">
        <f t="shared" si="2"/>
        <v>123</v>
      </c>
    </row>
    <row r="54" spans="1:17" ht="15" hidden="1" customHeight="1" x14ac:dyDescent="0.2">
      <c r="A54" s="20" t="s">
        <v>18</v>
      </c>
      <c r="B54" s="63">
        <v>45940</v>
      </c>
      <c r="C54" s="32">
        <f t="shared" si="6"/>
        <v>222</v>
      </c>
      <c r="D54" s="20">
        <v>0</v>
      </c>
      <c r="G54" s="32" t="s">
        <v>1854</v>
      </c>
      <c r="H54" s="20" t="s">
        <v>3566</v>
      </c>
      <c r="I54" s="12">
        <v>333821</v>
      </c>
      <c r="J54" s="20">
        <v>131</v>
      </c>
      <c r="K54" s="20" t="s">
        <v>20</v>
      </c>
      <c r="L54" s="20">
        <v>1</v>
      </c>
      <c r="M54" s="34">
        <v>150538</v>
      </c>
      <c r="N54" s="34">
        <f t="shared" si="7"/>
        <v>150538</v>
      </c>
      <c r="O54" s="20" t="s">
        <v>21</v>
      </c>
      <c r="P54" s="20">
        <f t="shared" si="3"/>
        <v>42</v>
      </c>
      <c r="Q54" s="20">
        <f t="shared" si="2"/>
        <v>139</v>
      </c>
    </row>
    <row r="55" spans="1:17" ht="15" hidden="1" customHeight="1" x14ac:dyDescent="0.2">
      <c r="A55" s="20" t="s">
        <v>18</v>
      </c>
      <c r="B55" s="63">
        <v>45943</v>
      </c>
      <c r="C55" s="32">
        <f t="shared" si="6"/>
        <v>223</v>
      </c>
      <c r="D55" s="20">
        <v>1</v>
      </c>
      <c r="G55" s="20" t="s">
        <v>66</v>
      </c>
      <c r="H55" s="32" t="s">
        <v>1774</v>
      </c>
      <c r="I55" s="20">
        <v>131</v>
      </c>
      <c r="J55" s="20">
        <v>5113</v>
      </c>
      <c r="K55" s="20" t="s">
        <v>20</v>
      </c>
      <c r="L55" s="20">
        <v>1</v>
      </c>
      <c r="M55" s="34">
        <v>13440861</v>
      </c>
      <c r="N55" s="34">
        <f t="shared" si="7"/>
        <v>13440861</v>
      </c>
      <c r="O55" s="20" t="s">
        <v>21</v>
      </c>
      <c r="P55" s="20">
        <f t="shared" si="3"/>
        <v>43</v>
      </c>
      <c r="Q55" s="20">
        <f t="shared" si="2"/>
        <v>127</v>
      </c>
    </row>
    <row r="56" spans="1:17" ht="15" hidden="1" customHeight="1" x14ac:dyDescent="0.2">
      <c r="A56" s="20" t="s">
        <v>18</v>
      </c>
      <c r="B56" s="63">
        <v>45943</v>
      </c>
      <c r="C56" s="32">
        <f t="shared" si="6"/>
        <v>223</v>
      </c>
      <c r="D56" s="20">
        <v>0</v>
      </c>
      <c r="G56" s="32" t="s">
        <v>66</v>
      </c>
      <c r="H56" s="20" t="s">
        <v>1815</v>
      </c>
      <c r="I56" s="12">
        <v>333821</v>
      </c>
      <c r="J56" s="20">
        <v>131</v>
      </c>
      <c r="K56" s="20" t="s">
        <v>20</v>
      </c>
      <c r="L56" s="20">
        <v>1</v>
      </c>
      <c r="M56" s="34">
        <v>134409</v>
      </c>
      <c r="N56" s="34">
        <f t="shared" si="7"/>
        <v>134409</v>
      </c>
      <c r="O56" s="20" t="s">
        <v>21</v>
      </c>
      <c r="P56" s="20">
        <f t="shared" si="3"/>
        <v>43</v>
      </c>
      <c r="Q56" s="20">
        <f t="shared" si="2"/>
        <v>143</v>
      </c>
    </row>
    <row r="57" spans="1:17" ht="15" hidden="1" customHeight="1" x14ac:dyDescent="0.2">
      <c r="A57" s="20" t="s">
        <v>18</v>
      </c>
      <c r="B57" s="63">
        <v>45944</v>
      </c>
      <c r="C57" s="32">
        <f t="shared" si="6"/>
        <v>224</v>
      </c>
      <c r="D57" s="20">
        <v>1</v>
      </c>
      <c r="G57" s="20" t="s">
        <v>1855</v>
      </c>
      <c r="H57" s="32" t="s">
        <v>1775</v>
      </c>
      <c r="I57" s="20">
        <v>131</v>
      </c>
      <c r="J57" s="20">
        <v>5113</v>
      </c>
      <c r="K57" s="20" t="s">
        <v>20</v>
      </c>
      <c r="L57" s="20">
        <v>1</v>
      </c>
      <c r="M57" s="34">
        <v>16129032</v>
      </c>
      <c r="N57" s="34">
        <f t="shared" si="7"/>
        <v>16129032</v>
      </c>
      <c r="O57" s="20" t="s">
        <v>21</v>
      </c>
      <c r="P57" s="20">
        <f t="shared" si="3"/>
        <v>44</v>
      </c>
      <c r="Q57" s="20">
        <f t="shared" si="2"/>
        <v>115</v>
      </c>
    </row>
    <row r="58" spans="1:17" ht="15" hidden="1" customHeight="1" x14ac:dyDescent="0.2">
      <c r="A58" s="20" t="s">
        <v>18</v>
      </c>
      <c r="B58" s="63">
        <v>45944</v>
      </c>
      <c r="C58" s="32">
        <f t="shared" si="6"/>
        <v>224</v>
      </c>
      <c r="D58" s="20">
        <v>0</v>
      </c>
      <c r="G58" s="32" t="s">
        <v>1855</v>
      </c>
      <c r="H58" s="20" t="s">
        <v>1816</v>
      </c>
      <c r="I58" s="12">
        <v>333821</v>
      </c>
      <c r="J58" s="20">
        <v>131</v>
      </c>
      <c r="K58" s="20" t="s">
        <v>20</v>
      </c>
      <c r="L58" s="20">
        <v>1</v>
      </c>
      <c r="M58" s="34">
        <v>161290</v>
      </c>
      <c r="N58" s="34">
        <f t="shared" si="7"/>
        <v>161290</v>
      </c>
      <c r="O58" s="20" t="s">
        <v>21</v>
      </c>
      <c r="P58" s="20">
        <f t="shared" si="3"/>
        <v>44</v>
      </c>
      <c r="Q58" s="20">
        <f t="shared" si="2"/>
        <v>131</v>
      </c>
    </row>
    <row r="59" spans="1:17" ht="15" hidden="1" customHeight="1" x14ac:dyDescent="0.2">
      <c r="A59" s="20" t="s">
        <v>18</v>
      </c>
      <c r="B59" s="63">
        <v>45944</v>
      </c>
      <c r="C59" s="32">
        <f t="shared" si="6"/>
        <v>225</v>
      </c>
      <c r="D59" s="20">
        <v>1</v>
      </c>
      <c r="G59" s="20" t="s">
        <v>29</v>
      </c>
      <c r="H59" s="32" t="s">
        <v>1776</v>
      </c>
      <c r="I59" s="20">
        <v>131</v>
      </c>
      <c r="J59" s="20">
        <v>5113</v>
      </c>
      <c r="K59" s="20" t="s">
        <v>20</v>
      </c>
      <c r="L59" s="20">
        <v>1</v>
      </c>
      <c r="M59" s="34">
        <v>26881720</v>
      </c>
      <c r="N59" s="34">
        <f t="shared" si="7"/>
        <v>26881720</v>
      </c>
      <c r="O59" s="20" t="s">
        <v>21</v>
      </c>
      <c r="P59" s="20">
        <f t="shared" si="3"/>
        <v>45</v>
      </c>
      <c r="Q59" s="20">
        <f t="shared" si="2"/>
        <v>160</v>
      </c>
    </row>
    <row r="60" spans="1:17" ht="15" hidden="1" customHeight="1" x14ac:dyDescent="0.2">
      <c r="A60" s="20" t="s">
        <v>18</v>
      </c>
      <c r="B60" s="63">
        <v>45944</v>
      </c>
      <c r="C60" s="32">
        <f t="shared" si="6"/>
        <v>225</v>
      </c>
      <c r="D60" s="20">
        <v>0</v>
      </c>
      <c r="G60" s="32" t="s">
        <v>29</v>
      </c>
      <c r="H60" s="20" t="s">
        <v>1817</v>
      </c>
      <c r="I60" s="12">
        <v>333821</v>
      </c>
      <c r="J60" s="20">
        <v>131</v>
      </c>
      <c r="K60" s="20" t="s">
        <v>20</v>
      </c>
      <c r="L60" s="20">
        <v>1</v>
      </c>
      <c r="M60" s="34">
        <v>268817</v>
      </c>
      <c r="N60" s="34">
        <f t="shared" si="7"/>
        <v>268817</v>
      </c>
      <c r="O60" s="20" t="s">
        <v>21</v>
      </c>
      <c r="P60" s="20">
        <f t="shared" si="3"/>
        <v>45</v>
      </c>
      <c r="Q60" s="20">
        <f t="shared" si="2"/>
        <v>176</v>
      </c>
    </row>
    <row r="61" spans="1:17" ht="15" hidden="1" customHeight="1" x14ac:dyDescent="0.2">
      <c r="A61" s="20" t="s">
        <v>18</v>
      </c>
      <c r="B61" s="63">
        <v>45959</v>
      </c>
      <c r="C61" s="32">
        <f t="shared" si="6"/>
        <v>226</v>
      </c>
      <c r="D61" s="20">
        <v>1</v>
      </c>
      <c r="G61" s="20" t="s">
        <v>66</v>
      </c>
      <c r="H61" s="32" t="s">
        <v>1777</v>
      </c>
      <c r="I61" s="20">
        <v>131</v>
      </c>
      <c r="J61" s="20">
        <v>5113</v>
      </c>
      <c r="K61" s="20" t="s">
        <v>20</v>
      </c>
      <c r="L61" s="20">
        <v>1</v>
      </c>
      <c r="M61" s="34">
        <v>16129032</v>
      </c>
      <c r="N61" s="34">
        <f t="shared" si="7"/>
        <v>16129032</v>
      </c>
      <c r="O61" s="20" t="s">
        <v>21</v>
      </c>
      <c r="P61" s="20">
        <f t="shared" si="3"/>
        <v>46</v>
      </c>
      <c r="Q61" s="20">
        <f t="shared" si="2"/>
        <v>178</v>
      </c>
    </row>
    <row r="62" spans="1:17" ht="15" hidden="1" customHeight="1" x14ac:dyDescent="0.2">
      <c r="A62" s="20" t="s">
        <v>18</v>
      </c>
      <c r="B62" s="63">
        <v>45959</v>
      </c>
      <c r="C62" s="32">
        <f t="shared" si="6"/>
        <v>226</v>
      </c>
      <c r="D62" s="20">
        <v>0</v>
      </c>
      <c r="G62" s="32" t="s">
        <v>66</v>
      </c>
      <c r="H62" s="20" t="s">
        <v>1818</v>
      </c>
      <c r="I62" s="12">
        <v>333821</v>
      </c>
      <c r="J62" s="20">
        <v>131</v>
      </c>
      <c r="K62" s="20" t="s">
        <v>20</v>
      </c>
      <c r="L62" s="20">
        <v>1</v>
      </c>
      <c r="M62" s="34">
        <v>161290</v>
      </c>
      <c r="N62" s="34">
        <f t="shared" si="7"/>
        <v>161290</v>
      </c>
      <c r="O62" s="20" t="s">
        <v>21</v>
      </c>
      <c r="P62" s="20">
        <f t="shared" si="3"/>
        <v>46</v>
      </c>
      <c r="Q62" s="20">
        <f t="shared" si="2"/>
        <v>194</v>
      </c>
    </row>
    <row r="63" spans="1:17" ht="15" hidden="1" customHeight="1" x14ac:dyDescent="0.2">
      <c r="A63" s="20" t="s">
        <v>18</v>
      </c>
      <c r="B63" s="63">
        <v>45959</v>
      </c>
      <c r="C63" s="32">
        <f t="shared" si="6"/>
        <v>227</v>
      </c>
      <c r="D63" s="20">
        <v>1</v>
      </c>
      <c r="G63" s="20" t="s">
        <v>66</v>
      </c>
      <c r="H63" s="32" t="s">
        <v>1778</v>
      </c>
      <c r="I63" s="20">
        <v>131</v>
      </c>
      <c r="J63" s="20">
        <v>5113</v>
      </c>
      <c r="K63" s="20" t="s">
        <v>20</v>
      </c>
      <c r="L63" s="20">
        <v>1</v>
      </c>
      <c r="M63" s="34">
        <v>16129032</v>
      </c>
      <c r="N63" s="34">
        <f t="shared" si="7"/>
        <v>16129032</v>
      </c>
      <c r="O63" s="20" t="s">
        <v>21</v>
      </c>
      <c r="P63" s="20">
        <f t="shared" si="3"/>
        <v>47</v>
      </c>
      <c r="Q63" s="20">
        <f t="shared" si="2"/>
        <v>138</v>
      </c>
    </row>
    <row r="64" spans="1:17" ht="15" hidden="1" customHeight="1" x14ac:dyDescent="0.2">
      <c r="A64" s="20" t="s">
        <v>18</v>
      </c>
      <c r="B64" s="63">
        <v>45959</v>
      </c>
      <c r="C64" s="32">
        <f t="shared" si="6"/>
        <v>227</v>
      </c>
      <c r="D64" s="20">
        <v>0</v>
      </c>
      <c r="G64" s="32" t="s">
        <v>66</v>
      </c>
      <c r="H64" s="20" t="s">
        <v>1819</v>
      </c>
      <c r="I64" s="12">
        <v>333821</v>
      </c>
      <c r="J64" s="20">
        <v>131</v>
      </c>
      <c r="K64" s="20" t="s">
        <v>20</v>
      </c>
      <c r="L64" s="20">
        <v>1</v>
      </c>
      <c r="M64" s="34">
        <v>161290</v>
      </c>
      <c r="N64" s="34">
        <f t="shared" si="7"/>
        <v>161290</v>
      </c>
      <c r="O64" s="20" t="s">
        <v>21</v>
      </c>
      <c r="P64" s="20">
        <f t="shared" si="3"/>
        <v>47</v>
      </c>
      <c r="Q64" s="20">
        <f t="shared" si="2"/>
        <v>154</v>
      </c>
    </row>
    <row r="65" spans="1:17" ht="15" hidden="1" customHeight="1" x14ac:dyDescent="0.2">
      <c r="A65" s="20" t="s">
        <v>18</v>
      </c>
      <c r="B65" s="63">
        <v>45960</v>
      </c>
      <c r="C65" s="32">
        <f t="shared" si="6"/>
        <v>228</v>
      </c>
      <c r="D65" s="20">
        <v>1</v>
      </c>
      <c r="G65" s="20" t="s">
        <v>70</v>
      </c>
      <c r="H65" s="32" t="s">
        <v>1779</v>
      </c>
      <c r="I65" s="20">
        <v>131</v>
      </c>
      <c r="J65" s="20">
        <v>5113</v>
      </c>
      <c r="K65" s="20" t="s">
        <v>20</v>
      </c>
      <c r="L65" s="20">
        <v>1</v>
      </c>
      <c r="M65" s="34">
        <v>26881720</v>
      </c>
      <c r="N65" s="34">
        <f t="shared" si="7"/>
        <v>26881720</v>
      </c>
      <c r="O65" s="20" t="s">
        <v>21</v>
      </c>
      <c r="P65" s="20">
        <f t="shared" si="3"/>
        <v>48</v>
      </c>
      <c r="Q65" s="20">
        <f t="shared" si="2"/>
        <v>122</v>
      </c>
    </row>
    <row r="66" spans="1:17" ht="15" hidden="1" customHeight="1" x14ac:dyDescent="0.2">
      <c r="A66" s="20" t="s">
        <v>18</v>
      </c>
      <c r="B66" s="63">
        <v>45960</v>
      </c>
      <c r="C66" s="32">
        <f t="shared" si="6"/>
        <v>228</v>
      </c>
      <c r="D66" s="20">
        <v>0</v>
      </c>
      <c r="G66" s="32" t="s">
        <v>70</v>
      </c>
      <c r="H66" s="20" t="s">
        <v>1820</v>
      </c>
      <c r="I66" s="12">
        <v>333821</v>
      </c>
      <c r="J66" s="20">
        <v>131</v>
      </c>
      <c r="K66" s="20" t="s">
        <v>20</v>
      </c>
      <c r="L66" s="20">
        <v>1</v>
      </c>
      <c r="M66" s="34">
        <v>268817</v>
      </c>
      <c r="N66" s="34">
        <f t="shared" si="7"/>
        <v>268817</v>
      </c>
      <c r="O66" s="20" t="s">
        <v>21</v>
      </c>
      <c r="P66" s="20">
        <f t="shared" si="3"/>
        <v>48</v>
      </c>
      <c r="Q66" s="20">
        <f t="shared" si="2"/>
        <v>138</v>
      </c>
    </row>
    <row r="67" spans="1:17" ht="15" hidden="1" customHeight="1" x14ac:dyDescent="0.2">
      <c r="A67" s="20" t="s">
        <v>18</v>
      </c>
      <c r="B67" s="63">
        <v>45961</v>
      </c>
      <c r="C67" s="32">
        <f t="shared" si="6"/>
        <v>229</v>
      </c>
      <c r="D67" s="20">
        <v>1</v>
      </c>
      <c r="G67" s="20" t="s">
        <v>69</v>
      </c>
      <c r="H67" s="32" t="s">
        <v>1780</v>
      </c>
      <c r="I67" s="20">
        <v>131</v>
      </c>
      <c r="J67" s="20">
        <v>5113</v>
      </c>
      <c r="K67" s="20" t="s">
        <v>20</v>
      </c>
      <c r="L67" s="20">
        <v>1</v>
      </c>
      <c r="M67" s="34">
        <v>6451612</v>
      </c>
      <c r="N67" s="34">
        <f t="shared" si="7"/>
        <v>6451612</v>
      </c>
      <c r="O67" s="20" t="s">
        <v>21</v>
      </c>
      <c r="P67" s="20">
        <f t="shared" si="3"/>
        <v>49</v>
      </c>
      <c r="Q67" s="20">
        <f t="shared" si="2"/>
        <v>113</v>
      </c>
    </row>
    <row r="68" spans="1:17" ht="15" hidden="1" customHeight="1" x14ac:dyDescent="0.2">
      <c r="A68" s="20" t="s">
        <v>18</v>
      </c>
      <c r="B68" s="63">
        <v>45961</v>
      </c>
      <c r="C68" s="32">
        <f t="shared" si="6"/>
        <v>229</v>
      </c>
      <c r="D68" s="20">
        <v>0</v>
      </c>
      <c r="G68" s="32" t="s">
        <v>69</v>
      </c>
      <c r="H68" s="20" t="s">
        <v>1821</v>
      </c>
      <c r="I68" s="12">
        <v>333821</v>
      </c>
      <c r="J68" s="20">
        <v>131</v>
      </c>
      <c r="K68" s="20" t="s">
        <v>20</v>
      </c>
      <c r="L68" s="20">
        <v>1</v>
      </c>
      <c r="M68" s="34">
        <v>64516</v>
      </c>
      <c r="N68" s="34">
        <f t="shared" si="7"/>
        <v>64516</v>
      </c>
      <c r="O68" s="20" t="s">
        <v>21</v>
      </c>
      <c r="P68" s="20">
        <f t="shared" si="3"/>
        <v>49</v>
      </c>
      <c r="Q68" s="20">
        <f t="shared" si="2"/>
        <v>129</v>
      </c>
    </row>
    <row r="69" spans="1:17" ht="15" hidden="1" customHeight="1" x14ac:dyDescent="0.2">
      <c r="A69" s="20" t="s">
        <v>18</v>
      </c>
      <c r="B69" s="63">
        <v>45964</v>
      </c>
      <c r="C69" s="32">
        <f t="shared" si="6"/>
        <v>230</v>
      </c>
      <c r="D69" s="20">
        <v>1</v>
      </c>
      <c r="G69" s="20" t="s">
        <v>68</v>
      </c>
      <c r="H69" s="32" t="s">
        <v>1781</v>
      </c>
      <c r="I69" s="20">
        <v>131</v>
      </c>
      <c r="J69" s="20">
        <v>5113</v>
      </c>
      <c r="K69" s="20" t="s">
        <v>20</v>
      </c>
      <c r="L69" s="20">
        <v>1</v>
      </c>
      <c r="M69" s="34">
        <v>13440860</v>
      </c>
      <c r="N69" s="34">
        <f t="shared" si="7"/>
        <v>13440860</v>
      </c>
      <c r="O69" s="20" t="s">
        <v>21</v>
      </c>
      <c r="P69" s="20">
        <f t="shared" si="3"/>
        <v>50</v>
      </c>
      <c r="Q69" s="20">
        <f t="shared" ref="Q69:Q132" si="8">LEN(H69)</f>
        <v>125</v>
      </c>
    </row>
    <row r="70" spans="1:17" ht="15" hidden="1" customHeight="1" x14ac:dyDescent="0.2">
      <c r="A70" s="20" t="s">
        <v>18</v>
      </c>
      <c r="B70" s="63">
        <v>45964</v>
      </c>
      <c r="C70" s="32">
        <f t="shared" ref="C70:C101" si="9">C69+D70</f>
        <v>230</v>
      </c>
      <c r="D70" s="20">
        <v>0</v>
      </c>
      <c r="G70" s="32" t="s">
        <v>68</v>
      </c>
      <c r="H70" s="20" t="s">
        <v>1822</v>
      </c>
      <c r="I70" s="12">
        <v>333821</v>
      </c>
      <c r="J70" s="20">
        <v>131</v>
      </c>
      <c r="K70" s="20" t="s">
        <v>20</v>
      </c>
      <c r="L70" s="20">
        <v>1</v>
      </c>
      <c r="M70" s="34">
        <v>134409</v>
      </c>
      <c r="N70" s="34">
        <f t="shared" ref="N70:N101" si="10">L70*M70</f>
        <v>134409</v>
      </c>
      <c r="O70" s="20" t="s">
        <v>21</v>
      </c>
      <c r="P70" s="20">
        <f t="shared" ref="P70:P133" si="11">P69+D70</f>
        <v>50</v>
      </c>
      <c r="Q70" s="20">
        <f t="shared" si="8"/>
        <v>141</v>
      </c>
    </row>
    <row r="71" spans="1:17" ht="15" hidden="1" customHeight="1" x14ac:dyDescent="0.2">
      <c r="A71" s="20" t="s">
        <v>18</v>
      </c>
      <c r="B71" s="63">
        <v>45965</v>
      </c>
      <c r="C71" s="32">
        <f t="shared" si="9"/>
        <v>231</v>
      </c>
      <c r="D71" s="20">
        <v>1</v>
      </c>
      <c r="G71" s="20" t="s">
        <v>66</v>
      </c>
      <c r="H71" s="32" t="s">
        <v>1782</v>
      </c>
      <c r="I71" s="20">
        <v>131</v>
      </c>
      <c r="J71" s="20">
        <v>5113</v>
      </c>
      <c r="K71" s="20" t="s">
        <v>20</v>
      </c>
      <c r="L71" s="20">
        <v>1</v>
      </c>
      <c r="M71" s="34">
        <v>16129032</v>
      </c>
      <c r="N71" s="34">
        <f t="shared" si="10"/>
        <v>16129032</v>
      </c>
      <c r="O71" s="20" t="s">
        <v>21</v>
      </c>
      <c r="P71" s="20">
        <f t="shared" si="11"/>
        <v>51</v>
      </c>
      <c r="Q71" s="20">
        <f t="shared" si="8"/>
        <v>170</v>
      </c>
    </row>
    <row r="72" spans="1:17" ht="15" hidden="1" customHeight="1" x14ac:dyDescent="0.2">
      <c r="A72" s="20" t="s">
        <v>18</v>
      </c>
      <c r="B72" s="63">
        <v>45965</v>
      </c>
      <c r="C72" s="32">
        <f t="shared" si="9"/>
        <v>231</v>
      </c>
      <c r="D72" s="20">
        <v>0</v>
      </c>
      <c r="G72" s="32" t="s">
        <v>66</v>
      </c>
      <c r="H72" s="20" t="s">
        <v>1823</v>
      </c>
      <c r="I72" s="12">
        <v>333821</v>
      </c>
      <c r="J72" s="20">
        <v>131</v>
      </c>
      <c r="K72" s="20" t="s">
        <v>20</v>
      </c>
      <c r="L72" s="20">
        <v>1</v>
      </c>
      <c r="M72" s="34">
        <v>161290</v>
      </c>
      <c r="N72" s="34">
        <f t="shared" si="10"/>
        <v>161290</v>
      </c>
      <c r="O72" s="20" t="s">
        <v>21</v>
      </c>
      <c r="P72" s="20">
        <f t="shared" si="11"/>
        <v>51</v>
      </c>
      <c r="Q72" s="20">
        <f t="shared" si="8"/>
        <v>186</v>
      </c>
    </row>
    <row r="73" spans="1:17" ht="15" hidden="1" customHeight="1" x14ac:dyDescent="0.2">
      <c r="A73" s="20" t="s">
        <v>18</v>
      </c>
      <c r="B73" s="63">
        <v>45973</v>
      </c>
      <c r="C73" s="32">
        <f t="shared" si="9"/>
        <v>232</v>
      </c>
      <c r="D73" s="20">
        <v>1</v>
      </c>
      <c r="G73" s="20" t="s">
        <v>47</v>
      </c>
      <c r="H73" s="32" t="s">
        <v>3567</v>
      </c>
      <c r="I73" s="20">
        <v>131</v>
      </c>
      <c r="J73" s="20">
        <v>5113</v>
      </c>
      <c r="K73" s="20" t="s">
        <v>20</v>
      </c>
      <c r="L73" s="20">
        <v>1</v>
      </c>
      <c r="M73" s="34">
        <v>10752688</v>
      </c>
      <c r="N73" s="34">
        <f t="shared" si="10"/>
        <v>10752688</v>
      </c>
      <c r="O73" s="20" t="s">
        <v>21</v>
      </c>
      <c r="P73" s="20">
        <f t="shared" si="11"/>
        <v>52</v>
      </c>
      <c r="Q73" s="20">
        <f t="shared" si="8"/>
        <v>195</v>
      </c>
    </row>
    <row r="74" spans="1:17" ht="15" hidden="1" customHeight="1" x14ac:dyDescent="0.2">
      <c r="A74" s="20" t="s">
        <v>18</v>
      </c>
      <c r="B74" s="63">
        <v>45973</v>
      </c>
      <c r="C74" s="32">
        <f t="shared" si="9"/>
        <v>232</v>
      </c>
      <c r="D74" s="20">
        <v>0</v>
      </c>
      <c r="G74" s="32" t="s">
        <v>47</v>
      </c>
      <c r="H74" s="20" t="s">
        <v>3568</v>
      </c>
      <c r="I74" s="12">
        <v>333821</v>
      </c>
      <c r="J74" s="20">
        <v>131</v>
      </c>
      <c r="K74" s="20" t="s">
        <v>20</v>
      </c>
      <c r="L74" s="20">
        <v>1</v>
      </c>
      <c r="M74" s="34">
        <v>107527</v>
      </c>
      <c r="N74" s="34">
        <f t="shared" si="10"/>
        <v>107527</v>
      </c>
      <c r="O74" s="20" t="s">
        <v>21</v>
      </c>
      <c r="P74" s="20">
        <f t="shared" si="11"/>
        <v>52</v>
      </c>
      <c r="Q74" s="20">
        <f t="shared" si="8"/>
        <v>180</v>
      </c>
    </row>
    <row r="75" spans="1:17" ht="15" hidden="1" customHeight="1" x14ac:dyDescent="0.2">
      <c r="A75" s="20" t="s">
        <v>18</v>
      </c>
      <c r="B75" s="63">
        <v>45974</v>
      </c>
      <c r="C75" s="32">
        <f t="shared" si="9"/>
        <v>233</v>
      </c>
      <c r="D75" s="20">
        <v>1</v>
      </c>
      <c r="G75" s="20" t="s">
        <v>66</v>
      </c>
      <c r="H75" s="32" t="s">
        <v>1783</v>
      </c>
      <c r="I75" s="20">
        <v>131</v>
      </c>
      <c r="J75" s="20">
        <v>5113</v>
      </c>
      <c r="K75" s="20" t="s">
        <v>20</v>
      </c>
      <c r="L75" s="20">
        <v>1</v>
      </c>
      <c r="M75" s="34">
        <v>15053764</v>
      </c>
      <c r="N75" s="34">
        <f t="shared" si="10"/>
        <v>15053764</v>
      </c>
      <c r="O75" s="20" t="s">
        <v>21</v>
      </c>
      <c r="P75" s="20">
        <f t="shared" si="11"/>
        <v>53</v>
      </c>
      <c r="Q75" s="20">
        <f t="shared" si="8"/>
        <v>127</v>
      </c>
    </row>
    <row r="76" spans="1:17" ht="15" hidden="1" customHeight="1" x14ac:dyDescent="0.2">
      <c r="A76" s="20" t="s">
        <v>18</v>
      </c>
      <c r="B76" s="63">
        <v>45974</v>
      </c>
      <c r="C76" s="32">
        <f t="shared" si="9"/>
        <v>233</v>
      </c>
      <c r="D76" s="20">
        <v>0</v>
      </c>
      <c r="G76" s="32" t="s">
        <v>66</v>
      </c>
      <c r="H76" s="20" t="s">
        <v>1824</v>
      </c>
      <c r="I76" s="12">
        <v>333821</v>
      </c>
      <c r="J76" s="20">
        <v>131</v>
      </c>
      <c r="K76" s="20" t="s">
        <v>20</v>
      </c>
      <c r="L76" s="20">
        <v>1</v>
      </c>
      <c r="M76" s="34">
        <v>150538</v>
      </c>
      <c r="N76" s="34">
        <f t="shared" si="10"/>
        <v>150538</v>
      </c>
      <c r="O76" s="20" t="s">
        <v>21</v>
      </c>
      <c r="P76" s="20">
        <f t="shared" si="11"/>
        <v>53</v>
      </c>
      <c r="Q76" s="20">
        <f t="shared" si="8"/>
        <v>143</v>
      </c>
    </row>
    <row r="77" spans="1:17" ht="15" hidden="1" customHeight="1" x14ac:dyDescent="0.2">
      <c r="A77" s="20" t="s">
        <v>18</v>
      </c>
      <c r="B77" s="63">
        <v>45975</v>
      </c>
      <c r="C77" s="32">
        <f t="shared" si="9"/>
        <v>234</v>
      </c>
      <c r="D77" s="20">
        <v>1</v>
      </c>
      <c r="G77" s="20" t="s">
        <v>80</v>
      </c>
      <c r="H77" s="32" t="s">
        <v>1784</v>
      </c>
      <c r="I77" s="20">
        <v>131</v>
      </c>
      <c r="J77" s="20">
        <v>5113</v>
      </c>
      <c r="K77" s="20" t="s">
        <v>20</v>
      </c>
      <c r="L77" s="20">
        <v>1</v>
      </c>
      <c r="M77" s="34">
        <v>13440861</v>
      </c>
      <c r="N77" s="34">
        <f t="shared" si="10"/>
        <v>13440861</v>
      </c>
      <c r="O77" s="20" t="s">
        <v>21</v>
      </c>
      <c r="P77" s="20">
        <f t="shared" si="11"/>
        <v>54</v>
      </c>
      <c r="Q77" s="20">
        <f t="shared" si="8"/>
        <v>135</v>
      </c>
    </row>
    <row r="78" spans="1:17" ht="15" hidden="1" customHeight="1" x14ac:dyDescent="0.2">
      <c r="A78" s="20" t="s">
        <v>18</v>
      </c>
      <c r="B78" s="63">
        <v>45975</v>
      </c>
      <c r="C78" s="32">
        <f t="shared" si="9"/>
        <v>234</v>
      </c>
      <c r="D78" s="20">
        <v>0</v>
      </c>
      <c r="G78" s="32" t="s">
        <v>80</v>
      </c>
      <c r="H78" s="20" t="s">
        <v>1825</v>
      </c>
      <c r="I78" s="12">
        <v>333821</v>
      </c>
      <c r="J78" s="20">
        <v>131</v>
      </c>
      <c r="K78" s="20" t="s">
        <v>20</v>
      </c>
      <c r="L78" s="20">
        <v>1</v>
      </c>
      <c r="M78" s="34">
        <v>134409</v>
      </c>
      <c r="N78" s="34">
        <f t="shared" si="10"/>
        <v>134409</v>
      </c>
      <c r="O78" s="20" t="s">
        <v>21</v>
      </c>
      <c r="P78" s="20">
        <f t="shared" si="11"/>
        <v>54</v>
      </c>
      <c r="Q78" s="20">
        <f t="shared" si="8"/>
        <v>151</v>
      </c>
    </row>
    <row r="79" spans="1:17" ht="15" hidden="1" customHeight="1" x14ac:dyDescent="0.2">
      <c r="A79" s="20" t="s">
        <v>18</v>
      </c>
      <c r="B79" s="63">
        <v>45979</v>
      </c>
      <c r="C79" s="32">
        <f t="shared" si="9"/>
        <v>235</v>
      </c>
      <c r="D79" s="20">
        <v>1</v>
      </c>
      <c r="G79" s="20" t="s">
        <v>65</v>
      </c>
      <c r="H79" s="32" t="s">
        <v>1785</v>
      </c>
      <c r="I79" s="20">
        <v>131</v>
      </c>
      <c r="J79" s="20">
        <v>5113</v>
      </c>
      <c r="K79" s="20" t="s">
        <v>20</v>
      </c>
      <c r="L79" s="20">
        <v>1</v>
      </c>
      <c r="M79" s="34">
        <v>13440861</v>
      </c>
      <c r="N79" s="34">
        <f t="shared" si="10"/>
        <v>13440861</v>
      </c>
      <c r="O79" s="20" t="s">
        <v>21</v>
      </c>
      <c r="P79" s="20">
        <f t="shared" si="11"/>
        <v>55</v>
      </c>
      <c r="Q79" s="20">
        <f t="shared" si="8"/>
        <v>140</v>
      </c>
    </row>
    <row r="80" spans="1:17" ht="15" hidden="1" customHeight="1" x14ac:dyDescent="0.2">
      <c r="A80" s="20" t="s">
        <v>18</v>
      </c>
      <c r="B80" s="63">
        <v>45979</v>
      </c>
      <c r="C80" s="32">
        <f t="shared" si="9"/>
        <v>235</v>
      </c>
      <c r="D80" s="20">
        <v>0</v>
      </c>
      <c r="G80" s="32" t="s">
        <v>65</v>
      </c>
      <c r="H80" s="20" t="s">
        <v>1826</v>
      </c>
      <c r="I80" s="12">
        <v>333821</v>
      </c>
      <c r="J80" s="20">
        <v>131</v>
      </c>
      <c r="K80" s="20" t="s">
        <v>20</v>
      </c>
      <c r="L80" s="20">
        <v>1</v>
      </c>
      <c r="M80" s="34">
        <v>134409</v>
      </c>
      <c r="N80" s="34">
        <f t="shared" si="10"/>
        <v>134409</v>
      </c>
      <c r="O80" s="20" t="s">
        <v>21</v>
      </c>
      <c r="P80" s="20">
        <f t="shared" si="11"/>
        <v>55</v>
      </c>
      <c r="Q80" s="20">
        <f t="shared" si="8"/>
        <v>156</v>
      </c>
    </row>
    <row r="81" spans="1:17" ht="15" customHeight="1" x14ac:dyDescent="0.2">
      <c r="A81" s="20" t="s">
        <v>18</v>
      </c>
      <c r="B81" s="63">
        <v>45979</v>
      </c>
      <c r="C81" s="32">
        <f t="shared" si="9"/>
        <v>236</v>
      </c>
      <c r="D81" s="20">
        <v>1</v>
      </c>
      <c r="G81" s="32" t="s">
        <v>3511</v>
      </c>
      <c r="H81" s="32" t="s">
        <v>1786</v>
      </c>
      <c r="I81" s="20">
        <v>131</v>
      </c>
      <c r="J81" s="20">
        <v>5113</v>
      </c>
      <c r="K81" s="20" t="s">
        <v>20</v>
      </c>
      <c r="L81" s="20">
        <v>1</v>
      </c>
      <c r="M81" s="34">
        <v>26881720</v>
      </c>
      <c r="N81" s="34">
        <f t="shared" si="10"/>
        <v>26881720</v>
      </c>
      <c r="O81" s="20" t="s">
        <v>3510</v>
      </c>
      <c r="P81" s="20">
        <f t="shared" si="11"/>
        <v>56</v>
      </c>
      <c r="Q81" s="20">
        <f t="shared" si="8"/>
        <v>198</v>
      </c>
    </row>
    <row r="82" spans="1:17" ht="15" customHeight="1" x14ac:dyDescent="0.2">
      <c r="A82" s="20" t="s">
        <v>18</v>
      </c>
      <c r="B82" s="63">
        <v>45979</v>
      </c>
      <c r="C82" s="32">
        <f t="shared" si="9"/>
        <v>236</v>
      </c>
      <c r="D82" s="20">
        <v>0</v>
      </c>
      <c r="G82" s="32" t="s">
        <v>3511</v>
      </c>
      <c r="H82" s="20" t="s">
        <v>3569</v>
      </c>
      <c r="I82" s="12">
        <v>333821</v>
      </c>
      <c r="J82" s="20">
        <v>131</v>
      </c>
      <c r="K82" s="20" t="s">
        <v>20</v>
      </c>
      <c r="L82" s="20">
        <v>1</v>
      </c>
      <c r="M82" s="34">
        <v>268817</v>
      </c>
      <c r="N82" s="34">
        <f t="shared" si="10"/>
        <v>268817</v>
      </c>
      <c r="O82" s="20" t="s">
        <v>3510</v>
      </c>
      <c r="P82" s="20">
        <f t="shared" si="11"/>
        <v>56</v>
      </c>
      <c r="Q82" s="20">
        <f t="shared" si="8"/>
        <v>109</v>
      </c>
    </row>
    <row r="83" spans="1:17" ht="15" hidden="1" customHeight="1" x14ac:dyDescent="0.2">
      <c r="A83" s="20" t="s">
        <v>18</v>
      </c>
      <c r="B83" s="63">
        <v>45982</v>
      </c>
      <c r="C83" s="32">
        <f t="shared" si="9"/>
        <v>237</v>
      </c>
      <c r="D83" s="20">
        <v>1</v>
      </c>
      <c r="G83" s="20" t="s">
        <v>47</v>
      </c>
      <c r="H83" s="32" t="s">
        <v>3570</v>
      </c>
      <c r="I83" s="20">
        <v>131</v>
      </c>
      <c r="J83" s="20">
        <v>5113</v>
      </c>
      <c r="K83" s="20" t="s">
        <v>20</v>
      </c>
      <c r="L83" s="20">
        <v>1</v>
      </c>
      <c r="M83" s="34">
        <v>10752689</v>
      </c>
      <c r="N83" s="34">
        <f t="shared" si="10"/>
        <v>10752689</v>
      </c>
      <c r="O83" s="20" t="s">
        <v>21</v>
      </c>
      <c r="P83" s="20">
        <f t="shared" si="11"/>
        <v>57</v>
      </c>
      <c r="Q83" s="20">
        <f t="shared" si="8"/>
        <v>179</v>
      </c>
    </row>
    <row r="84" spans="1:17" ht="15" hidden="1" customHeight="1" x14ac:dyDescent="0.2">
      <c r="A84" s="20" t="s">
        <v>18</v>
      </c>
      <c r="B84" s="63">
        <v>45982</v>
      </c>
      <c r="C84" s="32">
        <f t="shared" si="9"/>
        <v>237</v>
      </c>
      <c r="D84" s="20">
        <v>0</v>
      </c>
      <c r="G84" s="32" t="s">
        <v>47</v>
      </c>
      <c r="H84" s="20" t="s">
        <v>3572</v>
      </c>
      <c r="I84" s="12">
        <v>333821</v>
      </c>
      <c r="J84" s="20">
        <v>131</v>
      </c>
      <c r="K84" s="20" t="s">
        <v>20</v>
      </c>
      <c r="L84" s="20">
        <v>1</v>
      </c>
      <c r="M84" s="34">
        <v>107527</v>
      </c>
      <c r="N84" s="34">
        <f t="shared" si="10"/>
        <v>107527</v>
      </c>
      <c r="O84" s="20" t="s">
        <v>21</v>
      </c>
      <c r="P84" s="20">
        <f t="shared" si="11"/>
        <v>57</v>
      </c>
      <c r="Q84" s="20">
        <f t="shared" si="8"/>
        <v>164</v>
      </c>
    </row>
    <row r="85" spans="1:17" ht="15" hidden="1" customHeight="1" x14ac:dyDescent="0.2">
      <c r="A85" s="20" t="s">
        <v>18</v>
      </c>
      <c r="B85" s="63">
        <v>45985</v>
      </c>
      <c r="C85" s="32">
        <f t="shared" si="9"/>
        <v>238</v>
      </c>
      <c r="D85" s="20">
        <v>1</v>
      </c>
      <c r="G85" s="20" t="s">
        <v>66</v>
      </c>
      <c r="H85" s="32" t="s">
        <v>1787</v>
      </c>
      <c r="I85" s="20">
        <v>131</v>
      </c>
      <c r="J85" s="20">
        <v>5113</v>
      </c>
      <c r="K85" s="20" t="s">
        <v>20</v>
      </c>
      <c r="L85" s="20">
        <v>1</v>
      </c>
      <c r="M85" s="34">
        <v>16129032</v>
      </c>
      <c r="N85" s="34">
        <f t="shared" si="10"/>
        <v>16129032</v>
      </c>
      <c r="O85" s="20" t="s">
        <v>21</v>
      </c>
      <c r="P85" s="20">
        <f t="shared" si="11"/>
        <v>58</v>
      </c>
      <c r="Q85" s="20">
        <f t="shared" si="8"/>
        <v>136</v>
      </c>
    </row>
    <row r="86" spans="1:17" ht="15" hidden="1" customHeight="1" x14ac:dyDescent="0.2">
      <c r="A86" s="20" t="s">
        <v>18</v>
      </c>
      <c r="B86" s="63">
        <v>45985</v>
      </c>
      <c r="C86" s="32">
        <f t="shared" si="9"/>
        <v>238</v>
      </c>
      <c r="D86" s="20">
        <v>0</v>
      </c>
      <c r="G86" s="32" t="s">
        <v>66</v>
      </c>
      <c r="H86" s="20" t="s">
        <v>1827</v>
      </c>
      <c r="I86" s="12">
        <v>333821</v>
      </c>
      <c r="J86" s="20">
        <v>131</v>
      </c>
      <c r="K86" s="20" t="s">
        <v>20</v>
      </c>
      <c r="L86" s="20">
        <v>1</v>
      </c>
      <c r="M86" s="34">
        <v>161290</v>
      </c>
      <c r="N86" s="34">
        <f t="shared" si="10"/>
        <v>161290</v>
      </c>
      <c r="O86" s="20" t="s">
        <v>21</v>
      </c>
      <c r="P86" s="20">
        <f t="shared" si="11"/>
        <v>58</v>
      </c>
      <c r="Q86" s="20">
        <f t="shared" si="8"/>
        <v>152</v>
      </c>
    </row>
    <row r="87" spans="1:17" ht="15" hidden="1" customHeight="1" x14ac:dyDescent="0.2">
      <c r="A87" s="20" t="s">
        <v>18</v>
      </c>
      <c r="B87" s="63">
        <v>45987</v>
      </c>
      <c r="C87" s="32">
        <f t="shared" si="9"/>
        <v>239</v>
      </c>
      <c r="D87" s="20">
        <v>1</v>
      </c>
      <c r="G87" s="20" t="s">
        <v>47</v>
      </c>
      <c r="H87" s="32" t="s">
        <v>1788</v>
      </c>
      <c r="I87" s="20">
        <v>131</v>
      </c>
      <c r="J87" s="20">
        <v>5113</v>
      </c>
      <c r="K87" s="20" t="s">
        <v>20</v>
      </c>
      <c r="L87" s="20">
        <v>1</v>
      </c>
      <c r="M87" s="34">
        <v>18817204</v>
      </c>
      <c r="N87" s="34">
        <f t="shared" si="10"/>
        <v>18817204</v>
      </c>
      <c r="O87" s="20" t="s">
        <v>21</v>
      </c>
      <c r="P87" s="20">
        <f t="shared" si="11"/>
        <v>59</v>
      </c>
      <c r="Q87" s="20">
        <f t="shared" si="8"/>
        <v>193</v>
      </c>
    </row>
    <row r="88" spans="1:17" ht="15" hidden="1" customHeight="1" x14ac:dyDescent="0.2">
      <c r="A88" s="20" t="s">
        <v>18</v>
      </c>
      <c r="B88" s="63">
        <v>45987</v>
      </c>
      <c r="C88" s="32">
        <f t="shared" si="9"/>
        <v>239</v>
      </c>
      <c r="D88" s="20">
        <v>0</v>
      </c>
      <c r="G88" s="32" t="s">
        <v>47</v>
      </c>
      <c r="H88" s="20" t="s">
        <v>3571</v>
      </c>
      <c r="I88" s="12">
        <v>333821</v>
      </c>
      <c r="J88" s="20">
        <v>131</v>
      </c>
      <c r="K88" s="12" t="s">
        <v>20</v>
      </c>
      <c r="L88" s="12">
        <v>1</v>
      </c>
      <c r="M88" s="17">
        <v>188172</v>
      </c>
      <c r="N88" s="17">
        <f t="shared" si="10"/>
        <v>188172</v>
      </c>
      <c r="O88" s="20" t="s">
        <v>21</v>
      </c>
      <c r="P88" s="20">
        <f t="shared" si="11"/>
        <v>59</v>
      </c>
      <c r="Q88" s="20">
        <f t="shared" si="8"/>
        <v>130</v>
      </c>
    </row>
    <row r="89" spans="1:17" ht="15" hidden="1" customHeight="1" x14ac:dyDescent="0.2">
      <c r="A89" s="20" t="s">
        <v>18</v>
      </c>
      <c r="B89" s="63">
        <v>45993</v>
      </c>
      <c r="C89" s="32">
        <f t="shared" si="9"/>
        <v>240</v>
      </c>
      <c r="D89" s="20">
        <v>1</v>
      </c>
      <c r="G89" s="20" t="s">
        <v>1854</v>
      </c>
      <c r="H89" s="32" t="s">
        <v>3573</v>
      </c>
      <c r="I89" s="20">
        <v>131</v>
      </c>
      <c r="J89" s="20">
        <v>5113</v>
      </c>
      <c r="K89" s="20" t="s">
        <v>20</v>
      </c>
      <c r="L89" s="20">
        <v>1</v>
      </c>
      <c r="M89" s="34">
        <v>15053764</v>
      </c>
      <c r="N89" s="34">
        <f t="shared" si="10"/>
        <v>15053764</v>
      </c>
      <c r="O89" s="20" t="s">
        <v>21</v>
      </c>
      <c r="P89" s="20">
        <f t="shared" si="11"/>
        <v>60</v>
      </c>
      <c r="Q89" s="20">
        <f t="shared" si="8"/>
        <v>123</v>
      </c>
    </row>
    <row r="90" spans="1:17" ht="15" hidden="1" customHeight="1" x14ac:dyDescent="0.2">
      <c r="A90" s="20" t="s">
        <v>18</v>
      </c>
      <c r="B90" s="63">
        <v>45993</v>
      </c>
      <c r="C90" s="32">
        <f t="shared" si="9"/>
        <v>240</v>
      </c>
      <c r="D90" s="20">
        <v>0</v>
      </c>
      <c r="G90" s="32" t="s">
        <v>1854</v>
      </c>
      <c r="H90" s="20" t="s">
        <v>3574</v>
      </c>
      <c r="I90" s="12">
        <v>333821</v>
      </c>
      <c r="J90" s="20">
        <v>131</v>
      </c>
      <c r="K90" s="20" t="s">
        <v>20</v>
      </c>
      <c r="L90" s="20">
        <v>1</v>
      </c>
      <c r="M90" s="34">
        <v>150538</v>
      </c>
      <c r="N90" s="34">
        <f t="shared" si="10"/>
        <v>150538</v>
      </c>
      <c r="O90" s="20" t="s">
        <v>21</v>
      </c>
      <c r="P90" s="20">
        <f t="shared" si="11"/>
        <v>60</v>
      </c>
      <c r="Q90" s="20">
        <f t="shared" si="8"/>
        <v>139</v>
      </c>
    </row>
    <row r="91" spans="1:17" ht="15" hidden="1" customHeight="1" x14ac:dyDescent="0.2">
      <c r="A91" s="20" t="s">
        <v>18</v>
      </c>
      <c r="B91" s="63">
        <v>45993</v>
      </c>
      <c r="C91" s="32">
        <f t="shared" si="9"/>
        <v>241</v>
      </c>
      <c r="D91" s="20">
        <v>1</v>
      </c>
      <c r="G91" s="20" t="s">
        <v>66</v>
      </c>
      <c r="H91" s="20" t="s">
        <v>1789</v>
      </c>
      <c r="I91" s="20">
        <v>131</v>
      </c>
      <c r="J91" s="20">
        <v>5113</v>
      </c>
      <c r="K91" s="20" t="s">
        <v>20</v>
      </c>
      <c r="L91" s="20">
        <v>1</v>
      </c>
      <c r="M91" s="34">
        <v>16129032</v>
      </c>
      <c r="N91" s="34">
        <f t="shared" si="10"/>
        <v>16129032</v>
      </c>
      <c r="O91" s="20" t="s">
        <v>21</v>
      </c>
      <c r="P91" s="20">
        <f t="shared" si="11"/>
        <v>61</v>
      </c>
      <c r="Q91" s="20">
        <f t="shared" si="8"/>
        <v>180</v>
      </c>
    </row>
    <row r="92" spans="1:17" ht="15" hidden="1" customHeight="1" x14ac:dyDescent="0.2">
      <c r="A92" s="20" t="s">
        <v>18</v>
      </c>
      <c r="B92" s="63">
        <v>45993</v>
      </c>
      <c r="C92" s="32">
        <f t="shared" si="9"/>
        <v>241</v>
      </c>
      <c r="D92" s="20">
        <v>0</v>
      </c>
      <c r="G92" s="32" t="s">
        <v>66</v>
      </c>
      <c r="H92" s="20" t="s">
        <v>1828</v>
      </c>
      <c r="I92" s="12">
        <v>333821</v>
      </c>
      <c r="J92" s="20">
        <v>131</v>
      </c>
      <c r="K92" s="12" t="s">
        <v>20</v>
      </c>
      <c r="L92" s="12">
        <v>1</v>
      </c>
      <c r="M92" s="17">
        <v>161290</v>
      </c>
      <c r="N92" s="17">
        <f t="shared" si="10"/>
        <v>161290</v>
      </c>
      <c r="O92" s="20" t="s">
        <v>21</v>
      </c>
      <c r="P92" s="20">
        <f t="shared" si="11"/>
        <v>61</v>
      </c>
      <c r="Q92" s="20">
        <f t="shared" si="8"/>
        <v>196</v>
      </c>
    </row>
    <row r="93" spans="1:17" ht="15" hidden="1" customHeight="1" x14ac:dyDescent="0.2">
      <c r="A93" s="20" t="s">
        <v>18</v>
      </c>
      <c r="B93" s="63">
        <v>45994</v>
      </c>
      <c r="C93" s="32">
        <f t="shared" si="9"/>
        <v>242</v>
      </c>
      <c r="D93" s="20">
        <v>1</v>
      </c>
      <c r="G93" s="20" t="s">
        <v>69</v>
      </c>
      <c r="H93" s="32" t="s">
        <v>1790</v>
      </c>
      <c r="I93" s="20">
        <v>131</v>
      </c>
      <c r="J93" s="20">
        <v>5113</v>
      </c>
      <c r="K93" s="20" t="s">
        <v>20</v>
      </c>
      <c r="L93" s="20">
        <v>1</v>
      </c>
      <c r="M93" s="34">
        <v>6451612</v>
      </c>
      <c r="N93" s="34">
        <f t="shared" si="10"/>
        <v>6451612</v>
      </c>
      <c r="O93" s="20" t="s">
        <v>21</v>
      </c>
      <c r="P93" s="20">
        <f t="shared" si="11"/>
        <v>62</v>
      </c>
      <c r="Q93" s="20">
        <f t="shared" si="8"/>
        <v>113</v>
      </c>
    </row>
    <row r="94" spans="1:17" ht="15" hidden="1" customHeight="1" x14ac:dyDescent="0.2">
      <c r="A94" s="20" t="s">
        <v>18</v>
      </c>
      <c r="B94" s="63">
        <v>45994</v>
      </c>
      <c r="C94" s="32">
        <f t="shared" si="9"/>
        <v>242</v>
      </c>
      <c r="D94" s="20">
        <v>0</v>
      </c>
      <c r="G94" s="32" t="s">
        <v>69</v>
      </c>
      <c r="H94" s="20" t="s">
        <v>1829</v>
      </c>
      <c r="I94" s="12">
        <v>333821</v>
      </c>
      <c r="J94" s="20">
        <v>131</v>
      </c>
      <c r="K94" s="20" t="s">
        <v>20</v>
      </c>
      <c r="L94" s="20">
        <v>1</v>
      </c>
      <c r="M94" s="34">
        <v>64516</v>
      </c>
      <c r="N94" s="34">
        <f t="shared" si="10"/>
        <v>64516</v>
      </c>
      <c r="O94" s="20" t="s">
        <v>21</v>
      </c>
      <c r="P94" s="20">
        <f t="shared" si="11"/>
        <v>62</v>
      </c>
      <c r="Q94" s="20">
        <f t="shared" si="8"/>
        <v>129</v>
      </c>
    </row>
    <row r="95" spans="1:17" ht="15" hidden="1" customHeight="1" x14ac:dyDescent="0.2">
      <c r="A95" s="20" t="s">
        <v>18</v>
      </c>
      <c r="B95" s="63">
        <v>45995</v>
      </c>
      <c r="C95" s="32">
        <f t="shared" si="9"/>
        <v>243</v>
      </c>
      <c r="D95" s="20">
        <v>1</v>
      </c>
      <c r="G95" s="20" t="s">
        <v>1856</v>
      </c>
      <c r="H95" s="20" t="s">
        <v>1791</v>
      </c>
      <c r="I95" s="20">
        <v>131</v>
      </c>
      <c r="J95" s="20">
        <v>5113</v>
      </c>
      <c r="K95" s="20" t="s">
        <v>20</v>
      </c>
      <c r="L95" s="20">
        <v>1</v>
      </c>
      <c r="M95" s="34">
        <v>21505377</v>
      </c>
      <c r="N95" s="34">
        <f t="shared" si="10"/>
        <v>21505377</v>
      </c>
      <c r="O95" s="20" t="s">
        <v>21</v>
      </c>
      <c r="P95" s="20">
        <f t="shared" si="11"/>
        <v>63</v>
      </c>
      <c r="Q95" s="20">
        <f t="shared" si="8"/>
        <v>145</v>
      </c>
    </row>
    <row r="96" spans="1:17" ht="15" hidden="1" customHeight="1" x14ac:dyDescent="0.2">
      <c r="A96" s="20" t="s">
        <v>18</v>
      </c>
      <c r="B96" s="63">
        <v>45995</v>
      </c>
      <c r="C96" s="32">
        <f t="shared" si="9"/>
        <v>243</v>
      </c>
      <c r="D96" s="20">
        <v>0</v>
      </c>
      <c r="G96" s="32" t="s">
        <v>1856</v>
      </c>
      <c r="H96" s="20" t="s">
        <v>1830</v>
      </c>
      <c r="I96" s="12">
        <v>333821</v>
      </c>
      <c r="J96" s="20">
        <v>131</v>
      </c>
      <c r="K96" s="20" t="s">
        <v>20</v>
      </c>
      <c r="L96" s="20">
        <v>1</v>
      </c>
      <c r="M96" s="34">
        <v>215054</v>
      </c>
      <c r="N96" s="34">
        <f t="shared" si="10"/>
        <v>215054</v>
      </c>
      <c r="O96" s="20" t="s">
        <v>21</v>
      </c>
      <c r="P96" s="20">
        <f t="shared" si="11"/>
        <v>63</v>
      </c>
      <c r="Q96" s="20">
        <f t="shared" si="8"/>
        <v>161</v>
      </c>
    </row>
    <row r="97" spans="1:17" ht="15" hidden="1" customHeight="1" x14ac:dyDescent="0.2">
      <c r="A97" s="20" t="s">
        <v>18</v>
      </c>
      <c r="B97" s="63">
        <v>45999</v>
      </c>
      <c r="C97" s="32">
        <f t="shared" si="9"/>
        <v>244</v>
      </c>
      <c r="D97" s="20">
        <v>1</v>
      </c>
      <c r="G97" s="20" t="s">
        <v>1855</v>
      </c>
      <c r="H97" s="32" t="s">
        <v>1792</v>
      </c>
      <c r="I97" s="20">
        <v>131</v>
      </c>
      <c r="J97" s="20">
        <v>5113</v>
      </c>
      <c r="K97" s="20" t="s">
        <v>20</v>
      </c>
      <c r="L97" s="20">
        <v>1</v>
      </c>
      <c r="M97" s="34">
        <v>16129032</v>
      </c>
      <c r="N97" s="34">
        <f t="shared" si="10"/>
        <v>16129032</v>
      </c>
      <c r="O97" s="20" t="s">
        <v>21</v>
      </c>
      <c r="P97" s="20">
        <f t="shared" si="11"/>
        <v>64</v>
      </c>
      <c r="Q97" s="20">
        <f t="shared" si="8"/>
        <v>115</v>
      </c>
    </row>
    <row r="98" spans="1:17" ht="15" hidden="1" customHeight="1" x14ac:dyDescent="0.2">
      <c r="A98" s="20" t="s">
        <v>18</v>
      </c>
      <c r="B98" s="63">
        <v>45999</v>
      </c>
      <c r="C98" s="32">
        <f t="shared" si="9"/>
        <v>244</v>
      </c>
      <c r="D98" s="20">
        <v>0</v>
      </c>
      <c r="G98" s="32" t="s">
        <v>1855</v>
      </c>
      <c r="H98" s="20" t="s">
        <v>1831</v>
      </c>
      <c r="I98" s="12">
        <v>333821</v>
      </c>
      <c r="J98" s="20">
        <v>131</v>
      </c>
      <c r="K98" s="20" t="s">
        <v>20</v>
      </c>
      <c r="L98" s="20">
        <v>1</v>
      </c>
      <c r="M98" s="34">
        <v>161290</v>
      </c>
      <c r="N98" s="34">
        <f t="shared" si="10"/>
        <v>161290</v>
      </c>
      <c r="O98" s="20" t="s">
        <v>21</v>
      </c>
      <c r="P98" s="20">
        <f t="shared" si="11"/>
        <v>64</v>
      </c>
      <c r="Q98" s="20">
        <f t="shared" si="8"/>
        <v>131</v>
      </c>
    </row>
    <row r="99" spans="1:17" ht="15" hidden="1" customHeight="1" x14ac:dyDescent="0.2">
      <c r="A99" s="20" t="s">
        <v>18</v>
      </c>
      <c r="B99" s="63">
        <v>45999</v>
      </c>
      <c r="C99" s="32">
        <f t="shared" si="9"/>
        <v>245</v>
      </c>
      <c r="D99" s="20">
        <v>1</v>
      </c>
      <c r="G99" s="20" t="s">
        <v>1857</v>
      </c>
      <c r="H99" s="20" t="s">
        <v>1793</v>
      </c>
      <c r="I99" s="20">
        <v>131</v>
      </c>
      <c r="J99" s="20">
        <v>5113</v>
      </c>
      <c r="K99" s="20" t="s">
        <v>20</v>
      </c>
      <c r="L99" s="20">
        <v>1</v>
      </c>
      <c r="M99" s="34">
        <v>16129032</v>
      </c>
      <c r="N99" s="34">
        <f t="shared" si="10"/>
        <v>16129032</v>
      </c>
      <c r="O99" s="20" t="s">
        <v>21</v>
      </c>
      <c r="P99" s="20">
        <f t="shared" si="11"/>
        <v>65</v>
      </c>
      <c r="Q99" s="20">
        <f t="shared" si="8"/>
        <v>119</v>
      </c>
    </row>
    <row r="100" spans="1:17" ht="15" hidden="1" customHeight="1" x14ac:dyDescent="0.2">
      <c r="A100" s="20" t="s">
        <v>18</v>
      </c>
      <c r="B100" s="63">
        <v>45999</v>
      </c>
      <c r="C100" s="32">
        <f t="shared" si="9"/>
        <v>245</v>
      </c>
      <c r="D100" s="20">
        <v>0</v>
      </c>
      <c r="G100" s="32" t="s">
        <v>1857</v>
      </c>
      <c r="H100" s="20" t="s">
        <v>1832</v>
      </c>
      <c r="I100" s="12">
        <v>333821</v>
      </c>
      <c r="J100" s="20">
        <v>131</v>
      </c>
      <c r="K100" s="20" t="s">
        <v>20</v>
      </c>
      <c r="L100" s="20">
        <v>1</v>
      </c>
      <c r="M100" s="34">
        <v>161290</v>
      </c>
      <c r="N100" s="34">
        <f t="shared" si="10"/>
        <v>161290</v>
      </c>
      <c r="O100" s="20" t="s">
        <v>21</v>
      </c>
      <c r="P100" s="20">
        <f t="shared" si="11"/>
        <v>65</v>
      </c>
      <c r="Q100" s="20">
        <f t="shared" si="8"/>
        <v>135</v>
      </c>
    </row>
    <row r="101" spans="1:17" ht="15" hidden="1" customHeight="1" x14ac:dyDescent="0.2">
      <c r="A101" s="20" t="s">
        <v>18</v>
      </c>
      <c r="B101" s="63">
        <v>45999</v>
      </c>
      <c r="C101" s="32">
        <f t="shared" si="9"/>
        <v>246</v>
      </c>
      <c r="D101" s="20">
        <v>1</v>
      </c>
      <c r="G101" s="20" t="s">
        <v>85</v>
      </c>
      <c r="H101" s="32" t="s">
        <v>1794</v>
      </c>
      <c r="I101" s="20">
        <v>131</v>
      </c>
      <c r="J101" s="20">
        <v>5113</v>
      </c>
      <c r="K101" s="20" t="s">
        <v>20</v>
      </c>
      <c r="L101" s="20">
        <v>1</v>
      </c>
      <c r="M101" s="34">
        <v>31182796</v>
      </c>
      <c r="N101" s="34">
        <f t="shared" si="10"/>
        <v>31182796</v>
      </c>
      <c r="O101" s="20" t="s">
        <v>21</v>
      </c>
      <c r="P101" s="20">
        <f t="shared" si="11"/>
        <v>66</v>
      </c>
      <c r="Q101" s="20">
        <f t="shared" si="8"/>
        <v>126</v>
      </c>
    </row>
    <row r="102" spans="1:17" ht="15" hidden="1" customHeight="1" x14ac:dyDescent="0.2">
      <c r="A102" s="20" t="s">
        <v>18</v>
      </c>
      <c r="B102" s="63">
        <v>45999</v>
      </c>
      <c r="C102" s="32">
        <f t="shared" ref="C102:C130" si="12">C101+D102</f>
        <v>246</v>
      </c>
      <c r="D102" s="20">
        <v>0</v>
      </c>
      <c r="G102" s="32" t="s">
        <v>85</v>
      </c>
      <c r="H102" s="20" t="s">
        <v>1833</v>
      </c>
      <c r="I102" s="12">
        <v>333821</v>
      </c>
      <c r="J102" s="20">
        <v>131</v>
      </c>
      <c r="K102" s="20" t="s">
        <v>20</v>
      </c>
      <c r="L102" s="20">
        <v>1</v>
      </c>
      <c r="M102" s="34">
        <v>311828</v>
      </c>
      <c r="N102" s="34">
        <f t="shared" ref="N102:N130" si="13">L102*M102</f>
        <v>311828</v>
      </c>
      <c r="O102" s="20" t="s">
        <v>21</v>
      </c>
      <c r="P102" s="20">
        <f t="shared" si="11"/>
        <v>66</v>
      </c>
      <c r="Q102" s="20">
        <f t="shared" si="8"/>
        <v>142</v>
      </c>
    </row>
    <row r="103" spans="1:17" ht="15" hidden="1" customHeight="1" x14ac:dyDescent="0.2">
      <c r="A103" s="20" t="s">
        <v>18</v>
      </c>
      <c r="B103" s="63">
        <v>46001</v>
      </c>
      <c r="C103" s="32">
        <f t="shared" si="12"/>
        <v>247</v>
      </c>
      <c r="D103" s="20">
        <v>1</v>
      </c>
      <c r="G103" s="20" t="s">
        <v>57</v>
      </c>
      <c r="H103" s="20" t="s">
        <v>1795</v>
      </c>
      <c r="I103" s="20">
        <v>131</v>
      </c>
      <c r="J103" s="20">
        <v>5113</v>
      </c>
      <c r="K103" s="20" t="s">
        <v>20</v>
      </c>
      <c r="L103" s="20">
        <v>1</v>
      </c>
      <c r="M103" s="34">
        <v>16129032</v>
      </c>
      <c r="N103" s="34">
        <f t="shared" si="13"/>
        <v>16129032</v>
      </c>
      <c r="O103" s="20" t="s">
        <v>21</v>
      </c>
      <c r="P103" s="20">
        <f t="shared" si="11"/>
        <v>67</v>
      </c>
      <c r="Q103" s="20">
        <f t="shared" si="8"/>
        <v>120</v>
      </c>
    </row>
    <row r="104" spans="1:17" ht="15" hidden="1" customHeight="1" x14ac:dyDescent="0.2">
      <c r="A104" s="20" t="s">
        <v>18</v>
      </c>
      <c r="B104" s="63">
        <v>46001</v>
      </c>
      <c r="C104" s="32">
        <f t="shared" si="12"/>
        <v>247</v>
      </c>
      <c r="D104" s="20">
        <v>0</v>
      </c>
      <c r="G104" s="32" t="s">
        <v>57</v>
      </c>
      <c r="H104" s="20" t="s">
        <v>1834</v>
      </c>
      <c r="I104" s="12">
        <v>333821</v>
      </c>
      <c r="J104" s="20">
        <v>131</v>
      </c>
      <c r="K104" s="12" t="s">
        <v>20</v>
      </c>
      <c r="L104" s="12">
        <v>1</v>
      </c>
      <c r="M104" s="17">
        <v>161290</v>
      </c>
      <c r="N104" s="17">
        <f t="shared" si="13"/>
        <v>161290</v>
      </c>
      <c r="O104" s="20" t="s">
        <v>21</v>
      </c>
      <c r="P104" s="20">
        <f t="shared" si="11"/>
        <v>67</v>
      </c>
      <c r="Q104" s="20">
        <f t="shared" si="8"/>
        <v>136</v>
      </c>
    </row>
    <row r="105" spans="1:17" ht="15" hidden="1" customHeight="1" x14ac:dyDescent="0.2">
      <c r="A105" s="20" t="s">
        <v>18</v>
      </c>
      <c r="B105" s="63">
        <v>46001</v>
      </c>
      <c r="C105" s="32">
        <f t="shared" si="12"/>
        <v>248</v>
      </c>
      <c r="D105" s="20">
        <v>1</v>
      </c>
      <c r="G105" s="20" t="s">
        <v>1856</v>
      </c>
      <c r="H105" s="32" t="s">
        <v>3575</v>
      </c>
      <c r="I105" s="20">
        <v>131</v>
      </c>
      <c r="J105" s="20">
        <v>5113</v>
      </c>
      <c r="K105" s="20" t="s">
        <v>20</v>
      </c>
      <c r="L105" s="20">
        <v>1</v>
      </c>
      <c r="M105" s="34">
        <v>21505376</v>
      </c>
      <c r="N105" s="34">
        <f t="shared" si="13"/>
        <v>21505376</v>
      </c>
      <c r="O105" s="20" t="s">
        <v>21</v>
      </c>
      <c r="P105" s="20">
        <f t="shared" si="11"/>
        <v>68</v>
      </c>
      <c r="Q105" s="20">
        <f t="shared" si="8"/>
        <v>145</v>
      </c>
    </row>
    <row r="106" spans="1:17" ht="15" hidden="1" customHeight="1" x14ac:dyDescent="0.2">
      <c r="A106" s="20" t="s">
        <v>18</v>
      </c>
      <c r="B106" s="63">
        <v>46001</v>
      </c>
      <c r="C106" s="32">
        <f t="shared" si="12"/>
        <v>248</v>
      </c>
      <c r="D106" s="20">
        <v>0</v>
      </c>
      <c r="G106" s="32" t="s">
        <v>1856</v>
      </c>
      <c r="H106" s="20" t="s">
        <v>3576</v>
      </c>
      <c r="I106" s="12">
        <v>333821</v>
      </c>
      <c r="J106" s="20">
        <v>131</v>
      </c>
      <c r="K106" s="20" t="s">
        <v>20</v>
      </c>
      <c r="L106" s="20">
        <v>1</v>
      </c>
      <c r="M106" s="34">
        <v>215054</v>
      </c>
      <c r="N106" s="34">
        <f t="shared" si="13"/>
        <v>215054</v>
      </c>
      <c r="O106" s="20" t="s">
        <v>21</v>
      </c>
      <c r="P106" s="20">
        <f t="shared" si="11"/>
        <v>68</v>
      </c>
      <c r="Q106" s="20">
        <f t="shared" si="8"/>
        <v>161</v>
      </c>
    </row>
    <row r="107" spans="1:17" ht="15" hidden="1" customHeight="1" x14ac:dyDescent="0.2">
      <c r="A107" s="20" t="s">
        <v>18</v>
      </c>
      <c r="B107" s="63">
        <v>46002</v>
      </c>
      <c r="C107" s="32">
        <f t="shared" si="12"/>
        <v>249</v>
      </c>
      <c r="D107" s="20">
        <v>1</v>
      </c>
      <c r="G107" s="20" t="s">
        <v>68</v>
      </c>
      <c r="H107" s="20" t="s">
        <v>1796</v>
      </c>
      <c r="I107" s="20">
        <v>131</v>
      </c>
      <c r="J107" s="20">
        <v>5113</v>
      </c>
      <c r="K107" s="20" t="s">
        <v>20</v>
      </c>
      <c r="L107" s="20">
        <v>1</v>
      </c>
      <c r="M107" s="34">
        <v>13440860</v>
      </c>
      <c r="N107" s="34">
        <f t="shared" si="13"/>
        <v>13440860</v>
      </c>
      <c r="O107" s="20" t="s">
        <v>21</v>
      </c>
      <c r="P107" s="20">
        <f t="shared" si="11"/>
        <v>69</v>
      </c>
      <c r="Q107" s="20">
        <f t="shared" si="8"/>
        <v>180</v>
      </c>
    </row>
    <row r="108" spans="1:17" ht="15" hidden="1" customHeight="1" x14ac:dyDescent="0.2">
      <c r="A108" s="20" t="s">
        <v>18</v>
      </c>
      <c r="B108" s="63">
        <v>46002</v>
      </c>
      <c r="C108" s="32">
        <f t="shared" si="12"/>
        <v>249</v>
      </c>
      <c r="D108" s="20">
        <v>0</v>
      </c>
      <c r="G108" s="32" t="s">
        <v>68</v>
      </c>
      <c r="H108" s="20" t="s">
        <v>1835</v>
      </c>
      <c r="I108" s="12">
        <v>333821</v>
      </c>
      <c r="J108" s="20">
        <v>131</v>
      </c>
      <c r="K108" s="20" t="s">
        <v>20</v>
      </c>
      <c r="L108" s="20">
        <v>1</v>
      </c>
      <c r="M108" s="34">
        <v>134409</v>
      </c>
      <c r="N108" s="34">
        <f t="shared" si="13"/>
        <v>134409</v>
      </c>
      <c r="O108" s="20" t="s">
        <v>21</v>
      </c>
      <c r="P108" s="20">
        <f t="shared" si="11"/>
        <v>69</v>
      </c>
      <c r="Q108" s="20">
        <f t="shared" si="8"/>
        <v>196</v>
      </c>
    </row>
    <row r="109" spans="1:17" ht="15" hidden="1" customHeight="1" x14ac:dyDescent="0.2">
      <c r="A109" s="20" t="s">
        <v>18</v>
      </c>
      <c r="B109" s="63">
        <v>46002</v>
      </c>
      <c r="C109" s="32">
        <f t="shared" si="12"/>
        <v>250</v>
      </c>
      <c r="D109" s="20">
        <v>1</v>
      </c>
      <c r="G109" s="20" t="s">
        <v>66</v>
      </c>
      <c r="H109" s="32" t="s">
        <v>1797</v>
      </c>
      <c r="I109" s="20">
        <v>131</v>
      </c>
      <c r="J109" s="20">
        <v>5113</v>
      </c>
      <c r="K109" s="20" t="s">
        <v>20</v>
      </c>
      <c r="L109" s="20">
        <v>1</v>
      </c>
      <c r="M109" s="34">
        <v>15053764</v>
      </c>
      <c r="N109" s="34">
        <f t="shared" si="13"/>
        <v>15053764</v>
      </c>
      <c r="O109" s="20" t="s">
        <v>21</v>
      </c>
      <c r="P109" s="20">
        <f t="shared" si="11"/>
        <v>70</v>
      </c>
      <c r="Q109" s="20">
        <f t="shared" si="8"/>
        <v>169</v>
      </c>
    </row>
    <row r="110" spans="1:17" ht="15" hidden="1" customHeight="1" x14ac:dyDescent="0.2">
      <c r="A110" s="20" t="s">
        <v>18</v>
      </c>
      <c r="B110" s="63">
        <v>46002</v>
      </c>
      <c r="C110" s="32">
        <f t="shared" si="12"/>
        <v>250</v>
      </c>
      <c r="D110" s="20">
        <v>0</v>
      </c>
      <c r="G110" s="32" t="s">
        <v>66</v>
      </c>
      <c r="H110" s="20" t="s">
        <v>1836</v>
      </c>
      <c r="I110" s="12">
        <v>333821</v>
      </c>
      <c r="J110" s="20">
        <v>131</v>
      </c>
      <c r="K110" s="20" t="s">
        <v>20</v>
      </c>
      <c r="L110" s="20">
        <v>1</v>
      </c>
      <c r="M110" s="34">
        <v>150538</v>
      </c>
      <c r="N110" s="34">
        <f t="shared" si="13"/>
        <v>150538</v>
      </c>
      <c r="O110" s="20" t="s">
        <v>21</v>
      </c>
      <c r="P110" s="20">
        <f t="shared" si="11"/>
        <v>70</v>
      </c>
      <c r="Q110" s="20">
        <f t="shared" si="8"/>
        <v>185</v>
      </c>
    </row>
    <row r="111" spans="1:17" ht="15" hidden="1" customHeight="1" x14ac:dyDescent="0.2">
      <c r="A111" s="20" t="s">
        <v>18</v>
      </c>
      <c r="B111" s="63">
        <v>46002</v>
      </c>
      <c r="C111" s="32">
        <f t="shared" si="12"/>
        <v>251</v>
      </c>
      <c r="D111" s="20">
        <v>1</v>
      </c>
      <c r="G111" s="20" t="s">
        <v>66</v>
      </c>
      <c r="H111" s="20" t="s">
        <v>1798</v>
      </c>
      <c r="I111" s="20">
        <v>131</v>
      </c>
      <c r="J111" s="20">
        <v>5113</v>
      </c>
      <c r="K111" s="20" t="s">
        <v>20</v>
      </c>
      <c r="L111" s="20">
        <v>1</v>
      </c>
      <c r="M111" s="34">
        <v>13440860</v>
      </c>
      <c r="N111" s="34">
        <f t="shared" si="13"/>
        <v>13440860</v>
      </c>
      <c r="O111" s="20" t="s">
        <v>21</v>
      </c>
      <c r="P111" s="20">
        <f t="shared" si="11"/>
        <v>71</v>
      </c>
      <c r="Q111" s="20">
        <f t="shared" si="8"/>
        <v>130</v>
      </c>
    </row>
    <row r="112" spans="1:17" ht="15" hidden="1" customHeight="1" x14ac:dyDescent="0.2">
      <c r="A112" s="20" t="s">
        <v>18</v>
      </c>
      <c r="B112" s="63">
        <v>46002</v>
      </c>
      <c r="C112" s="32">
        <f t="shared" si="12"/>
        <v>251</v>
      </c>
      <c r="D112" s="20">
        <v>0</v>
      </c>
      <c r="G112" s="32" t="s">
        <v>66</v>
      </c>
      <c r="H112" s="20" t="s">
        <v>1837</v>
      </c>
      <c r="I112" s="12">
        <v>333821</v>
      </c>
      <c r="J112" s="20">
        <v>131</v>
      </c>
      <c r="K112" s="20" t="s">
        <v>20</v>
      </c>
      <c r="L112" s="20">
        <v>1</v>
      </c>
      <c r="M112" s="34">
        <v>134409</v>
      </c>
      <c r="N112" s="34">
        <f t="shared" si="13"/>
        <v>134409</v>
      </c>
      <c r="O112" s="20" t="s">
        <v>21</v>
      </c>
      <c r="P112" s="20">
        <f t="shared" si="11"/>
        <v>71</v>
      </c>
      <c r="Q112" s="20">
        <f t="shared" si="8"/>
        <v>146</v>
      </c>
    </row>
    <row r="113" spans="1:17" ht="15" hidden="1" customHeight="1" x14ac:dyDescent="0.2">
      <c r="A113" s="20" t="s">
        <v>18</v>
      </c>
      <c r="B113" s="63">
        <v>46003</v>
      </c>
      <c r="C113" s="32">
        <f t="shared" si="12"/>
        <v>252</v>
      </c>
      <c r="D113" s="20">
        <v>1</v>
      </c>
      <c r="G113" s="20" t="s">
        <v>1858</v>
      </c>
      <c r="H113" s="32" t="s">
        <v>1799</v>
      </c>
      <c r="I113" s="20">
        <v>131</v>
      </c>
      <c r="J113" s="20">
        <v>5113</v>
      </c>
      <c r="K113" s="20" t="s">
        <v>20</v>
      </c>
      <c r="L113" s="20">
        <v>1</v>
      </c>
      <c r="M113" s="34">
        <v>45454545</v>
      </c>
      <c r="N113" s="34">
        <f t="shared" si="13"/>
        <v>45454545</v>
      </c>
      <c r="O113" s="20" t="s">
        <v>21</v>
      </c>
      <c r="P113" s="20">
        <f t="shared" si="11"/>
        <v>72</v>
      </c>
      <c r="Q113" s="20">
        <f t="shared" si="8"/>
        <v>119</v>
      </c>
    </row>
    <row r="114" spans="1:17" ht="15" hidden="1" customHeight="1" x14ac:dyDescent="0.2">
      <c r="A114" s="20" t="s">
        <v>18</v>
      </c>
      <c r="B114" s="63">
        <v>46003</v>
      </c>
      <c r="C114" s="32">
        <f t="shared" si="12"/>
        <v>252</v>
      </c>
      <c r="D114" s="20">
        <v>0</v>
      </c>
      <c r="G114" s="32" t="s">
        <v>1858</v>
      </c>
      <c r="H114" s="20" t="s">
        <v>1838</v>
      </c>
      <c r="I114" s="12">
        <v>333821</v>
      </c>
      <c r="J114" s="20">
        <v>131</v>
      </c>
      <c r="K114" s="20" t="s">
        <v>20</v>
      </c>
      <c r="L114" s="20">
        <v>1</v>
      </c>
      <c r="M114" s="34">
        <v>454545</v>
      </c>
      <c r="N114" s="34">
        <f t="shared" si="13"/>
        <v>454545</v>
      </c>
      <c r="O114" s="20" t="s">
        <v>21</v>
      </c>
      <c r="P114" s="20">
        <f t="shared" si="11"/>
        <v>72</v>
      </c>
      <c r="Q114" s="20">
        <f t="shared" si="8"/>
        <v>135</v>
      </c>
    </row>
    <row r="115" spans="1:17" ht="15" customHeight="1" x14ac:dyDescent="0.2">
      <c r="A115" s="20" t="s">
        <v>18</v>
      </c>
      <c r="B115" s="63">
        <v>46007</v>
      </c>
      <c r="C115" s="32">
        <f t="shared" si="12"/>
        <v>253</v>
      </c>
      <c r="D115" s="20">
        <v>1</v>
      </c>
      <c r="G115" s="32" t="s">
        <v>3494</v>
      </c>
      <c r="H115" s="20" t="s">
        <v>3577</v>
      </c>
      <c r="I115" s="20">
        <v>131</v>
      </c>
      <c r="J115" s="20">
        <v>5113</v>
      </c>
      <c r="K115" s="20" t="s">
        <v>20</v>
      </c>
      <c r="L115" s="20">
        <v>1</v>
      </c>
      <c r="M115" s="34">
        <v>16129032</v>
      </c>
      <c r="N115" s="34">
        <f t="shared" si="13"/>
        <v>16129032</v>
      </c>
      <c r="O115" s="20" t="s">
        <v>3495</v>
      </c>
      <c r="P115" s="20">
        <f t="shared" si="11"/>
        <v>73</v>
      </c>
      <c r="Q115" s="20">
        <f t="shared" si="8"/>
        <v>131</v>
      </c>
    </row>
    <row r="116" spans="1:17" ht="15" customHeight="1" x14ac:dyDescent="0.2">
      <c r="A116" s="20" t="s">
        <v>18</v>
      </c>
      <c r="B116" s="63">
        <v>46007</v>
      </c>
      <c r="C116" s="32">
        <f t="shared" si="12"/>
        <v>253</v>
      </c>
      <c r="D116" s="20">
        <v>0</v>
      </c>
      <c r="G116" s="32" t="s">
        <v>3494</v>
      </c>
      <c r="H116" s="20" t="s">
        <v>3578</v>
      </c>
      <c r="I116" s="12">
        <v>333821</v>
      </c>
      <c r="J116" s="20">
        <v>131</v>
      </c>
      <c r="K116" s="20" t="s">
        <v>20</v>
      </c>
      <c r="L116" s="20">
        <v>1</v>
      </c>
      <c r="M116" s="34">
        <v>161290</v>
      </c>
      <c r="N116" s="34">
        <f t="shared" si="13"/>
        <v>161290</v>
      </c>
      <c r="O116" s="20" t="s">
        <v>3495</v>
      </c>
      <c r="P116" s="20">
        <f t="shared" si="11"/>
        <v>73</v>
      </c>
      <c r="Q116" s="20">
        <f t="shared" si="8"/>
        <v>147</v>
      </c>
    </row>
    <row r="117" spans="1:17" ht="15" hidden="1" customHeight="1" x14ac:dyDescent="0.2">
      <c r="A117" s="20" t="s">
        <v>18</v>
      </c>
      <c r="B117" s="63">
        <v>46007</v>
      </c>
      <c r="C117" s="32">
        <f t="shared" si="12"/>
        <v>254</v>
      </c>
      <c r="D117" s="20">
        <v>1</v>
      </c>
      <c r="G117" s="20" t="s">
        <v>1859</v>
      </c>
      <c r="H117" s="32" t="s">
        <v>1800</v>
      </c>
      <c r="I117" s="20">
        <v>131</v>
      </c>
      <c r="J117" s="20">
        <v>5113</v>
      </c>
      <c r="K117" s="20" t="s">
        <v>20</v>
      </c>
      <c r="L117" s="20">
        <v>1</v>
      </c>
      <c r="M117" s="34">
        <v>18817204</v>
      </c>
      <c r="N117" s="34">
        <f t="shared" si="13"/>
        <v>18817204</v>
      </c>
      <c r="O117" s="20" t="s">
        <v>21</v>
      </c>
      <c r="P117" s="20">
        <f t="shared" si="11"/>
        <v>74</v>
      </c>
      <c r="Q117" s="20">
        <f t="shared" si="8"/>
        <v>120</v>
      </c>
    </row>
    <row r="118" spans="1:17" ht="15" hidden="1" customHeight="1" x14ac:dyDescent="0.2">
      <c r="A118" s="20" t="s">
        <v>18</v>
      </c>
      <c r="B118" s="63">
        <v>46007</v>
      </c>
      <c r="C118" s="32">
        <f t="shared" si="12"/>
        <v>254</v>
      </c>
      <c r="D118" s="20">
        <v>0</v>
      </c>
      <c r="G118" s="32" t="s">
        <v>1859</v>
      </c>
      <c r="H118" s="20" t="s">
        <v>1839</v>
      </c>
      <c r="I118" s="12">
        <v>333821</v>
      </c>
      <c r="J118" s="20">
        <v>131</v>
      </c>
      <c r="K118" s="20" t="s">
        <v>20</v>
      </c>
      <c r="L118" s="20">
        <v>1</v>
      </c>
      <c r="M118" s="34">
        <v>188172</v>
      </c>
      <c r="N118" s="34">
        <f t="shared" si="13"/>
        <v>188172</v>
      </c>
      <c r="O118" s="20" t="s">
        <v>21</v>
      </c>
      <c r="P118" s="20">
        <f t="shared" si="11"/>
        <v>74</v>
      </c>
      <c r="Q118" s="20">
        <f t="shared" si="8"/>
        <v>136</v>
      </c>
    </row>
    <row r="119" spans="1:17" ht="15" hidden="1" customHeight="1" x14ac:dyDescent="0.2">
      <c r="A119" s="20" t="s">
        <v>18</v>
      </c>
      <c r="B119" s="63">
        <v>46007</v>
      </c>
      <c r="C119" s="32">
        <f t="shared" si="12"/>
        <v>255</v>
      </c>
      <c r="D119" s="20">
        <v>1</v>
      </c>
      <c r="G119" s="20" t="s">
        <v>1860</v>
      </c>
      <c r="H119" s="20" t="s">
        <v>1801</v>
      </c>
      <c r="I119" s="20">
        <v>131</v>
      </c>
      <c r="J119" s="20">
        <v>5113</v>
      </c>
      <c r="K119" s="20" t="s">
        <v>20</v>
      </c>
      <c r="L119" s="20">
        <v>1</v>
      </c>
      <c r="M119" s="34">
        <v>13440860</v>
      </c>
      <c r="N119" s="34">
        <f t="shared" si="13"/>
        <v>13440860</v>
      </c>
      <c r="O119" s="20" t="s">
        <v>21</v>
      </c>
      <c r="P119" s="20">
        <f t="shared" si="11"/>
        <v>75</v>
      </c>
      <c r="Q119" s="20">
        <f t="shared" si="8"/>
        <v>125</v>
      </c>
    </row>
    <row r="120" spans="1:17" ht="15" hidden="1" customHeight="1" x14ac:dyDescent="0.2">
      <c r="A120" s="20" t="s">
        <v>18</v>
      </c>
      <c r="B120" s="63">
        <v>46007</v>
      </c>
      <c r="C120" s="32">
        <f t="shared" si="12"/>
        <v>255</v>
      </c>
      <c r="D120" s="20">
        <v>0</v>
      </c>
      <c r="G120" s="32" t="s">
        <v>1860</v>
      </c>
      <c r="H120" s="20" t="s">
        <v>1840</v>
      </c>
      <c r="I120" s="12">
        <v>333821</v>
      </c>
      <c r="J120" s="20">
        <v>131</v>
      </c>
      <c r="K120" s="12" t="s">
        <v>20</v>
      </c>
      <c r="L120" s="12">
        <v>1</v>
      </c>
      <c r="M120" s="17">
        <v>134409</v>
      </c>
      <c r="N120" s="17">
        <f t="shared" si="13"/>
        <v>134409</v>
      </c>
      <c r="O120" s="20" t="s">
        <v>21</v>
      </c>
      <c r="P120" s="20">
        <f t="shared" si="11"/>
        <v>75</v>
      </c>
      <c r="Q120" s="20">
        <f t="shared" si="8"/>
        <v>141</v>
      </c>
    </row>
    <row r="121" spans="1:17" ht="15" hidden="1" customHeight="1" x14ac:dyDescent="0.2">
      <c r="A121" s="20" t="s">
        <v>18</v>
      </c>
      <c r="B121" s="63">
        <v>46010</v>
      </c>
      <c r="C121" s="32">
        <f t="shared" si="12"/>
        <v>256</v>
      </c>
      <c r="D121" s="20">
        <v>1</v>
      </c>
      <c r="G121" s="20" t="s">
        <v>83</v>
      </c>
      <c r="H121" s="32" t="s">
        <v>1802</v>
      </c>
      <c r="I121" s="20">
        <v>131</v>
      </c>
      <c r="J121" s="20">
        <v>5113</v>
      </c>
      <c r="K121" s="20" t="s">
        <v>20</v>
      </c>
      <c r="L121" s="20">
        <v>1</v>
      </c>
      <c r="M121" s="34">
        <v>15053764</v>
      </c>
      <c r="N121" s="34">
        <f t="shared" si="13"/>
        <v>15053764</v>
      </c>
      <c r="O121" s="20" t="s">
        <v>21</v>
      </c>
      <c r="P121" s="20">
        <f t="shared" si="11"/>
        <v>76</v>
      </c>
      <c r="Q121" s="20">
        <f t="shared" si="8"/>
        <v>122</v>
      </c>
    </row>
    <row r="122" spans="1:17" ht="15" hidden="1" customHeight="1" x14ac:dyDescent="0.2">
      <c r="A122" s="20" t="s">
        <v>18</v>
      </c>
      <c r="B122" s="63">
        <v>46010</v>
      </c>
      <c r="C122" s="32">
        <f t="shared" si="12"/>
        <v>256</v>
      </c>
      <c r="D122" s="20">
        <v>0</v>
      </c>
      <c r="G122" s="32" t="s">
        <v>83</v>
      </c>
      <c r="H122" s="20" t="s">
        <v>1841</v>
      </c>
      <c r="I122" s="12">
        <v>333821</v>
      </c>
      <c r="J122" s="20">
        <v>131</v>
      </c>
      <c r="K122" s="20" t="s">
        <v>20</v>
      </c>
      <c r="L122" s="20">
        <v>1</v>
      </c>
      <c r="M122" s="34">
        <v>150538</v>
      </c>
      <c r="N122" s="34">
        <f t="shared" si="13"/>
        <v>150538</v>
      </c>
      <c r="O122" s="20" t="s">
        <v>21</v>
      </c>
      <c r="P122" s="20">
        <f t="shared" si="11"/>
        <v>76</v>
      </c>
      <c r="Q122" s="20">
        <f t="shared" si="8"/>
        <v>138</v>
      </c>
    </row>
    <row r="123" spans="1:17" ht="15" hidden="1" customHeight="1" x14ac:dyDescent="0.2">
      <c r="A123" s="20" t="s">
        <v>18</v>
      </c>
      <c r="B123" s="63">
        <v>46010</v>
      </c>
      <c r="C123" s="32">
        <f t="shared" si="12"/>
        <v>257</v>
      </c>
      <c r="D123" s="20">
        <v>1</v>
      </c>
      <c r="G123" s="20" t="s">
        <v>47</v>
      </c>
      <c r="H123" s="20" t="s">
        <v>1803</v>
      </c>
      <c r="I123" s="20">
        <v>131</v>
      </c>
      <c r="J123" s="20">
        <v>5113</v>
      </c>
      <c r="K123" s="20" t="s">
        <v>20</v>
      </c>
      <c r="L123" s="20">
        <v>1</v>
      </c>
      <c r="M123" s="34">
        <v>13440861</v>
      </c>
      <c r="N123" s="34">
        <f t="shared" si="13"/>
        <v>13440861</v>
      </c>
      <c r="O123" s="20" t="s">
        <v>21</v>
      </c>
      <c r="P123" s="20">
        <f t="shared" si="11"/>
        <v>77</v>
      </c>
      <c r="Q123" s="20">
        <f t="shared" si="8"/>
        <v>171</v>
      </c>
    </row>
    <row r="124" spans="1:17" ht="15" hidden="1" customHeight="1" x14ac:dyDescent="0.2">
      <c r="A124" s="20" t="s">
        <v>18</v>
      </c>
      <c r="B124" s="63">
        <v>46010</v>
      </c>
      <c r="C124" s="32">
        <f t="shared" si="12"/>
        <v>257</v>
      </c>
      <c r="D124" s="20">
        <v>0</v>
      </c>
      <c r="G124" s="32" t="s">
        <v>47</v>
      </c>
      <c r="H124" s="20" t="s">
        <v>1842</v>
      </c>
      <c r="I124" s="12">
        <v>333821</v>
      </c>
      <c r="J124" s="20">
        <v>131</v>
      </c>
      <c r="K124" s="20" t="s">
        <v>20</v>
      </c>
      <c r="L124" s="20">
        <v>1</v>
      </c>
      <c r="M124" s="34">
        <v>134409</v>
      </c>
      <c r="N124" s="34">
        <f t="shared" si="13"/>
        <v>134409</v>
      </c>
      <c r="O124" s="20" t="s">
        <v>21</v>
      </c>
      <c r="P124" s="20">
        <f t="shared" si="11"/>
        <v>77</v>
      </c>
      <c r="Q124" s="20">
        <f t="shared" si="8"/>
        <v>187</v>
      </c>
    </row>
    <row r="125" spans="1:17" ht="15" hidden="1" customHeight="1" x14ac:dyDescent="0.2">
      <c r="A125" s="20" t="s">
        <v>18</v>
      </c>
      <c r="B125" s="63">
        <v>46014</v>
      </c>
      <c r="C125" s="32">
        <f t="shared" si="12"/>
        <v>258</v>
      </c>
      <c r="D125" s="20">
        <v>1</v>
      </c>
      <c r="G125" s="20" t="s">
        <v>66</v>
      </c>
      <c r="H125" s="32" t="s">
        <v>1804</v>
      </c>
      <c r="I125" s="20">
        <v>131</v>
      </c>
      <c r="J125" s="20">
        <v>5113</v>
      </c>
      <c r="K125" s="20" t="s">
        <v>20</v>
      </c>
      <c r="L125" s="20">
        <v>1</v>
      </c>
      <c r="M125" s="34">
        <v>16129032</v>
      </c>
      <c r="N125" s="34">
        <f t="shared" si="13"/>
        <v>16129032</v>
      </c>
      <c r="O125" s="20" t="s">
        <v>21</v>
      </c>
      <c r="P125" s="20">
        <f t="shared" si="11"/>
        <v>78</v>
      </c>
      <c r="Q125" s="20">
        <f t="shared" si="8"/>
        <v>178</v>
      </c>
    </row>
    <row r="126" spans="1:17" ht="15" hidden="1" customHeight="1" x14ac:dyDescent="0.2">
      <c r="A126" s="20" t="s">
        <v>18</v>
      </c>
      <c r="B126" s="63">
        <v>46014</v>
      </c>
      <c r="C126" s="32">
        <f t="shared" si="12"/>
        <v>258</v>
      </c>
      <c r="D126" s="20">
        <v>0</v>
      </c>
      <c r="G126" s="32" t="s">
        <v>66</v>
      </c>
      <c r="H126" s="20" t="s">
        <v>1843</v>
      </c>
      <c r="I126" s="12">
        <v>333821</v>
      </c>
      <c r="J126" s="20">
        <v>131</v>
      </c>
      <c r="K126" s="20" t="s">
        <v>20</v>
      </c>
      <c r="L126" s="20">
        <v>1</v>
      </c>
      <c r="M126" s="34">
        <v>161290</v>
      </c>
      <c r="N126" s="34">
        <f t="shared" si="13"/>
        <v>161290</v>
      </c>
      <c r="O126" s="20" t="s">
        <v>21</v>
      </c>
      <c r="P126" s="20">
        <f t="shared" si="11"/>
        <v>78</v>
      </c>
      <c r="Q126" s="20">
        <f t="shared" si="8"/>
        <v>194</v>
      </c>
    </row>
    <row r="127" spans="1:17" ht="15" hidden="1" customHeight="1" x14ac:dyDescent="0.2">
      <c r="A127" s="20" t="s">
        <v>18</v>
      </c>
      <c r="B127" s="63">
        <v>46017</v>
      </c>
      <c r="C127" s="32">
        <f t="shared" si="12"/>
        <v>259</v>
      </c>
      <c r="D127" s="20">
        <v>1</v>
      </c>
      <c r="G127" s="20" t="s">
        <v>1857</v>
      </c>
      <c r="H127" s="20" t="s">
        <v>1805</v>
      </c>
      <c r="I127" s="20">
        <v>131</v>
      </c>
      <c r="J127" s="20">
        <v>5113</v>
      </c>
      <c r="K127" s="20" t="s">
        <v>20</v>
      </c>
      <c r="L127" s="20">
        <v>1</v>
      </c>
      <c r="M127" s="34">
        <v>16129032</v>
      </c>
      <c r="N127" s="34">
        <f t="shared" si="13"/>
        <v>16129032</v>
      </c>
      <c r="O127" s="20" t="s">
        <v>21</v>
      </c>
      <c r="P127" s="20">
        <f t="shared" si="11"/>
        <v>79</v>
      </c>
      <c r="Q127" s="20">
        <f t="shared" si="8"/>
        <v>119</v>
      </c>
    </row>
    <row r="128" spans="1:17" ht="15" hidden="1" customHeight="1" x14ac:dyDescent="0.2">
      <c r="A128" s="20" t="s">
        <v>18</v>
      </c>
      <c r="B128" s="63">
        <v>46017</v>
      </c>
      <c r="C128" s="32">
        <f t="shared" si="12"/>
        <v>259</v>
      </c>
      <c r="D128" s="20">
        <v>0</v>
      </c>
      <c r="G128" s="32" t="s">
        <v>1857</v>
      </c>
      <c r="H128" s="20" t="s">
        <v>1844</v>
      </c>
      <c r="I128" s="12">
        <v>333821</v>
      </c>
      <c r="J128" s="20">
        <v>131</v>
      </c>
      <c r="K128" s="20" t="s">
        <v>20</v>
      </c>
      <c r="L128" s="20">
        <v>1</v>
      </c>
      <c r="M128" s="34">
        <v>161290</v>
      </c>
      <c r="N128" s="34">
        <f t="shared" si="13"/>
        <v>161290</v>
      </c>
      <c r="O128" s="20" t="s">
        <v>21</v>
      </c>
      <c r="P128" s="20">
        <f t="shared" si="11"/>
        <v>79</v>
      </c>
      <c r="Q128" s="20">
        <f t="shared" si="8"/>
        <v>135</v>
      </c>
    </row>
    <row r="129" spans="1:25" ht="15" hidden="1" customHeight="1" x14ac:dyDescent="0.2">
      <c r="A129" s="20" t="s">
        <v>18</v>
      </c>
      <c r="B129" s="63">
        <v>46017</v>
      </c>
      <c r="C129" s="32">
        <f t="shared" si="12"/>
        <v>260</v>
      </c>
      <c r="D129" s="20">
        <v>1</v>
      </c>
      <c r="G129" s="20" t="s">
        <v>57</v>
      </c>
      <c r="H129" s="32" t="s">
        <v>1806</v>
      </c>
      <c r="I129" s="20">
        <v>131</v>
      </c>
      <c r="J129" s="20">
        <v>5113</v>
      </c>
      <c r="K129" s="20" t="s">
        <v>20</v>
      </c>
      <c r="L129" s="20">
        <v>1</v>
      </c>
      <c r="M129" s="34">
        <v>16129032</v>
      </c>
      <c r="N129" s="34">
        <f t="shared" si="13"/>
        <v>16129032</v>
      </c>
      <c r="O129" s="20" t="s">
        <v>21</v>
      </c>
      <c r="P129" s="20">
        <f t="shared" si="11"/>
        <v>80</v>
      </c>
      <c r="Q129" s="20">
        <f t="shared" si="8"/>
        <v>117</v>
      </c>
    </row>
    <row r="130" spans="1:25" ht="15" hidden="1" customHeight="1" x14ac:dyDescent="0.2">
      <c r="A130" s="20" t="s">
        <v>18</v>
      </c>
      <c r="B130" s="63">
        <v>46017</v>
      </c>
      <c r="C130" s="32">
        <f t="shared" si="12"/>
        <v>260</v>
      </c>
      <c r="D130" s="20">
        <v>0</v>
      </c>
      <c r="G130" s="32" t="s">
        <v>57</v>
      </c>
      <c r="H130" s="20" t="s">
        <v>1845</v>
      </c>
      <c r="I130" s="12">
        <v>333821</v>
      </c>
      <c r="J130" s="20">
        <v>131</v>
      </c>
      <c r="K130" s="20" t="s">
        <v>20</v>
      </c>
      <c r="L130" s="20">
        <v>1</v>
      </c>
      <c r="M130" s="34">
        <v>161290</v>
      </c>
      <c r="N130" s="34">
        <f t="shared" si="13"/>
        <v>161290</v>
      </c>
      <c r="O130" s="20" t="s">
        <v>21</v>
      </c>
      <c r="P130" s="20">
        <f t="shared" si="11"/>
        <v>80</v>
      </c>
      <c r="Q130" s="20">
        <f t="shared" si="8"/>
        <v>133</v>
      </c>
    </row>
    <row r="131" spans="1:25" ht="15" hidden="1" customHeight="1" x14ac:dyDescent="0.2">
      <c r="A131" s="20" t="s">
        <v>18</v>
      </c>
      <c r="B131" s="63" t="s">
        <v>2513</v>
      </c>
      <c r="C131" s="32">
        <f t="shared" ref="C131:C133" si="14">C130+D131</f>
        <v>261</v>
      </c>
      <c r="D131" s="20">
        <v>1</v>
      </c>
      <c r="G131" s="32" t="s">
        <v>69</v>
      </c>
      <c r="H131" s="20" t="s">
        <v>2650</v>
      </c>
      <c r="I131" s="20">
        <v>131</v>
      </c>
      <c r="J131" s="20">
        <v>5113</v>
      </c>
      <c r="K131" s="20" t="s">
        <v>20</v>
      </c>
      <c r="L131" s="20">
        <v>1</v>
      </c>
      <c r="M131" s="34">
        <v>6451612</v>
      </c>
      <c r="N131" s="34">
        <f t="shared" ref="N131:N132" si="15">L131*M131</f>
        <v>6451612</v>
      </c>
      <c r="O131" s="20" t="s">
        <v>21</v>
      </c>
      <c r="P131" s="20">
        <f t="shared" si="11"/>
        <v>81</v>
      </c>
      <c r="Q131" s="20">
        <f t="shared" si="8"/>
        <v>113</v>
      </c>
    </row>
    <row r="132" spans="1:25" ht="15" hidden="1" customHeight="1" x14ac:dyDescent="0.2">
      <c r="A132" s="20" t="s">
        <v>18</v>
      </c>
      <c r="B132" s="63" t="s">
        <v>2513</v>
      </c>
      <c r="C132" s="32">
        <f t="shared" si="14"/>
        <v>261</v>
      </c>
      <c r="D132" s="20">
        <v>0</v>
      </c>
      <c r="G132" s="32" t="s">
        <v>69</v>
      </c>
      <c r="H132" s="20" t="s">
        <v>2651</v>
      </c>
      <c r="I132" s="12">
        <v>333821</v>
      </c>
      <c r="J132" s="20">
        <v>131</v>
      </c>
      <c r="K132" s="20" t="s">
        <v>20</v>
      </c>
      <c r="L132" s="20">
        <v>1</v>
      </c>
      <c r="M132" s="34">
        <v>64516</v>
      </c>
      <c r="N132" s="34">
        <f t="shared" si="15"/>
        <v>64516</v>
      </c>
      <c r="O132" s="20" t="s">
        <v>21</v>
      </c>
      <c r="P132" s="20">
        <f t="shared" si="11"/>
        <v>81</v>
      </c>
      <c r="Q132" s="20">
        <f t="shared" si="8"/>
        <v>129</v>
      </c>
    </row>
    <row r="133" spans="1:25" ht="15" hidden="1" customHeight="1" x14ac:dyDescent="0.2">
      <c r="A133" s="20" t="s">
        <v>18</v>
      </c>
      <c r="B133" s="63">
        <v>45961</v>
      </c>
      <c r="C133" s="32">
        <f t="shared" si="14"/>
        <v>262</v>
      </c>
      <c r="D133" s="20">
        <v>1</v>
      </c>
      <c r="G133" s="32" t="s">
        <v>3011</v>
      </c>
      <c r="H133" s="32" t="s">
        <v>371</v>
      </c>
      <c r="I133" s="20">
        <v>64271</v>
      </c>
      <c r="J133" s="20">
        <v>3383</v>
      </c>
      <c r="K133" s="20" t="s">
        <v>20</v>
      </c>
      <c r="L133" s="20">
        <v>1</v>
      </c>
      <c r="M133" s="34">
        <v>690300</v>
      </c>
      <c r="N133" s="34">
        <f t="shared" ref="N133:N196" si="16">L133*M133</f>
        <v>690300</v>
      </c>
      <c r="O133" s="20" t="s">
        <v>21</v>
      </c>
      <c r="P133" s="20">
        <f t="shared" si="11"/>
        <v>82</v>
      </c>
      <c r="Q133" s="20">
        <f t="shared" ref="Q133:Q196" si="17">LEN(H133)</f>
        <v>30</v>
      </c>
    </row>
    <row r="134" spans="1:25" ht="15" hidden="1" customHeight="1" x14ac:dyDescent="0.25">
      <c r="A134" s="20" t="s">
        <v>18</v>
      </c>
      <c r="B134" s="63">
        <v>45991</v>
      </c>
      <c r="C134" s="32">
        <f t="shared" ref="C134:C197" si="18">C133+D134</f>
        <v>263</v>
      </c>
      <c r="D134" s="20">
        <v>1</v>
      </c>
      <c r="G134" s="32" t="s">
        <v>3011</v>
      </c>
      <c r="H134" s="32" t="s">
        <v>372</v>
      </c>
      <c r="I134" s="20">
        <v>64271</v>
      </c>
      <c r="J134" s="20">
        <v>3383</v>
      </c>
      <c r="K134" s="20" t="s">
        <v>20</v>
      </c>
      <c r="L134" s="20">
        <v>1</v>
      </c>
      <c r="M134" s="34">
        <v>690300</v>
      </c>
      <c r="N134" s="34">
        <f t="shared" si="16"/>
        <v>690300</v>
      </c>
      <c r="O134" s="20" t="s">
        <v>21</v>
      </c>
      <c r="P134" s="20">
        <f t="shared" ref="P134:P188" si="19">P133+D134</f>
        <v>83</v>
      </c>
      <c r="Q134" s="20">
        <f t="shared" si="17"/>
        <v>30</v>
      </c>
      <c r="S134"/>
      <c r="T134"/>
      <c r="U134"/>
      <c r="V134"/>
      <c r="W134"/>
      <c r="X134"/>
      <c r="Y134"/>
    </row>
    <row r="135" spans="1:25" ht="15" hidden="1" customHeight="1" x14ac:dyDescent="0.25">
      <c r="A135" s="20" t="s">
        <v>18</v>
      </c>
      <c r="B135" s="63">
        <v>46022</v>
      </c>
      <c r="C135" s="32">
        <f t="shared" si="18"/>
        <v>264</v>
      </c>
      <c r="D135" s="20">
        <v>1</v>
      </c>
      <c r="G135" s="32" t="s">
        <v>3011</v>
      </c>
      <c r="H135" s="32" t="s">
        <v>373</v>
      </c>
      <c r="I135" s="20">
        <v>64271</v>
      </c>
      <c r="J135" s="20">
        <v>3383</v>
      </c>
      <c r="K135" s="20" t="s">
        <v>20</v>
      </c>
      <c r="L135" s="20">
        <v>1</v>
      </c>
      <c r="M135" s="34">
        <v>690300</v>
      </c>
      <c r="N135" s="34">
        <f t="shared" si="16"/>
        <v>690300</v>
      </c>
      <c r="O135" s="20" t="s">
        <v>21</v>
      </c>
      <c r="P135" s="20">
        <f t="shared" si="19"/>
        <v>84</v>
      </c>
      <c r="Q135" s="20">
        <f t="shared" si="17"/>
        <v>30</v>
      </c>
      <c r="S135"/>
      <c r="T135"/>
      <c r="U135"/>
      <c r="V135"/>
      <c r="W135"/>
      <c r="X135"/>
      <c r="Y135"/>
    </row>
    <row r="136" spans="1:25" ht="15" hidden="1" customHeight="1" x14ac:dyDescent="0.25">
      <c r="A136" s="12" t="s">
        <v>2679</v>
      </c>
      <c r="B136" s="36">
        <v>45943</v>
      </c>
      <c r="C136" s="32">
        <f t="shared" ref="C136:C137" si="20">C135+D136</f>
        <v>265</v>
      </c>
      <c r="D136" s="20">
        <v>1</v>
      </c>
      <c r="G136" s="14" t="s">
        <v>1854</v>
      </c>
      <c r="H136" s="12" t="s">
        <v>3579</v>
      </c>
      <c r="I136" s="12">
        <v>112111</v>
      </c>
      <c r="J136" s="12">
        <v>131</v>
      </c>
      <c r="K136" s="20" t="s">
        <v>20</v>
      </c>
      <c r="L136" s="20">
        <v>1</v>
      </c>
      <c r="M136" s="34">
        <v>14903226</v>
      </c>
      <c r="N136" s="34">
        <f t="shared" si="16"/>
        <v>14903226</v>
      </c>
      <c r="O136" s="20" t="s">
        <v>21</v>
      </c>
      <c r="P136" s="20">
        <f t="shared" si="19"/>
        <v>85</v>
      </c>
      <c r="Q136" s="20">
        <f t="shared" si="17"/>
        <v>128</v>
      </c>
      <c r="S136"/>
      <c r="T136"/>
      <c r="U136"/>
      <c r="V136"/>
      <c r="W136"/>
      <c r="X136"/>
      <c r="Y136"/>
    </row>
    <row r="137" spans="1:25" ht="15" hidden="1" customHeight="1" x14ac:dyDescent="0.25">
      <c r="A137" s="12" t="s">
        <v>2679</v>
      </c>
      <c r="B137" s="36">
        <v>45943</v>
      </c>
      <c r="C137" s="32">
        <f t="shared" si="20"/>
        <v>266</v>
      </c>
      <c r="D137" s="20">
        <v>1</v>
      </c>
      <c r="E137" s="12"/>
      <c r="F137" s="12"/>
      <c r="G137" s="14" t="s">
        <v>65</v>
      </c>
      <c r="H137" s="12" t="s">
        <v>3496</v>
      </c>
      <c r="I137" s="12">
        <v>112111</v>
      </c>
      <c r="J137" s="12">
        <v>131</v>
      </c>
      <c r="K137" s="20" t="s">
        <v>20</v>
      </c>
      <c r="L137" s="20">
        <v>1</v>
      </c>
      <c r="M137" s="17">
        <v>13306452</v>
      </c>
      <c r="N137" s="34">
        <f t="shared" si="16"/>
        <v>13306452</v>
      </c>
      <c r="O137" s="20" t="s">
        <v>21</v>
      </c>
      <c r="P137" s="20">
        <f t="shared" si="19"/>
        <v>86</v>
      </c>
      <c r="Q137" s="20">
        <f t="shared" si="17"/>
        <v>145</v>
      </c>
      <c r="S137"/>
      <c r="T137"/>
      <c r="U137"/>
      <c r="V137"/>
      <c r="W137"/>
      <c r="X137"/>
      <c r="Y137"/>
    </row>
    <row r="138" spans="1:25" ht="15" hidden="1" customHeight="1" x14ac:dyDescent="0.25">
      <c r="A138" s="12" t="s">
        <v>2679</v>
      </c>
      <c r="B138" s="36">
        <v>45943</v>
      </c>
      <c r="C138" s="32">
        <f t="shared" si="18"/>
        <v>267</v>
      </c>
      <c r="D138" s="12">
        <v>1</v>
      </c>
      <c r="E138" s="12"/>
      <c r="F138" s="12"/>
      <c r="G138" s="14" t="s">
        <v>3498</v>
      </c>
      <c r="H138" s="12" t="s">
        <v>3497</v>
      </c>
      <c r="I138" s="12">
        <v>112111</v>
      </c>
      <c r="J138" s="12">
        <v>131</v>
      </c>
      <c r="K138" s="12" t="s">
        <v>20</v>
      </c>
      <c r="L138" s="12">
        <v>1</v>
      </c>
      <c r="M138" s="17">
        <v>3193548</v>
      </c>
      <c r="N138" s="17">
        <f t="shared" si="16"/>
        <v>3193548</v>
      </c>
      <c r="O138" s="20" t="s">
        <v>21</v>
      </c>
      <c r="P138" s="20">
        <f t="shared" si="19"/>
        <v>87</v>
      </c>
      <c r="Q138" s="20">
        <f t="shared" si="17"/>
        <v>155</v>
      </c>
      <c r="S138"/>
      <c r="T138"/>
      <c r="U138"/>
      <c r="V138"/>
      <c r="W138"/>
      <c r="X138"/>
      <c r="Y138"/>
    </row>
    <row r="139" spans="1:25" ht="15" hidden="1" customHeight="1" x14ac:dyDescent="0.25">
      <c r="A139" s="12" t="s">
        <v>2679</v>
      </c>
      <c r="B139" s="36">
        <v>45944</v>
      </c>
      <c r="C139" s="32">
        <f t="shared" si="18"/>
        <v>268</v>
      </c>
      <c r="D139" s="12">
        <v>1</v>
      </c>
      <c r="E139" s="12"/>
      <c r="F139" s="12"/>
      <c r="G139" s="14" t="s">
        <v>1855</v>
      </c>
      <c r="H139" s="12" t="s">
        <v>3530</v>
      </c>
      <c r="I139" s="12">
        <v>112111</v>
      </c>
      <c r="J139" s="12">
        <v>131</v>
      </c>
      <c r="K139" s="12" t="s">
        <v>20</v>
      </c>
      <c r="L139" s="12">
        <v>1</v>
      </c>
      <c r="M139" s="17">
        <v>15000000</v>
      </c>
      <c r="N139" s="17">
        <f t="shared" si="16"/>
        <v>15000000</v>
      </c>
      <c r="O139" s="12" t="s">
        <v>21</v>
      </c>
      <c r="P139" s="20">
        <f t="shared" si="19"/>
        <v>88</v>
      </c>
      <c r="Q139" s="20">
        <f t="shared" si="17"/>
        <v>120</v>
      </c>
      <c r="S139"/>
      <c r="T139"/>
      <c r="U139"/>
      <c r="V139"/>
      <c r="W139"/>
      <c r="X139"/>
      <c r="Y139"/>
    </row>
    <row r="140" spans="1:25" ht="15" hidden="1" customHeight="1" x14ac:dyDescent="0.25">
      <c r="A140" s="12" t="s">
        <v>2679</v>
      </c>
      <c r="B140" s="36">
        <v>45944</v>
      </c>
      <c r="C140" s="32">
        <f t="shared" si="18"/>
        <v>269</v>
      </c>
      <c r="D140" s="12">
        <v>1</v>
      </c>
      <c r="E140" s="12"/>
      <c r="F140" s="12"/>
      <c r="G140" s="14" t="s">
        <v>26</v>
      </c>
      <c r="H140" s="12" t="s">
        <v>3524</v>
      </c>
      <c r="I140" s="12">
        <v>112111</v>
      </c>
      <c r="J140" s="12">
        <v>131</v>
      </c>
      <c r="K140" s="12" t="s">
        <v>20</v>
      </c>
      <c r="L140" s="12">
        <v>1</v>
      </c>
      <c r="M140" s="17">
        <v>13172042</v>
      </c>
      <c r="N140" s="17">
        <f t="shared" si="16"/>
        <v>13172042</v>
      </c>
      <c r="O140" s="12" t="s">
        <v>21</v>
      </c>
      <c r="P140" s="20">
        <f t="shared" si="19"/>
        <v>89</v>
      </c>
      <c r="Q140" s="20">
        <f t="shared" si="17"/>
        <v>182</v>
      </c>
      <c r="S140"/>
      <c r="T140"/>
      <c r="U140"/>
      <c r="V140"/>
      <c r="W140"/>
      <c r="X140"/>
      <c r="Y140"/>
    </row>
    <row r="141" spans="1:25" ht="15" hidden="1" customHeight="1" x14ac:dyDescent="0.25">
      <c r="A141" s="12" t="s">
        <v>2679</v>
      </c>
      <c r="B141" s="36">
        <v>45945</v>
      </c>
      <c r="C141" s="32">
        <f t="shared" si="18"/>
        <v>270</v>
      </c>
      <c r="D141" s="12">
        <v>1</v>
      </c>
      <c r="E141" s="12"/>
      <c r="F141" s="12"/>
      <c r="G141" s="14" t="s">
        <v>1855</v>
      </c>
      <c r="H141" s="12" t="s">
        <v>3530</v>
      </c>
      <c r="I141" s="12">
        <v>112111</v>
      </c>
      <c r="J141" s="12">
        <v>131</v>
      </c>
      <c r="K141" s="12" t="s">
        <v>20</v>
      </c>
      <c r="L141" s="12">
        <v>1</v>
      </c>
      <c r="M141" s="17">
        <v>1935484</v>
      </c>
      <c r="N141" s="17">
        <f t="shared" si="16"/>
        <v>1935484</v>
      </c>
      <c r="O141" s="12" t="s">
        <v>21</v>
      </c>
      <c r="P141" s="20">
        <f t="shared" si="19"/>
        <v>90</v>
      </c>
      <c r="Q141" s="20">
        <f t="shared" si="17"/>
        <v>120</v>
      </c>
      <c r="S141"/>
      <c r="T141"/>
      <c r="U141"/>
      <c r="V141"/>
      <c r="W141"/>
      <c r="X141"/>
      <c r="Y141"/>
    </row>
    <row r="142" spans="1:25" ht="15" hidden="1" customHeight="1" x14ac:dyDescent="0.25">
      <c r="A142" s="12" t="s">
        <v>2678</v>
      </c>
      <c r="B142" s="36">
        <v>45947</v>
      </c>
      <c r="C142" s="32">
        <f t="shared" si="18"/>
        <v>271</v>
      </c>
      <c r="D142" s="12">
        <v>1</v>
      </c>
      <c r="E142" s="12"/>
      <c r="F142" s="12"/>
      <c r="G142" s="14" t="s">
        <v>2717</v>
      </c>
      <c r="H142" s="12" t="s">
        <v>3290</v>
      </c>
      <c r="I142" s="12">
        <v>333821</v>
      </c>
      <c r="J142" s="12">
        <v>112111</v>
      </c>
      <c r="K142" s="12" t="s">
        <v>20</v>
      </c>
      <c r="L142" s="12">
        <v>1</v>
      </c>
      <c r="M142" s="17">
        <v>34791592</v>
      </c>
      <c r="N142" s="17">
        <f t="shared" si="16"/>
        <v>34791592</v>
      </c>
      <c r="O142" s="12" t="s">
        <v>21</v>
      </c>
      <c r="P142" s="20">
        <f t="shared" si="19"/>
        <v>91</v>
      </c>
      <c r="Q142" s="20">
        <f t="shared" si="17"/>
        <v>31</v>
      </c>
      <c r="S142"/>
      <c r="T142"/>
      <c r="U142"/>
      <c r="V142"/>
      <c r="W142"/>
      <c r="X142"/>
      <c r="Y142"/>
    </row>
    <row r="143" spans="1:25" ht="15" hidden="1" customHeight="1" x14ac:dyDescent="0.25">
      <c r="A143" s="12" t="s">
        <v>2679</v>
      </c>
      <c r="B143" s="36">
        <v>45952</v>
      </c>
      <c r="C143" s="32">
        <f t="shared" si="18"/>
        <v>272</v>
      </c>
      <c r="D143" s="12">
        <v>1</v>
      </c>
      <c r="E143" s="12"/>
      <c r="F143" s="12"/>
      <c r="G143" s="14" t="s">
        <v>83</v>
      </c>
      <c r="H143" s="12" t="s">
        <v>3499</v>
      </c>
      <c r="I143" s="12">
        <v>112111</v>
      </c>
      <c r="J143" s="12">
        <v>131</v>
      </c>
      <c r="K143" s="12" t="s">
        <v>20</v>
      </c>
      <c r="L143" s="12">
        <v>1</v>
      </c>
      <c r="M143" s="17">
        <v>5322581</v>
      </c>
      <c r="N143" s="17">
        <f t="shared" si="16"/>
        <v>5322581</v>
      </c>
      <c r="O143" s="12" t="s">
        <v>21</v>
      </c>
      <c r="P143" s="20">
        <f t="shared" si="19"/>
        <v>92</v>
      </c>
      <c r="Q143" s="20">
        <f t="shared" si="17"/>
        <v>116</v>
      </c>
      <c r="S143"/>
      <c r="T143"/>
      <c r="U143"/>
      <c r="V143"/>
      <c r="W143"/>
      <c r="X143"/>
      <c r="Y143"/>
    </row>
    <row r="144" spans="1:25" ht="15" hidden="1" customHeight="1" x14ac:dyDescent="0.2">
      <c r="A144" s="12" t="s">
        <v>2679</v>
      </c>
      <c r="B144" s="36">
        <v>45955</v>
      </c>
      <c r="C144" s="32">
        <f t="shared" si="18"/>
        <v>273</v>
      </c>
      <c r="D144" s="12">
        <v>1</v>
      </c>
      <c r="E144" s="12"/>
      <c r="F144" s="12"/>
      <c r="G144" s="14" t="s">
        <v>2680</v>
      </c>
      <c r="H144" s="12" t="s">
        <v>2687</v>
      </c>
      <c r="I144" s="12">
        <v>112111</v>
      </c>
      <c r="J144" s="12">
        <v>5154</v>
      </c>
      <c r="K144" s="12" t="s">
        <v>20</v>
      </c>
      <c r="L144" s="12">
        <v>1</v>
      </c>
      <c r="M144" s="17">
        <v>2628</v>
      </c>
      <c r="N144" s="17">
        <f t="shared" si="16"/>
        <v>2628</v>
      </c>
      <c r="O144" s="12" t="s">
        <v>21</v>
      </c>
      <c r="P144" s="20">
        <f t="shared" si="19"/>
        <v>93</v>
      </c>
      <c r="Q144" s="20">
        <f t="shared" si="17"/>
        <v>12</v>
      </c>
    </row>
    <row r="145" spans="1:17" ht="15" hidden="1" customHeight="1" x14ac:dyDescent="0.2">
      <c r="A145" s="12" t="s">
        <v>2679</v>
      </c>
      <c r="B145" s="36">
        <v>45960</v>
      </c>
      <c r="C145" s="32">
        <f t="shared" si="18"/>
        <v>274</v>
      </c>
      <c r="D145" s="12">
        <v>1</v>
      </c>
      <c r="E145" s="12"/>
      <c r="F145" s="12"/>
      <c r="G145" s="14" t="s">
        <v>66</v>
      </c>
      <c r="H145" s="12" t="s">
        <v>3500</v>
      </c>
      <c r="I145" s="12">
        <v>112111</v>
      </c>
      <c r="J145" s="12">
        <v>131</v>
      </c>
      <c r="K145" s="12" t="s">
        <v>20</v>
      </c>
      <c r="L145" s="12">
        <v>1</v>
      </c>
      <c r="M145" s="17">
        <v>13306452</v>
      </c>
      <c r="N145" s="17">
        <f t="shared" si="16"/>
        <v>13306452</v>
      </c>
      <c r="O145" s="12" t="s">
        <v>21</v>
      </c>
      <c r="P145" s="20">
        <f t="shared" si="19"/>
        <v>94</v>
      </c>
      <c r="Q145" s="20">
        <f t="shared" si="17"/>
        <v>132</v>
      </c>
    </row>
    <row r="146" spans="1:17" ht="15" hidden="1" customHeight="1" x14ac:dyDescent="0.2">
      <c r="A146" s="12" t="s">
        <v>2679</v>
      </c>
      <c r="B146" s="36">
        <v>45960</v>
      </c>
      <c r="C146" s="32">
        <f t="shared" si="18"/>
        <v>275</v>
      </c>
      <c r="D146" s="12">
        <v>1</v>
      </c>
      <c r="E146" s="12"/>
      <c r="F146" s="12"/>
      <c r="G146" s="14" t="s">
        <v>66</v>
      </c>
      <c r="H146" s="12" t="s">
        <v>3501</v>
      </c>
      <c r="I146" s="12">
        <v>112111</v>
      </c>
      <c r="J146" s="12">
        <v>131</v>
      </c>
      <c r="K146" s="12" t="s">
        <v>20</v>
      </c>
      <c r="L146" s="12">
        <v>1</v>
      </c>
      <c r="M146" s="17">
        <v>15967742</v>
      </c>
      <c r="N146" s="17">
        <f t="shared" si="16"/>
        <v>15967742</v>
      </c>
      <c r="O146" s="12" t="s">
        <v>21</v>
      </c>
      <c r="P146" s="20">
        <f t="shared" si="19"/>
        <v>95</v>
      </c>
      <c r="Q146" s="20">
        <f t="shared" si="17"/>
        <v>191</v>
      </c>
    </row>
    <row r="147" spans="1:17" ht="15" hidden="1" customHeight="1" x14ac:dyDescent="0.2">
      <c r="A147" s="12" t="s">
        <v>18</v>
      </c>
      <c r="B147" s="36">
        <v>45960</v>
      </c>
      <c r="C147" s="32">
        <f t="shared" si="18"/>
        <v>276</v>
      </c>
      <c r="D147" s="12">
        <v>1</v>
      </c>
      <c r="E147" s="12"/>
      <c r="F147" s="12"/>
      <c r="G147" s="14" t="s">
        <v>43</v>
      </c>
      <c r="H147" s="12" t="s">
        <v>3004</v>
      </c>
      <c r="I147" s="12">
        <v>131</v>
      </c>
      <c r="J147" s="12">
        <v>5118</v>
      </c>
      <c r="K147" s="12" t="s">
        <v>20</v>
      </c>
      <c r="L147" s="12">
        <v>1</v>
      </c>
      <c r="M147" s="17">
        <v>28677430</v>
      </c>
      <c r="N147" s="17">
        <f t="shared" ref="N147" si="21">L147*M147</f>
        <v>28677430</v>
      </c>
      <c r="O147" s="12" t="s">
        <v>21</v>
      </c>
      <c r="P147" s="20">
        <f t="shared" si="19"/>
        <v>96</v>
      </c>
      <c r="Q147" s="20">
        <f t="shared" si="17"/>
        <v>43</v>
      </c>
    </row>
    <row r="148" spans="1:17" ht="15" hidden="1" customHeight="1" x14ac:dyDescent="0.2">
      <c r="A148" s="12" t="s">
        <v>2679</v>
      </c>
      <c r="B148" s="36">
        <v>45960</v>
      </c>
      <c r="C148" s="32">
        <f t="shared" si="18"/>
        <v>277</v>
      </c>
      <c r="D148" s="12">
        <v>1</v>
      </c>
      <c r="E148" s="12"/>
      <c r="F148" s="12"/>
      <c r="G148" s="14" t="s">
        <v>43</v>
      </c>
      <c r="H148" s="12" t="s">
        <v>3005</v>
      </c>
      <c r="I148" s="12">
        <v>112111</v>
      </c>
      <c r="J148" s="12">
        <v>131</v>
      </c>
      <c r="K148" s="12" t="s">
        <v>20</v>
      </c>
      <c r="L148" s="12">
        <v>1</v>
      </c>
      <c r="M148" s="17">
        <v>28677430</v>
      </c>
      <c r="N148" s="17">
        <f t="shared" si="16"/>
        <v>28677430</v>
      </c>
      <c r="O148" s="12" t="s">
        <v>21</v>
      </c>
      <c r="P148" s="20">
        <f t="shared" si="19"/>
        <v>97</v>
      </c>
      <c r="Q148" s="20">
        <f t="shared" si="17"/>
        <v>48</v>
      </c>
    </row>
    <row r="149" spans="1:17" ht="15" hidden="1" customHeight="1" x14ac:dyDescent="0.2">
      <c r="A149" s="12" t="s">
        <v>2678</v>
      </c>
      <c r="B149" s="36">
        <v>45960</v>
      </c>
      <c r="C149" s="32">
        <f t="shared" si="18"/>
        <v>278</v>
      </c>
      <c r="D149" s="12">
        <v>1</v>
      </c>
      <c r="E149" s="12"/>
      <c r="F149" s="12"/>
      <c r="G149" s="14" t="s">
        <v>84</v>
      </c>
      <c r="H149" s="12" t="s">
        <v>3017</v>
      </c>
      <c r="I149" s="12">
        <v>1111</v>
      </c>
      <c r="J149" s="12">
        <v>112111</v>
      </c>
      <c r="K149" s="12" t="s">
        <v>20</v>
      </c>
      <c r="L149" s="12">
        <v>1</v>
      </c>
      <c r="M149" s="17">
        <v>90000000</v>
      </c>
      <c r="N149" s="17">
        <f t="shared" si="16"/>
        <v>90000000</v>
      </c>
      <c r="O149" s="12" t="s">
        <v>21</v>
      </c>
      <c r="P149" s="20">
        <f t="shared" si="19"/>
        <v>98</v>
      </c>
      <c r="Q149" s="20">
        <f t="shared" si="17"/>
        <v>40</v>
      </c>
    </row>
    <row r="150" spans="1:17" ht="15" hidden="1" customHeight="1" x14ac:dyDescent="0.2">
      <c r="A150" s="12" t="s">
        <v>2679</v>
      </c>
      <c r="B150" s="36">
        <v>45961</v>
      </c>
      <c r="C150" s="32">
        <f t="shared" si="18"/>
        <v>279</v>
      </c>
      <c r="D150" s="12">
        <v>1</v>
      </c>
      <c r="E150" s="12"/>
      <c r="F150" s="12"/>
      <c r="G150" s="14" t="s">
        <v>69</v>
      </c>
      <c r="H150" s="12" t="s">
        <v>3502</v>
      </c>
      <c r="I150" s="12">
        <v>112111</v>
      </c>
      <c r="J150" s="12">
        <v>131</v>
      </c>
      <c r="K150" s="12" t="s">
        <v>20</v>
      </c>
      <c r="L150" s="12">
        <v>1</v>
      </c>
      <c r="M150" s="17">
        <v>6387096</v>
      </c>
      <c r="N150" s="17">
        <f t="shared" si="16"/>
        <v>6387096</v>
      </c>
      <c r="O150" s="12" t="s">
        <v>21</v>
      </c>
      <c r="P150" s="20">
        <f t="shared" si="19"/>
        <v>99</v>
      </c>
      <c r="Q150" s="20">
        <f t="shared" si="17"/>
        <v>160</v>
      </c>
    </row>
    <row r="151" spans="1:17" ht="15" hidden="1" customHeight="1" x14ac:dyDescent="0.2">
      <c r="A151" s="12" t="s">
        <v>2679</v>
      </c>
      <c r="B151" s="36">
        <v>45961</v>
      </c>
      <c r="C151" s="32">
        <f t="shared" si="18"/>
        <v>280</v>
      </c>
      <c r="D151" s="12">
        <v>1</v>
      </c>
      <c r="E151" s="12"/>
      <c r="F151" s="12"/>
      <c r="G151" s="14" t="s">
        <v>81</v>
      </c>
      <c r="H151" s="12" t="s">
        <v>3503</v>
      </c>
      <c r="I151" s="12">
        <v>112111</v>
      </c>
      <c r="J151" s="12">
        <v>131</v>
      </c>
      <c r="K151" s="12" t="s">
        <v>20</v>
      </c>
      <c r="L151" s="12">
        <v>1</v>
      </c>
      <c r="M151" s="17">
        <v>15000000</v>
      </c>
      <c r="N151" s="17">
        <f t="shared" si="16"/>
        <v>15000000</v>
      </c>
      <c r="O151" s="12" t="s">
        <v>21</v>
      </c>
      <c r="P151" s="20">
        <f t="shared" si="19"/>
        <v>100</v>
      </c>
      <c r="Q151" s="20">
        <f t="shared" si="17"/>
        <v>178</v>
      </c>
    </row>
    <row r="152" spans="1:17" ht="15" hidden="1" customHeight="1" x14ac:dyDescent="0.2">
      <c r="A152" s="12" t="s">
        <v>2679</v>
      </c>
      <c r="B152" s="36">
        <v>45961</v>
      </c>
      <c r="C152" s="32">
        <f t="shared" si="18"/>
        <v>281</v>
      </c>
      <c r="D152" s="12">
        <v>1</v>
      </c>
      <c r="E152" s="12"/>
      <c r="F152" s="12"/>
      <c r="G152" s="14" t="s">
        <v>81</v>
      </c>
      <c r="H152" s="12" t="s">
        <v>3503</v>
      </c>
      <c r="I152" s="12">
        <v>112111</v>
      </c>
      <c r="J152" s="12">
        <v>131</v>
      </c>
      <c r="K152" s="12" t="s">
        <v>20</v>
      </c>
      <c r="L152" s="12">
        <v>1</v>
      </c>
      <c r="M152" s="17">
        <v>1035484</v>
      </c>
      <c r="N152" s="17">
        <f t="shared" si="16"/>
        <v>1035484</v>
      </c>
      <c r="O152" s="12" t="s">
        <v>21</v>
      </c>
      <c r="P152" s="20">
        <f t="shared" si="19"/>
        <v>101</v>
      </c>
      <c r="Q152" s="20">
        <f t="shared" si="17"/>
        <v>178</v>
      </c>
    </row>
    <row r="153" spans="1:17" ht="15" hidden="1" customHeight="1" x14ac:dyDescent="0.2">
      <c r="A153" s="12" t="s">
        <v>2679</v>
      </c>
      <c r="B153" s="36">
        <v>45964</v>
      </c>
      <c r="C153" s="32">
        <f t="shared" si="18"/>
        <v>282</v>
      </c>
      <c r="D153" s="12">
        <v>1</v>
      </c>
      <c r="E153" s="12"/>
      <c r="F153" s="12"/>
      <c r="G153" s="14" t="s">
        <v>70</v>
      </c>
      <c r="H153" s="12" t="s">
        <v>3504</v>
      </c>
      <c r="I153" s="12">
        <v>112111</v>
      </c>
      <c r="J153" s="12">
        <v>131</v>
      </c>
      <c r="K153" s="12" t="s">
        <v>20</v>
      </c>
      <c r="L153" s="12">
        <v>1</v>
      </c>
      <c r="M153" s="17">
        <v>26612903</v>
      </c>
      <c r="N153" s="17">
        <f t="shared" si="16"/>
        <v>26612903</v>
      </c>
      <c r="O153" s="12" t="s">
        <v>21</v>
      </c>
      <c r="P153" s="20">
        <f t="shared" si="19"/>
        <v>102</v>
      </c>
      <c r="Q153" s="20">
        <f t="shared" si="17"/>
        <v>127</v>
      </c>
    </row>
    <row r="154" spans="1:17" ht="15" hidden="1" customHeight="1" x14ac:dyDescent="0.2">
      <c r="A154" s="12" t="s">
        <v>2679</v>
      </c>
      <c r="B154" s="36">
        <v>45964</v>
      </c>
      <c r="C154" s="32">
        <f t="shared" si="18"/>
        <v>283</v>
      </c>
      <c r="D154" s="12">
        <v>1</v>
      </c>
      <c r="E154" s="12"/>
      <c r="F154" s="12"/>
      <c r="G154" s="14" t="s">
        <v>29</v>
      </c>
      <c r="H154" s="12" t="s">
        <v>3505</v>
      </c>
      <c r="I154" s="12">
        <v>112111</v>
      </c>
      <c r="J154" s="12">
        <v>131</v>
      </c>
      <c r="K154" s="12" t="s">
        <v>20</v>
      </c>
      <c r="L154" s="12">
        <v>1</v>
      </c>
      <c r="M154" s="17">
        <v>26612903</v>
      </c>
      <c r="N154" s="17">
        <f t="shared" si="16"/>
        <v>26612903</v>
      </c>
      <c r="O154" s="12" t="s">
        <v>21</v>
      </c>
      <c r="P154" s="20">
        <f t="shared" si="19"/>
        <v>103</v>
      </c>
      <c r="Q154" s="20">
        <f t="shared" si="17"/>
        <v>165</v>
      </c>
    </row>
    <row r="155" spans="1:17" ht="15" hidden="1" customHeight="1" x14ac:dyDescent="0.2">
      <c r="A155" s="12" t="s">
        <v>2679</v>
      </c>
      <c r="B155" s="36">
        <v>45965</v>
      </c>
      <c r="C155" s="32">
        <f t="shared" si="18"/>
        <v>284</v>
      </c>
      <c r="D155" s="12">
        <v>1</v>
      </c>
      <c r="E155" s="12"/>
      <c r="F155" s="12"/>
      <c r="G155" s="14" t="s">
        <v>68</v>
      </c>
      <c r="H155" s="12" t="s">
        <v>3506</v>
      </c>
      <c r="I155" s="12">
        <v>112111</v>
      </c>
      <c r="J155" s="12">
        <v>131</v>
      </c>
      <c r="K155" s="12" t="s">
        <v>20</v>
      </c>
      <c r="L155" s="12">
        <v>1</v>
      </c>
      <c r="M155" s="17">
        <v>13306451</v>
      </c>
      <c r="N155" s="17">
        <f t="shared" si="16"/>
        <v>13306451</v>
      </c>
      <c r="O155" s="12" t="s">
        <v>21</v>
      </c>
      <c r="P155" s="20">
        <f t="shared" si="19"/>
        <v>104</v>
      </c>
      <c r="Q155" s="20">
        <f t="shared" si="17"/>
        <v>130</v>
      </c>
    </row>
    <row r="156" spans="1:17" ht="15" hidden="1" customHeight="1" x14ac:dyDescent="0.2">
      <c r="A156" s="12" t="s">
        <v>2678</v>
      </c>
      <c r="B156" s="36">
        <v>45968</v>
      </c>
      <c r="C156" s="32">
        <f t="shared" si="18"/>
        <v>285</v>
      </c>
      <c r="D156" s="12">
        <v>1</v>
      </c>
      <c r="E156" s="12"/>
      <c r="F156" s="12"/>
      <c r="G156" s="14" t="s">
        <v>2717</v>
      </c>
      <c r="H156" s="12" t="s">
        <v>3529</v>
      </c>
      <c r="I156" s="12">
        <v>333822</v>
      </c>
      <c r="J156" s="12">
        <v>112111</v>
      </c>
      <c r="K156" s="12" t="s">
        <v>20</v>
      </c>
      <c r="L156" s="12">
        <v>1</v>
      </c>
      <c r="M156" s="17">
        <v>1740000</v>
      </c>
      <c r="N156" s="17">
        <f t="shared" si="16"/>
        <v>1740000</v>
      </c>
      <c r="O156" s="12" t="s">
        <v>21</v>
      </c>
      <c r="P156" s="20">
        <f t="shared" si="19"/>
        <v>105</v>
      </c>
      <c r="Q156" s="20">
        <f t="shared" si="17"/>
        <v>28</v>
      </c>
    </row>
    <row r="157" spans="1:17" ht="15" hidden="1" customHeight="1" x14ac:dyDescent="0.2">
      <c r="A157" s="12" t="s">
        <v>2679</v>
      </c>
      <c r="B157" s="36">
        <v>45971</v>
      </c>
      <c r="C157" s="32">
        <f t="shared" si="18"/>
        <v>286</v>
      </c>
      <c r="D157" s="12">
        <v>1</v>
      </c>
      <c r="E157" s="12"/>
      <c r="F157" s="12"/>
      <c r="G157" s="14" t="s">
        <v>47</v>
      </c>
      <c r="H157" s="12" t="s">
        <v>3584</v>
      </c>
      <c r="I157" s="12">
        <v>112111</v>
      </c>
      <c r="J157" s="12">
        <v>131</v>
      </c>
      <c r="K157" s="12" t="s">
        <v>20</v>
      </c>
      <c r="L157" s="12">
        <v>1</v>
      </c>
      <c r="M157" s="17">
        <v>10645161</v>
      </c>
      <c r="N157" s="17">
        <f t="shared" si="16"/>
        <v>10645161</v>
      </c>
      <c r="O157" s="12" t="s">
        <v>21</v>
      </c>
      <c r="P157" s="20">
        <f t="shared" si="19"/>
        <v>106</v>
      </c>
      <c r="Q157" s="20">
        <f t="shared" si="17"/>
        <v>161</v>
      </c>
    </row>
    <row r="158" spans="1:17" ht="15" hidden="1" customHeight="1" x14ac:dyDescent="0.2">
      <c r="A158" s="12" t="s">
        <v>2679</v>
      </c>
      <c r="B158" s="36">
        <v>45972</v>
      </c>
      <c r="C158" s="32">
        <f t="shared" si="18"/>
        <v>287</v>
      </c>
      <c r="D158" s="12">
        <v>1</v>
      </c>
      <c r="E158" s="12"/>
      <c r="F158" s="12"/>
      <c r="G158" s="14" t="s">
        <v>66</v>
      </c>
      <c r="H158" s="32" t="s">
        <v>3508</v>
      </c>
      <c r="I158" s="12">
        <v>112111</v>
      </c>
      <c r="J158" s="12">
        <v>131</v>
      </c>
      <c r="K158" s="12" t="s">
        <v>20</v>
      </c>
      <c r="L158" s="12">
        <v>1</v>
      </c>
      <c r="M158" s="17">
        <v>15967742</v>
      </c>
      <c r="N158" s="17">
        <f t="shared" si="16"/>
        <v>15967742</v>
      </c>
      <c r="O158" s="12" t="s">
        <v>21</v>
      </c>
      <c r="P158" s="20">
        <f t="shared" si="19"/>
        <v>107</v>
      </c>
      <c r="Q158" s="20">
        <f t="shared" si="17"/>
        <v>141</v>
      </c>
    </row>
    <row r="159" spans="1:17" ht="15" hidden="1" customHeight="1" x14ac:dyDescent="0.2">
      <c r="A159" s="12" t="s">
        <v>2679</v>
      </c>
      <c r="B159" s="36">
        <v>45972</v>
      </c>
      <c r="C159" s="32">
        <f t="shared" si="18"/>
        <v>288</v>
      </c>
      <c r="D159" s="12">
        <v>1</v>
      </c>
      <c r="E159" s="12"/>
      <c r="F159" s="12"/>
      <c r="G159" s="14" t="s">
        <v>66</v>
      </c>
      <c r="H159" s="32" t="s">
        <v>3509</v>
      </c>
      <c r="I159" s="12">
        <v>112111</v>
      </c>
      <c r="J159" s="12">
        <v>131</v>
      </c>
      <c r="K159" s="12" t="s">
        <v>20</v>
      </c>
      <c r="L159" s="12">
        <v>1</v>
      </c>
      <c r="M159" s="17">
        <v>15967742</v>
      </c>
      <c r="N159" s="17">
        <f t="shared" si="16"/>
        <v>15967742</v>
      </c>
      <c r="O159" s="12" t="s">
        <v>21</v>
      </c>
      <c r="P159" s="20">
        <f t="shared" si="19"/>
        <v>108</v>
      </c>
      <c r="Q159" s="20">
        <f t="shared" si="17"/>
        <v>183</v>
      </c>
    </row>
    <row r="160" spans="1:17" ht="15" hidden="1" customHeight="1" x14ac:dyDescent="0.2">
      <c r="A160" s="12" t="s">
        <v>2678</v>
      </c>
      <c r="B160" s="36">
        <v>45972</v>
      </c>
      <c r="C160" s="32">
        <f t="shared" si="18"/>
        <v>289</v>
      </c>
      <c r="D160" s="12">
        <v>1</v>
      </c>
      <c r="E160" s="12"/>
      <c r="F160" s="12"/>
      <c r="G160" s="14" t="s">
        <v>84</v>
      </c>
      <c r="H160" s="12" t="s">
        <v>3017</v>
      </c>
      <c r="I160" s="12">
        <v>1111</v>
      </c>
      <c r="J160" s="12">
        <v>112111</v>
      </c>
      <c r="K160" s="12" t="s">
        <v>20</v>
      </c>
      <c r="L160" s="12">
        <v>1</v>
      </c>
      <c r="M160" s="17">
        <v>130000000</v>
      </c>
      <c r="N160" s="17">
        <f t="shared" si="16"/>
        <v>130000000</v>
      </c>
      <c r="O160" s="12" t="s">
        <v>21</v>
      </c>
      <c r="P160" s="20">
        <f t="shared" si="19"/>
        <v>109</v>
      </c>
      <c r="Q160" s="20">
        <f t="shared" si="17"/>
        <v>40</v>
      </c>
    </row>
    <row r="161" spans="1:17" ht="15" hidden="1" customHeight="1" x14ac:dyDescent="0.2">
      <c r="A161" s="12" t="s">
        <v>2679</v>
      </c>
      <c r="B161" s="36">
        <v>45973</v>
      </c>
      <c r="C161" s="32">
        <f t="shared" si="18"/>
        <v>290</v>
      </c>
      <c r="D161" s="12">
        <v>1</v>
      </c>
      <c r="E161" s="12"/>
      <c r="F161" s="12"/>
      <c r="G161" s="14" t="s">
        <v>66</v>
      </c>
      <c r="H161" s="12" t="s">
        <v>3519</v>
      </c>
      <c r="I161" s="12">
        <v>112111</v>
      </c>
      <c r="J161" s="12">
        <v>131</v>
      </c>
      <c r="K161" s="12" t="s">
        <v>20</v>
      </c>
      <c r="L161" s="12">
        <v>1</v>
      </c>
      <c r="M161" s="17">
        <v>14903226</v>
      </c>
      <c r="N161" s="17">
        <f t="shared" si="16"/>
        <v>14903226</v>
      </c>
      <c r="O161" s="12" t="s">
        <v>21</v>
      </c>
      <c r="P161" s="20">
        <f t="shared" si="19"/>
        <v>110</v>
      </c>
      <c r="Q161" s="20">
        <f t="shared" si="17"/>
        <v>132</v>
      </c>
    </row>
    <row r="162" spans="1:17" ht="15" hidden="1" customHeight="1" x14ac:dyDescent="0.2">
      <c r="A162" s="12" t="s">
        <v>2679</v>
      </c>
      <c r="B162" s="36">
        <v>45974</v>
      </c>
      <c r="C162" s="32">
        <f t="shared" si="18"/>
        <v>291</v>
      </c>
      <c r="D162" s="12">
        <v>1</v>
      </c>
      <c r="E162" s="12"/>
      <c r="F162" s="12"/>
      <c r="G162" s="14" t="s">
        <v>80</v>
      </c>
      <c r="H162" s="12" t="s">
        <v>3512</v>
      </c>
      <c r="I162" s="12">
        <v>112111</v>
      </c>
      <c r="J162" s="12">
        <v>131</v>
      </c>
      <c r="K162" s="12" t="s">
        <v>20</v>
      </c>
      <c r="L162" s="12">
        <v>1</v>
      </c>
      <c r="M162" s="17">
        <v>13306452</v>
      </c>
      <c r="N162" s="17">
        <f t="shared" si="16"/>
        <v>13306452</v>
      </c>
      <c r="O162" s="12" t="s">
        <v>21</v>
      </c>
      <c r="P162" s="20">
        <f t="shared" si="19"/>
        <v>111</v>
      </c>
      <c r="Q162" s="20">
        <f t="shared" si="17"/>
        <v>140</v>
      </c>
    </row>
    <row r="163" spans="1:17" ht="15" hidden="1" customHeight="1" x14ac:dyDescent="0.2">
      <c r="A163" s="12" t="s">
        <v>2679</v>
      </c>
      <c r="B163" s="36">
        <v>45979</v>
      </c>
      <c r="C163" s="32">
        <f t="shared" si="18"/>
        <v>292</v>
      </c>
      <c r="D163" s="12">
        <v>1</v>
      </c>
      <c r="E163" s="12"/>
      <c r="F163" s="12"/>
      <c r="G163" s="14" t="s">
        <v>65</v>
      </c>
      <c r="H163" s="12" t="s">
        <v>3526</v>
      </c>
      <c r="I163" s="12">
        <v>112111</v>
      </c>
      <c r="J163" s="12">
        <v>131</v>
      </c>
      <c r="K163" s="12" t="s">
        <v>20</v>
      </c>
      <c r="L163" s="12">
        <v>1</v>
      </c>
      <c r="M163" s="17">
        <v>26612903</v>
      </c>
      <c r="N163" s="17">
        <f t="shared" si="16"/>
        <v>26612903</v>
      </c>
      <c r="O163" s="12" t="s">
        <v>21</v>
      </c>
      <c r="P163" s="20">
        <f t="shared" si="19"/>
        <v>112</v>
      </c>
      <c r="Q163" s="20">
        <f t="shared" si="17"/>
        <v>145</v>
      </c>
    </row>
    <row r="164" spans="1:17" ht="15" customHeight="1" x14ac:dyDescent="0.2">
      <c r="A164" s="12" t="s">
        <v>2679</v>
      </c>
      <c r="B164" s="36">
        <v>45979</v>
      </c>
      <c r="C164" s="32">
        <f t="shared" si="18"/>
        <v>293</v>
      </c>
      <c r="D164" s="12">
        <v>1</v>
      </c>
      <c r="E164" s="12"/>
      <c r="F164" s="12"/>
      <c r="G164" s="32" t="s">
        <v>3511</v>
      </c>
      <c r="H164" s="32" t="s">
        <v>3580</v>
      </c>
      <c r="I164" s="12">
        <v>112111</v>
      </c>
      <c r="J164" s="12">
        <v>131</v>
      </c>
      <c r="K164" s="12" t="s">
        <v>20</v>
      </c>
      <c r="L164" s="12">
        <v>1</v>
      </c>
      <c r="M164" s="17">
        <v>26612903</v>
      </c>
      <c r="N164" s="17">
        <f t="shared" si="16"/>
        <v>26612903</v>
      </c>
      <c r="O164" s="12" t="s">
        <v>21</v>
      </c>
      <c r="P164" s="20">
        <f t="shared" si="19"/>
        <v>113</v>
      </c>
      <c r="Q164" s="20">
        <f t="shared" si="17"/>
        <v>98</v>
      </c>
    </row>
    <row r="165" spans="1:17" ht="15" hidden="1" customHeight="1" x14ac:dyDescent="0.2">
      <c r="A165" s="12" t="s">
        <v>2678</v>
      </c>
      <c r="B165" s="36">
        <v>45979</v>
      </c>
      <c r="C165" s="32">
        <f t="shared" si="18"/>
        <v>294</v>
      </c>
      <c r="D165" s="12">
        <v>1</v>
      </c>
      <c r="E165" s="12"/>
      <c r="F165" s="12"/>
      <c r="G165" s="14" t="s">
        <v>65</v>
      </c>
      <c r="H165" s="12" t="s">
        <v>3527</v>
      </c>
      <c r="I165" s="12">
        <v>131</v>
      </c>
      <c r="J165" s="12">
        <v>112111</v>
      </c>
      <c r="K165" s="12" t="s">
        <v>20</v>
      </c>
      <c r="L165" s="12">
        <v>1</v>
      </c>
      <c r="M165" s="17">
        <v>26612903</v>
      </c>
      <c r="N165" s="17">
        <f t="shared" si="16"/>
        <v>26612903</v>
      </c>
      <c r="O165" s="12" t="s">
        <v>21</v>
      </c>
      <c r="P165" s="20">
        <f t="shared" si="19"/>
        <v>114</v>
      </c>
      <c r="Q165" s="20">
        <f t="shared" si="17"/>
        <v>145</v>
      </c>
    </row>
    <row r="166" spans="1:17" ht="15" hidden="1" customHeight="1" x14ac:dyDescent="0.2">
      <c r="A166" s="12" t="s">
        <v>2679</v>
      </c>
      <c r="B166" s="36">
        <v>45980</v>
      </c>
      <c r="C166" s="32">
        <f t="shared" si="18"/>
        <v>295</v>
      </c>
      <c r="D166" s="12">
        <v>1</v>
      </c>
      <c r="E166" s="12"/>
      <c r="F166" s="12"/>
      <c r="G166" s="14" t="s">
        <v>65</v>
      </c>
      <c r="H166" s="12" t="s">
        <v>3526</v>
      </c>
      <c r="I166" s="12">
        <v>112111</v>
      </c>
      <c r="J166" s="12">
        <v>131</v>
      </c>
      <c r="K166" s="12" t="s">
        <v>20</v>
      </c>
      <c r="L166" s="12">
        <v>1</v>
      </c>
      <c r="M166" s="17">
        <v>13306452</v>
      </c>
      <c r="N166" s="17">
        <f t="shared" si="16"/>
        <v>13306452</v>
      </c>
      <c r="O166" s="12" t="s">
        <v>21</v>
      </c>
      <c r="P166" s="20">
        <f t="shared" si="19"/>
        <v>115</v>
      </c>
      <c r="Q166" s="20">
        <f t="shared" si="17"/>
        <v>145</v>
      </c>
    </row>
    <row r="167" spans="1:17" ht="15" hidden="1" customHeight="1" x14ac:dyDescent="0.2">
      <c r="A167" s="12" t="s">
        <v>2679</v>
      </c>
      <c r="B167" s="36">
        <v>45980</v>
      </c>
      <c r="C167" s="32">
        <f t="shared" si="18"/>
        <v>296</v>
      </c>
      <c r="D167" s="12">
        <v>1</v>
      </c>
      <c r="E167" s="12"/>
      <c r="F167" s="12"/>
      <c r="G167" s="14" t="s">
        <v>3513</v>
      </c>
      <c r="H167" s="12" t="s">
        <v>3514</v>
      </c>
      <c r="I167" s="12">
        <v>112111</v>
      </c>
      <c r="J167" s="12">
        <v>131</v>
      </c>
      <c r="K167" s="12" t="s">
        <v>20</v>
      </c>
      <c r="L167" s="12">
        <v>1</v>
      </c>
      <c r="M167" s="17">
        <v>3193548</v>
      </c>
      <c r="N167" s="17">
        <f t="shared" si="16"/>
        <v>3193548</v>
      </c>
      <c r="O167" s="12" t="s">
        <v>21</v>
      </c>
      <c r="P167" s="20">
        <f t="shared" si="19"/>
        <v>116</v>
      </c>
      <c r="Q167" s="20">
        <f t="shared" si="17"/>
        <v>113</v>
      </c>
    </row>
    <row r="168" spans="1:17" ht="15" hidden="1" customHeight="1" x14ac:dyDescent="0.2">
      <c r="A168" s="12" t="s">
        <v>2679</v>
      </c>
      <c r="B168" s="36">
        <v>45980</v>
      </c>
      <c r="C168" s="32">
        <f t="shared" si="18"/>
        <v>297</v>
      </c>
      <c r="D168" s="12">
        <v>1</v>
      </c>
      <c r="E168" s="12"/>
      <c r="F168" s="12"/>
      <c r="G168" s="14" t="s">
        <v>26</v>
      </c>
      <c r="H168" s="12" t="s">
        <v>3528</v>
      </c>
      <c r="I168" s="12">
        <v>112111</v>
      </c>
      <c r="J168" s="12">
        <v>131</v>
      </c>
      <c r="K168" s="12" t="s">
        <v>20</v>
      </c>
      <c r="L168" s="12">
        <v>1</v>
      </c>
      <c r="M168" s="17">
        <v>13306451</v>
      </c>
      <c r="N168" s="17">
        <f t="shared" si="16"/>
        <v>13306451</v>
      </c>
      <c r="O168" s="12" t="s">
        <v>21</v>
      </c>
      <c r="P168" s="20">
        <f t="shared" si="19"/>
        <v>117</v>
      </c>
      <c r="Q168" s="20">
        <f t="shared" si="17"/>
        <v>182</v>
      </c>
    </row>
    <row r="169" spans="1:17" ht="15" hidden="1" customHeight="1" x14ac:dyDescent="0.2">
      <c r="A169" s="12" t="s">
        <v>2678</v>
      </c>
      <c r="B169" s="36">
        <v>45982</v>
      </c>
      <c r="C169" s="32">
        <f t="shared" si="18"/>
        <v>298</v>
      </c>
      <c r="D169" s="12">
        <v>1</v>
      </c>
      <c r="E169" s="12"/>
      <c r="F169" s="12"/>
      <c r="G169" s="14" t="s">
        <v>45</v>
      </c>
      <c r="H169" s="12" t="s">
        <v>3426</v>
      </c>
      <c r="I169" s="12">
        <v>1388</v>
      </c>
      <c r="J169" s="12">
        <v>112111</v>
      </c>
      <c r="K169" s="12" t="s">
        <v>20</v>
      </c>
      <c r="L169" s="12">
        <v>1</v>
      </c>
      <c r="M169" s="17">
        <v>22232134</v>
      </c>
      <c r="N169" s="17">
        <f t="shared" si="16"/>
        <v>22232134</v>
      </c>
      <c r="O169" s="12" t="s">
        <v>21</v>
      </c>
      <c r="P169" s="20">
        <f t="shared" si="19"/>
        <v>118</v>
      </c>
      <c r="Q169" s="20">
        <f t="shared" si="17"/>
        <v>26</v>
      </c>
    </row>
    <row r="170" spans="1:17" ht="15" hidden="1" customHeight="1" x14ac:dyDescent="0.2">
      <c r="A170" s="12" t="s">
        <v>2679</v>
      </c>
      <c r="B170" s="36">
        <v>45982</v>
      </c>
      <c r="C170" s="32">
        <f t="shared" si="18"/>
        <v>299</v>
      </c>
      <c r="D170" s="12">
        <v>1</v>
      </c>
      <c r="E170" s="12"/>
      <c r="F170" s="12"/>
      <c r="G170" s="14" t="s">
        <v>45</v>
      </c>
      <c r="H170" s="12" t="s">
        <v>3515</v>
      </c>
      <c r="I170" s="12">
        <v>112111</v>
      </c>
      <c r="J170" s="12">
        <v>1388</v>
      </c>
      <c r="K170" s="12" t="s">
        <v>20</v>
      </c>
      <c r="L170" s="12">
        <v>1</v>
      </c>
      <c r="M170" s="17">
        <v>22232134</v>
      </c>
      <c r="N170" s="17">
        <f t="shared" si="16"/>
        <v>22232134</v>
      </c>
      <c r="O170" s="12" t="s">
        <v>21</v>
      </c>
      <c r="P170" s="20">
        <f t="shared" si="19"/>
        <v>119</v>
      </c>
      <c r="Q170" s="20">
        <f t="shared" si="17"/>
        <v>33</v>
      </c>
    </row>
    <row r="171" spans="1:17" ht="15" hidden="1" customHeight="1" x14ac:dyDescent="0.2">
      <c r="A171" s="12" t="s">
        <v>2679</v>
      </c>
      <c r="B171" s="36">
        <v>45988</v>
      </c>
      <c r="C171" s="32">
        <f t="shared" si="18"/>
        <v>300</v>
      </c>
      <c r="D171" s="12">
        <v>1</v>
      </c>
      <c r="E171" s="12"/>
      <c r="F171" s="12"/>
      <c r="G171" s="14" t="s">
        <v>66</v>
      </c>
      <c r="H171" s="32" t="s">
        <v>3507</v>
      </c>
      <c r="I171" s="12">
        <v>112111</v>
      </c>
      <c r="J171" s="12">
        <v>131</v>
      </c>
      <c r="K171" s="12" t="s">
        <v>20</v>
      </c>
      <c r="L171" s="12">
        <v>1</v>
      </c>
      <c r="M171" s="17">
        <v>15967742</v>
      </c>
      <c r="N171" s="17">
        <f t="shared" si="16"/>
        <v>15967742</v>
      </c>
      <c r="O171" s="12" t="s">
        <v>21</v>
      </c>
      <c r="P171" s="20">
        <f t="shared" si="19"/>
        <v>120</v>
      </c>
      <c r="Q171" s="20">
        <f t="shared" si="17"/>
        <v>133</v>
      </c>
    </row>
    <row r="172" spans="1:17" ht="15" hidden="1" customHeight="1" x14ac:dyDescent="0.2">
      <c r="A172" s="12" t="s">
        <v>2678</v>
      </c>
      <c r="B172" s="36">
        <v>45989</v>
      </c>
      <c r="C172" s="32">
        <f t="shared" si="18"/>
        <v>301</v>
      </c>
      <c r="D172" s="12">
        <v>1</v>
      </c>
      <c r="E172" s="12"/>
      <c r="F172" s="12"/>
      <c r="G172" s="14" t="s">
        <v>84</v>
      </c>
      <c r="H172" s="12" t="s">
        <v>3017</v>
      </c>
      <c r="I172" s="12">
        <v>1111</v>
      </c>
      <c r="J172" s="12">
        <v>112111</v>
      </c>
      <c r="K172" s="12" t="s">
        <v>20</v>
      </c>
      <c r="L172" s="12">
        <v>1</v>
      </c>
      <c r="M172" s="17">
        <v>100000000</v>
      </c>
      <c r="N172" s="17">
        <f t="shared" si="16"/>
        <v>100000000</v>
      </c>
      <c r="O172" s="12" t="s">
        <v>21</v>
      </c>
      <c r="P172" s="20">
        <f t="shared" si="19"/>
        <v>121</v>
      </c>
      <c r="Q172" s="20">
        <f t="shared" si="17"/>
        <v>40</v>
      </c>
    </row>
    <row r="173" spans="1:17" ht="15" hidden="1" customHeight="1" x14ac:dyDescent="0.2">
      <c r="A173" s="12" t="s">
        <v>2679</v>
      </c>
      <c r="B173" s="36">
        <v>45990</v>
      </c>
      <c r="C173" s="32">
        <f t="shared" si="18"/>
        <v>302</v>
      </c>
      <c r="D173" s="12">
        <v>1</v>
      </c>
      <c r="E173" s="12"/>
      <c r="F173" s="12"/>
      <c r="G173" s="14" t="s">
        <v>2680</v>
      </c>
      <c r="H173" s="12" t="s">
        <v>2687</v>
      </c>
      <c r="I173" s="12">
        <v>112111</v>
      </c>
      <c r="J173" s="12">
        <v>5154</v>
      </c>
      <c r="K173" s="12" t="s">
        <v>20</v>
      </c>
      <c r="L173" s="12">
        <v>1</v>
      </c>
      <c r="M173" s="17">
        <v>2804</v>
      </c>
      <c r="N173" s="17">
        <f t="shared" si="16"/>
        <v>2804</v>
      </c>
      <c r="O173" s="12" t="s">
        <v>21</v>
      </c>
      <c r="P173" s="20">
        <f t="shared" si="19"/>
        <v>122</v>
      </c>
      <c r="Q173" s="20">
        <f t="shared" si="17"/>
        <v>12</v>
      </c>
    </row>
    <row r="174" spans="1:17" ht="15" hidden="1" customHeight="1" x14ac:dyDescent="0.2">
      <c r="A174" s="12" t="s">
        <v>2679</v>
      </c>
      <c r="B174" s="36">
        <v>45993</v>
      </c>
      <c r="C174" s="32">
        <f t="shared" si="18"/>
        <v>303</v>
      </c>
      <c r="D174" s="12">
        <v>1</v>
      </c>
      <c r="E174" s="12"/>
      <c r="F174" s="12"/>
      <c r="G174" s="14" t="s">
        <v>1854</v>
      </c>
      <c r="H174" s="12" t="s">
        <v>3581</v>
      </c>
      <c r="I174" s="12">
        <v>112111</v>
      </c>
      <c r="J174" s="12">
        <v>131</v>
      </c>
      <c r="K174" s="12" t="s">
        <v>20</v>
      </c>
      <c r="L174" s="12">
        <v>1</v>
      </c>
      <c r="M174" s="17">
        <v>29806452</v>
      </c>
      <c r="N174" s="17">
        <f t="shared" si="16"/>
        <v>29806452</v>
      </c>
      <c r="O174" s="12" t="s">
        <v>21</v>
      </c>
      <c r="P174" s="20">
        <f t="shared" si="19"/>
        <v>123</v>
      </c>
      <c r="Q174" s="20">
        <f t="shared" si="17"/>
        <v>128</v>
      </c>
    </row>
    <row r="175" spans="1:17" ht="15" hidden="1" customHeight="1" x14ac:dyDescent="0.2">
      <c r="A175" s="12" t="s">
        <v>2678</v>
      </c>
      <c r="B175" s="36">
        <v>45993</v>
      </c>
      <c r="C175" s="32">
        <f t="shared" si="18"/>
        <v>304</v>
      </c>
      <c r="D175" s="12">
        <v>1</v>
      </c>
      <c r="E175" s="12"/>
      <c r="F175" s="12"/>
      <c r="G175" s="14" t="s">
        <v>1854</v>
      </c>
      <c r="H175" s="12" t="s">
        <v>3582</v>
      </c>
      <c r="I175" s="12">
        <v>131</v>
      </c>
      <c r="J175" s="12">
        <v>112111</v>
      </c>
      <c r="K175" s="12" t="s">
        <v>20</v>
      </c>
      <c r="L175" s="12">
        <v>1</v>
      </c>
      <c r="M175" s="17">
        <v>14903226</v>
      </c>
      <c r="N175" s="17">
        <f t="shared" si="16"/>
        <v>14903226</v>
      </c>
      <c r="O175" s="12" t="s">
        <v>21</v>
      </c>
      <c r="P175" s="20">
        <f t="shared" si="19"/>
        <v>124</v>
      </c>
      <c r="Q175" s="20">
        <f t="shared" si="17"/>
        <v>128</v>
      </c>
    </row>
    <row r="176" spans="1:17" ht="15" hidden="1" customHeight="1" x14ac:dyDescent="0.2">
      <c r="A176" s="12" t="s">
        <v>2679</v>
      </c>
      <c r="B176" s="36">
        <v>45994</v>
      </c>
      <c r="C176" s="32">
        <f t="shared" si="18"/>
        <v>305</v>
      </c>
      <c r="D176" s="12">
        <v>1</v>
      </c>
      <c r="E176" s="12"/>
      <c r="F176" s="12"/>
      <c r="G176" s="14" t="s">
        <v>69</v>
      </c>
      <c r="H176" s="12" t="s">
        <v>3516</v>
      </c>
      <c r="I176" s="12">
        <v>112111</v>
      </c>
      <c r="J176" s="12">
        <v>131</v>
      </c>
      <c r="K176" s="12" t="s">
        <v>20</v>
      </c>
      <c r="L176" s="12">
        <v>1</v>
      </c>
      <c r="M176" s="17">
        <v>6387096</v>
      </c>
      <c r="N176" s="17">
        <f t="shared" si="16"/>
        <v>6387096</v>
      </c>
      <c r="O176" s="12" t="s">
        <v>21</v>
      </c>
      <c r="P176" s="20">
        <f t="shared" si="19"/>
        <v>125</v>
      </c>
      <c r="Q176" s="20">
        <f t="shared" si="17"/>
        <v>118</v>
      </c>
    </row>
    <row r="177" spans="1:17" ht="15" hidden="1" customHeight="1" x14ac:dyDescent="0.2">
      <c r="A177" s="12" t="s">
        <v>2678</v>
      </c>
      <c r="B177" s="36">
        <v>45996</v>
      </c>
      <c r="C177" s="32">
        <f t="shared" si="18"/>
        <v>306</v>
      </c>
      <c r="D177" s="12">
        <v>1</v>
      </c>
      <c r="E177" s="12"/>
      <c r="F177" s="12"/>
      <c r="G177" s="14" t="s">
        <v>84</v>
      </c>
      <c r="H177" s="12" t="s">
        <v>3017</v>
      </c>
      <c r="I177" s="12">
        <v>1111</v>
      </c>
      <c r="J177" s="12">
        <v>112111</v>
      </c>
      <c r="K177" s="12" t="s">
        <v>20</v>
      </c>
      <c r="L177" s="12">
        <v>1</v>
      </c>
      <c r="M177" s="17">
        <v>26384827</v>
      </c>
      <c r="N177" s="17">
        <f t="shared" si="16"/>
        <v>26384827</v>
      </c>
      <c r="O177" s="12" t="s">
        <v>21</v>
      </c>
      <c r="P177" s="20">
        <f t="shared" si="19"/>
        <v>126</v>
      </c>
      <c r="Q177" s="20">
        <f t="shared" si="17"/>
        <v>40</v>
      </c>
    </row>
    <row r="178" spans="1:17" ht="15" hidden="1" customHeight="1" x14ac:dyDescent="0.2">
      <c r="A178" s="12" t="s">
        <v>2679</v>
      </c>
      <c r="B178" s="36">
        <v>45999</v>
      </c>
      <c r="C178" s="32">
        <f t="shared" si="18"/>
        <v>307</v>
      </c>
      <c r="D178" s="12">
        <v>1</v>
      </c>
      <c r="E178" s="12"/>
      <c r="F178" s="12"/>
      <c r="G178" s="14" t="s">
        <v>47</v>
      </c>
      <c r="H178" s="32" t="s">
        <v>3583</v>
      </c>
      <c r="I178" s="12">
        <v>112111</v>
      </c>
      <c r="J178" s="12">
        <v>131</v>
      </c>
      <c r="K178" s="12" t="s">
        <v>20</v>
      </c>
      <c r="L178" s="12">
        <v>1</v>
      </c>
      <c r="M178" s="17">
        <v>10645162</v>
      </c>
      <c r="N178" s="17">
        <f t="shared" si="16"/>
        <v>10645162</v>
      </c>
      <c r="O178" s="12" t="s">
        <v>21</v>
      </c>
      <c r="P178" s="20">
        <f t="shared" si="19"/>
        <v>127</v>
      </c>
      <c r="Q178" s="20">
        <f t="shared" si="17"/>
        <v>184</v>
      </c>
    </row>
    <row r="179" spans="1:17" ht="15" hidden="1" customHeight="1" x14ac:dyDescent="0.2">
      <c r="A179" s="12" t="s">
        <v>2679</v>
      </c>
      <c r="B179" s="36">
        <v>45999</v>
      </c>
      <c r="C179" s="32">
        <f t="shared" si="18"/>
        <v>308</v>
      </c>
      <c r="D179" s="12">
        <v>1</v>
      </c>
      <c r="E179" s="12"/>
      <c r="F179" s="12"/>
      <c r="G179" s="14" t="s">
        <v>85</v>
      </c>
      <c r="H179" s="12" t="s">
        <v>3517</v>
      </c>
      <c r="I179" s="12">
        <v>112111</v>
      </c>
      <c r="J179" s="12">
        <v>131</v>
      </c>
      <c r="K179" s="12" t="s">
        <v>20</v>
      </c>
      <c r="L179" s="12">
        <v>1</v>
      </c>
      <c r="M179" s="17">
        <v>30870968</v>
      </c>
      <c r="N179" s="17">
        <f t="shared" si="16"/>
        <v>30870968</v>
      </c>
      <c r="O179" s="12" t="s">
        <v>21</v>
      </c>
      <c r="P179" s="20">
        <f t="shared" si="19"/>
        <v>128</v>
      </c>
      <c r="Q179" s="20">
        <f t="shared" si="17"/>
        <v>131</v>
      </c>
    </row>
    <row r="180" spans="1:17" ht="15" hidden="1" customHeight="1" x14ac:dyDescent="0.2">
      <c r="A180" s="12" t="s">
        <v>2678</v>
      </c>
      <c r="B180" s="36">
        <v>46000</v>
      </c>
      <c r="C180" s="32">
        <f t="shared" si="18"/>
        <v>309</v>
      </c>
      <c r="D180" s="12">
        <v>1</v>
      </c>
      <c r="E180" s="12"/>
      <c r="F180" s="12"/>
      <c r="G180" s="14" t="s">
        <v>84</v>
      </c>
      <c r="H180" s="12" t="s">
        <v>3017</v>
      </c>
      <c r="I180" s="12">
        <v>1111</v>
      </c>
      <c r="J180" s="12">
        <v>112111</v>
      </c>
      <c r="K180" s="12" t="s">
        <v>20</v>
      </c>
      <c r="L180" s="12">
        <v>1</v>
      </c>
      <c r="M180" s="17">
        <v>41516130</v>
      </c>
      <c r="N180" s="17">
        <f t="shared" si="16"/>
        <v>41516130</v>
      </c>
      <c r="O180" s="12" t="s">
        <v>21</v>
      </c>
      <c r="P180" s="20">
        <f t="shared" si="19"/>
        <v>129</v>
      </c>
      <c r="Q180" s="20">
        <f t="shared" si="17"/>
        <v>40</v>
      </c>
    </row>
    <row r="181" spans="1:17" ht="15" hidden="1" customHeight="1" x14ac:dyDescent="0.2">
      <c r="A181" s="12" t="s">
        <v>2679</v>
      </c>
      <c r="B181" s="36">
        <v>46001</v>
      </c>
      <c r="C181" s="32">
        <f t="shared" si="18"/>
        <v>310</v>
      </c>
      <c r="D181" s="12">
        <v>1</v>
      </c>
      <c r="E181" s="12"/>
      <c r="F181" s="12"/>
      <c r="G181" s="14" t="s">
        <v>66</v>
      </c>
      <c r="H181" s="32" t="s">
        <v>3518</v>
      </c>
      <c r="I181" s="12">
        <v>112111</v>
      </c>
      <c r="J181" s="12">
        <v>131</v>
      </c>
      <c r="K181" s="12" t="s">
        <v>20</v>
      </c>
      <c r="L181" s="12">
        <v>1</v>
      </c>
      <c r="M181" s="17">
        <v>15967742</v>
      </c>
      <c r="N181" s="17">
        <f t="shared" si="16"/>
        <v>15967742</v>
      </c>
      <c r="O181" s="12" t="s">
        <v>21</v>
      </c>
      <c r="P181" s="20">
        <f t="shared" si="19"/>
        <v>130</v>
      </c>
      <c r="Q181" s="20">
        <f t="shared" si="17"/>
        <v>175</v>
      </c>
    </row>
    <row r="182" spans="1:17" ht="15" hidden="1" customHeight="1" x14ac:dyDescent="0.2">
      <c r="A182" s="12" t="s">
        <v>2679</v>
      </c>
      <c r="B182" s="36">
        <v>46002</v>
      </c>
      <c r="C182" s="32">
        <f t="shared" si="18"/>
        <v>311</v>
      </c>
      <c r="D182" s="12">
        <v>1</v>
      </c>
      <c r="E182" s="12"/>
      <c r="F182" s="12"/>
      <c r="G182" s="14" t="s">
        <v>66</v>
      </c>
      <c r="H182" s="32" t="s">
        <v>3525</v>
      </c>
      <c r="I182" s="12">
        <v>112111</v>
      </c>
      <c r="J182" s="12">
        <v>131</v>
      </c>
      <c r="K182" s="12" t="s">
        <v>20</v>
      </c>
      <c r="L182" s="12">
        <v>1</v>
      </c>
      <c r="M182" s="17">
        <v>14903226</v>
      </c>
      <c r="N182" s="17">
        <f t="shared" si="16"/>
        <v>14903226</v>
      </c>
      <c r="O182" s="12" t="s">
        <v>21</v>
      </c>
      <c r="P182" s="20">
        <f t="shared" si="19"/>
        <v>131</v>
      </c>
      <c r="Q182" s="20">
        <f t="shared" si="17"/>
        <v>174</v>
      </c>
    </row>
    <row r="183" spans="1:17" ht="15" hidden="1" customHeight="1" x14ac:dyDescent="0.2">
      <c r="A183" s="12" t="s">
        <v>2679</v>
      </c>
      <c r="B183" s="36">
        <v>46010</v>
      </c>
      <c r="C183" s="32">
        <f t="shared" si="18"/>
        <v>312</v>
      </c>
      <c r="D183" s="12">
        <v>1</v>
      </c>
      <c r="E183" s="12"/>
      <c r="F183" s="12"/>
      <c r="G183" s="14" t="s">
        <v>83</v>
      </c>
      <c r="H183" s="32" t="s">
        <v>3520</v>
      </c>
      <c r="I183" s="12">
        <v>112111</v>
      </c>
      <c r="J183" s="12">
        <v>131</v>
      </c>
      <c r="K183" s="12" t="s">
        <v>20</v>
      </c>
      <c r="L183" s="12">
        <v>1</v>
      </c>
      <c r="M183" s="17">
        <v>14903226</v>
      </c>
      <c r="N183" s="17">
        <f t="shared" si="16"/>
        <v>14903226</v>
      </c>
      <c r="O183" s="12" t="s">
        <v>21</v>
      </c>
      <c r="P183" s="20">
        <f t="shared" si="19"/>
        <v>132</v>
      </c>
      <c r="Q183" s="20">
        <f t="shared" si="17"/>
        <v>127</v>
      </c>
    </row>
    <row r="184" spans="1:17" ht="15" hidden="1" customHeight="1" x14ac:dyDescent="0.2">
      <c r="A184" s="12" t="s">
        <v>2679</v>
      </c>
      <c r="B184" s="36">
        <v>46015</v>
      </c>
      <c r="C184" s="32">
        <f t="shared" si="18"/>
        <v>313</v>
      </c>
      <c r="D184" s="12">
        <v>1</v>
      </c>
      <c r="E184" s="12"/>
      <c r="F184" s="12"/>
      <c r="G184" s="14" t="s">
        <v>47</v>
      </c>
      <c r="H184" s="32" t="s">
        <v>3521</v>
      </c>
      <c r="I184" s="12">
        <v>112111</v>
      </c>
      <c r="J184" s="12">
        <v>131</v>
      </c>
      <c r="K184" s="12" t="s">
        <v>20</v>
      </c>
      <c r="L184" s="12">
        <v>1</v>
      </c>
      <c r="M184" s="17">
        <v>18629032</v>
      </c>
      <c r="N184" s="17">
        <f t="shared" si="16"/>
        <v>18629032</v>
      </c>
      <c r="O184" s="12" t="s">
        <v>21</v>
      </c>
      <c r="P184" s="20">
        <f t="shared" si="19"/>
        <v>133</v>
      </c>
      <c r="Q184" s="20">
        <f t="shared" si="17"/>
        <v>198</v>
      </c>
    </row>
    <row r="185" spans="1:17" ht="15" hidden="1" customHeight="1" x14ac:dyDescent="0.2">
      <c r="A185" s="12" t="s">
        <v>2679</v>
      </c>
      <c r="B185" s="36">
        <v>46016</v>
      </c>
      <c r="C185" s="32">
        <f t="shared" si="18"/>
        <v>314</v>
      </c>
      <c r="D185" s="12">
        <v>1</v>
      </c>
      <c r="E185" s="12"/>
      <c r="F185" s="12"/>
      <c r="G185" s="14" t="s">
        <v>66</v>
      </c>
      <c r="H185" s="20" t="s">
        <v>3522</v>
      </c>
      <c r="I185" s="12">
        <v>112111</v>
      </c>
      <c r="J185" s="12">
        <v>131</v>
      </c>
      <c r="K185" s="12" t="s">
        <v>20</v>
      </c>
      <c r="L185" s="12">
        <v>1</v>
      </c>
      <c r="M185" s="17">
        <v>15967742</v>
      </c>
      <c r="N185" s="17">
        <f t="shared" si="16"/>
        <v>15967742</v>
      </c>
      <c r="O185" s="12" t="s">
        <v>21</v>
      </c>
      <c r="P185" s="20">
        <f t="shared" si="19"/>
        <v>134</v>
      </c>
      <c r="Q185" s="20">
        <f t="shared" si="17"/>
        <v>185</v>
      </c>
    </row>
    <row r="186" spans="1:17" ht="15" hidden="1" customHeight="1" x14ac:dyDescent="0.2">
      <c r="A186" s="12" t="s">
        <v>2679</v>
      </c>
      <c r="B186" s="36">
        <v>46018</v>
      </c>
      <c r="C186" s="32">
        <f t="shared" si="18"/>
        <v>315</v>
      </c>
      <c r="D186" s="12">
        <v>1</v>
      </c>
      <c r="E186" s="12"/>
      <c r="F186" s="12"/>
      <c r="G186" s="14" t="s">
        <v>2680</v>
      </c>
      <c r="H186" s="12" t="s">
        <v>2687</v>
      </c>
      <c r="I186" s="12">
        <v>112111</v>
      </c>
      <c r="J186" s="12">
        <v>5154</v>
      </c>
      <c r="K186" s="12" t="s">
        <v>20</v>
      </c>
      <c r="L186" s="12">
        <v>1</v>
      </c>
      <c r="M186" s="17">
        <v>1262</v>
      </c>
      <c r="N186" s="17">
        <f t="shared" si="16"/>
        <v>1262</v>
      </c>
      <c r="O186" s="12" t="s">
        <v>21</v>
      </c>
      <c r="P186" s="20">
        <f t="shared" si="19"/>
        <v>135</v>
      </c>
      <c r="Q186" s="20">
        <f t="shared" si="17"/>
        <v>12</v>
      </c>
    </row>
    <row r="187" spans="1:17" ht="15" hidden="1" customHeight="1" x14ac:dyDescent="0.2">
      <c r="A187" s="12" t="s">
        <v>2678</v>
      </c>
      <c r="B187" s="36">
        <v>46020</v>
      </c>
      <c r="C187" s="32">
        <f t="shared" si="18"/>
        <v>316</v>
      </c>
      <c r="D187" s="12">
        <v>1</v>
      </c>
      <c r="E187" s="12"/>
      <c r="F187" s="12"/>
      <c r="G187" s="14" t="s">
        <v>84</v>
      </c>
      <c r="H187" s="12" t="s">
        <v>3017</v>
      </c>
      <c r="I187" s="12">
        <v>1111</v>
      </c>
      <c r="J187" s="12">
        <v>112111</v>
      </c>
      <c r="K187" s="12" t="s">
        <v>20</v>
      </c>
      <c r="L187" s="12">
        <v>1</v>
      </c>
      <c r="M187" s="17">
        <v>80000000</v>
      </c>
      <c r="N187" s="17">
        <f t="shared" si="16"/>
        <v>80000000</v>
      </c>
      <c r="O187" s="12" t="s">
        <v>21</v>
      </c>
      <c r="P187" s="20">
        <f t="shared" si="19"/>
        <v>136</v>
      </c>
      <c r="Q187" s="20">
        <f t="shared" si="17"/>
        <v>40</v>
      </c>
    </row>
    <row r="188" spans="1:17" ht="15" hidden="1" customHeight="1" x14ac:dyDescent="0.2">
      <c r="A188" s="12" t="s">
        <v>2679</v>
      </c>
      <c r="B188" s="36">
        <v>46020</v>
      </c>
      <c r="C188" s="32">
        <f t="shared" si="18"/>
        <v>317</v>
      </c>
      <c r="D188" s="12">
        <v>1</v>
      </c>
      <c r="E188" s="12"/>
      <c r="F188" s="12"/>
      <c r="G188" s="14" t="s">
        <v>47</v>
      </c>
      <c r="H188" s="20" t="s">
        <v>3523</v>
      </c>
      <c r="I188" s="12">
        <v>112111</v>
      </c>
      <c r="J188" s="12">
        <v>131</v>
      </c>
      <c r="K188" s="12" t="s">
        <v>20</v>
      </c>
      <c r="L188" s="12">
        <v>1</v>
      </c>
      <c r="M188" s="17">
        <v>13306452</v>
      </c>
      <c r="N188" s="17">
        <f t="shared" si="16"/>
        <v>13306452</v>
      </c>
      <c r="O188" s="12" t="s">
        <v>21</v>
      </c>
      <c r="P188" s="20">
        <f t="shared" si="19"/>
        <v>137</v>
      </c>
      <c r="Q188" s="20">
        <f t="shared" si="17"/>
        <v>176</v>
      </c>
    </row>
    <row r="189" spans="1:17" ht="15" hidden="1" customHeight="1" x14ac:dyDescent="0.2">
      <c r="A189" s="20" t="s">
        <v>2719</v>
      </c>
      <c r="B189" s="63">
        <v>45931</v>
      </c>
      <c r="C189" s="32">
        <f t="shared" si="18"/>
        <v>318</v>
      </c>
      <c r="D189" s="20">
        <v>1</v>
      </c>
      <c r="F189" s="20"/>
      <c r="G189" s="32" t="s">
        <v>1846</v>
      </c>
      <c r="H189" s="32" t="s">
        <v>3531</v>
      </c>
      <c r="I189" s="20">
        <v>331</v>
      </c>
      <c r="J189" s="20">
        <v>1111</v>
      </c>
      <c r="K189" s="20" t="s">
        <v>20</v>
      </c>
      <c r="L189" s="20">
        <v>1</v>
      </c>
      <c r="M189" s="34">
        <v>204000</v>
      </c>
      <c r="N189" s="34">
        <f t="shared" si="16"/>
        <v>204000</v>
      </c>
      <c r="O189" s="12" t="s">
        <v>21</v>
      </c>
      <c r="P189" s="20">
        <f t="shared" ref="P189:P224" si="22">P188+D189</f>
        <v>138</v>
      </c>
      <c r="Q189" s="20">
        <f t="shared" si="17"/>
        <v>38</v>
      </c>
    </row>
    <row r="190" spans="1:17" ht="15" hidden="1" customHeight="1" x14ac:dyDescent="0.2">
      <c r="A190" s="20" t="s">
        <v>2719</v>
      </c>
      <c r="B190" s="63">
        <v>45932</v>
      </c>
      <c r="C190" s="32">
        <f t="shared" si="18"/>
        <v>319</v>
      </c>
      <c r="D190" s="20">
        <v>1</v>
      </c>
      <c r="F190" s="20"/>
      <c r="G190" s="32" t="s">
        <v>74</v>
      </c>
      <c r="H190" s="32" t="s">
        <v>3532</v>
      </c>
      <c r="I190" s="20">
        <v>331</v>
      </c>
      <c r="J190" s="20">
        <v>1111</v>
      </c>
      <c r="K190" s="20" t="s">
        <v>20</v>
      </c>
      <c r="L190" s="20">
        <v>1</v>
      </c>
      <c r="M190" s="34">
        <v>905040</v>
      </c>
      <c r="N190" s="34">
        <f t="shared" si="16"/>
        <v>905040</v>
      </c>
      <c r="O190" s="12" t="s">
        <v>21</v>
      </c>
      <c r="P190" s="20">
        <f t="shared" si="22"/>
        <v>139</v>
      </c>
      <c r="Q190" s="20">
        <f t="shared" si="17"/>
        <v>52</v>
      </c>
    </row>
    <row r="191" spans="1:17" ht="15" hidden="1" customHeight="1" x14ac:dyDescent="0.2">
      <c r="A191" s="20" t="s">
        <v>2719</v>
      </c>
      <c r="B191" s="63">
        <v>45934</v>
      </c>
      <c r="C191" s="32">
        <f t="shared" si="18"/>
        <v>320</v>
      </c>
      <c r="D191" s="20">
        <v>1</v>
      </c>
      <c r="F191" s="20"/>
      <c r="G191" s="32" t="s">
        <v>37</v>
      </c>
      <c r="H191" s="32" t="s">
        <v>3533</v>
      </c>
      <c r="I191" s="20">
        <v>331</v>
      </c>
      <c r="J191" s="20">
        <v>1111</v>
      </c>
      <c r="K191" s="20" t="s">
        <v>20</v>
      </c>
      <c r="L191" s="20">
        <v>1</v>
      </c>
      <c r="M191" s="34">
        <v>3240000</v>
      </c>
      <c r="N191" s="34">
        <f t="shared" si="16"/>
        <v>3240000</v>
      </c>
      <c r="O191" s="12" t="s">
        <v>21</v>
      </c>
      <c r="P191" s="20">
        <f t="shared" si="22"/>
        <v>140</v>
      </c>
      <c r="Q191" s="20">
        <f t="shared" si="17"/>
        <v>53</v>
      </c>
    </row>
    <row r="192" spans="1:17" ht="15" hidden="1" customHeight="1" x14ac:dyDescent="0.2">
      <c r="A192" s="20" t="s">
        <v>2719</v>
      </c>
      <c r="B192" s="63">
        <v>45935</v>
      </c>
      <c r="C192" s="32">
        <f t="shared" si="18"/>
        <v>321</v>
      </c>
      <c r="D192" s="20">
        <v>1</v>
      </c>
      <c r="F192" s="20"/>
      <c r="G192" s="32" t="s">
        <v>1847</v>
      </c>
      <c r="H192" s="32" t="s">
        <v>3534</v>
      </c>
      <c r="I192" s="20">
        <v>331</v>
      </c>
      <c r="J192" s="20">
        <v>1111</v>
      </c>
      <c r="K192" s="20" t="s">
        <v>20</v>
      </c>
      <c r="L192" s="20">
        <v>1</v>
      </c>
      <c r="M192" s="34">
        <v>549990</v>
      </c>
      <c r="N192" s="34">
        <f t="shared" si="16"/>
        <v>549990</v>
      </c>
      <c r="O192" s="12" t="s">
        <v>21</v>
      </c>
      <c r="P192" s="20">
        <f t="shared" si="22"/>
        <v>141</v>
      </c>
      <c r="Q192" s="20">
        <f t="shared" si="17"/>
        <v>52</v>
      </c>
    </row>
    <row r="193" spans="1:17" ht="15" hidden="1" customHeight="1" x14ac:dyDescent="0.2">
      <c r="A193" s="20" t="s">
        <v>2719</v>
      </c>
      <c r="B193" s="63">
        <v>45941</v>
      </c>
      <c r="C193" s="32">
        <f t="shared" si="18"/>
        <v>322</v>
      </c>
      <c r="D193" s="20">
        <v>1</v>
      </c>
      <c r="F193" s="20"/>
      <c r="G193" s="32" t="s">
        <v>76</v>
      </c>
      <c r="H193" s="32" t="s">
        <v>3535</v>
      </c>
      <c r="I193" s="20">
        <v>331</v>
      </c>
      <c r="J193" s="20">
        <v>1111</v>
      </c>
      <c r="K193" s="20" t="s">
        <v>20</v>
      </c>
      <c r="L193" s="20">
        <v>1</v>
      </c>
      <c r="M193" s="34">
        <v>394200</v>
      </c>
      <c r="N193" s="34">
        <f t="shared" si="16"/>
        <v>394200</v>
      </c>
      <c r="O193" s="12" t="s">
        <v>21</v>
      </c>
      <c r="P193" s="20">
        <f t="shared" si="22"/>
        <v>142</v>
      </c>
      <c r="Q193" s="20">
        <f t="shared" si="17"/>
        <v>53</v>
      </c>
    </row>
    <row r="194" spans="1:17" ht="15" hidden="1" customHeight="1" x14ac:dyDescent="0.2">
      <c r="A194" s="20" t="s">
        <v>2719</v>
      </c>
      <c r="B194" s="63">
        <v>45943</v>
      </c>
      <c r="C194" s="32">
        <f t="shared" si="18"/>
        <v>323</v>
      </c>
      <c r="D194" s="20">
        <v>1</v>
      </c>
      <c r="F194" s="20"/>
      <c r="G194" s="32" t="s">
        <v>28</v>
      </c>
      <c r="H194" s="32" t="s">
        <v>3536</v>
      </c>
      <c r="I194" s="20">
        <v>331</v>
      </c>
      <c r="J194" s="20">
        <v>1111</v>
      </c>
      <c r="K194" s="20" t="s">
        <v>20</v>
      </c>
      <c r="L194" s="20">
        <v>1</v>
      </c>
      <c r="M194" s="34">
        <v>582120</v>
      </c>
      <c r="N194" s="34">
        <f t="shared" si="16"/>
        <v>582120</v>
      </c>
      <c r="O194" s="12" t="s">
        <v>21</v>
      </c>
      <c r="P194" s="20">
        <f t="shared" si="22"/>
        <v>143</v>
      </c>
      <c r="Q194" s="20">
        <f t="shared" si="17"/>
        <v>53</v>
      </c>
    </row>
    <row r="195" spans="1:17" ht="15" hidden="1" customHeight="1" x14ac:dyDescent="0.2">
      <c r="A195" s="20" t="s">
        <v>2719</v>
      </c>
      <c r="B195" s="63">
        <v>45947</v>
      </c>
      <c r="C195" s="32">
        <f t="shared" si="18"/>
        <v>324</v>
      </c>
      <c r="D195" s="20">
        <v>1</v>
      </c>
      <c r="F195" s="20"/>
      <c r="G195" s="32" t="s">
        <v>1001</v>
      </c>
      <c r="H195" s="32" t="s">
        <v>3537</v>
      </c>
      <c r="I195" s="20">
        <v>331</v>
      </c>
      <c r="J195" s="20">
        <v>1111</v>
      </c>
      <c r="K195" s="20" t="s">
        <v>20</v>
      </c>
      <c r="L195" s="20">
        <v>1</v>
      </c>
      <c r="M195" s="34">
        <v>1169960</v>
      </c>
      <c r="N195" s="34">
        <f t="shared" si="16"/>
        <v>1169960</v>
      </c>
      <c r="O195" s="12" t="s">
        <v>21</v>
      </c>
      <c r="P195" s="20">
        <f t="shared" si="22"/>
        <v>144</v>
      </c>
      <c r="Q195" s="20">
        <f t="shared" si="17"/>
        <v>52</v>
      </c>
    </row>
    <row r="196" spans="1:17" ht="15" hidden="1" customHeight="1" x14ac:dyDescent="0.2">
      <c r="A196" s="20" t="s">
        <v>2719</v>
      </c>
      <c r="B196" s="63">
        <v>45947</v>
      </c>
      <c r="C196" s="32">
        <f t="shared" si="18"/>
        <v>325</v>
      </c>
      <c r="D196" s="20">
        <v>1</v>
      </c>
      <c r="F196" s="20"/>
      <c r="G196" s="32" t="s">
        <v>1353</v>
      </c>
      <c r="H196" s="32" t="s">
        <v>3538</v>
      </c>
      <c r="I196" s="20">
        <v>331</v>
      </c>
      <c r="J196" s="20">
        <v>1111</v>
      </c>
      <c r="K196" s="20" t="s">
        <v>20</v>
      </c>
      <c r="L196" s="20">
        <v>1</v>
      </c>
      <c r="M196" s="34">
        <v>3571000</v>
      </c>
      <c r="N196" s="34">
        <f t="shared" si="16"/>
        <v>3571000</v>
      </c>
      <c r="O196" s="12" t="s">
        <v>21</v>
      </c>
      <c r="P196" s="20">
        <f t="shared" si="22"/>
        <v>145</v>
      </c>
      <c r="Q196" s="20">
        <f t="shared" si="17"/>
        <v>49</v>
      </c>
    </row>
    <row r="197" spans="1:17" ht="15" hidden="1" customHeight="1" x14ac:dyDescent="0.2">
      <c r="A197" s="20" t="s">
        <v>2719</v>
      </c>
      <c r="B197" s="63">
        <v>45949</v>
      </c>
      <c r="C197" s="32">
        <f t="shared" si="18"/>
        <v>326</v>
      </c>
      <c r="D197" s="20">
        <v>1</v>
      </c>
      <c r="F197" s="20"/>
      <c r="G197" s="32" t="s">
        <v>76</v>
      </c>
      <c r="H197" s="32" t="s">
        <v>3539</v>
      </c>
      <c r="I197" s="20">
        <v>331</v>
      </c>
      <c r="J197" s="20">
        <v>1111</v>
      </c>
      <c r="K197" s="20" t="s">
        <v>20</v>
      </c>
      <c r="L197" s="20">
        <v>1</v>
      </c>
      <c r="M197" s="34">
        <v>574560</v>
      </c>
      <c r="N197" s="34">
        <f t="shared" ref="N197:N224" si="23">L197*M197</f>
        <v>574560</v>
      </c>
      <c r="O197" s="12" t="s">
        <v>21</v>
      </c>
      <c r="P197" s="20">
        <f t="shared" si="22"/>
        <v>146</v>
      </c>
      <c r="Q197" s="20">
        <f t="shared" ref="Q197:Q227" si="24">LEN(H197)</f>
        <v>53</v>
      </c>
    </row>
    <row r="198" spans="1:17" ht="15" hidden="1" customHeight="1" x14ac:dyDescent="0.2">
      <c r="A198" s="20" t="s">
        <v>2719</v>
      </c>
      <c r="B198" s="63">
        <v>45958</v>
      </c>
      <c r="C198" s="32">
        <f t="shared" ref="C198:C224" si="25">C197+D198</f>
        <v>327</v>
      </c>
      <c r="D198" s="20">
        <v>1</v>
      </c>
      <c r="F198" s="20"/>
      <c r="G198" s="32" t="s">
        <v>61</v>
      </c>
      <c r="H198" s="32" t="s">
        <v>3540</v>
      </c>
      <c r="I198" s="20">
        <v>331</v>
      </c>
      <c r="J198" s="20">
        <v>1111</v>
      </c>
      <c r="K198" s="20" t="s">
        <v>20</v>
      </c>
      <c r="L198" s="20">
        <v>1</v>
      </c>
      <c r="M198" s="34">
        <v>513000</v>
      </c>
      <c r="N198" s="34">
        <f t="shared" si="23"/>
        <v>513000</v>
      </c>
      <c r="O198" s="12" t="s">
        <v>21</v>
      </c>
      <c r="P198" s="20">
        <f t="shared" si="22"/>
        <v>147</v>
      </c>
      <c r="Q198" s="20">
        <f t="shared" si="24"/>
        <v>53</v>
      </c>
    </row>
    <row r="199" spans="1:17" ht="15" hidden="1" customHeight="1" x14ac:dyDescent="0.2">
      <c r="A199" s="20" t="s">
        <v>2719</v>
      </c>
      <c r="B199" s="63">
        <v>45959</v>
      </c>
      <c r="C199" s="32">
        <f t="shared" si="25"/>
        <v>328</v>
      </c>
      <c r="D199" s="20">
        <v>1</v>
      </c>
      <c r="F199" s="20"/>
      <c r="G199" s="32" t="s">
        <v>1848</v>
      </c>
      <c r="H199" s="32" t="s">
        <v>3541</v>
      </c>
      <c r="I199" s="20">
        <v>331</v>
      </c>
      <c r="J199" s="20">
        <v>1111</v>
      </c>
      <c r="K199" s="20" t="s">
        <v>20</v>
      </c>
      <c r="L199" s="20">
        <v>1</v>
      </c>
      <c r="M199" s="34">
        <v>535248</v>
      </c>
      <c r="N199" s="34">
        <f t="shared" si="23"/>
        <v>535248</v>
      </c>
      <c r="O199" s="12" t="s">
        <v>21</v>
      </c>
      <c r="P199" s="20">
        <f t="shared" si="22"/>
        <v>148</v>
      </c>
      <c r="Q199" s="20">
        <f t="shared" si="24"/>
        <v>53</v>
      </c>
    </row>
    <row r="200" spans="1:17" ht="15" hidden="1" customHeight="1" x14ac:dyDescent="0.2">
      <c r="A200" s="20" t="s">
        <v>2719</v>
      </c>
      <c r="B200" s="63">
        <v>45960</v>
      </c>
      <c r="C200" s="32">
        <f t="shared" si="25"/>
        <v>329</v>
      </c>
      <c r="D200" s="20">
        <v>1</v>
      </c>
      <c r="F200" s="20"/>
      <c r="G200" s="32" t="s">
        <v>37</v>
      </c>
      <c r="H200" s="32" t="s">
        <v>3542</v>
      </c>
      <c r="I200" s="20">
        <v>331</v>
      </c>
      <c r="J200" s="20">
        <v>1111</v>
      </c>
      <c r="K200" s="20" t="s">
        <v>20</v>
      </c>
      <c r="L200" s="20">
        <v>1</v>
      </c>
      <c r="M200" s="34">
        <v>3240000</v>
      </c>
      <c r="N200" s="34">
        <f t="shared" si="23"/>
        <v>3240000</v>
      </c>
      <c r="O200" s="12" t="s">
        <v>21</v>
      </c>
      <c r="P200" s="20">
        <f t="shared" si="22"/>
        <v>149</v>
      </c>
      <c r="Q200" s="20">
        <f t="shared" si="24"/>
        <v>53</v>
      </c>
    </row>
    <row r="201" spans="1:17" ht="15" hidden="1" customHeight="1" x14ac:dyDescent="0.2">
      <c r="A201" s="20" t="s">
        <v>2719</v>
      </c>
      <c r="B201" s="63">
        <v>45961</v>
      </c>
      <c r="C201" s="32">
        <f t="shared" si="25"/>
        <v>330</v>
      </c>
      <c r="D201" s="20">
        <v>1</v>
      </c>
      <c r="F201" s="20"/>
      <c r="G201" s="32" t="s">
        <v>77</v>
      </c>
      <c r="H201" s="32" t="s">
        <v>3543</v>
      </c>
      <c r="I201" s="20">
        <v>331</v>
      </c>
      <c r="J201" s="20">
        <v>1111</v>
      </c>
      <c r="K201" s="20" t="s">
        <v>20</v>
      </c>
      <c r="L201" s="20">
        <v>1</v>
      </c>
      <c r="M201" s="34">
        <v>8899994</v>
      </c>
      <c r="N201" s="34">
        <f t="shared" si="23"/>
        <v>8899994</v>
      </c>
      <c r="O201" s="12" t="s">
        <v>21</v>
      </c>
      <c r="P201" s="20">
        <f t="shared" si="22"/>
        <v>150</v>
      </c>
      <c r="Q201" s="20">
        <f t="shared" si="24"/>
        <v>47</v>
      </c>
    </row>
    <row r="202" spans="1:17" ht="15" hidden="1" customHeight="1" x14ac:dyDescent="0.2">
      <c r="A202" s="20" t="s">
        <v>2719</v>
      </c>
      <c r="B202" s="63">
        <v>45965</v>
      </c>
      <c r="C202" s="32">
        <f t="shared" si="25"/>
        <v>331</v>
      </c>
      <c r="D202" s="20">
        <v>1</v>
      </c>
      <c r="F202" s="20"/>
      <c r="G202" s="32" t="s">
        <v>1849</v>
      </c>
      <c r="H202" s="32" t="s">
        <v>3544</v>
      </c>
      <c r="I202" s="20">
        <v>331</v>
      </c>
      <c r="J202" s="20">
        <v>1111</v>
      </c>
      <c r="K202" s="20" t="s">
        <v>20</v>
      </c>
      <c r="L202" s="20">
        <v>1</v>
      </c>
      <c r="M202" s="34">
        <v>2771050</v>
      </c>
      <c r="N202" s="34">
        <f t="shared" si="23"/>
        <v>2771050</v>
      </c>
      <c r="O202" s="12" t="s">
        <v>21</v>
      </c>
      <c r="P202" s="20">
        <f t="shared" si="22"/>
        <v>151</v>
      </c>
      <c r="Q202" s="20">
        <f t="shared" si="24"/>
        <v>49</v>
      </c>
    </row>
    <row r="203" spans="1:17" ht="15" hidden="1" customHeight="1" x14ac:dyDescent="0.2">
      <c r="A203" s="20" t="s">
        <v>2719</v>
      </c>
      <c r="B203" s="63">
        <v>45965</v>
      </c>
      <c r="C203" s="32">
        <f t="shared" si="25"/>
        <v>332</v>
      </c>
      <c r="D203" s="20">
        <v>1</v>
      </c>
      <c r="F203" s="20"/>
      <c r="G203" s="32" t="s">
        <v>1031</v>
      </c>
      <c r="H203" s="32" t="s">
        <v>3545</v>
      </c>
      <c r="I203" s="20">
        <v>331</v>
      </c>
      <c r="J203" s="20">
        <v>1111</v>
      </c>
      <c r="K203" s="20" t="s">
        <v>20</v>
      </c>
      <c r="L203" s="20">
        <v>1</v>
      </c>
      <c r="M203" s="34">
        <v>345600</v>
      </c>
      <c r="N203" s="34">
        <f t="shared" si="23"/>
        <v>345600</v>
      </c>
      <c r="O203" s="12" t="s">
        <v>21</v>
      </c>
      <c r="P203" s="20">
        <f t="shared" si="22"/>
        <v>152</v>
      </c>
      <c r="Q203" s="20">
        <f t="shared" si="24"/>
        <v>53</v>
      </c>
    </row>
    <row r="204" spans="1:17" ht="15" hidden="1" customHeight="1" x14ac:dyDescent="0.2">
      <c r="A204" s="20" t="s">
        <v>2719</v>
      </c>
      <c r="B204" s="63">
        <v>45969</v>
      </c>
      <c r="C204" s="32">
        <f t="shared" si="25"/>
        <v>333</v>
      </c>
      <c r="D204" s="20">
        <v>1</v>
      </c>
      <c r="F204" s="20"/>
      <c r="G204" s="32" t="s">
        <v>76</v>
      </c>
      <c r="H204" s="32" t="s">
        <v>3546</v>
      </c>
      <c r="I204" s="20">
        <v>331</v>
      </c>
      <c r="J204" s="20">
        <v>1111</v>
      </c>
      <c r="K204" s="20" t="s">
        <v>20</v>
      </c>
      <c r="L204" s="20">
        <v>1</v>
      </c>
      <c r="M204" s="34">
        <v>677160</v>
      </c>
      <c r="N204" s="34">
        <f t="shared" si="23"/>
        <v>677160</v>
      </c>
      <c r="O204" s="12" t="s">
        <v>21</v>
      </c>
      <c r="P204" s="20">
        <f t="shared" si="22"/>
        <v>153</v>
      </c>
      <c r="Q204" s="20">
        <f t="shared" si="24"/>
        <v>53</v>
      </c>
    </row>
    <row r="205" spans="1:17" ht="15" hidden="1" customHeight="1" x14ac:dyDescent="0.2">
      <c r="A205" s="20" t="s">
        <v>2719</v>
      </c>
      <c r="B205" s="63">
        <v>45978</v>
      </c>
      <c r="C205" s="32">
        <f t="shared" si="25"/>
        <v>334</v>
      </c>
      <c r="D205" s="20">
        <v>1</v>
      </c>
      <c r="F205" s="20"/>
      <c r="G205" s="32" t="s">
        <v>61</v>
      </c>
      <c r="H205" s="32" t="s">
        <v>3547</v>
      </c>
      <c r="I205" s="20">
        <v>331</v>
      </c>
      <c r="J205" s="20">
        <v>1111</v>
      </c>
      <c r="K205" s="20" t="s">
        <v>20</v>
      </c>
      <c r="L205" s="20">
        <v>1</v>
      </c>
      <c r="M205" s="34">
        <v>514080</v>
      </c>
      <c r="N205" s="34">
        <f t="shared" si="23"/>
        <v>514080</v>
      </c>
      <c r="O205" s="12" t="s">
        <v>21</v>
      </c>
      <c r="P205" s="20">
        <f t="shared" si="22"/>
        <v>154</v>
      </c>
      <c r="Q205" s="20">
        <f t="shared" si="24"/>
        <v>53</v>
      </c>
    </row>
    <row r="206" spans="1:17" ht="15" hidden="1" customHeight="1" x14ac:dyDescent="0.2">
      <c r="A206" s="20" t="s">
        <v>2719</v>
      </c>
      <c r="B206" s="63">
        <v>45980</v>
      </c>
      <c r="C206" s="32">
        <f t="shared" si="25"/>
        <v>335</v>
      </c>
      <c r="D206" s="20">
        <v>1</v>
      </c>
      <c r="F206" s="20"/>
      <c r="G206" s="32" t="s">
        <v>1850</v>
      </c>
      <c r="H206" s="32" t="s">
        <v>3548</v>
      </c>
      <c r="I206" s="20">
        <v>331</v>
      </c>
      <c r="J206" s="20">
        <v>1111</v>
      </c>
      <c r="K206" s="20" t="s">
        <v>20</v>
      </c>
      <c r="L206" s="20">
        <v>1</v>
      </c>
      <c r="M206" s="34">
        <v>963000</v>
      </c>
      <c r="N206" s="34">
        <f t="shared" si="23"/>
        <v>963000</v>
      </c>
      <c r="O206" s="12" t="s">
        <v>21</v>
      </c>
      <c r="P206" s="20">
        <f t="shared" si="22"/>
        <v>155</v>
      </c>
      <c r="Q206" s="20">
        <f t="shared" si="24"/>
        <v>45</v>
      </c>
    </row>
    <row r="207" spans="1:17" ht="15" hidden="1" customHeight="1" x14ac:dyDescent="0.2">
      <c r="A207" s="20" t="s">
        <v>2719</v>
      </c>
      <c r="B207" s="63">
        <v>45981</v>
      </c>
      <c r="C207" s="32">
        <f t="shared" si="25"/>
        <v>336</v>
      </c>
      <c r="D207" s="20">
        <v>1</v>
      </c>
      <c r="F207" s="20"/>
      <c r="G207" s="32" t="s">
        <v>28</v>
      </c>
      <c r="H207" s="32" t="s">
        <v>3549</v>
      </c>
      <c r="I207" s="20">
        <v>331</v>
      </c>
      <c r="J207" s="20">
        <v>1111</v>
      </c>
      <c r="K207" s="20" t="s">
        <v>20</v>
      </c>
      <c r="L207" s="20">
        <v>1</v>
      </c>
      <c r="M207" s="34">
        <v>395280</v>
      </c>
      <c r="N207" s="34">
        <f t="shared" si="23"/>
        <v>395280</v>
      </c>
      <c r="O207" s="12" t="s">
        <v>21</v>
      </c>
      <c r="P207" s="20">
        <f t="shared" si="22"/>
        <v>156</v>
      </c>
      <c r="Q207" s="20">
        <f t="shared" si="24"/>
        <v>52</v>
      </c>
    </row>
    <row r="208" spans="1:17" ht="15" hidden="1" customHeight="1" x14ac:dyDescent="0.2">
      <c r="A208" s="20" t="s">
        <v>2719</v>
      </c>
      <c r="B208" s="63">
        <v>45988</v>
      </c>
      <c r="C208" s="32">
        <f t="shared" si="25"/>
        <v>337</v>
      </c>
      <c r="D208" s="20">
        <v>1</v>
      </c>
      <c r="F208" s="20"/>
      <c r="G208" s="32" t="s">
        <v>120</v>
      </c>
      <c r="H208" s="32" t="s">
        <v>3550</v>
      </c>
      <c r="I208" s="20">
        <v>331</v>
      </c>
      <c r="J208" s="20">
        <v>1111</v>
      </c>
      <c r="K208" s="20" t="s">
        <v>20</v>
      </c>
      <c r="L208" s="20">
        <v>1</v>
      </c>
      <c r="M208" s="34">
        <v>7002000</v>
      </c>
      <c r="N208" s="34">
        <f t="shared" si="23"/>
        <v>7002000</v>
      </c>
      <c r="O208" s="12" t="s">
        <v>21</v>
      </c>
      <c r="P208" s="20">
        <f t="shared" si="22"/>
        <v>157</v>
      </c>
      <c r="Q208" s="20">
        <f t="shared" si="24"/>
        <v>49</v>
      </c>
    </row>
    <row r="209" spans="1:17" ht="15" hidden="1" customHeight="1" x14ac:dyDescent="0.2">
      <c r="A209" s="20" t="s">
        <v>2719</v>
      </c>
      <c r="B209" s="63">
        <v>45989</v>
      </c>
      <c r="C209" s="32">
        <f t="shared" si="25"/>
        <v>338</v>
      </c>
      <c r="D209" s="20">
        <v>1</v>
      </c>
      <c r="F209" s="20"/>
      <c r="G209" s="32" t="s">
        <v>76</v>
      </c>
      <c r="H209" s="32" t="s">
        <v>3551</v>
      </c>
      <c r="I209" s="20">
        <v>331</v>
      </c>
      <c r="J209" s="20">
        <v>1111</v>
      </c>
      <c r="K209" s="20" t="s">
        <v>20</v>
      </c>
      <c r="L209" s="20">
        <v>1</v>
      </c>
      <c r="M209" s="34">
        <v>329400</v>
      </c>
      <c r="N209" s="34">
        <f t="shared" si="23"/>
        <v>329400</v>
      </c>
      <c r="O209" s="12" t="s">
        <v>21</v>
      </c>
      <c r="P209" s="20">
        <f t="shared" si="22"/>
        <v>158</v>
      </c>
      <c r="Q209" s="20">
        <f t="shared" si="24"/>
        <v>53</v>
      </c>
    </row>
    <row r="210" spans="1:17" ht="15" hidden="1" customHeight="1" x14ac:dyDescent="0.2">
      <c r="A210" s="20" t="s">
        <v>2719</v>
      </c>
      <c r="B210" s="63">
        <v>45990</v>
      </c>
      <c r="C210" s="32">
        <f t="shared" si="25"/>
        <v>339</v>
      </c>
      <c r="D210" s="20">
        <v>1</v>
      </c>
      <c r="F210" s="20"/>
      <c r="G210" s="32" t="s">
        <v>1851</v>
      </c>
      <c r="H210" s="32" t="s">
        <v>3552</v>
      </c>
      <c r="I210" s="20">
        <v>331</v>
      </c>
      <c r="J210" s="20">
        <v>1111</v>
      </c>
      <c r="K210" s="20" t="s">
        <v>20</v>
      </c>
      <c r="L210" s="20">
        <v>1</v>
      </c>
      <c r="M210" s="34">
        <v>500000</v>
      </c>
      <c r="N210" s="34">
        <f t="shared" si="23"/>
        <v>500000</v>
      </c>
      <c r="O210" s="12" t="s">
        <v>21</v>
      </c>
      <c r="P210" s="20">
        <f t="shared" si="22"/>
        <v>159</v>
      </c>
      <c r="Q210" s="20">
        <f t="shared" si="24"/>
        <v>48</v>
      </c>
    </row>
    <row r="211" spans="1:17" ht="15" hidden="1" customHeight="1" x14ac:dyDescent="0.2">
      <c r="A211" s="20" t="s">
        <v>2719</v>
      </c>
      <c r="B211" s="63">
        <v>45995</v>
      </c>
      <c r="C211" s="32">
        <f t="shared" si="25"/>
        <v>340</v>
      </c>
      <c r="D211" s="20">
        <v>1</v>
      </c>
      <c r="F211" s="20"/>
      <c r="G211" s="32" t="s">
        <v>37</v>
      </c>
      <c r="H211" s="32" t="s">
        <v>3553</v>
      </c>
      <c r="I211" s="20">
        <v>331</v>
      </c>
      <c r="J211" s="20">
        <v>1111</v>
      </c>
      <c r="K211" s="20" t="s">
        <v>20</v>
      </c>
      <c r="L211" s="20">
        <v>1</v>
      </c>
      <c r="M211" s="34">
        <v>5400000</v>
      </c>
      <c r="N211" s="34">
        <f t="shared" si="23"/>
        <v>5400000</v>
      </c>
      <c r="O211" s="12" t="s">
        <v>21</v>
      </c>
      <c r="P211" s="20">
        <f t="shared" si="22"/>
        <v>160</v>
      </c>
      <c r="Q211" s="20">
        <f t="shared" si="24"/>
        <v>53</v>
      </c>
    </row>
    <row r="212" spans="1:17" ht="15" hidden="1" customHeight="1" x14ac:dyDescent="0.2">
      <c r="A212" s="20" t="s">
        <v>2719</v>
      </c>
      <c r="B212" s="63">
        <v>45997</v>
      </c>
      <c r="C212" s="32">
        <f t="shared" si="25"/>
        <v>341</v>
      </c>
      <c r="D212" s="20">
        <v>1</v>
      </c>
      <c r="F212" s="20"/>
      <c r="G212" s="32" t="s">
        <v>25</v>
      </c>
      <c r="H212" s="32" t="s">
        <v>3554</v>
      </c>
      <c r="I212" s="20">
        <v>331</v>
      </c>
      <c r="J212" s="20">
        <v>1111</v>
      </c>
      <c r="K212" s="20" t="s">
        <v>20</v>
      </c>
      <c r="L212" s="20">
        <v>1</v>
      </c>
      <c r="M212" s="34">
        <v>663120</v>
      </c>
      <c r="N212" s="34">
        <f t="shared" si="23"/>
        <v>663120</v>
      </c>
      <c r="O212" s="12" t="s">
        <v>21</v>
      </c>
      <c r="P212" s="20">
        <f t="shared" si="22"/>
        <v>161</v>
      </c>
      <c r="Q212" s="20">
        <f t="shared" si="24"/>
        <v>55</v>
      </c>
    </row>
    <row r="213" spans="1:17" ht="15" hidden="1" customHeight="1" x14ac:dyDescent="0.2">
      <c r="A213" s="20" t="s">
        <v>2719</v>
      </c>
      <c r="B213" s="63">
        <v>46004</v>
      </c>
      <c r="C213" s="32">
        <f t="shared" si="25"/>
        <v>342</v>
      </c>
      <c r="D213" s="20">
        <v>1</v>
      </c>
      <c r="F213" s="20"/>
      <c r="G213" s="32" t="s">
        <v>1852</v>
      </c>
      <c r="H213" s="32" t="s">
        <v>3555</v>
      </c>
      <c r="I213" s="20">
        <v>331</v>
      </c>
      <c r="J213" s="20">
        <v>1111</v>
      </c>
      <c r="K213" s="20" t="s">
        <v>20</v>
      </c>
      <c r="L213" s="20">
        <v>1</v>
      </c>
      <c r="M213" s="34">
        <v>687960</v>
      </c>
      <c r="N213" s="34">
        <f t="shared" si="23"/>
        <v>687960</v>
      </c>
      <c r="O213" s="12" t="s">
        <v>21</v>
      </c>
      <c r="P213" s="20">
        <f t="shared" si="22"/>
        <v>162</v>
      </c>
      <c r="Q213" s="20">
        <f t="shared" si="24"/>
        <v>53</v>
      </c>
    </row>
    <row r="214" spans="1:17" ht="15" hidden="1" customHeight="1" x14ac:dyDescent="0.2">
      <c r="A214" s="20" t="s">
        <v>2719</v>
      </c>
      <c r="B214" s="63">
        <v>46004</v>
      </c>
      <c r="C214" s="32">
        <f t="shared" si="25"/>
        <v>343</v>
      </c>
      <c r="D214" s="20">
        <v>1</v>
      </c>
      <c r="F214" s="20"/>
      <c r="G214" s="32" t="s">
        <v>120</v>
      </c>
      <c r="H214" s="32" t="s">
        <v>3556</v>
      </c>
      <c r="I214" s="20">
        <v>331</v>
      </c>
      <c r="J214" s="20">
        <v>1111</v>
      </c>
      <c r="K214" s="20" t="s">
        <v>20</v>
      </c>
      <c r="L214" s="20">
        <v>1</v>
      </c>
      <c r="M214" s="34">
        <v>3770998</v>
      </c>
      <c r="N214" s="34">
        <f t="shared" si="23"/>
        <v>3770998</v>
      </c>
      <c r="O214" s="12" t="s">
        <v>21</v>
      </c>
      <c r="P214" s="20">
        <f t="shared" si="22"/>
        <v>163</v>
      </c>
      <c r="Q214" s="20">
        <f t="shared" si="24"/>
        <v>50</v>
      </c>
    </row>
    <row r="215" spans="1:17" ht="15" hidden="1" customHeight="1" x14ac:dyDescent="0.2">
      <c r="A215" s="20" t="s">
        <v>2719</v>
      </c>
      <c r="B215" s="63">
        <v>46009</v>
      </c>
      <c r="C215" s="32">
        <f t="shared" si="25"/>
        <v>344</v>
      </c>
      <c r="D215" s="20">
        <v>1</v>
      </c>
      <c r="F215" s="20"/>
      <c r="G215" s="32" t="s">
        <v>139</v>
      </c>
      <c r="H215" s="32" t="s">
        <v>3557</v>
      </c>
      <c r="I215" s="20">
        <v>331</v>
      </c>
      <c r="J215" s="20">
        <v>1111</v>
      </c>
      <c r="K215" s="20" t="s">
        <v>20</v>
      </c>
      <c r="L215" s="20">
        <v>1</v>
      </c>
      <c r="M215" s="34">
        <v>2300000</v>
      </c>
      <c r="N215" s="34">
        <f t="shared" si="23"/>
        <v>2300000</v>
      </c>
      <c r="O215" s="12" t="s">
        <v>21</v>
      </c>
      <c r="P215" s="20">
        <f t="shared" si="22"/>
        <v>164</v>
      </c>
      <c r="Q215" s="20">
        <f t="shared" si="24"/>
        <v>47</v>
      </c>
    </row>
    <row r="216" spans="1:17" ht="15" hidden="1" customHeight="1" x14ac:dyDescent="0.2">
      <c r="A216" s="20" t="s">
        <v>2719</v>
      </c>
      <c r="B216" s="63">
        <v>46010</v>
      </c>
      <c r="C216" s="32">
        <f t="shared" si="25"/>
        <v>345</v>
      </c>
      <c r="D216" s="20">
        <v>1</v>
      </c>
      <c r="F216" s="20"/>
      <c r="G216" s="32" t="s">
        <v>1853</v>
      </c>
      <c r="H216" s="32" t="s">
        <v>3558</v>
      </c>
      <c r="I216" s="20">
        <v>331</v>
      </c>
      <c r="J216" s="20">
        <v>1111</v>
      </c>
      <c r="K216" s="20" t="s">
        <v>20</v>
      </c>
      <c r="L216" s="20">
        <v>1</v>
      </c>
      <c r="M216" s="34">
        <v>1236060</v>
      </c>
      <c r="N216" s="34">
        <f t="shared" si="23"/>
        <v>1236060</v>
      </c>
      <c r="O216" s="12" t="s">
        <v>21</v>
      </c>
      <c r="P216" s="20">
        <f t="shared" si="22"/>
        <v>165</v>
      </c>
      <c r="Q216" s="20">
        <f t="shared" si="24"/>
        <v>52</v>
      </c>
    </row>
    <row r="217" spans="1:17" ht="15" hidden="1" customHeight="1" x14ac:dyDescent="0.2">
      <c r="A217" s="20" t="s">
        <v>2719</v>
      </c>
      <c r="B217" s="63">
        <v>46011</v>
      </c>
      <c r="C217" s="32">
        <f t="shared" si="25"/>
        <v>346</v>
      </c>
      <c r="D217" s="20">
        <v>1</v>
      </c>
      <c r="F217" s="20"/>
      <c r="G217" s="32" t="s">
        <v>28</v>
      </c>
      <c r="H217" s="32" t="s">
        <v>3559</v>
      </c>
      <c r="I217" s="20">
        <v>331</v>
      </c>
      <c r="J217" s="20">
        <v>1111</v>
      </c>
      <c r="K217" s="20" t="s">
        <v>20</v>
      </c>
      <c r="L217" s="20">
        <v>1</v>
      </c>
      <c r="M217" s="34">
        <v>1605960</v>
      </c>
      <c r="N217" s="34">
        <f t="shared" si="23"/>
        <v>1605960</v>
      </c>
      <c r="O217" s="12" t="s">
        <v>21</v>
      </c>
      <c r="P217" s="20">
        <f t="shared" si="22"/>
        <v>166</v>
      </c>
      <c r="Q217" s="20">
        <f t="shared" si="24"/>
        <v>53</v>
      </c>
    </row>
    <row r="218" spans="1:17" ht="15" hidden="1" customHeight="1" x14ac:dyDescent="0.2">
      <c r="A218" s="20" t="s">
        <v>2719</v>
      </c>
      <c r="B218" s="63">
        <v>46018</v>
      </c>
      <c r="C218" s="32">
        <f t="shared" si="25"/>
        <v>347</v>
      </c>
      <c r="D218" s="20">
        <v>1</v>
      </c>
      <c r="F218" s="20"/>
      <c r="G218" s="32" t="s">
        <v>78</v>
      </c>
      <c r="H218" s="32" t="s">
        <v>3560</v>
      </c>
      <c r="I218" s="20">
        <v>331</v>
      </c>
      <c r="J218" s="20">
        <v>1111</v>
      </c>
      <c r="K218" s="20" t="s">
        <v>20</v>
      </c>
      <c r="L218" s="20">
        <v>1</v>
      </c>
      <c r="M218" s="34">
        <v>33891391</v>
      </c>
      <c r="N218" s="34">
        <f t="shared" si="23"/>
        <v>33891391</v>
      </c>
      <c r="O218" s="12" t="s">
        <v>21</v>
      </c>
      <c r="P218" s="20">
        <f t="shared" si="22"/>
        <v>167</v>
      </c>
      <c r="Q218" s="20">
        <f t="shared" si="24"/>
        <v>48</v>
      </c>
    </row>
    <row r="219" spans="1:17" ht="15" hidden="1" customHeight="1" x14ac:dyDescent="0.2">
      <c r="A219" s="20" t="s">
        <v>2719</v>
      </c>
      <c r="B219" s="63">
        <v>46018</v>
      </c>
      <c r="C219" s="32">
        <f t="shared" si="25"/>
        <v>348</v>
      </c>
      <c r="D219" s="20">
        <v>1</v>
      </c>
      <c r="F219" s="20"/>
      <c r="G219" s="32" t="s">
        <v>52</v>
      </c>
      <c r="H219" s="32" t="s">
        <v>3561</v>
      </c>
      <c r="I219" s="20">
        <v>331</v>
      </c>
      <c r="J219" s="20">
        <v>1111</v>
      </c>
      <c r="K219" s="20" t="s">
        <v>20</v>
      </c>
      <c r="L219" s="20">
        <v>1</v>
      </c>
      <c r="M219" s="34">
        <v>220320</v>
      </c>
      <c r="N219" s="34">
        <f t="shared" si="23"/>
        <v>220320</v>
      </c>
      <c r="O219" s="12" t="s">
        <v>21</v>
      </c>
      <c r="P219" s="20">
        <f t="shared" si="22"/>
        <v>168</v>
      </c>
      <c r="Q219" s="20">
        <f t="shared" si="24"/>
        <v>53</v>
      </c>
    </row>
    <row r="220" spans="1:17" ht="15" hidden="1" customHeight="1" x14ac:dyDescent="0.2">
      <c r="A220" s="20" t="s">
        <v>2719</v>
      </c>
      <c r="B220" s="63" t="s">
        <v>2561</v>
      </c>
      <c r="C220" s="32">
        <f t="shared" si="25"/>
        <v>349</v>
      </c>
      <c r="D220" s="20">
        <v>1</v>
      </c>
      <c r="F220" s="20"/>
      <c r="G220" s="32" t="s">
        <v>75</v>
      </c>
      <c r="H220" s="32" t="s">
        <v>3562</v>
      </c>
      <c r="I220" s="20">
        <v>331</v>
      </c>
      <c r="J220" s="20">
        <v>1111</v>
      </c>
      <c r="K220" s="20" t="s">
        <v>20</v>
      </c>
      <c r="L220" s="20">
        <v>1</v>
      </c>
      <c r="M220" s="34">
        <v>2210000</v>
      </c>
      <c r="N220" s="34">
        <f t="shared" si="23"/>
        <v>2210000</v>
      </c>
      <c r="O220" s="12" t="s">
        <v>21</v>
      </c>
      <c r="P220" s="20">
        <f t="shared" si="22"/>
        <v>169</v>
      </c>
      <c r="Q220" s="20">
        <f t="shared" si="24"/>
        <v>48</v>
      </c>
    </row>
    <row r="221" spans="1:17" ht="15" hidden="1" customHeight="1" x14ac:dyDescent="0.2">
      <c r="A221" s="20" t="s">
        <v>2719</v>
      </c>
      <c r="B221" s="63" t="s">
        <v>2513</v>
      </c>
      <c r="C221" s="32">
        <f t="shared" si="25"/>
        <v>350</v>
      </c>
      <c r="D221" s="20">
        <v>1</v>
      </c>
      <c r="F221" s="20"/>
      <c r="G221" s="32" t="s">
        <v>2647</v>
      </c>
      <c r="H221" s="32" t="s">
        <v>3563</v>
      </c>
      <c r="I221" s="20">
        <v>331</v>
      </c>
      <c r="J221" s="20">
        <v>1111</v>
      </c>
      <c r="K221" s="20" t="s">
        <v>20</v>
      </c>
      <c r="L221" s="20">
        <v>1</v>
      </c>
      <c r="M221" s="34">
        <v>864000</v>
      </c>
      <c r="N221" s="34">
        <f t="shared" si="23"/>
        <v>864000</v>
      </c>
      <c r="O221" s="12" t="s">
        <v>21</v>
      </c>
      <c r="P221" s="20">
        <f t="shared" si="22"/>
        <v>170</v>
      </c>
      <c r="Q221" s="20">
        <f t="shared" si="24"/>
        <v>51</v>
      </c>
    </row>
    <row r="222" spans="1:17" ht="15" hidden="1" customHeight="1" x14ac:dyDescent="0.2">
      <c r="A222" s="20" t="s">
        <v>2719</v>
      </c>
      <c r="B222" s="63">
        <v>45961</v>
      </c>
      <c r="C222" s="32">
        <f t="shared" si="25"/>
        <v>351</v>
      </c>
      <c r="D222" s="20">
        <v>1</v>
      </c>
      <c r="F222" s="20"/>
      <c r="G222" s="32" t="s">
        <v>3011</v>
      </c>
      <c r="H222" s="32" t="s">
        <v>2684</v>
      </c>
      <c r="I222" s="20">
        <v>3383</v>
      </c>
      <c r="J222" s="20">
        <v>1111</v>
      </c>
      <c r="K222" s="20" t="s">
        <v>20</v>
      </c>
      <c r="L222" s="20">
        <v>1</v>
      </c>
      <c r="M222" s="34">
        <v>690300</v>
      </c>
      <c r="N222" s="34">
        <f t="shared" si="23"/>
        <v>690300</v>
      </c>
      <c r="O222" s="20" t="s">
        <v>21</v>
      </c>
      <c r="P222" s="20">
        <f t="shared" si="22"/>
        <v>171</v>
      </c>
      <c r="Q222" s="20">
        <f t="shared" si="24"/>
        <v>34</v>
      </c>
    </row>
    <row r="223" spans="1:17" ht="15" hidden="1" customHeight="1" x14ac:dyDescent="0.2">
      <c r="A223" s="20" t="s">
        <v>2719</v>
      </c>
      <c r="B223" s="63">
        <v>45991</v>
      </c>
      <c r="C223" s="32">
        <f t="shared" si="25"/>
        <v>352</v>
      </c>
      <c r="D223" s="20">
        <v>1</v>
      </c>
      <c r="F223" s="20"/>
      <c r="G223" s="32" t="s">
        <v>3011</v>
      </c>
      <c r="H223" s="32" t="s">
        <v>2685</v>
      </c>
      <c r="I223" s="20">
        <v>3383</v>
      </c>
      <c r="J223" s="20">
        <v>1111</v>
      </c>
      <c r="K223" s="20" t="s">
        <v>20</v>
      </c>
      <c r="L223" s="20">
        <v>1</v>
      </c>
      <c r="M223" s="34">
        <v>690300</v>
      </c>
      <c r="N223" s="34">
        <f t="shared" si="23"/>
        <v>690300</v>
      </c>
      <c r="O223" s="20" t="s">
        <v>21</v>
      </c>
      <c r="P223" s="20">
        <f t="shared" si="22"/>
        <v>172</v>
      </c>
      <c r="Q223" s="20">
        <f t="shared" si="24"/>
        <v>34</v>
      </c>
    </row>
    <row r="224" spans="1:17" ht="15" hidden="1" customHeight="1" x14ac:dyDescent="0.2">
      <c r="A224" s="20" t="s">
        <v>2719</v>
      </c>
      <c r="B224" s="63">
        <v>46022</v>
      </c>
      <c r="C224" s="32">
        <f t="shared" si="25"/>
        <v>353</v>
      </c>
      <c r="D224" s="20">
        <v>1</v>
      </c>
      <c r="F224" s="20"/>
      <c r="G224" s="32" t="s">
        <v>3011</v>
      </c>
      <c r="H224" s="32" t="s">
        <v>3036</v>
      </c>
      <c r="I224" s="20">
        <v>3383</v>
      </c>
      <c r="J224" s="20">
        <v>1111</v>
      </c>
      <c r="K224" s="20" t="s">
        <v>20</v>
      </c>
      <c r="L224" s="20">
        <v>1</v>
      </c>
      <c r="M224" s="34">
        <v>690300</v>
      </c>
      <c r="N224" s="34">
        <f t="shared" si="23"/>
        <v>690300</v>
      </c>
      <c r="O224" s="20" t="s">
        <v>21</v>
      </c>
      <c r="P224" s="20">
        <f t="shared" si="22"/>
        <v>173</v>
      </c>
      <c r="Q224" s="20">
        <f t="shared" si="24"/>
        <v>34</v>
      </c>
    </row>
    <row r="225" spans="1:17" ht="15" hidden="1" customHeight="1" x14ac:dyDescent="0.2">
      <c r="A225" s="20" t="s">
        <v>2719</v>
      </c>
      <c r="B225" s="63">
        <v>45900</v>
      </c>
      <c r="C225" s="32">
        <f t="shared" ref="C225:C226" si="26">C224+D225</f>
        <v>354</v>
      </c>
      <c r="D225" s="20">
        <v>1</v>
      </c>
      <c r="F225" s="20"/>
      <c r="G225" s="32" t="s">
        <v>3011</v>
      </c>
      <c r="H225" s="32" t="s">
        <v>3564</v>
      </c>
      <c r="I225" s="20">
        <v>3383</v>
      </c>
      <c r="J225" s="20">
        <v>1111</v>
      </c>
      <c r="K225" s="20" t="s">
        <v>20</v>
      </c>
      <c r="L225" s="20">
        <v>1</v>
      </c>
      <c r="M225" s="34">
        <v>690300</v>
      </c>
      <c r="N225" s="34">
        <f t="shared" ref="N225:N264" si="27">L225*M225</f>
        <v>690300</v>
      </c>
      <c r="O225" s="20" t="s">
        <v>21</v>
      </c>
      <c r="P225" s="20">
        <f t="shared" ref="P225:P226" si="28">P224+D225</f>
        <v>174</v>
      </c>
      <c r="Q225" s="20">
        <f t="shared" si="24"/>
        <v>34</v>
      </c>
    </row>
    <row r="226" spans="1:17" ht="15" hidden="1" customHeight="1" x14ac:dyDescent="0.2">
      <c r="A226" s="20" t="s">
        <v>2719</v>
      </c>
      <c r="B226" s="63">
        <v>45930</v>
      </c>
      <c r="C226" s="32">
        <f t="shared" si="26"/>
        <v>355</v>
      </c>
      <c r="D226" s="20">
        <v>1</v>
      </c>
      <c r="F226" s="20"/>
      <c r="G226" s="32" t="s">
        <v>3011</v>
      </c>
      <c r="H226" s="32" t="s">
        <v>3164</v>
      </c>
      <c r="I226" s="20">
        <v>3383</v>
      </c>
      <c r="J226" s="20">
        <v>1111</v>
      </c>
      <c r="K226" s="20" t="s">
        <v>20</v>
      </c>
      <c r="L226" s="20">
        <v>1</v>
      </c>
      <c r="M226" s="34">
        <v>690300</v>
      </c>
      <c r="N226" s="34">
        <f t="shared" si="27"/>
        <v>690300</v>
      </c>
      <c r="O226" s="20" t="s">
        <v>21</v>
      </c>
      <c r="P226" s="20">
        <f t="shared" si="28"/>
        <v>175</v>
      </c>
      <c r="Q226" s="20">
        <f t="shared" si="24"/>
        <v>34</v>
      </c>
    </row>
    <row r="227" spans="1:17" ht="15" hidden="1" customHeight="1" x14ac:dyDescent="0.2">
      <c r="A227" s="20" t="s">
        <v>18</v>
      </c>
      <c r="B227" s="63">
        <v>46022</v>
      </c>
      <c r="C227" s="32">
        <f t="shared" ref="C227" si="29">C226+D227</f>
        <v>356</v>
      </c>
      <c r="D227" s="20">
        <v>1</v>
      </c>
      <c r="G227" s="32" t="s">
        <v>80</v>
      </c>
      <c r="H227" s="32" t="s">
        <v>3585</v>
      </c>
      <c r="I227" s="20">
        <v>131</v>
      </c>
      <c r="J227" s="20">
        <v>7118</v>
      </c>
      <c r="K227" s="20" t="s">
        <v>20</v>
      </c>
      <c r="L227" s="20">
        <v>1</v>
      </c>
      <c r="M227" s="34">
        <v>1</v>
      </c>
      <c r="N227" s="34">
        <f t="shared" si="27"/>
        <v>1</v>
      </c>
      <c r="O227" s="20" t="s">
        <v>21</v>
      </c>
      <c r="P227" s="20">
        <f t="shared" ref="P227" si="30">P226+D227</f>
        <v>176</v>
      </c>
      <c r="Q227" s="20">
        <f t="shared" si="24"/>
        <v>13</v>
      </c>
    </row>
    <row r="228" spans="1:17" ht="15" hidden="1" customHeight="1" x14ac:dyDescent="0.2">
      <c r="A228" s="20" t="s">
        <v>2679</v>
      </c>
      <c r="B228" s="63">
        <v>45931</v>
      </c>
      <c r="C228" s="32">
        <f t="shared" ref="C228:C242" si="31">C227+D228</f>
        <v>357</v>
      </c>
      <c r="D228" s="20">
        <v>1</v>
      </c>
      <c r="G228" s="32" t="s">
        <v>63</v>
      </c>
      <c r="H228" s="32" t="s">
        <v>5124</v>
      </c>
      <c r="I228" s="20">
        <v>112111</v>
      </c>
      <c r="J228" s="20">
        <v>131</v>
      </c>
      <c r="K228" s="20" t="s">
        <v>20</v>
      </c>
      <c r="L228" s="20">
        <v>1</v>
      </c>
      <c r="M228" s="34">
        <v>37516129</v>
      </c>
      <c r="N228" s="34">
        <f t="shared" si="27"/>
        <v>37516129</v>
      </c>
      <c r="O228" s="20" t="s">
        <v>21</v>
      </c>
      <c r="P228" s="20">
        <f t="shared" ref="P228:P242" si="32">P227+D228</f>
        <v>177</v>
      </c>
      <c r="Q228" s="20">
        <f t="shared" ref="Q228:Q242" si="33">LEN(H228)</f>
        <v>170</v>
      </c>
    </row>
    <row r="229" spans="1:17" ht="15" hidden="1" customHeight="1" x14ac:dyDescent="0.2">
      <c r="A229" s="20" t="s">
        <v>2679</v>
      </c>
      <c r="B229" s="63">
        <v>45931</v>
      </c>
      <c r="C229" s="32">
        <f t="shared" si="31"/>
        <v>358</v>
      </c>
      <c r="D229" s="20">
        <v>1</v>
      </c>
      <c r="G229" s="32" t="s">
        <v>1855</v>
      </c>
      <c r="H229" s="32" t="s">
        <v>5125</v>
      </c>
      <c r="I229" s="20">
        <v>112111</v>
      </c>
      <c r="J229" s="20">
        <v>131</v>
      </c>
      <c r="K229" s="20" t="s">
        <v>20</v>
      </c>
      <c r="L229" s="20">
        <v>1</v>
      </c>
      <c r="M229" s="34">
        <v>15000000</v>
      </c>
      <c r="N229" s="34">
        <f t="shared" si="27"/>
        <v>15000000</v>
      </c>
      <c r="O229" s="20" t="s">
        <v>21</v>
      </c>
      <c r="P229" s="20">
        <f t="shared" si="32"/>
        <v>178</v>
      </c>
      <c r="Q229" s="20">
        <f t="shared" si="33"/>
        <v>120</v>
      </c>
    </row>
    <row r="230" spans="1:17" ht="15" hidden="1" customHeight="1" x14ac:dyDescent="0.2">
      <c r="A230" s="20" t="s">
        <v>2679</v>
      </c>
      <c r="B230" s="63">
        <v>45931</v>
      </c>
      <c r="C230" s="32">
        <f t="shared" si="31"/>
        <v>359</v>
      </c>
      <c r="D230" s="20">
        <v>1</v>
      </c>
      <c r="G230" s="32" t="s">
        <v>69</v>
      </c>
      <c r="H230" s="32" t="s">
        <v>3502</v>
      </c>
      <c r="I230" s="20">
        <v>112111</v>
      </c>
      <c r="J230" s="20">
        <v>131</v>
      </c>
      <c r="K230" s="20" t="s">
        <v>20</v>
      </c>
      <c r="L230" s="20">
        <v>1</v>
      </c>
      <c r="M230" s="34">
        <v>6387096</v>
      </c>
      <c r="N230" s="34">
        <f t="shared" si="27"/>
        <v>6387096</v>
      </c>
      <c r="O230" s="20" t="s">
        <v>21</v>
      </c>
      <c r="P230" s="20">
        <f t="shared" si="32"/>
        <v>179</v>
      </c>
      <c r="Q230" s="20">
        <f t="shared" si="33"/>
        <v>160</v>
      </c>
    </row>
    <row r="231" spans="1:17" ht="15" hidden="1" customHeight="1" x14ac:dyDescent="0.2">
      <c r="A231" s="20" t="s">
        <v>2678</v>
      </c>
      <c r="B231" s="63">
        <v>45931</v>
      </c>
      <c r="C231" s="32">
        <f t="shared" si="31"/>
        <v>360</v>
      </c>
      <c r="D231" s="20">
        <v>1</v>
      </c>
      <c r="G231" s="14" t="s">
        <v>84</v>
      </c>
      <c r="H231" s="12" t="s">
        <v>3017</v>
      </c>
      <c r="I231" s="20">
        <v>1111</v>
      </c>
      <c r="J231" s="20">
        <v>112111</v>
      </c>
      <c r="K231" s="20" t="s">
        <v>20</v>
      </c>
      <c r="L231" s="20">
        <v>1</v>
      </c>
      <c r="M231" s="34">
        <v>100000000</v>
      </c>
      <c r="N231" s="34">
        <f t="shared" si="27"/>
        <v>100000000</v>
      </c>
      <c r="O231" s="20" t="s">
        <v>21</v>
      </c>
      <c r="P231" s="20">
        <f t="shared" si="32"/>
        <v>180</v>
      </c>
      <c r="Q231" s="20">
        <f t="shared" si="33"/>
        <v>40</v>
      </c>
    </row>
    <row r="232" spans="1:17" ht="15" hidden="1" customHeight="1" x14ac:dyDescent="0.2">
      <c r="A232" s="20" t="s">
        <v>18</v>
      </c>
      <c r="B232" s="63">
        <v>45931</v>
      </c>
      <c r="C232" s="32">
        <f t="shared" ref="C232:C233" si="34">C231+D232</f>
        <v>361</v>
      </c>
      <c r="D232" s="20">
        <v>1</v>
      </c>
      <c r="G232" s="14" t="s">
        <v>43</v>
      </c>
      <c r="H232" s="12" t="s">
        <v>3004</v>
      </c>
      <c r="I232" s="12">
        <v>131</v>
      </c>
      <c r="J232" s="12">
        <v>5118</v>
      </c>
      <c r="K232" s="12" t="s">
        <v>20</v>
      </c>
      <c r="L232" s="12">
        <v>1</v>
      </c>
      <c r="M232" s="34">
        <v>32633417</v>
      </c>
      <c r="N232" s="34">
        <f t="shared" si="27"/>
        <v>32633417</v>
      </c>
      <c r="O232" s="20" t="s">
        <v>21</v>
      </c>
      <c r="P232" s="20">
        <f t="shared" ref="P232:P233" si="35">P231+D232</f>
        <v>181</v>
      </c>
      <c r="Q232" s="20">
        <f t="shared" ref="Q232:Q233" si="36">LEN(H232)</f>
        <v>43</v>
      </c>
    </row>
    <row r="233" spans="1:17" ht="15" hidden="1" customHeight="1" x14ac:dyDescent="0.2">
      <c r="A233" s="20" t="s">
        <v>2679</v>
      </c>
      <c r="B233" s="63">
        <v>45931</v>
      </c>
      <c r="C233" s="32">
        <f t="shared" si="34"/>
        <v>362</v>
      </c>
      <c r="D233" s="20">
        <v>1</v>
      </c>
      <c r="G233" s="14" t="s">
        <v>43</v>
      </c>
      <c r="H233" s="12" t="s">
        <v>3005</v>
      </c>
      <c r="I233" s="12">
        <v>112111</v>
      </c>
      <c r="J233" s="12">
        <v>131</v>
      </c>
      <c r="K233" s="12" t="s">
        <v>20</v>
      </c>
      <c r="L233" s="12">
        <v>1</v>
      </c>
      <c r="M233" s="34">
        <v>32633417</v>
      </c>
      <c r="N233" s="34">
        <f t="shared" si="27"/>
        <v>32633417</v>
      </c>
      <c r="O233" s="20" t="s">
        <v>21</v>
      </c>
      <c r="P233" s="20">
        <f t="shared" si="35"/>
        <v>182</v>
      </c>
      <c r="Q233" s="20">
        <f t="shared" si="36"/>
        <v>48</v>
      </c>
    </row>
    <row r="234" spans="1:17" ht="15" hidden="1" customHeight="1" x14ac:dyDescent="0.2">
      <c r="A234" s="20" t="s">
        <v>2679</v>
      </c>
      <c r="B234" s="63">
        <v>45931</v>
      </c>
      <c r="C234" s="32">
        <f t="shared" si="31"/>
        <v>363</v>
      </c>
      <c r="D234" s="20">
        <v>1</v>
      </c>
      <c r="G234" s="14" t="s">
        <v>2680</v>
      </c>
      <c r="H234" s="12" t="s">
        <v>2687</v>
      </c>
      <c r="I234" s="20">
        <v>112111</v>
      </c>
      <c r="J234" s="12">
        <v>5154</v>
      </c>
      <c r="K234" s="20" t="s">
        <v>20</v>
      </c>
      <c r="L234" s="20">
        <v>1</v>
      </c>
      <c r="M234" s="34">
        <v>2697</v>
      </c>
      <c r="N234" s="34">
        <f t="shared" si="27"/>
        <v>2697</v>
      </c>
      <c r="O234" s="20" t="s">
        <v>3388</v>
      </c>
      <c r="P234" s="20">
        <f t="shared" si="32"/>
        <v>183</v>
      </c>
      <c r="Q234" s="20">
        <f t="shared" si="33"/>
        <v>12</v>
      </c>
    </row>
    <row r="235" spans="1:17" ht="15" hidden="1" customHeight="1" x14ac:dyDescent="0.2">
      <c r="A235" s="20" t="s">
        <v>2679</v>
      </c>
      <c r="B235" s="63">
        <v>45932</v>
      </c>
      <c r="C235" s="32">
        <f t="shared" si="31"/>
        <v>364</v>
      </c>
      <c r="D235" s="20">
        <v>1</v>
      </c>
      <c r="G235" s="32" t="s">
        <v>66</v>
      </c>
      <c r="H235" s="32" t="s">
        <v>3508</v>
      </c>
      <c r="I235" s="20">
        <v>112111</v>
      </c>
      <c r="J235" s="20">
        <v>131</v>
      </c>
      <c r="K235" s="20" t="s">
        <v>20</v>
      </c>
      <c r="L235" s="20">
        <v>1</v>
      </c>
      <c r="M235" s="34">
        <v>15967742</v>
      </c>
      <c r="N235" s="34">
        <f t="shared" si="27"/>
        <v>15967742</v>
      </c>
      <c r="O235" s="20" t="s">
        <v>21</v>
      </c>
      <c r="P235" s="20">
        <f t="shared" si="32"/>
        <v>184</v>
      </c>
      <c r="Q235" s="20">
        <f t="shared" si="33"/>
        <v>141</v>
      </c>
    </row>
    <row r="236" spans="1:17" ht="15" hidden="1" customHeight="1" x14ac:dyDescent="0.2">
      <c r="A236" s="20" t="s">
        <v>2679</v>
      </c>
      <c r="B236" s="63">
        <v>45932</v>
      </c>
      <c r="C236" s="32">
        <f t="shared" si="31"/>
        <v>365</v>
      </c>
      <c r="D236" s="20">
        <v>1</v>
      </c>
      <c r="G236" s="32" t="s">
        <v>1360</v>
      </c>
      <c r="H236" s="32" t="s">
        <v>5121</v>
      </c>
      <c r="I236" s="20">
        <v>112111</v>
      </c>
      <c r="J236" s="20">
        <v>131</v>
      </c>
      <c r="K236" s="20" t="s">
        <v>20</v>
      </c>
      <c r="L236" s="20">
        <v>1</v>
      </c>
      <c r="M236" s="34">
        <v>25000000</v>
      </c>
      <c r="N236" s="34">
        <f t="shared" si="27"/>
        <v>25000000</v>
      </c>
      <c r="O236" s="20" t="s">
        <v>21</v>
      </c>
      <c r="P236" s="20">
        <f t="shared" si="32"/>
        <v>185</v>
      </c>
      <c r="Q236" s="20">
        <f t="shared" si="33"/>
        <v>130</v>
      </c>
    </row>
    <row r="237" spans="1:17" ht="15" hidden="1" customHeight="1" x14ac:dyDescent="0.2">
      <c r="A237" s="20" t="s">
        <v>2678</v>
      </c>
      <c r="B237" s="63">
        <v>45933</v>
      </c>
      <c r="C237" s="32">
        <f t="shared" si="31"/>
        <v>366</v>
      </c>
      <c r="D237" s="20">
        <v>1</v>
      </c>
      <c r="G237" s="32" t="s">
        <v>1360</v>
      </c>
      <c r="H237" s="32" t="s">
        <v>5122</v>
      </c>
      <c r="I237" s="20">
        <v>131</v>
      </c>
      <c r="J237" s="20">
        <v>112111</v>
      </c>
      <c r="K237" s="20" t="s">
        <v>20</v>
      </c>
      <c r="L237" s="20">
        <v>1</v>
      </c>
      <c r="M237" s="34">
        <v>23387097</v>
      </c>
      <c r="N237" s="34">
        <f t="shared" si="27"/>
        <v>23387097</v>
      </c>
      <c r="O237" s="20" t="s">
        <v>21</v>
      </c>
      <c r="P237" s="20">
        <f t="shared" si="32"/>
        <v>186</v>
      </c>
      <c r="Q237" s="20">
        <f t="shared" si="33"/>
        <v>130</v>
      </c>
    </row>
    <row r="238" spans="1:17" ht="15" hidden="1" customHeight="1" x14ac:dyDescent="0.2">
      <c r="A238" s="20" t="s">
        <v>2679</v>
      </c>
      <c r="B238" s="63">
        <v>45933</v>
      </c>
      <c r="C238" s="32">
        <f t="shared" si="31"/>
        <v>367</v>
      </c>
      <c r="D238" s="20">
        <v>1</v>
      </c>
      <c r="G238" s="32" t="s">
        <v>1360</v>
      </c>
      <c r="H238" s="32" t="s">
        <v>5121</v>
      </c>
      <c r="I238" s="20">
        <v>112111</v>
      </c>
      <c r="J238" s="20">
        <v>131</v>
      </c>
      <c r="K238" s="20" t="s">
        <v>20</v>
      </c>
      <c r="L238" s="20">
        <v>1</v>
      </c>
      <c r="M238" s="34">
        <v>25000000</v>
      </c>
      <c r="N238" s="34">
        <f t="shared" si="27"/>
        <v>25000000</v>
      </c>
      <c r="O238" s="20" t="s">
        <v>21</v>
      </c>
      <c r="P238" s="20">
        <f t="shared" si="32"/>
        <v>187</v>
      </c>
      <c r="Q238" s="20">
        <f t="shared" si="33"/>
        <v>130</v>
      </c>
    </row>
    <row r="239" spans="1:17" ht="15" hidden="1" customHeight="1" x14ac:dyDescent="0.2">
      <c r="A239" s="20" t="s">
        <v>2679</v>
      </c>
      <c r="B239" s="63">
        <v>45936</v>
      </c>
      <c r="C239" s="32">
        <f t="shared" si="31"/>
        <v>368</v>
      </c>
      <c r="D239" s="20">
        <v>1</v>
      </c>
      <c r="G239" s="32" t="s">
        <v>47</v>
      </c>
      <c r="H239" s="32" t="s">
        <v>5123</v>
      </c>
      <c r="I239" s="20">
        <v>112111</v>
      </c>
      <c r="J239" s="20">
        <v>131</v>
      </c>
      <c r="K239" s="20" t="s">
        <v>20</v>
      </c>
      <c r="L239" s="20">
        <v>1</v>
      </c>
      <c r="M239" s="34">
        <v>18629033</v>
      </c>
      <c r="N239" s="34">
        <f t="shared" si="27"/>
        <v>18629033</v>
      </c>
      <c r="O239" s="20" t="s">
        <v>21</v>
      </c>
      <c r="P239" s="20">
        <f t="shared" si="32"/>
        <v>188</v>
      </c>
      <c r="Q239" s="20">
        <f t="shared" si="33"/>
        <v>119</v>
      </c>
    </row>
    <row r="240" spans="1:17" ht="15" hidden="1" customHeight="1" x14ac:dyDescent="0.2">
      <c r="A240" s="20" t="s">
        <v>2678</v>
      </c>
      <c r="B240" s="63">
        <v>45938</v>
      </c>
      <c r="C240" s="32">
        <f t="shared" si="31"/>
        <v>369</v>
      </c>
      <c r="D240" s="20">
        <v>1</v>
      </c>
      <c r="G240" s="32" t="s">
        <v>2717</v>
      </c>
      <c r="H240" s="32" t="s">
        <v>3529</v>
      </c>
      <c r="I240" s="20">
        <v>333822</v>
      </c>
      <c r="J240" s="20">
        <v>112111</v>
      </c>
      <c r="K240" s="20" t="s">
        <v>20</v>
      </c>
      <c r="L240" s="20">
        <v>1</v>
      </c>
      <c r="M240" s="34">
        <v>1980000</v>
      </c>
      <c r="N240" s="34">
        <f t="shared" si="27"/>
        <v>1980000</v>
      </c>
      <c r="O240" s="20" t="s">
        <v>21</v>
      </c>
      <c r="P240" s="20">
        <f t="shared" si="32"/>
        <v>189</v>
      </c>
      <c r="Q240" s="20">
        <f t="shared" si="33"/>
        <v>28</v>
      </c>
    </row>
    <row r="241" spans="1:17" ht="15" hidden="1" customHeight="1" x14ac:dyDescent="0.2">
      <c r="A241" s="20" t="s">
        <v>2679</v>
      </c>
      <c r="B241" s="63">
        <v>45939</v>
      </c>
      <c r="C241" s="32">
        <f t="shared" si="31"/>
        <v>370</v>
      </c>
      <c r="D241" s="20">
        <v>1</v>
      </c>
      <c r="G241" s="32" t="s">
        <v>66</v>
      </c>
      <c r="H241" s="32" t="s">
        <v>3507</v>
      </c>
      <c r="I241" s="20">
        <v>112111</v>
      </c>
      <c r="J241" s="20">
        <v>131</v>
      </c>
      <c r="K241" s="20" t="s">
        <v>20</v>
      </c>
      <c r="L241" s="20">
        <v>1</v>
      </c>
      <c r="M241" s="34">
        <v>15967742</v>
      </c>
      <c r="N241" s="34">
        <f t="shared" si="27"/>
        <v>15967742</v>
      </c>
      <c r="O241" s="20" t="s">
        <v>21</v>
      </c>
      <c r="P241" s="20">
        <f t="shared" si="32"/>
        <v>190</v>
      </c>
      <c r="Q241" s="20">
        <f t="shared" si="33"/>
        <v>133</v>
      </c>
    </row>
    <row r="242" spans="1:17" ht="15" hidden="1" customHeight="1" x14ac:dyDescent="0.2">
      <c r="A242" s="20" t="s">
        <v>2678</v>
      </c>
      <c r="B242" s="63">
        <v>45940</v>
      </c>
      <c r="C242" s="32">
        <f t="shared" si="31"/>
        <v>371</v>
      </c>
      <c r="D242" s="20">
        <v>1</v>
      </c>
      <c r="G242" s="14" t="s">
        <v>84</v>
      </c>
      <c r="H242" s="12" t="s">
        <v>3017</v>
      </c>
      <c r="I242" s="20">
        <v>1111</v>
      </c>
      <c r="J242" s="20">
        <v>112111</v>
      </c>
      <c r="K242" s="20" t="s">
        <v>20</v>
      </c>
      <c r="L242" s="20">
        <v>1</v>
      </c>
      <c r="M242" s="34">
        <v>150000000</v>
      </c>
      <c r="N242" s="34">
        <f t="shared" si="27"/>
        <v>150000000</v>
      </c>
      <c r="O242" s="20" t="s">
        <v>21</v>
      </c>
      <c r="P242" s="20">
        <f t="shared" si="32"/>
        <v>191</v>
      </c>
      <c r="Q242" s="20">
        <f t="shared" si="33"/>
        <v>40</v>
      </c>
    </row>
    <row r="243" spans="1:17" ht="15" hidden="1" customHeight="1" x14ac:dyDescent="0.2">
      <c r="A243" s="20" t="s">
        <v>2679</v>
      </c>
      <c r="B243" s="63">
        <v>45995</v>
      </c>
      <c r="C243" s="32">
        <f t="shared" ref="C243:C257" si="37">C242+D243</f>
        <v>372</v>
      </c>
      <c r="D243" s="20">
        <v>1</v>
      </c>
      <c r="G243" s="14" t="s">
        <v>1856</v>
      </c>
      <c r="H243" s="12" t="s">
        <v>5131</v>
      </c>
      <c r="I243" s="20">
        <v>112121</v>
      </c>
      <c r="J243" s="20">
        <v>131</v>
      </c>
      <c r="K243" s="20" t="s">
        <v>20</v>
      </c>
      <c r="L243" s="20">
        <v>1</v>
      </c>
      <c r="M243" s="34">
        <v>21290323</v>
      </c>
      <c r="N243" s="34">
        <f t="shared" si="27"/>
        <v>21290323</v>
      </c>
      <c r="O243" s="20" t="s">
        <v>21</v>
      </c>
      <c r="P243" s="20">
        <f t="shared" ref="P243:P264" si="38">P242+D243</f>
        <v>192</v>
      </c>
      <c r="Q243" s="20">
        <f t="shared" ref="Q243:Q264" si="39">LEN(H243)</f>
        <v>150</v>
      </c>
    </row>
    <row r="244" spans="1:17" ht="15" hidden="1" customHeight="1" x14ac:dyDescent="0.2">
      <c r="A244" s="20" t="s">
        <v>18</v>
      </c>
      <c r="B244" s="63">
        <v>45996</v>
      </c>
      <c r="C244" s="32">
        <f t="shared" ref="C244:C245" si="40">C243+D244</f>
        <v>373</v>
      </c>
      <c r="D244" s="20">
        <v>1</v>
      </c>
      <c r="G244" s="14" t="s">
        <v>43</v>
      </c>
      <c r="H244" s="12" t="s">
        <v>3004</v>
      </c>
      <c r="I244" s="12">
        <v>131</v>
      </c>
      <c r="J244" s="12">
        <v>5118</v>
      </c>
      <c r="K244" s="20" t="s">
        <v>20</v>
      </c>
      <c r="L244" s="20">
        <v>1</v>
      </c>
      <c r="M244" s="34">
        <v>33622419</v>
      </c>
      <c r="N244" s="34">
        <f t="shared" si="27"/>
        <v>33622419</v>
      </c>
      <c r="O244" s="20" t="s">
        <v>21</v>
      </c>
      <c r="P244" s="20">
        <f t="shared" ref="P244:P245" si="41">P243+D244</f>
        <v>193</v>
      </c>
      <c r="Q244" s="20">
        <f t="shared" ref="Q244:Q245" si="42">LEN(H244)</f>
        <v>43</v>
      </c>
    </row>
    <row r="245" spans="1:17" ht="15" hidden="1" customHeight="1" x14ac:dyDescent="0.2">
      <c r="A245" s="20" t="s">
        <v>2679</v>
      </c>
      <c r="B245" s="63">
        <v>45996</v>
      </c>
      <c r="C245" s="32">
        <f t="shared" si="40"/>
        <v>374</v>
      </c>
      <c r="D245" s="20">
        <v>1</v>
      </c>
      <c r="G245" s="14" t="s">
        <v>43</v>
      </c>
      <c r="H245" s="12" t="s">
        <v>3005</v>
      </c>
      <c r="I245" s="20">
        <v>112121</v>
      </c>
      <c r="J245" s="12">
        <v>131</v>
      </c>
      <c r="K245" s="20" t="s">
        <v>20</v>
      </c>
      <c r="L245" s="20">
        <v>1</v>
      </c>
      <c r="M245" s="34">
        <v>33622419</v>
      </c>
      <c r="N245" s="34">
        <f t="shared" si="27"/>
        <v>33622419</v>
      </c>
      <c r="O245" s="20" t="s">
        <v>21</v>
      </c>
      <c r="P245" s="20">
        <f t="shared" si="41"/>
        <v>194</v>
      </c>
      <c r="Q245" s="20">
        <f t="shared" si="42"/>
        <v>48</v>
      </c>
    </row>
    <row r="246" spans="1:17" ht="15" hidden="1" customHeight="1" x14ac:dyDescent="0.2">
      <c r="A246" s="20" t="s">
        <v>2679</v>
      </c>
      <c r="B246" s="63">
        <v>45999</v>
      </c>
      <c r="C246" s="32">
        <f t="shared" si="37"/>
        <v>375</v>
      </c>
      <c r="D246" s="20">
        <v>1</v>
      </c>
      <c r="G246" s="14" t="s">
        <v>1857</v>
      </c>
      <c r="H246" s="12" t="s">
        <v>5126</v>
      </c>
      <c r="I246" s="20">
        <v>112121</v>
      </c>
      <c r="J246" s="20">
        <v>131</v>
      </c>
      <c r="K246" s="20" t="s">
        <v>20</v>
      </c>
      <c r="L246" s="20">
        <v>1</v>
      </c>
      <c r="M246" s="34">
        <v>15967742</v>
      </c>
      <c r="N246" s="34">
        <f t="shared" si="27"/>
        <v>15967742</v>
      </c>
      <c r="O246" s="20" t="s">
        <v>21</v>
      </c>
      <c r="P246" s="20">
        <f t="shared" si="38"/>
        <v>195</v>
      </c>
      <c r="Q246" s="20">
        <f t="shared" si="39"/>
        <v>124</v>
      </c>
    </row>
    <row r="247" spans="1:17" ht="15" hidden="1" customHeight="1" x14ac:dyDescent="0.2">
      <c r="A247" s="20" t="s">
        <v>2678</v>
      </c>
      <c r="B247" s="63">
        <v>46000</v>
      </c>
      <c r="C247" s="32">
        <f t="shared" si="37"/>
        <v>376</v>
      </c>
      <c r="D247" s="20">
        <v>1</v>
      </c>
      <c r="G247" s="14" t="s">
        <v>84</v>
      </c>
      <c r="H247" s="12" t="s">
        <v>3017</v>
      </c>
      <c r="I247" s="20">
        <v>1111</v>
      </c>
      <c r="J247" s="20">
        <v>112121</v>
      </c>
      <c r="K247" s="20" t="s">
        <v>20</v>
      </c>
      <c r="L247" s="20">
        <v>1</v>
      </c>
      <c r="M247" s="34">
        <v>70000000</v>
      </c>
      <c r="N247" s="34">
        <f t="shared" si="27"/>
        <v>70000000</v>
      </c>
      <c r="O247" s="20" t="s">
        <v>21</v>
      </c>
      <c r="P247" s="20">
        <f t="shared" si="38"/>
        <v>196</v>
      </c>
      <c r="Q247" s="20">
        <f t="shared" si="39"/>
        <v>40</v>
      </c>
    </row>
    <row r="248" spans="1:17" ht="15" hidden="1" customHeight="1" x14ac:dyDescent="0.2">
      <c r="A248" s="20" t="s">
        <v>2679</v>
      </c>
      <c r="B248" s="63">
        <v>46001</v>
      </c>
      <c r="C248" s="32">
        <f t="shared" si="37"/>
        <v>377</v>
      </c>
      <c r="D248" s="20">
        <v>1</v>
      </c>
      <c r="G248" s="14" t="s">
        <v>57</v>
      </c>
      <c r="H248" s="12" t="s">
        <v>5130</v>
      </c>
      <c r="I248" s="20">
        <v>112121</v>
      </c>
      <c r="J248" s="20">
        <v>131</v>
      </c>
      <c r="K248" s="20" t="s">
        <v>20</v>
      </c>
      <c r="L248" s="20">
        <v>1</v>
      </c>
      <c r="M248" s="34">
        <v>15967742</v>
      </c>
      <c r="N248" s="34">
        <f t="shared" si="27"/>
        <v>15967742</v>
      </c>
      <c r="O248" s="20" t="s">
        <v>21</v>
      </c>
      <c r="P248" s="20">
        <f t="shared" si="38"/>
        <v>197</v>
      </c>
      <c r="Q248" s="20">
        <f t="shared" si="39"/>
        <v>125</v>
      </c>
    </row>
    <row r="249" spans="1:17" ht="15" hidden="1" customHeight="1" x14ac:dyDescent="0.2">
      <c r="A249" s="20" t="s">
        <v>2679</v>
      </c>
      <c r="B249" s="63">
        <v>46003</v>
      </c>
      <c r="C249" s="32">
        <f t="shared" si="37"/>
        <v>378</v>
      </c>
      <c r="D249" s="20">
        <v>1</v>
      </c>
      <c r="G249" s="14" t="s">
        <v>1858</v>
      </c>
      <c r="H249" s="12" t="s">
        <v>5134</v>
      </c>
      <c r="I249" s="20">
        <v>112121</v>
      </c>
      <c r="J249" s="20">
        <v>131</v>
      </c>
      <c r="K249" s="20" t="s">
        <v>20</v>
      </c>
      <c r="L249" s="20">
        <v>1</v>
      </c>
      <c r="M249" s="34">
        <v>45000000</v>
      </c>
      <c r="N249" s="34">
        <f t="shared" si="27"/>
        <v>45000000</v>
      </c>
      <c r="O249" s="20" t="s">
        <v>21</v>
      </c>
      <c r="P249" s="20">
        <f t="shared" si="38"/>
        <v>198</v>
      </c>
      <c r="Q249" s="20">
        <f t="shared" si="39"/>
        <v>124</v>
      </c>
    </row>
    <row r="250" spans="1:17" ht="15" hidden="1" customHeight="1" x14ac:dyDescent="0.2">
      <c r="A250" s="20" t="s">
        <v>2679</v>
      </c>
      <c r="B250" s="63">
        <v>46006</v>
      </c>
      <c r="C250" s="32">
        <f t="shared" si="37"/>
        <v>379</v>
      </c>
      <c r="D250" s="20">
        <v>1</v>
      </c>
      <c r="G250" s="14" t="s">
        <v>1859</v>
      </c>
      <c r="H250" s="12" t="s">
        <v>5136</v>
      </c>
      <c r="I250" s="20">
        <v>112121</v>
      </c>
      <c r="J250" s="20">
        <v>131</v>
      </c>
      <c r="K250" s="20" t="s">
        <v>20</v>
      </c>
      <c r="L250" s="20">
        <v>1</v>
      </c>
      <c r="M250" s="34">
        <v>18629032</v>
      </c>
      <c r="N250" s="34">
        <f t="shared" si="27"/>
        <v>18629032</v>
      </c>
      <c r="O250" s="20" t="s">
        <v>21</v>
      </c>
      <c r="P250" s="20">
        <f t="shared" si="38"/>
        <v>199</v>
      </c>
      <c r="Q250" s="20">
        <f t="shared" si="39"/>
        <v>125</v>
      </c>
    </row>
    <row r="251" spans="1:17" ht="15" customHeight="1" x14ac:dyDescent="0.2">
      <c r="A251" s="20" t="s">
        <v>2679</v>
      </c>
      <c r="B251" s="63">
        <v>46007</v>
      </c>
      <c r="C251" s="32">
        <f t="shared" si="37"/>
        <v>380</v>
      </c>
      <c r="D251" s="20">
        <v>1</v>
      </c>
      <c r="G251" s="14" t="s">
        <v>3494</v>
      </c>
      <c r="H251" s="12" t="s">
        <v>5137</v>
      </c>
      <c r="I251" s="20">
        <v>112121</v>
      </c>
      <c r="J251" s="20">
        <v>131</v>
      </c>
      <c r="K251" s="20" t="s">
        <v>20</v>
      </c>
      <c r="L251" s="20">
        <v>1</v>
      </c>
      <c r="M251" s="34">
        <v>15967742</v>
      </c>
      <c r="N251" s="34">
        <f t="shared" si="27"/>
        <v>15967742</v>
      </c>
      <c r="O251" s="20" t="s">
        <v>21</v>
      </c>
      <c r="P251" s="20">
        <f t="shared" si="38"/>
        <v>200</v>
      </c>
      <c r="Q251" s="20">
        <f t="shared" si="39"/>
        <v>136</v>
      </c>
    </row>
    <row r="252" spans="1:17" ht="15" hidden="1" customHeight="1" x14ac:dyDescent="0.2">
      <c r="A252" s="20" t="s">
        <v>2679</v>
      </c>
      <c r="B252" s="63">
        <v>46007</v>
      </c>
      <c r="C252" s="32">
        <f t="shared" si="37"/>
        <v>381</v>
      </c>
      <c r="D252" s="20">
        <v>1</v>
      </c>
      <c r="G252" s="14" t="s">
        <v>1860</v>
      </c>
      <c r="H252" s="12" t="s">
        <v>5133</v>
      </c>
      <c r="I252" s="20">
        <v>112121</v>
      </c>
      <c r="J252" s="20">
        <v>131</v>
      </c>
      <c r="K252" s="20" t="s">
        <v>20</v>
      </c>
      <c r="L252" s="20">
        <v>1</v>
      </c>
      <c r="M252" s="34">
        <v>13306541</v>
      </c>
      <c r="N252" s="34">
        <f t="shared" si="27"/>
        <v>13306541</v>
      </c>
      <c r="O252" s="20" t="s">
        <v>21</v>
      </c>
      <c r="P252" s="20">
        <f t="shared" si="38"/>
        <v>201</v>
      </c>
      <c r="Q252" s="20">
        <f t="shared" si="39"/>
        <v>130</v>
      </c>
    </row>
    <row r="253" spans="1:17" ht="15" hidden="1" customHeight="1" x14ac:dyDescent="0.2">
      <c r="A253" s="20" t="s">
        <v>2678</v>
      </c>
      <c r="B253" s="63">
        <v>46009</v>
      </c>
      <c r="C253" s="32">
        <f t="shared" si="37"/>
        <v>382</v>
      </c>
      <c r="D253" s="20">
        <v>1</v>
      </c>
      <c r="G253" s="14" t="s">
        <v>84</v>
      </c>
      <c r="H253" s="12" t="s">
        <v>3017</v>
      </c>
      <c r="I253" s="20">
        <v>1111</v>
      </c>
      <c r="J253" s="20">
        <v>112121</v>
      </c>
      <c r="K253" s="20" t="s">
        <v>20</v>
      </c>
      <c r="L253" s="20">
        <v>1</v>
      </c>
      <c r="M253" s="34">
        <v>100000000</v>
      </c>
      <c r="N253" s="34">
        <f t="shared" si="27"/>
        <v>100000000</v>
      </c>
      <c r="O253" s="20" t="s">
        <v>21</v>
      </c>
      <c r="P253" s="20">
        <f t="shared" si="38"/>
        <v>202</v>
      </c>
      <c r="Q253" s="20">
        <f t="shared" si="39"/>
        <v>40</v>
      </c>
    </row>
    <row r="254" spans="1:17" ht="15" hidden="1" customHeight="1" x14ac:dyDescent="0.2">
      <c r="A254" s="20" t="s">
        <v>2679</v>
      </c>
      <c r="B254" s="63">
        <v>46015</v>
      </c>
      <c r="C254" s="32">
        <f t="shared" si="37"/>
        <v>383</v>
      </c>
      <c r="D254" s="20">
        <v>1</v>
      </c>
      <c r="G254" s="14" t="s">
        <v>1857</v>
      </c>
      <c r="H254" s="12" t="s">
        <v>5127</v>
      </c>
      <c r="I254" s="20">
        <v>112121</v>
      </c>
      <c r="J254" s="20">
        <v>131</v>
      </c>
      <c r="K254" s="20" t="s">
        <v>20</v>
      </c>
      <c r="L254" s="20">
        <v>1</v>
      </c>
      <c r="M254" s="34">
        <v>15000000</v>
      </c>
      <c r="N254" s="34">
        <f t="shared" si="27"/>
        <v>15000000</v>
      </c>
      <c r="O254" s="20" t="s">
        <v>21</v>
      </c>
      <c r="P254" s="20">
        <f t="shared" si="38"/>
        <v>203</v>
      </c>
      <c r="Q254" s="20">
        <f t="shared" si="39"/>
        <v>124</v>
      </c>
    </row>
    <row r="255" spans="1:17" ht="15" hidden="1" customHeight="1" x14ac:dyDescent="0.2">
      <c r="A255" s="20" t="s">
        <v>2679</v>
      </c>
      <c r="B255" s="63">
        <v>46015</v>
      </c>
      <c r="C255" s="32">
        <f t="shared" si="37"/>
        <v>384</v>
      </c>
      <c r="D255" s="20">
        <v>1</v>
      </c>
      <c r="G255" s="14" t="s">
        <v>1856</v>
      </c>
      <c r="H255" s="12" t="s">
        <v>5132</v>
      </c>
      <c r="I255" s="20">
        <v>112121</v>
      </c>
      <c r="J255" s="20">
        <v>131</v>
      </c>
      <c r="K255" s="20" t="s">
        <v>20</v>
      </c>
      <c r="L255" s="20">
        <v>1</v>
      </c>
      <c r="M255" s="34">
        <v>21290323</v>
      </c>
      <c r="N255" s="34">
        <f t="shared" si="27"/>
        <v>21290323</v>
      </c>
      <c r="O255" s="20" t="s">
        <v>21</v>
      </c>
      <c r="P255" s="20">
        <f t="shared" si="38"/>
        <v>204</v>
      </c>
      <c r="Q255" s="20">
        <f t="shared" si="39"/>
        <v>150</v>
      </c>
    </row>
    <row r="256" spans="1:17" ht="15" hidden="1" customHeight="1" x14ac:dyDescent="0.2">
      <c r="A256" s="20" t="s">
        <v>2679</v>
      </c>
      <c r="B256" s="63">
        <v>46016</v>
      </c>
      <c r="C256" s="32">
        <f t="shared" si="37"/>
        <v>385</v>
      </c>
      <c r="D256" s="20">
        <v>1</v>
      </c>
      <c r="G256" s="14" t="s">
        <v>66</v>
      </c>
      <c r="H256" s="12" t="s">
        <v>5129</v>
      </c>
      <c r="I256" s="20">
        <v>112121</v>
      </c>
      <c r="J256" s="20">
        <v>131</v>
      </c>
      <c r="K256" s="20" t="s">
        <v>20</v>
      </c>
      <c r="L256" s="20">
        <v>1</v>
      </c>
      <c r="M256" s="34">
        <v>13306451</v>
      </c>
      <c r="N256" s="34">
        <f t="shared" si="27"/>
        <v>13306451</v>
      </c>
      <c r="O256" s="20" t="s">
        <v>21</v>
      </c>
      <c r="P256" s="20">
        <f t="shared" si="38"/>
        <v>205</v>
      </c>
      <c r="Q256" s="20">
        <f t="shared" si="39"/>
        <v>135</v>
      </c>
    </row>
    <row r="257" spans="1:17" ht="15" hidden="1" customHeight="1" x14ac:dyDescent="0.2">
      <c r="A257" s="20" t="s">
        <v>2678</v>
      </c>
      <c r="B257" s="63">
        <v>46017</v>
      </c>
      <c r="C257" s="32">
        <f t="shared" si="37"/>
        <v>386</v>
      </c>
      <c r="D257" s="20">
        <v>1</v>
      </c>
      <c r="G257" s="14" t="s">
        <v>1857</v>
      </c>
      <c r="H257" s="12" t="s">
        <v>5128</v>
      </c>
      <c r="I257" s="20">
        <v>131</v>
      </c>
      <c r="J257" s="20">
        <v>112121</v>
      </c>
      <c r="K257" s="20" t="s">
        <v>20</v>
      </c>
      <c r="L257" s="20">
        <v>1</v>
      </c>
      <c r="M257" s="34">
        <v>15000000</v>
      </c>
      <c r="N257" s="34">
        <f t="shared" si="27"/>
        <v>15000000</v>
      </c>
      <c r="O257" s="20" t="s">
        <v>21</v>
      </c>
      <c r="P257" s="20">
        <f t="shared" si="38"/>
        <v>206</v>
      </c>
      <c r="Q257" s="20">
        <f t="shared" si="39"/>
        <v>124</v>
      </c>
    </row>
    <row r="258" spans="1:17" ht="15" hidden="1" customHeight="1" x14ac:dyDescent="0.2">
      <c r="A258" s="20" t="s">
        <v>2678</v>
      </c>
      <c r="B258" s="63">
        <v>46017</v>
      </c>
      <c r="C258" s="32">
        <f t="shared" ref="C258:C264" si="43">C257+D258</f>
        <v>386</v>
      </c>
      <c r="D258" s="20">
        <v>0</v>
      </c>
      <c r="G258" s="14" t="s">
        <v>1857</v>
      </c>
      <c r="H258" s="12" t="s">
        <v>5128</v>
      </c>
      <c r="I258" s="20">
        <v>6425</v>
      </c>
      <c r="J258" s="20">
        <v>112121</v>
      </c>
      <c r="K258" s="20" t="s">
        <v>20</v>
      </c>
      <c r="L258" s="20">
        <v>1</v>
      </c>
      <c r="M258" s="34">
        <v>22000</v>
      </c>
      <c r="N258" s="34">
        <f t="shared" si="27"/>
        <v>22000</v>
      </c>
      <c r="O258" s="20" t="s">
        <v>21</v>
      </c>
      <c r="P258" s="20">
        <f t="shared" ref="P258:P259" si="44">P257+D258</f>
        <v>206</v>
      </c>
      <c r="Q258" s="20">
        <f t="shared" ref="Q258:Q259" si="45">LEN(H258)</f>
        <v>124</v>
      </c>
    </row>
    <row r="259" spans="1:17" ht="15" hidden="1" customHeight="1" x14ac:dyDescent="0.2">
      <c r="A259" s="20" t="s">
        <v>2678</v>
      </c>
      <c r="B259" s="63">
        <v>46017</v>
      </c>
      <c r="C259" s="32">
        <f t="shared" si="43"/>
        <v>387</v>
      </c>
      <c r="D259" s="20">
        <v>1</v>
      </c>
      <c r="G259" s="14" t="s">
        <v>4993</v>
      </c>
      <c r="H259" s="12" t="s">
        <v>3094</v>
      </c>
      <c r="I259" s="20">
        <v>6425</v>
      </c>
      <c r="J259" s="20">
        <v>112121</v>
      </c>
      <c r="K259" s="20" t="s">
        <v>20</v>
      </c>
      <c r="L259" s="20">
        <v>1</v>
      </c>
      <c r="M259" s="34">
        <v>33000</v>
      </c>
      <c r="N259" s="34">
        <f t="shared" si="27"/>
        <v>33000</v>
      </c>
      <c r="O259" s="20" t="s">
        <v>21</v>
      </c>
      <c r="P259" s="20">
        <f t="shared" si="44"/>
        <v>207</v>
      </c>
      <c r="Q259" s="20">
        <f t="shared" si="45"/>
        <v>13</v>
      </c>
    </row>
    <row r="260" spans="1:17" ht="15" hidden="1" customHeight="1" x14ac:dyDescent="0.2">
      <c r="A260" s="20" t="s">
        <v>2678</v>
      </c>
      <c r="B260" s="63">
        <v>46017</v>
      </c>
      <c r="C260" s="32">
        <f t="shared" si="43"/>
        <v>388</v>
      </c>
      <c r="D260" s="20">
        <v>1</v>
      </c>
      <c r="G260" s="14" t="s">
        <v>1857</v>
      </c>
      <c r="H260" s="12" t="s">
        <v>5128</v>
      </c>
      <c r="I260" s="20">
        <v>131</v>
      </c>
      <c r="J260" s="20">
        <v>112121</v>
      </c>
      <c r="K260" s="20" t="s">
        <v>20</v>
      </c>
      <c r="L260" s="20">
        <v>1</v>
      </c>
      <c r="M260" s="34">
        <v>15000000</v>
      </c>
      <c r="N260" s="34">
        <f t="shared" si="27"/>
        <v>15000000</v>
      </c>
      <c r="O260" s="20" t="s">
        <v>21</v>
      </c>
      <c r="P260" s="20">
        <f t="shared" si="38"/>
        <v>208</v>
      </c>
      <c r="Q260" s="20">
        <f t="shared" si="39"/>
        <v>124</v>
      </c>
    </row>
    <row r="261" spans="1:17" ht="15" hidden="1" customHeight="1" x14ac:dyDescent="0.2">
      <c r="A261" s="20" t="s">
        <v>2678</v>
      </c>
      <c r="B261" s="63">
        <v>46017</v>
      </c>
      <c r="C261" s="32">
        <f t="shared" si="43"/>
        <v>388</v>
      </c>
      <c r="D261" s="20">
        <v>0</v>
      </c>
      <c r="G261" s="14" t="s">
        <v>1857</v>
      </c>
      <c r="H261" s="12" t="s">
        <v>5128</v>
      </c>
      <c r="I261" s="20">
        <v>6425</v>
      </c>
      <c r="J261" s="20">
        <v>112121</v>
      </c>
      <c r="K261" s="20" t="s">
        <v>20</v>
      </c>
      <c r="L261" s="20">
        <v>1</v>
      </c>
      <c r="M261" s="34">
        <v>22000</v>
      </c>
      <c r="N261" s="34">
        <f t="shared" ref="N261" si="46">L261*M261</f>
        <v>22000</v>
      </c>
      <c r="O261" s="20" t="s">
        <v>21</v>
      </c>
      <c r="P261" s="20">
        <f t="shared" ref="P261:P262" si="47">P260+D261</f>
        <v>208</v>
      </c>
      <c r="Q261" s="20">
        <f t="shared" ref="Q261" si="48">LEN(H261)</f>
        <v>124</v>
      </c>
    </row>
    <row r="262" spans="1:17" ht="15" hidden="1" customHeight="1" x14ac:dyDescent="0.2">
      <c r="A262" s="20" t="s">
        <v>2679</v>
      </c>
      <c r="B262" s="63">
        <v>46020</v>
      </c>
      <c r="C262" s="32">
        <f t="shared" si="43"/>
        <v>389</v>
      </c>
      <c r="D262" s="20">
        <v>1</v>
      </c>
      <c r="G262" s="14" t="s">
        <v>1857</v>
      </c>
      <c r="H262" s="12" t="s">
        <v>5127</v>
      </c>
      <c r="I262" s="20">
        <v>112121</v>
      </c>
      <c r="J262" s="20">
        <v>131</v>
      </c>
      <c r="K262" s="20" t="s">
        <v>20</v>
      </c>
      <c r="L262" s="20">
        <v>1</v>
      </c>
      <c r="M262" s="34">
        <v>15000000</v>
      </c>
      <c r="N262" s="34">
        <f t="shared" si="27"/>
        <v>15000000</v>
      </c>
      <c r="O262" s="20" t="s">
        <v>21</v>
      </c>
      <c r="P262" s="20">
        <f t="shared" si="47"/>
        <v>209</v>
      </c>
      <c r="Q262" s="20">
        <f t="shared" si="39"/>
        <v>124</v>
      </c>
    </row>
    <row r="263" spans="1:17" ht="15" hidden="1" customHeight="1" x14ac:dyDescent="0.2">
      <c r="A263" s="20" t="s">
        <v>2679</v>
      </c>
      <c r="B263" s="63">
        <v>46020</v>
      </c>
      <c r="C263" s="32">
        <f t="shared" si="43"/>
        <v>390</v>
      </c>
      <c r="D263" s="20">
        <v>1</v>
      </c>
      <c r="G263" s="14" t="s">
        <v>57</v>
      </c>
      <c r="H263" s="12" t="s">
        <v>5135</v>
      </c>
      <c r="I263" s="20">
        <v>112121</v>
      </c>
      <c r="J263" s="20">
        <v>131</v>
      </c>
      <c r="K263" s="20" t="s">
        <v>20</v>
      </c>
      <c r="L263" s="20">
        <v>1</v>
      </c>
      <c r="M263" s="34">
        <v>15967742</v>
      </c>
      <c r="N263" s="34">
        <f t="shared" si="27"/>
        <v>15967742</v>
      </c>
      <c r="O263" s="20" t="s">
        <v>21</v>
      </c>
      <c r="P263" s="20">
        <f t="shared" si="38"/>
        <v>210</v>
      </c>
      <c r="Q263" s="20">
        <f t="shared" si="39"/>
        <v>122</v>
      </c>
    </row>
    <row r="264" spans="1:17" ht="15" hidden="1" customHeight="1" x14ac:dyDescent="0.2">
      <c r="A264" s="20" t="s">
        <v>2679</v>
      </c>
      <c r="B264" s="63">
        <v>46022</v>
      </c>
      <c r="C264" s="32">
        <f t="shared" si="43"/>
        <v>391</v>
      </c>
      <c r="D264" s="20">
        <v>1</v>
      </c>
      <c r="G264" s="14" t="s">
        <v>1857</v>
      </c>
      <c r="H264" s="12" t="s">
        <v>5127</v>
      </c>
      <c r="I264" s="20">
        <v>112121</v>
      </c>
      <c r="J264" s="20">
        <v>131</v>
      </c>
      <c r="K264" s="20" t="s">
        <v>20</v>
      </c>
      <c r="L264" s="20">
        <v>1</v>
      </c>
      <c r="M264" s="34">
        <v>15967742</v>
      </c>
      <c r="N264" s="34">
        <f t="shared" si="27"/>
        <v>15967742</v>
      </c>
      <c r="O264" s="20" t="s">
        <v>21</v>
      </c>
      <c r="P264" s="20">
        <f t="shared" si="38"/>
        <v>211</v>
      </c>
      <c r="Q264" s="20">
        <f t="shared" si="39"/>
        <v>124</v>
      </c>
    </row>
  </sheetData>
  <autoFilter ref="A3:Q264" xr:uid="{00000000-0009-0000-0000-00000F000000}">
    <filterColumn colId="6">
      <filters>
        <filter val="0000000004"/>
        <filter val="0000000005"/>
      </filters>
    </filterColumn>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AB177"/>
  <sheetViews>
    <sheetView workbookViewId="0">
      <selection sqref="A1:A2"/>
    </sheetView>
  </sheetViews>
  <sheetFormatPr defaultRowHeight="15" customHeight="1" x14ac:dyDescent="0.2"/>
  <cols>
    <col min="1" max="1" width="9.140625" style="12"/>
    <col min="2" max="2" width="9.140625" style="90"/>
    <col min="3" max="6" width="9.140625" style="12"/>
    <col min="7" max="7" width="9.140625" style="14"/>
    <col min="8" max="8" width="28.28515625" style="12" customWidth="1"/>
    <col min="9" max="12" width="9.140625" style="12"/>
    <col min="13" max="14" width="10.7109375" style="17" bestFit="1" customWidth="1"/>
    <col min="15" max="17" width="9.140625" style="12"/>
    <col min="18" max="18" width="10.85546875" style="12" bestFit="1" customWidth="1"/>
    <col min="19" max="20" width="9.5703125" style="12" bestFit="1" customWidth="1"/>
    <col min="21" max="25" width="9.140625" style="12"/>
    <col min="26" max="28" width="9.140625" style="14"/>
    <col min="29" max="16384" width="9.140625" style="12"/>
  </cols>
  <sheetData>
    <row r="1" spans="1:20" ht="15" customHeight="1" thickBot="1" x14ac:dyDescent="0.25">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20" ht="15" customHeight="1" thickBot="1" x14ac:dyDescent="0.25">
      <c r="A2" s="205"/>
      <c r="B2" s="220"/>
      <c r="C2" s="205"/>
      <c r="D2" s="208"/>
      <c r="E2" s="208"/>
      <c r="F2" s="203"/>
      <c r="G2" s="212"/>
      <c r="H2" s="214"/>
      <c r="I2" s="46" t="s">
        <v>13</v>
      </c>
      <c r="J2" s="47" t="s">
        <v>14</v>
      </c>
      <c r="K2" s="205"/>
      <c r="L2" s="205"/>
      <c r="M2" s="218"/>
      <c r="N2" s="218"/>
      <c r="O2" s="38" t="s">
        <v>100</v>
      </c>
      <c r="P2" s="38"/>
    </row>
    <row r="3" spans="1:20" ht="15" customHeight="1" x14ac:dyDescent="0.2">
      <c r="A3" s="48"/>
      <c r="B3" s="83"/>
      <c r="C3" s="124">
        <v>140</v>
      </c>
      <c r="D3" s="125">
        <v>38</v>
      </c>
      <c r="E3" s="49"/>
      <c r="F3" s="49"/>
      <c r="G3" s="51" t="s">
        <v>15</v>
      </c>
      <c r="H3" s="52"/>
      <c r="I3" s="52"/>
      <c r="J3" s="52"/>
      <c r="K3" s="48"/>
      <c r="L3" s="48"/>
      <c r="M3" s="84"/>
      <c r="N3" s="84"/>
      <c r="O3" s="38" t="s">
        <v>16</v>
      </c>
      <c r="P3" s="38" t="s">
        <v>17</v>
      </c>
    </row>
    <row r="4" spans="1:20" ht="15" customHeight="1" x14ac:dyDescent="0.2">
      <c r="A4" s="12" t="s">
        <v>18</v>
      </c>
      <c r="B4" s="90" t="s">
        <v>309</v>
      </c>
      <c r="C4" s="90">
        <f t="shared" ref="C4:C41" si="0">C3+D4</f>
        <v>141</v>
      </c>
      <c r="D4" s="90">
        <v>1</v>
      </c>
      <c r="G4" s="14" t="s">
        <v>37</v>
      </c>
      <c r="H4" s="12" t="s">
        <v>1893</v>
      </c>
      <c r="I4" s="12">
        <v>64277</v>
      </c>
      <c r="J4" s="12">
        <v>331</v>
      </c>
      <c r="K4" s="12" t="s">
        <v>20</v>
      </c>
      <c r="L4" s="12">
        <v>1</v>
      </c>
      <c r="M4" s="17">
        <v>3240000</v>
      </c>
      <c r="N4" s="17">
        <f t="shared" ref="N4:N41" si="1">L4*M4</f>
        <v>3240000</v>
      </c>
      <c r="O4" s="12" t="s">
        <v>21</v>
      </c>
      <c r="P4" s="12">
        <v>1</v>
      </c>
      <c r="R4" s="87"/>
      <c r="T4" s="87"/>
    </row>
    <row r="5" spans="1:20" ht="15" customHeight="1" x14ac:dyDescent="0.2">
      <c r="A5" s="12" t="s">
        <v>18</v>
      </c>
      <c r="B5" s="90" t="s">
        <v>869</v>
      </c>
      <c r="C5" s="90">
        <f t="shared" si="0"/>
        <v>142</v>
      </c>
      <c r="D5" s="90">
        <v>1</v>
      </c>
      <c r="G5" s="14" t="s">
        <v>1888</v>
      </c>
      <c r="H5" s="12" t="s">
        <v>1926</v>
      </c>
      <c r="I5" s="12">
        <v>64277</v>
      </c>
      <c r="J5" s="12">
        <v>331</v>
      </c>
      <c r="K5" s="12" t="s">
        <v>20</v>
      </c>
      <c r="L5" s="12">
        <v>1</v>
      </c>
      <c r="M5" s="17">
        <v>1035720</v>
      </c>
      <c r="N5" s="17">
        <f t="shared" si="1"/>
        <v>1035720</v>
      </c>
      <c r="O5" s="12" t="s">
        <v>21</v>
      </c>
      <c r="P5" s="12">
        <f>P4+D5</f>
        <v>2</v>
      </c>
      <c r="R5" s="87"/>
      <c r="T5" s="87"/>
    </row>
    <row r="6" spans="1:20" ht="15" customHeight="1" x14ac:dyDescent="0.2">
      <c r="A6" s="12" t="s">
        <v>18</v>
      </c>
      <c r="B6" s="90" t="s">
        <v>377</v>
      </c>
      <c r="C6" s="90">
        <f t="shared" si="0"/>
        <v>143</v>
      </c>
      <c r="D6" s="90">
        <v>1</v>
      </c>
      <c r="G6" s="14" t="s">
        <v>37</v>
      </c>
      <c r="H6" s="12" t="s">
        <v>1894</v>
      </c>
      <c r="I6" s="12">
        <v>64277</v>
      </c>
      <c r="J6" s="12">
        <v>331</v>
      </c>
      <c r="K6" s="12" t="s">
        <v>20</v>
      </c>
      <c r="L6" s="12">
        <v>1</v>
      </c>
      <c r="M6" s="17">
        <v>3240000</v>
      </c>
      <c r="N6" s="17">
        <f t="shared" si="1"/>
        <v>3240000</v>
      </c>
      <c r="O6" s="12" t="s">
        <v>21</v>
      </c>
      <c r="P6" s="12">
        <f t="shared" ref="P6:P75" si="2">P5+D6</f>
        <v>3</v>
      </c>
      <c r="T6" s="87"/>
    </row>
    <row r="7" spans="1:20" ht="15" customHeight="1" x14ac:dyDescent="0.2">
      <c r="A7" s="12" t="s">
        <v>18</v>
      </c>
      <c r="B7" s="90" t="s">
        <v>291</v>
      </c>
      <c r="C7" s="90">
        <f t="shared" si="0"/>
        <v>144</v>
      </c>
      <c r="D7" s="90">
        <v>1</v>
      </c>
      <c r="G7" s="14" t="s">
        <v>283</v>
      </c>
      <c r="H7" s="12" t="s">
        <v>1928</v>
      </c>
      <c r="I7" s="12">
        <v>64274</v>
      </c>
      <c r="J7" s="12">
        <v>331</v>
      </c>
      <c r="K7" s="12" t="s">
        <v>20</v>
      </c>
      <c r="L7" s="12">
        <v>1</v>
      </c>
      <c r="M7" s="17">
        <v>265600</v>
      </c>
      <c r="N7" s="17">
        <f t="shared" si="1"/>
        <v>265600</v>
      </c>
      <c r="O7" s="12" t="s">
        <v>21</v>
      </c>
      <c r="P7" s="12">
        <f t="shared" si="2"/>
        <v>4</v>
      </c>
    </row>
    <row r="8" spans="1:20" ht="15" customHeight="1" x14ac:dyDescent="0.2">
      <c r="A8" s="12" t="s">
        <v>18</v>
      </c>
      <c r="B8" s="90" t="s">
        <v>417</v>
      </c>
      <c r="C8" s="90">
        <f t="shared" si="0"/>
        <v>145</v>
      </c>
      <c r="D8" s="90">
        <v>1</v>
      </c>
      <c r="G8" s="14" t="s">
        <v>1889</v>
      </c>
      <c r="H8" s="12" t="s">
        <v>1927</v>
      </c>
      <c r="I8" s="12">
        <v>64277</v>
      </c>
      <c r="J8" s="12">
        <v>331</v>
      </c>
      <c r="K8" s="12" t="s">
        <v>20</v>
      </c>
      <c r="L8" s="12">
        <v>1</v>
      </c>
      <c r="M8" s="17">
        <v>2365000</v>
      </c>
      <c r="N8" s="17">
        <f t="shared" si="1"/>
        <v>2365000</v>
      </c>
      <c r="O8" s="12" t="s">
        <v>21</v>
      </c>
      <c r="P8" s="12">
        <f t="shared" si="2"/>
        <v>5</v>
      </c>
    </row>
    <row r="9" spans="1:20" ht="15" customHeight="1" x14ac:dyDescent="0.2">
      <c r="A9" s="12" t="s">
        <v>18</v>
      </c>
      <c r="B9" s="90" t="s">
        <v>588</v>
      </c>
      <c r="C9" s="90">
        <f t="shared" si="0"/>
        <v>146</v>
      </c>
      <c r="D9" s="90">
        <v>1</v>
      </c>
      <c r="G9" s="14" t="s">
        <v>37</v>
      </c>
      <c r="H9" s="12" t="s">
        <v>1895</v>
      </c>
      <c r="I9" s="12">
        <v>64277</v>
      </c>
      <c r="J9" s="12">
        <v>331</v>
      </c>
      <c r="K9" s="12" t="s">
        <v>20</v>
      </c>
      <c r="L9" s="12">
        <v>1</v>
      </c>
      <c r="M9" s="17">
        <v>3240000</v>
      </c>
      <c r="N9" s="17">
        <f t="shared" si="1"/>
        <v>3240000</v>
      </c>
      <c r="O9" s="12" t="s">
        <v>21</v>
      </c>
      <c r="P9" s="12">
        <f t="shared" si="2"/>
        <v>6</v>
      </c>
    </row>
    <row r="10" spans="1:20" ht="15" customHeight="1" x14ac:dyDescent="0.2">
      <c r="A10" s="12" t="s">
        <v>18</v>
      </c>
      <c r="B10" s="90" t="s">
        <v>379</v>
      </c>
      <c r="C10" s="90">
        <f t="shared" si="0"/>
        <v>147</v>
      </c>
      <c r="D10" s="90">
        <v>1</v>
      </c>
      <c r="G10" s="14" t="s">
        <v>283</v>
      </c>
      <c r="H10" s="12" t="s">
        <v>1929</v>
      </c>
      <c r="I10" s="12">
        <v>64274</v>
      </c>
      <c r="J10" s="12">
        <v>331</v>
      </c>
      <c r="K10" s="12" t="s">
        <v>20</v>
      </c>
      <c r="L10" s="12">
        <v>1</v>
      </c>
      <c r="M10" s="17">
        <v>265600</v>
      </c>
      <c r="N10" s="17">
        <f t="shared" si="1"/>
        <v>265600</v>
      </c>
      <c r="O10" s="12" t="s">
        <v>21</v>
      </c>
      <c r="P10" s="12">
        <f t="shared" si="2"/>
        <v>7</v>
      </c>
    </row>
    <row r="11" spans="1:20" ht="15" customHeight="1" x14ac:dyDescent="0.2">
      <c r="A11" s="12" t="s">
        <v>18</v>
      </c>
      <c r="B11" s="36">
        <v>46022</v>
      </c>
      <c r="C11" s="90">
        <f t="shared" ref="C11:C12" si="3">C10+D11</f>
        <v>148</v>
      </c>
      <c r="D11" s="90">
        <v>1</v>
      </c>
      <c r="G11" s="14" t="s">
        <v>283</v>
      </c>
      <c r="H11" s="12" t="s">
        <v>4525</v>
      </c>
      <c r="I11" s="12">
        <v>64274</v>
      </c>
      <c r="J11" s="12">
        <v>331</v>
      </c>
      <c r="K11" s="12" t="s">
        <v>20</v>
      </c>
      <c r="L11" s="12">
        <v>1</v>
      </c>
      <c r="M11" s="17">
        <v>265600</v>
      </c>
      <c r="N11" s="17">
        <f t="shared" ref="N11" si="4">L11*M11</f>
        <v>265600</v>
      </c>
      <c r="O11" s="12" t="s">
        <v>21</v>
      </c>
      <c r="P11" s="12">
        <f t="shared" si="2"/>
        <v>8</v>
      </c>
    </row>
    <row r="12" spans="1:20" ht="15" customHeight="1" x14ac:dyDescent="0.2">
      <c r="A12" s="12" t="s">
        <v>18</v>
      </c>
      <c r="B12" s="90" t="s">
        <v>442</v>
      </c>
      <c r="C12" s="90">
        <f t="shared" si="3"/>
        <v>149</v>
      </c>
      <c r="D12" s="90">
        <v>1</v>
      </c>
      <c r="G12" s="14" t="s">
        <v>67</v>
      </c>
      <c r="H12" s="12" t="s">
        <v>1896</v>
      </c>
      <c r="I12" s="12">
        <v>131</v>
      </c>
      <c r="J12" s="12">
        <v>5113</v>
      </c>
      <c r="K12" s="12" t="s">
        <v>20</v>
      </c>
      <c r="L12" s="12">
        <v>1</v>
      </c>
      <c r="M12" s="17">
        <v>16129032</v>
      </c>
      <c r="N12" s="17">
        <f t="shared" si="1"/>
        <v>16129032</v>
      </c>
      <c r="O12" s="12" t="s">
        <v>21</v>
      </c>
      <c r="P12" s="12">
        <f t="shared" si="2"/>
        <v>9</v>
      </c>
    </row>
    <row r="13" spans="1:20" ht="15" customHeight="1" x14ac:dyDescent="0.2">
      <c r="A13" s="12" t="s">
        <v>18</v>
      </c>
      <c r="B13" s="90" t="s">
        <v>442</v>
      </c>
      <c r="C13" s="90">
        <f t="shared" si="0"/>
        <v>149</v>
      </c>
      <c r="D13" s="90">
        <v>0</v>
      </c>
      <c r="G13" s="14" t="s">
        <v>67</v>
      </c>
      <c r="H13" s="12" t="s">
        <v>1911</v>
      </c>
      <c r="I13" s="12">
        <v>333821</v>
      </c>
      <c r="J13" s="12">
        <v>131</v>
      </c>
      <c r="K13" s="12" t="s">
        <v>20</v>
      </c>
      <c r="L13" s="12">
        <v>1</v>
      </c>
      <c r="M13" s="17">
        <v>161290</v>
      </c>
      <c r="N13" s="17">
        <f t="shared" si="1"/>
        <v>161290</v>
      </c>
      <c r="O13" s="12" t="s">
        <v>21</v>
      </c>
      <c r="P13" s="12">
        <f t="shared" si="2"/>
        <v>9</v>
      </c>
    </row>
    <row r="14" spans="1:20" ht="15" customHeight="1" x14ac:dyDescent="0.2">
      <c r="A14" s="12" t="s">
        <v>18</v>
      </c>
      <c r="B14" s="90" t="s">
        <v>868</v>
      </c>
      <c r="C14" s="90">
        <f t="shared" si="0"/>
        <v>150</v>
      </c>
      <c r="D14" s="90">
        <v>1</v>
      </c>
      <c r="G14" s="14" t="s">
        <v>147</v>
      </c>
      <c r="H14" s="12" t="s">
        <v>1897</v>
      </c>
      <c r="I14" s="12">
        <v>131</v>
      </c>
      <c r="J14" s="12">
        <v>5113</v>
      </c>
      <c r="K14" s="12" t="s">
        <v>20</v>
      </c>
      <c r="L14" s="12">
        <v>1</v>
      </c>
      <c r="M14" s="17">
        <v>5376344</v>
      </c>
      <c r="N14" s="17">
        <f t="shared" si="1"/>
        <v>5376344</v>
      </c>
      <c r="O14" s="12" t="s">
        <v>21</v>
      </c>
      <c r="P14" s="12">
        <f t="shared" si="2"/>
        <v>10</v>
      </c>
    </row>
    <row r="15" spans="1:20" ht="15" customHeight="1" x14ac:dyDescent="0.2">
      <c r="A15" s="12" t="s">
        <v>18</v>
      </c>
      <c r="B15" s="90" t="s">
        <v>868</v>
      </c>
      <c r="C15" s="90">
        <f t="shared" si="0"/>
        <v>150</v>
      </c>
      <c r="D15" s="90">
        <v>0</v>
      </c>
      <c r="G15" s="14" t="s">
        <v>147</v>
      </c>
      <c r="H15" s="12" t="s">
        <v>1912</v>
      </c>
      <c r="I15" s="12">
        <v>333821</v>
      </c>
      <c r="J15" s="12">
        <v>131</v>
      </c>
      <c r="K15" s="12" t="s">
        <v>20</v>
      </c>
      <c r="L15" s="12">
        <v>1</v>
      </c>
      <c r="M15" s="17">
        <v>53763</v>
      </c>
      <c r="N15" s="17">
        <f t="shared" si="1"/>
        <v>53763</v>
      </c>
      <c r="O15" s="12" t="s">
        <v>21</v>
      </c>
      <c r="P15" s="12">
        <f t="shared" si="2"/>
        <v>10</v>
      </c>
    </row>
    <row r="16" spans="1:20" ht="15" customHeight="1" x14ac:dyDescent="0.2">
      <c r="A16" s="12" t="s">
        <v>18</v>
      </c>
      <c r="B16" s="90" t="s">
        <v>312</v>
      </c>
      <c r="C16" s="90">
        <f t="shared" si="0"/>
        <v>151</v>
      </c>
      <c r="D16" s="90">
        <v>1</v>
      </c>
      <c r="G16" s="14" t="s">
        <v>86</v>
      </c>
      <c r="H16" s="12" t="s">
        <v>1898</v>
      </c>
      <c r="I16" s="12">
        <v>131</v>
      </c>
      <c r="J16" s="12">
        <v>5113</v>
      </c>
      <c r="K16" s="12" t="s">
        <v>20</v>
      </c>
      <c r="L16" s="12">
        <v>1</v>
      </c>
      <c r="M16" s="17">
        <v>12903226</v>
      </c>
      <c r="N16" s="17">
        <f t="shared" si="1"/>
        <v>12903226</v>
      </c>
      <c r="O16" s="12" t="s">
        <v>21</v>
      </c>
      <c r="P16" s="12">
        <f t="shared" si="2"/>
        <v>11</v>
      </c>
    </row>
    <row r="17" spans="1:16" ht="15" customHeight="1" x14ac:dyDescent="0.2">
      <c r="A17" s="12" t="s">
        <v>18</v>
      </c>
      <c r="B17" s="90" t="s">
        <v>312</v>
      </c>
      <c r="C17" s="90">
        <f t="shared" si="0"/>
        <v>151</v>
      </c>
      <c r="D17" s="90">
        <v>0</v>
      </c>
      <c r="G17" s="14" t="s">
        <v>86</v>
      </c>
      <c r="H17" s="12" t="s">
        <v>1913</v>
      </c>
      <c r="I17" s="12">
        <v>333821</v>
      </c>
      <c r="J17" s="12">
        <v>131</v>
      </c>
      <c r="K17" s="12" t="s">
        <v>20</v>
      </c>
      <c r="L17" s="12">
        <v>1</v>
      </c>
      <c r="M17" s="17">
        <v>129032</v>
      </c>
      <c r="N17" s="17">
        <f t="shared" si="1"/>
        <v>129032</v>
      </c>
      <c r="O17" s="12" t="s">
        <v>21</v>
      </c>
      <c r="P17" s="12">
        <f t="shared" si="2"/>
        <v>11</v>
      </c>
    </row>
    <row r="18" spans="1:16" ht="15" customHeight="1" x14ac:dyDescent="0.2">
      <c r="A18" s="12" t="s">
        <v>18</v>
      </c>
      <c r="B18" s="90" t="s">
        <v>377</v>
      </c>
      <c r="C18" s="90">
        <f t="shared" si="0"/>
        <v>152</v>
      </c>
      <c r="D18" s="90">
        <v>1</v>
      </c>
      <c r="G18" s="14" t="s">
        <v>282</v>
      </c>
      <c r="H18" s="12" t="s">
        <v>1899</v>
      </c>
      <c r="I18" s="12">
        <v>131</v>
      </c>
      <c r="J18" s="12">
        <v>5113</v>
      </c>
      <c r="K18" s="12" t="s">
        <v>20</v>
      </c>
      <c r="L18" s="12">
        <v>1</v>
      </c>
      <c r="M18" s="17">
        <v>19354839</v>
      </c>
      <c r="N18" s="17">
        <f t="shared" si="1"/>
        <v>19354839</v>
      </c>
      <c r="O18" s="12" t="s">
        <v>21</v>
      </c>
      <c r="P18" s="12">
        <f t="shared" si="2"/>
        <v>12</v>
      </c>
    </row>
    <row r="19" spans="1:16" ht="15" customHeight="1" x14ac:dyDescent="0.2">
      <c r="A19" s="12" t="s">
        <v>18</v>
      </c>
      <c r="B19" s="90" t="s">
        <v>377</v>
      </c>
      <c r="C19" s="90">
        <f t="shared" si="0"/>
        <v>152</v>
      </c>
      <c r="D19" s="90">
        <v>0</v>
      </c>
      <c r="G19" s="14" t="s">
        <v>282</v>
      </c>
      <c r="H19" s="12" t="s">
        <v>1914</v>
      </c>
      <c r="I19" s="12">
        <v>333821</v>
      </c>
      <c r="J19" s="12">
        <v>131</v>
      </c>
      <c r="K19" s="12" t="s">
        <v>20</v>
      </c>
      <c r="L19" s="12">
        <v>1</v>
      </c>
      <c r="M19" s="17">
        <v>193548</v>
      </c>
      <c r="N19" s="17">
        <f t="shared" si="1"/>
        <v>193548</v>
      </c>
      <c r="O19" s="12" t="s">
        <v>21</v>
      </c>
      <c r="P19" s="12">
        <f t="shared" si="2"/>
        <v>12</v>
      </c>
    </row>
    <row r="20" spans="1:16" ht="15" customHeight="1" x14ac:dyDescent="0.2">
      <c r="A20" s="12" t="s">
        <v>18</v>
      </c>
      <c r="B20" s="90" t="s">
        <v>292</v>
      </c>
      <c r="C20" s="90">
        <f t="shared" si="0"/>
        <v>153</v>
      </c>
      <c r="D20" s="90">
        <v>1</v>
      </c>
      <c r="G20" s="14" t="s">
        <v>85</v>
      </c>
      <c r="H20" s="12" t="s">
        <v>1900</v>
      </c>
      <c r="I20" s="12">
        <v>131</v>
      </c>
      <c r="J20" s="12">
        <v>5113</v>
      </c>
      <c r="K20" s="12" t="s">
        <v>20</v>
      </c>
      <c r="L20" s="12">
        <v>1</v>
      </c>
      <c r="M20" s="17">
        <v>30645161</v>
      </c>
      <c r="N20" s="17">
        <f t="shared" si="1"/>
        <v>30645161</v>
      </c>
      <c r="O20" s="12" t="s">
        <v>21</v>
      </c>
      <c r="P20" s="12">
        <f t="shared" si="2"/>
        <v>13</v>
      </c>
    </row>
    <row r="21" spans="1:16" ht="15" customHeight="1" x14ac:dyDescent="0.2">
      <c r="A21" s="12" t="s">
        <v>18</v>
      </c>
      <c r="B21" s="90" t="s">
        <v>292</v>
      </c>
      <c r="C21" s="90">
        <f t="shared" si="0"/>
        <v>153</v>
      </c>
      <c r="D21" s="90">
        <v>0</v>
      </c>
      <c r="G21" s="14" t="s">
        <v>85</v>
      </c>
      <c r="H21" s="12" t="s">
        <v>1915</v>
      </c>
      <c r="I21" s="12">
        <v>333821</v>
      </c>
      <c r="J21" s="12">
        <v>131</v>
      </c>
      <c r="K21" s="12" t="s">
        <v>20</v>
      </c>
      <c r="L21" s="12">
        <v>1</v>
      </c>
      <c r="M21" s="17">
        <v>306451</v>
      </c>
      <c r="N21" s="17">
        <f t="shared" si="1"/>
        <v>306451</v>
      </c>
      <c r="O21" s="12" t="s">
        <v>21</v>
      </c>
      <c r="P21" s="12">
        <f t="shared" si="2"/>
        <v>13</v>
      </c>
    </row>
    <row r="22" spans="1:16" ht="15" customHeight="1" x14ac:dyDescent="0.2">
      <c r="A22" s="12" t="s">
        <v>18</v>
      </c>
      <c r="B22" s="90" t="s">
        <v>314</v>
      </c>
      <c r="C22" s="90">
        <f t="shared" si="0"/>
        <v>154</v>
      </c>
      <c r="D22" s="90">
        <v>1</v>
      </c>
      <c r="G22" s="14" t="s">
        <v>1890</v>
      </c>
      <c r="H22" s="12" t="s">
        <v>1901</v>
      </c>
      <c r="I22" s="12">
        <v>131</v>
      </c>
      <c r="J22" s="12">
        <v>5113</v>
      </c>
      <c r="K22" s="12" t="s">
        <v>20</v>
      </c>
      <c r="L22" s="12">
        <v>1</v>
      </c>
      <c r="M22" s="17">
        <v>19354838</v>
      </c>
      <c r="N22" s="17">
        <f t="shared" si="1"/>
        <v>19354838</v>
      </c>
      <c r="O22" s="12" t="s">
        <v>21</v>
      </c>
      <c r="P22" s="12">
        <f t="shared" si="2"/>
        <v>14</v>
      </c>
    </row>
    <row r="23" spans="1:16" ht="15" customHeight="1" x14ac:dyDescent="0.2">
      <c r="A23" s="12" t="s">
        <v>18</v>
      </c>
      <c r="B23" s="90" t="s">
        <v>314</v>
      </c>
      <c r="C23" s="90">
        <f t="shared" si="0"/>
        <v>154</v>
      </c>
      <c r="D23" s="90">
        <v>0</v>
      </c>
      <c r="G23" s="14" t="s">
        <v>1890</v>
      </c>
      <c r="H23" s="12" t="s">
        <v>1916</v>
      </c>
      <c r="I23" s="12">
        <v>333821</v>
      </c>
      <c r="J23" s="12">
        <v>131</v>
      </c>
      <c r="K23" s="12" t="s">
        <v>20</v>
      </c>
      <c r="L23" s="12">
        <v>1</v>
      </c>
      <c r="M23" s="17">
        <v>193548</v>
      </c>
      <c r="N23" s="17">
        <f t="shared" si="1"/>
        <v>193548</v>
      </c>
      <c r="O23" s="12" t="s">
        <v>21</v>
      </c>
      <c r="P23" s="12">
        <f t="shared" si="2"/>
        <v>14</v>
      </c>
    </row>
    <row r="24" spans="1:16" ht="15" customHeight="1" x14ac:dyDescent="0.2">
      <c r="A24" s="12" t="s">
        <v>18</v>
      </c>
      <c r="B24" s="90" t="s">
        <v>315</v>
      </c>
      <c r="C24" s="90">
        <f t="shared" si="0"/>
        <v>155</v>
      </c>
      <c r="D24" s="90">
        <v>1</v>
      </c>
      <c r="G24" s="14" t="s">
        <v>1891</v>
      </c>
      <c r="H24" s="12" t="s">
        <v>1902</v>
      </c>
      <c r="I24" s="12">
        <v>131</v>
      </c>
      <c r="J24" s="12">
        <v>5113</v>
      </c>
      <c r="K24" s="12" t="s">
        <v>20</v>
      </c>
      <c r="L24" s="12">
        <v>1</v>
      </c>
      <c r="M24" s="17">
        <v>12903226</v>
      </c>
      <c r="N24" s="17">
        <f t="shared" si="1"/>
        <v>12903226</v>
      </c>
      <c r="O24" s="12" t="s">
        <v>21</v>
      </c>
      <c r="P24" s="12">
        <f t="shared" si="2"/>
        <v>15</v>
      </c>
    </row>
    <row r="25" spans="1:16" ht="15" customHeight="1" x14ac:dyDescent="0.2">
      <c r="A25" s="12" t="s">
        <v>18</v>
      </c>
      <c r="B25" s="90" t="s">
        <v>315</v>
      </c>
      <c r="C25" s="90">
        <f t="shared" si="0"/>
        <v>155</v>
      </c>
      <c r="D25" s="90">
        <v>0</v>
      </c>
      <c r="G25" s="14" t="s">
        <v>1891</v>
      </c>
      <c r="H25" s="12" t="s">
        <v>1917</v>
      </c>
      <c r="I25" s="12">
        <v>333821</v>
      </c>
      <c r="J25" s="12">
        <v>131</v>
      </c>
      <c r="K25" s="12" t="s">
        <v>20</v>
      </c>
      <c r="L25" s="12">
        <v>1</v>
      </c>
      <c r="M25" s="17">
        <v>129032</v>
      </c>
      <c r="N25" s="17">
        <f t="shared" si="1"/>
        <v>129032</v>
      </c>
      <c r="O25" s="12" t="s">
        <v>21</v>
      </c>
      <c r="P25" s="12">
        <f t="shared" si="2"/>
        <v>15</v>
      </c>
    </row>
    <row r="26" spans="1:16" ht="15" customHeight="1" x14ac:dyDescent="0.2">
      <c r="A26" s="12" t="s">
        <v>18</v>
      </c>
      <c r="B26" s="90" t="s">
        <v>318</v>
      </c>
      <c r="C26" s="90">
        <f t="shared" si="0"/>
        <v>156</v>
      </c>
      <c r="D26" s="90">
        <v>1</v>
      </c>
      <c r="G26" s="14" t="s">
        <v>40</v>
      </c>
      <c r="H26" s="12" t="s">
        <v>1903</v>
      </c>
      <c r="I26" s="12">
        <v>131</v>
      </c>
      <c r="J26" s="12">
        <v>5113</v>
      </c>
      <c r="K26" s="12" t="s">
        <v>20</v>
      </c>
      <c r="L26" s="12">
        <v>1</v>
      </c>
      <c r="M26" s="17">
        <v>12903226</v>
      </c>
      <c r="N26" s="17">
        <f t="shared" si="1"/>
        <v>12903226</v>
      </c>
      <c r="O26" s="12" t="s">
        <v>21</v>
      </c>
      <c r="P26" s="12">
        <f t="shared" si="2"/>
        <v>16</v>
      </c>
    </row>
    <row r="27" spans="1:16" ht="15" customHeight="1" x14ac:dyDescent="0.2">
      <c r="A27" s="12" t="s">
        <v>18</v>
      </c>
      <c r="B27" s="90" t="s">
        <v>318</v>
      </c>
      <c r="C27" s="90">
        <f t="shared" si="0"/>
        <v>156</v>
      </c>
      <c r="D27" s="90">
        <v>0</v>
      </c>
      <c r="G27" s="14" t="s">
        <v>40</v>
      </c>
      <c r="H27" s="12" t="s">
        <v>1918</v>
      </c>
      <c r="I27" s="12">
        <v>333821</v>
      </c>
      <c r="J27" s="12">
        <v>131</v>
      </c>
      <c r="K27" s="12" t="s">
        <v>20</v>
      </c>
      <c r="L27" s="12">
        <v>1</v>
      </c>
      <c r="M27" s="17">
        <v>129032</v>
      </c>
      <c r="N27" s="17">
        <f t="shared" si="1"/>
        <v>129032</v>
      </c>
      <c r="O27" s="12" t="s">
        <v>21</v>
      </c>
      <c r="P27" s="12">
        <f t="shared" si="2"/>
        <v>16</v>
      </c>
    </row>
    <row r="28" spans="1:16" ht="15" customHeight="1" x14ac:dyDescent="0.2">
      <c r="A28" s="12" t="s">
        <v>18</v>
      </c>
      <c r="B28" s="90" t="s">
        <v>522</v>
      </c>
      <c r="C28" s="90">
        <f t="shared" si="0"/>
        <v>157</v>
      </c>
      <c r="D28" s="90">
        <v>1</v>
      </c>
      <c r="G28" s="14" t="s">
        <v>40</v>
      </c>
      <c r="H28" s="12" t="s">
        <v>1904</v>
      </c>
      <c r="I28" s="12">
        <v>131</v>
      </c>
      <c r="J28" s="12">
        <v>5113</v>
      </c>
      <c r="K28" s="12" t="s">
        <v>20</v>
      </c>
      <c r="L28" s="12">
        <v>1</v>
      </c>
      <c r="M28" s="17">
        <v>16129032</v>
      </c>
      <c r="N28" s="17">
        <f t="shared" si="1"/>
        <v>16129032</v>
      </c>
      <c r="O28" s="12" t="s">
        <v>21</v>
      </c>
      <c r="P28" s="12">
        <f t="shared" si="2"/>
        <v>17</v>
      </c>
    </row>
    <row r="29" spans="1:16" ht="15" customHeight="1" x14ac:dyDescent="0.2">
      <c r="A29" s="12" t="s">
        <v>18</v>
      </c>
      <c r="B29" s="90" t="s">
        <v>522</v>
      </c>
      <c r="C29" s="90">
        <f t="shared" si="0"/>
        <v>157</v>
      </c>
      <c r="D29" s="90">
        <v>0</v>
      </c>
      <c r="G29" s="14" t="s">
        <v>40</v>
      </c>
      <c r="H29" s="12" t="s">
        <v>1919</v>
      </c>
      <c r="I29" s="12">
        <v>333821</v>
      </c>
      <c r="J29" s="12">
        <v>131</v>
      </c>
      <c r="K29" s="12" t="s">
        <v>20</v>
      </c>
      <c r="L29" s="12">
        <v>1</v>
      </c>
      <c r="M29" s="17">
        <v>161290</v>
      </c>
      <c r="N29" s="17">
        <f t="shared" si="1"/>
        <v>161290</v>
      </c>
      <c r="O29" s="12" t="s">
        <v>21</v>
      </c>
      <c r="P29" s="12">
        <f t="shared" si="2"/>
        <v>17</v>
      </c>
    </row>
    <row r="30" spans="1:16" ht="15" customHeight="1" x14ac:dyDescent="0.2">
      <c r="A30" s="12" t="s">
        <v>18</v>
      </c>
      <c r="B30" s="90" t="s">
        <v>514</v>
      </c>
      <c r="C30" s="90">
        <f t="shared" si="0"/>
        <v>158</v>
      </c>
      <c r="D30" s="90">
        <v>1</v>
      </c>
      <c r="G30" s="14" t="s">
        <v>86</v>
      </c>
      <c r="H30" s="12" t="s">
        <v>1905</v>
      </c>
      <c r="I30" s="12">
        <v>131</v>
      </c>
      <c r="J30" s="12">
        <v>5113</v>
      </c>
      <c r="K30" s="12" t="s">
        <v>20</v>
      </c>
      <c r="L30" s="12">
        <v>1</v>
      </c>
      <c r="M30" s="17">
        <v>12903226</v>
      </c>
      <c r="N30" s="17">
        <f t="shared" si="1"/>
        <v>12903226</v>
      </c>
      <c r="O30" s="12" t="s">
        <v>21</v>
      </c>
      <c r="P30" s="12">
        <f t="shared" si="2"/>
        <v>18</v>
      </c>
    </row>
    <row r="31" spans="1:16" ht="15" customHeight="1" x14ac:dyDescent="0.2">
      <c r="A31" s="12" t="s">
        <v>18</v>
      </c>
      <c r="B31" s="90" t="s">
        <v>514</v>
      </c>
      <c r="C31" s="90">
        <f t="shared" si="0"/>
        <v>158</v>
      </c>
      <c r="D31" s="90">
        <v>0</v>
      </c>
      <c r="G31" s="14" t="s">
        <v>86</v>
      </c>
      <c r="H31" s="12" t="s">
        <v>1920</v>
      </c>
      <c r="I31" s="12">
        <v>333821</v>
      </c>
      <c r="J31" s="12">
        <v>131</v>
      </c>
      <c r="K31" s="12" t="s">
        <v>20</v>
      </c>
      <c r="L31" s="12">
        <v>1</v>
      </c>
      <c r="M31" s="17">
        <v>129032</v>
      </c>
      <c r="N31" s="17">
        <f t="shared" si="1"/>
        <v>129032</v>
      </c>
      <c r="O31" s="12" t="s">
        <v>21</v>
      </c>
      <c r="P31" s="12">
        <f t="shared" si="2"/>
        <v>18</v>
      </c>
    </row>
    <row r="32" spans="1:16" ht="15" customHeight="1" x14ac:dyDescent="0.2">
      <c r="A32" s="12" t="s">
        <v>18</v>
      </c>
      <c r="B32" s="90" t="s">
        <v>382</v>
      </c>
      <c r="C32" s="90">
        <f t="shared" si="0"/>
        <v>159</v>
      </c>
      <c r="D32" s="90">
        <v>1</v>
      </c>
      <c r="G32" s="14" t="s">
        <v>1892</v>
      </c>
      <c r="H32" s="12" t="s">
        <v>1906</v>
      </c>
      <c r="I32" s="12">
        <v>131</v>
      </c>
      <c r="J32" s="12">
        <v>5113</v>
      </c>
      <c r="K32" s="12" t="s">
        <v>20</v>
      </c>
      <c r="L32" s="12">
        <v>1</v>
      </c>
      <c r="M32" s="17">
        <v>11827957</v>
      </c>
      <c r="N32" s="17">
        <f t="shared" si="1"/>
        <v>11827957</v>
      </c>
      <c r="O32" s="12" t="s">
        <v>21</v>
      </c>
      <c r="P32" s="12">
        <f t="shared" si="2"/>
        <v>19</v>
      </c>
    </row>
    <row r="33" spans="1:16" ht="15" customHeight="1" x14ac:dyDescent="0.2">
      <c r="A33" s="12" t="s">
        <v>18</v>
      </c>
      <c r="B33" s="90" t="s">
        <v>382</v>
      </c>
      <c r="C33" s="90">
        <f t="shared" si="0"/>
        <v>159</v>
      </c>
      <c r="D33" s="90">
        <v>0</v>
      </c>
      <c r="G33" s="14" t="s">
        <v>1892</v>
      </c>
      <c r="H33" s="12" t="s">
        <v>1921</v>
      </c>
      <c r="I33" s="12">
        <v>333821</v>
      </c>
      <c r="J33" s="12">
        <v>131</v>
      </c>
      <c r="K33" s="12" t="s">
        <v>20</v>
      </c>
      <c r="L33" s="12">
        <v>1</v>
      </c>
      <c r="M33" s="17">
        <v>118280</v>
      </c>
      <c r="N33" s="17">
        <f t="shared" si="1"/>
        <v>118280</v>
      </c>
      <c r="O33" s="12" t="s">
        <v>21</v>
      </c>
      <c r="P33" s="12">
        <f t="shared" si="2"/>
        <v>19</v>
      </c>
    </row>
    <row r="34" spans="1:16" ht="15" customHeight="1" x14ac:dyDescent="0.2">
      <c r="A34" s="12" t="s">
        <v>18</v>
      </c>
      <c r="B34" s="90" t="s">
        <v>603</v>
      </c>
      <c r="C34" s="90">
        <f t="shared" si="0"/>
        <v>160</v>
      </c>
      <c r="D34" s="90">
        <v>1</v>
      </c>
      <c r="G34" s="14" t="s">
        <v>40</v>
      </c>
      <c r="H34" s="12" t="s">
        <v>1907</v>
      </c>
      <c r="I34" s="12">
        <v>131</v>
      </c>
      <c r="J34" s="12">
        <v>5113</v>
      </c>
      <c r="K34" s="12" t="s">
        <v>20</v>
      </c>
      <c r="L34" s="12">
        <v>1</v>
      </c>
      <c r="M34" s="17">
        <v>25806452</v>
      </c>
      <c r="N34" s="17">
        <f t="shared" si="1"/>
        <v>25806452</v>
      </c>
      <c r="O34" s="12" t="s">
        <v>21</v>
      </c>
      <c r="P34" s="12">
        <f t="shared" si="2"/>
        <v>20</v>
      </c>
    </row>
    <row r="35" spans="1:16" ht="15" customHeight="1" x14ac:dyDescent="0.2">
      <c r="A35" s="12" t="s">
        <v>18</v>
      </c>
      <c r="B35" s="90" t="s">
        <v>603</v>
      </c>
      <c r="C35" s="90">
        <f t="shared" si="0"/>
        <v>160</v>
      </c>
      <c r="D35" s="90">
        <v>0</v>
      </c>
      <c r="G35" s="14" t="s">
        <v>40</v>
      </c>
      <c r="H35" s="12" t="s">
        <v>1922</v>
      </c>
      <c r="I35" s="12">
        <v>333821</v>
      </c>
      <c r="J35" s="12">
        <v>131</v>
      </c>
      <c r="K35" s="12" t="s">
        <v>20</v>
      </c>
      <c r="L35" s="12">
        <v>1</v>
      </c>
      <c r="M35" s="17">
        <v>258065</v>
      </c>
      <c r="N35" s="17">
        <f t="shared" si="1"/>
        <v>258065</v>
      </c>
      <c r="O35" s="12" t="s">
        <v>21</v>
      </c>
      <c r="P35" s="12">
        <f t="shared" si="2"/>
        <v>20</v>
      </c>
    </row>
    <row r="36" spans="1:16" ht="15" customHeight="1" x14ac:dyDescent="0.2">
      <c r="A36" s="12" t="s">
        <v>18</v>
      </c>
      <c r="B36" s="90" t="s">
        <v>603</v>
      </c>
      <c r="C36" s="90">
        <f t="shared" si="0"/>
        <v>161</v>
      </c>
      <c r="D36" s="90">
        <v>1</v>
      </c>
      <c r="G36" s="14" t="s">
        <v>40</v>
      </c>
      <c r="H36" s="12" t="s">
        <v>1908</v>
      </c>
      <c r="I36" s="12">
        <v>131</v>
      </c>
      <c r="J36" s="12">
        <v>5113</v>
      </c>
      <c r="K36" s="12" t="s">
        <v>20</v>
      </c>
      <c r="L36" s="12">
        <v>1</v>
      </c>
      <c r="M36" s="17">
        <v>12903226</v>
      </c>
      <c r="N36" s="17">
        <f t="shared" si="1"/>
        <v>12903226</v>
      </c>
      <c r="O36" s="12" t="s">
        <v>21</v>
      </c>
      <c r="P36" s="12">
        <f t="shared" si="2"/>
        <v>21</v>
      </c>
    </row>
    <row r="37" spans="1:16" ht="15" customHeight="1" x14ac:dyDescent="0.2">
      <c r="A37" s="12" t="s">
        <v>18</v>
      </c>
      <c r="B37" s="90" t="s">
        <v>603</v>
      </c>
      <c r="C37" s="90">
        <f t="shared" si="0"/>
        <v>161</v>
      </c>
      <c r="D37" s="90">
        <v>0</v>
      </c>
      <c r="G37" s="14" t="s">
        <v>40</v>
      </c>
      <c r="H37" s="12" t="s">
        <v>1923</v>
      </c>
      <c r="I37" s="12">
        <v>333821</v>
      </c>
      <c r="J37" s="12">
        <v>131</v>
      </c>
      <c r="K37" s="12" t="s">
        <v>20</v>
      </c>
      <c r="L37" s="12">
        <v>1</v>
      </c>
      <c r="M37" s="17">
        <v>129032</v>
      </c>
      <c r="N37" s="17">
        <f t="shared" si="1"/>
        <v>129032</v>
      </c>
      <c r="O37" s="12" t="s">
        <v>21</v>
      </c>
      <c r="P37" s="12">
        <f t="shared" si="2"/>
        <v>21</v>
      </c>
    </row>
    <row r="38" spans="1:16" ht="15" customHeight="1" x14ac:dyDescent="0.2">
      <c r="A38" s="12" t="s">
        <v>18</v>
      </c>
      <c r="B38" s="90" t="s">
        <v>457</v>
      </c>
      <c r="C38" s="90">
        <f t="shared" si="0"/>
        <v>162</v>
      </c>
      <c r="D38" s="90">
        <v>1</v>
      </c>
      <c r="G38" s="14" t="s">
        <v>86</v>
      </c>
      <c r="H38" s="12" t="s">
        <v>1909</v>
      </c>
      <c r="I38" s="12">
        <v>131</v>
      </c>
      <c r="J38" s="12">
        <v>5113</v>
      </c>
      <c r="K38" s="12" t="s">
        <v>20</v>
      </c>
      <c r="L38" s="12">
        <v>1</v>
      </c>
      <c r="M38" s="17">
        <v>12903226</v>
      </c>
      <c r="N38" s="17">
        <f t="shared" si="1"/>
        <v>12903226</v>
      </c>
      <c r="O38" s="12" t="s">
        <v>21</v>
      </c>
      <c r="P38" s="12">
        <f t="shared" si="2"/>
        <v>22</v>
      </c>
    </row>
    <row r="39" spans="1:16" ht="15" customHeight="1" x14ac:dyDescent="0.2">
      <c r="A39" s="12" t="s">
        <v>18</v>
      </c>
      <c r="B39" s="90" t="s">
        <v>457</v>
      </c>
      <c r="C39" s="90">
        <f t="shared" si="0"/>
        <v>162</v>
      </c>
      <c r="D39" s="90">
        <v>0</v>
      </c>
      <c r="G39" s="14" t="s">
        <v>86</v>
      </c>
      <c r="H39" s="12" t="s">
        <v>1924</v>
      </c>
      <c r="I39" s="12">
        <v>333821</v>
      </c>
      <c r="J39" s="12">
        <v>131</v>
      </c>
      <c r="K39" s="12" t="s">
        <v>20</v>
      </c>
      <c r="L39" s="12">
        <v>1</v>
      </c>
      <c r="M39" s="17">
        <v>129032</v>
      </c>
      <c r="N39" s="17">
        <f t="shared" si="1"/>
        <v>129032</v>
      </c>
      <c r="O39" s="12" t="s">
        <v>21</v>
      </c>
      <c r="P39" s="12">
        <f t="shared" si="2"/>
        <v>22</v>
      </c>
    </row>
    <row r="40" spans="1:16" ht="15" customHeight="1" x14ac:dyDescent="0.2">
      <c r="A40" s="12" t="s">
        <v>18</v>
      </c>
      <c r="B40" s="90" t="s">
        <v>457</v>
      </c>
      <c r="C40" s="90">
        <f t="shared" si="0"/>
        <v>163</v>
      </c>
      <c r="D40" s="90">
        <v>1</v>
      </c>
      <c r="G40" s="14" t="s">
        <v>113</v>
      </c>
      <c r="H40" s="12" t="s">
        <v>1910</v>
      </c>
      <c r="I40" s="12">
        <v>131</v>
      </c>
      <c r="J40" s="12">
        <v>5113</v>
      </c>
      <c r="K40" s="12" t="s">
        <v>20</v>
      </c>
      <c r="L40" s="12">
        <v>1</v>
      </c>
      <c r="M40" s="17">
        <v>17292929</v>
      </c>
      <c r="N40" s="17">
        <f t="shared" si="1"/>
        <v>17292929</v>
      </c>
      <c r="O40" s="12" t="s">
        <v>21</v>
      </c>
      <c r="P40" s="12">
        <f t="shared" si="2"/>
        <v>23</v>
      </c>
    </row>
    <row r="41" spans="1:16" ht="15" customHeight="1" x14ac:dyDescent="0.2">
      <c r="A41" s="12" t="s">
        <v>18</v>
      </c>
      <c r="B41" s="90" t="s">
        <v>457</v>
      </c>
      <c r="C41" s="90">
        <f t="shared" si="0"/>
        <v>163</v>
      </c>
      <c r="D41" s="90">
        <v>0</v>
      </c>
      <c r="G41" s="14" t="s">
        <v>113</v>
      </c>
      <c r="H41" s="12" t="s">
        <v>1925</v>
      </c>
      <c r="I41" s="12">
        <v>333821</v>
      </c>
      <c r="J41" s="12">
        <v>131</v>
      </c>
      <c r="K41" s="12" t="s">
        <v>20</v>
      </c>
      <c r="L41" s="12">
        <v>1</v>
      </c>
      <c r="M41" s="17">
        <v>172929</v>
      </c>
      <c r="N41" s="17">
        <f t="shared" si="1"/>
        <v>172929</v>
      </c>
      <c r="O41" s="12" t="s">
        <v>21</v>
      </c>
      <c r="P41" s="12">
        <f t="shared" si="2"/>
        <v>23</v>
      </c>
    </row>
    <row r="42" spans="1:16" ht="15" customHeight="1" x14ac:dyDescent="0.2">
      <c r="A42" s="12" t="s">
        <v>18</v>
      </c>
      <c r="B42" s="36">
        <v>45961</v>
      </c>
      <c r="C42" s="90">
        <f t="shared" ref="C42" si="5">C41+D42</f>
        <v>164</v>
      </c>
      <c r="D42" s="90">
        <v>1</v>
      </c>
      <c r="G42" s="14" t="s">
        <v>93</v>
      </c>
      <c r="H42" s="12" t="s">
        <v>4354</v>
      </c>
      <c r="I42" s="12">
        <v>64271</v>
      </c>
      <c r="J42" s="12">
        <v>3383</v>
      </c>
      <c r="K42" s="12" t="s">
        <v>20</v>
      </c>
      <c r="L42" s="12">
        <v>1</v>
      </c>
      <c r="M42" s="17">
        <v>690300</v>
      </c>
      <c r="N42" s="17">
        <f t="shared" ref="N42:N116" si="6">L42*M42</f>
        <v>690300</v>
      </c>
      <c r="O42" s="12" t="s">
        <v>21</v>
      </c>
      <c r="P42" s="12">
        <f t="shared" si="2"/>
        <v>24</v>
      </c>
    </row>
    <row r="43" spans="1:16" ht="15" customHeight="1" x14ac:dyDescent="0.2">
      <c r="A43" s="12" t="s">
        <v>18</v>
      </c>
      <c r="B43" s="36">
        <v>45961</v>
      </c>
      <c r="C43" s="90">
        <f t="shared" ref="C43:C48" si="7">C42+D43</f>
        <v>165</v>
      </c>
      <c r="D43" s="90">
        <v>1</v>
      </c>
      <c r="G43" s="14" t="s">
        <v>93</v>
      </c>
      <c r="H43" s="12" t="s">
        <v>4357</v>
      </c>
      <c r="I43" s="12">
        <v>64271</v>
      </c>
      <c r="J43" s="12">
        <v>3383</v>
      </c>
      <c r="K43" s="12" t="s">
        <v>20</v>
      </c>
      <c r="L43" s="12">
        <v>1</v>
      </c>
      <c r="M43" s="17">
        <v>6400000</v>
      </c>
      <c r="N43" s="17">
        <f t="shared" si="6"/>
        <v>6400000</v>
      </c>
      <c r="O43" s="12" t="s">
        <v>21</v>
      </c>
      <c r="P43" s="12">
        <f t="shared" si="2"/>
        <v>25</v>
      </c>
    </row>
    <row r="44" spans="1:16" ht="15" customHeight="1" x14ac:dyDescent="0.2">
      <c r="A44" s="12" t="s">
        <v>18</v>
      </c>
      <c r="B44" s="36">
        <v>45991</v>
      </c>
      <c r="C44" s="90">
        <f t="shared" si="7"/>
        <v>166</v>
      </c>
      <c r="D44" s="90">
        <v>1</v>
      </c>
      <c r="G44" s="14" t="s">
        <v>93</v>
      </c>
      <c r="H44" s="12" t="s">
        <v>4355</v>
      </c>
      <c r="I44" s="12">
        <v>64271</v>
      </c>
      <c r="J44" s="12">
        <v>3383</v>
      </c>
      <c r="K44" s="12" t="s">
        <v>20</v>
      </c>
      <c r="L44" s="12">
        <v>1</v>
      </c>
      <c r="M44" s="17">
        <v>690300</v>
      </c>
      <c r="N44" s="17">
        <f t="shared" si="6"/>
        <v>690300</v>
      </c>
      <c r="O44" s="12" t="s">
        <v>21</v>
      </c>
      <c r="P44" s="12">
        <f t="shared" si="2"/>
        <v>26</v>
      </c>
    </row>
    <row r="45" spans="1:16" ht="15" customHeight="1" x14ac:dyDescent="0.2">
      <c r="A45" s="12" t="s">
        <v>18</v>
      </c>
      <c r="B45" s="36">
        <v>45991</v>
      </c>
      <c r="C45" s="90">
        <f t="shared" si="7"/>
        <v>167</v>
      </c>
      <c r="D45" s="90">
        <v>1</v>
      </c>
      <c r="G45" s="14" t="s">
        <v>93</v>
      </c>
      <c r="H45" s="12" t="s">
        <v>4358</v>
      </c>
      <c r="I45" s="12">
        <v>64271</v>
      </c>
      <c r="J45" s="12">
        <v>3383</v>
      </c>
      <c r="K45" s="12" t="s">
        <v>20</v>
      </c>
      <c r="L45" s="12">
        <v>1</v>
      </c>
      <c r="M45" s="17">
        <v>5025000</v>
      </c>
      <c r="N45" s="17">
        <f t="shared" si="6"/>
        <v>5025000</v>
      </c>
      <c r="O45" s="12" t="s">
        <v>21</v>
      </c>
      <c r="P45" s="12">
        <f t="shared" si="2"/>
        <v>27</v>
      </c>
    </row>
    <row r="46" spans="1:16" ht="15" customHeight="1" x14ac:dyDescent="0.2">
      <c r="A46" s="12" t="s">
        <v>18</v>
      </c>
      <c r="B46" s="36">
        <v>46022</v>
      </c>
      <c r="C46" s="90">
        <f t="shared" si="7"/>
        <v>168</v>
      </c>
      <c r="D46" s="90">
        <v>1</v>
      </c>
      <c r="G46" s="14" t="s">
        <v>93</v>
      </c>
      <c r="H46" s="12" t="s">
        <v>4356</v>
      </c>
      <c r="I46" s="12">
        <v>64271</v>
      </c>
      <c r="J46" s="12">
        <v>3383</v>
      </c>
      <c r="K46" s="12" t="s">
        <v>20</v>
      </c>
      <c r="L46" s="12">
        <v>1</v>
      </c>
      <c r="M46" s="17">
        <v>690300</v>
      </c>
      <c r="N46" s="17">
        <f t="shared" si="6"/>
        <v>690300</v>
      </c>
      <c r="O46" s="12" t="s">
        <v>21</v>
      </c>
      <c r="P46" s="12">
        <f t="shared" si="2"/>
        <v>28</v>
      </c>
    </row>
    <row r="47" spans="1:16" ht="15" customHeight="1" x14ac:dyDescent="0.2">
      <c r="A47" s="12" t="s">
        <v>18</v>
      </c>
      <c r="B47" s="36">
        <v>46022</v>
      </c>
      <c r="C47" s="90">
        <f t="shared" si="7"/>
        <v>169</v>
      </c>
      <c r="D47" s="90">
        <v>1</v>
      </c>
      <c r="G47" s="14" t="s">
        <v>93</v>
      </c>
      <c r="H47" s="12" t="s">
        <v>4277</v>
      </c>
      <c r="I47" s="12">
        <v>64271</v>
      </c>
      <c r="J47" s="12">
        <v>3383</v>
      </c>
      <c r="K47" s="12" t="s">
        <v>20</v>
      </c>
      <c r="L47" s="12">
        <v>1</v>
      </c>
      <c r="M47" s="17">
        <v>4800000</v>
      </c>
      <c r="N47" s="17">
        <f t="shared" si="6"/>
        <v>4800000</v>
      </c>
      <c r="O47" s="12" t="s">
        <v>21</v>
      </c>
      <c r="P47" s="12">
        <f t="shared" si="2"/>
        <v>29</v>
      </c>
    </row>
    <row r="48" spans="1:16" ht="15" customHeight="1" x14ac:dyDescent="0.2">
      <c r="A48" s="12" t="s">
        <v>18</v>
      </c>
      <c r="B48" s="90" t="s">
        <v>442</v>
      </c>
      <c r="C48" s="90">
        <f t="shared" si="7"/>
        <v>170</v>
      </c>
      <c r="D48" s="90">
        <v>1</v>
      </c>
      <c r="G48" s="14" t="s">
        <v>3003</v>
      </c>
      <c r="H48" s="12" t="s">
        <v>3161</v>
      </c>
      <c r="I48" s="12">
        <v>131</v>
      </c>
      <c r="J48" s="12">
        <v>5118</v>
      </c>
      <c r="K48" s="12" t="s">
        <v>20</v>
      </c>
      <c r="L48" s="12">
        <v>1</v>
      </c>
      <c r="M48" s="17">
        <v>111708204</v>
      </c>
      <c r="N48" s="17">
        <f t="shared" si="6"/>
        <v>111708204</v>
      </c>
      <c r="O48" s="12" t="s">
        <v>21</v>
      </c>
      <c r="P48" s="12">
        <f t="shared" si="2"/>
        <v>30</v>
      </c>
    </row>
    <row r="49" spans="1:16" ht="15" customHeight="1" x14ac:dyDescent="0.2">
      <c r="A49" s="12" t="s">
        <v>2679</v>
      </c>
      <c r="B49" s="90" t="s">
        <v>442</v>
      </c>
      <c r="C49" s="90">
        <f t="shared" ref="C49:C119" si="8">C48+D49</f>
        <v>171</v>
      </c>
      <c r="D49" s="90">
        <v>1</v>
      </c>
      <c r="G49" s="14" t="s">
        <v>3003</v>
      </c>
      <c r="H49" s="12" t="s">
        <v>3005</v>
      </c>
      <c r="I49" s="12">
        <v>112111</v>
      </c>
      <c r="J49" s="12">
        <v>131</v>
      </c>
      <c r="K49" s="12" t="s">
        <v>20</v>
      </c>
      <c r="L49" s="12">
        <v>1</v>
      </c>
      <c r="M49" s="17">
        <v>111708204</v>
      </c>
      <c r="N49" s="17">
        <f t="shared" si="6"/>
        <v>111708204</v>
      </c>
      <c r="O49" s="12" t="s">
        <v>21</v>
      </c>
      <c r="P49" s="12">
        <f t="shared" si="2"/>
        <v>31</v>
      </c>
    </row>
    <row r="50" spans="1:16" ht="15" customHeight="1" x14ac:dyDescent="0.2">
      <c r="A50" s="12" t="s">
        <v>2678</v>
      </c>
      <c r="B50" s="90" t="s">
        <v>442</v>
      </c>
      <c r="C50" s="90">
        <f t="shared" si="8"/>
        <v>172</v>
      </c>
      <c r="D50" s="90">
        <v>1</v>
      </c>
      <c r="G50" s="14" t="s">
        <v>236</v>
      </c>
      <c r="H50" s="12" t="s">
        <v>3017</v>
      </c>
      <c r="I50" s="12">
        <v>1111</v>
      </c>
      <c r="J50" s="12">
        <v>112111</v>
      </c>
      <c r="K50" s="12" t="s">
        <v>20</v>
      </c>
      <c r="L50" s="12">
        <v>1</v>
      </c>
      <c r="M50" s="17">
        <v>100000000</v>
      </c>
      <c r="N50" s="17">
        <f t="shared" si="6"/>
        <v>100000000</v>
      </c>
      <c r="O50" s="12" t="s">
        <v>21</v>
      </c>
      <c r="P50" s="12">
        <f t="shared" si="2"/>
        <v>32</v>
      </c>
    </row>
    <row r="51" spans="1:16" ht="15" customHeight="1" x14ac:dyDescent="0.2">
      <c r="A51" s="12" t="s">
        <v>2678</v>
      </c>
      <c r="B51" s="90" t="s">
        <v>308</v>
      </c>
      <c r="C51" s="90">
        <f t="shared" si="8"/>
        <v>173</v>
      </c>
      <c r="D51" s="90">
        <v>1</v>
      </c>
      <c r="G51" s="14" t="s">
        <v>236</v>
      </c>
      <c r="H51" s="12" t="s">
        <v>3017</v>
      </c>
      <c r="I51" s="12">
        <v>1111</v>
      </c>
      <c r="J51" s="12">
        <v>112111</v>
      </c>
      <c r="K51" s="12" t="s">
        <v>20</v>
      </c>
      <c r="L51" s="12">
        <v>1</v>
      </c>
      <c r="M51" s="17">
        <v>150000000</v>
      </c>
      <c r="N51" s="17">
        <f t="shared" si="6"/>
        <v>150000000</v>
      </c>
      <c r="O51" s="12" t="s">
        <v>21</v>
      </c>
      <c r="P51" s="12">
        <f t="shared" si="2"/>
        <v>33</v>
      </c>
    </row>
    <row r="52" spans="1:16" ht="15" customHeight="1" x14ac:dyDescent="0.2">
      <c r="A52" s="12" t="s">
        <v>2678</v>
      </c>
      <c r="B52" s="90" t="s">
        <v>443</v>
      </c>
      <c r="C52" s="90">
        <f t="shared" si="8"/>
        <v>174</v>
      </c>
      <c r="D52" s="90">
        <v>1</v>
      </c>
      <c r="G52" s="14" t="s">
        <v>236</v>
      </c>
      <c r="H52" s="12" t="s">
        <v>3017</v>
      </c>
      <c r="I52" s="12">
        <v>1111</v>
      </c>
      <c r="J52" s="12">
        <v>112111</v>
      </c>
      <c r="K52" s="12" t="s">
        <v>20</v>
      </c>
      <c r="L52" s="12">
        <v>1</v>
      </c>
      <c r="M52" s="17">
        <v>150000000</v>
      </c>
      <c r="N52" s="17">
        <f t="shared" si="6"/>
        <v>150000000</v>
      </c>
      <c r="O52" s="12" t="s">
        <v>21</v>
      </c>
      <c r="P52" s="12">
        <f t="shared" si="2"/>
        <v>34</v>
      </c>
    </row>
    <row r="53" spans="1:16" ht="15" customHeight="1" x14ac:dyDescent="0.2">
      <c r="A53" s="12" t="s">
        <v>2678</v>
      </c>
      <c r="B53" s="90" t="s">
        <v>443</v>
      </c>
      <c r="C53" s="90">
        <f t="shared" si="8"/>
        <v>175</v>
      </c>
      <c r="D53" s="90">
        <v>1</v>
      </c>
      <c r="G53" s="14" t="s">
        <v>236</v>
      </c>
      <c r="H53" s="12" t="s">
        <v>3017</v>
      </c>
      <c r="I53" s="12">
        <v>1111</v>
      </c>
      <c r="J53" s="12">
        <v>112111</v>
      </c>
      <c r="K53" s="12" t="s">
        <v>20</v>
      </c>
      <c r="L53" s="12">
        <v>1</v>
      </c>
      <c r="M53" s="17">
        <v>15000000</v>
      </c>
      <c r="N53" s="17">
        <f t="shared" si="6"/>
        <v>15000000</v>
      </c>
      <c r="O53" s="12" t="s">
        <v>21</v>
      </c>
      <c r="P53" s="12">
        <f t="shared" si="2"/>
        <v>35</v>
      </c>
    </row>
    <row r="54" spans="1:16" ht="15" customHeight="1" x14ac:dyDescent="0.2">
      <c r="A54" s="12" t="s">
        <v>2678</v>
      </c>
      <c r="B54" s="90" t="s">
        <v>444</v>
      </c>
      <c r="C54" s="90">
        <f t="shared" si="8"/>
        <v>176</v>
      </c>
      <c r="D54" s="90">
        <v>1</v>
      </c>
      <c r="G54" s="14" t="s">
        <v>236</v>
      </c>
      <c r="H54" s="12" t="s">
        <v>3017</v>
      </c>
      <c r="I54" s="12">
        <v>1111</v>
      </c>
      <c r="J54" s="12">
        <v>112111</v>
      </c>
      <c r="K54" s="12" t="s">
        <v>20</v>
      </c>
      <c r="L54" s="12">
        <v>1</v>
      </c>
      <c r="M54" s="17">
        <v>10000000</v>
      </c>
      <c r="N54" s="17">
        <f t="shared" si="6"/>
        <v>10000000</v>
      </c>
      <c r="O54" s="12" t="s">
        <v>21</v>
      </c>
      <c r="P54" s="12">
        <f t="shared" si="2"/>
        <v>36</v>
      </c>
    </row>
    <row r="55" spans="1:16" ht="15" customHeight="1" x14ac:dyDescent="0.2">
      <c r="A55" s="12" t="s">
        <v>2678</v>
      </c>
      <c r="B55" s="90" t="s">
        <v>445</v>
      </c>
      <c r="C55" s="90">
        <f t="shared" si="8"/>
        <v>177</v>
      </c>
      <c r="D55" s="90">
        <v>1</v>
      </c>
      <c r="G55" s="14" t="s">
        <v>236</v>
      </c>
      <c r="H55" s="12" t="s">
        <v>3017</v>
      </c>
      <c r="I55" s="12">
        <v>1111</v>
      </c>
      <c r="J55" s="12">
        <v>112111</v>
      </c>
      <c r="K55" s="12" t="s">
        <v>20</v>
      </c>
      <c r="L55" s="12">
        <v>1</v>
      </c>
      <c r="M55" s="17">
        <v>4000000</v>
      </c>
      <c r="N55" s="17">
        <f t="shared" si="6"/>
        <v>4000000</v>
      </c>
      <c r="O55" s="12" t="s">
        <v>21</v>
      </c>
      <c r="P55" s="12">
        <f t="shared" si="2"/>
        <v>37</v>
      </c>
    </row>
    <row r="56" spans="1:16" ht="15" customHeight="1" x14ac:dyDescent="0.2">
      <c r="A56" s="12" t="s">
        <v>2678</v>
      </c>
      <c r="B56" s="90" t="s">
        <v>374</v>
      </c>
      <c r="C56" s="90">
        <f t="shared" si="8"/>
        <v>178</v>
      </c>
      <c r="D56" s="90">
        <v>1</v>
      </c>
      <c r="G56" s="14" t="s">
        <v>236</v>
      </c>
      <c r="H56" s="12" t="s">
        <v>3017</v>
      </c>
      <c r="I56" s="12">
        <v>1111</v>
      </c>
      <c r="J56" s="12">
        <v>112111</v>
      </c>
      <c r="K56" s="12" t="s">
        <v>20</v>
      </c>
      <c r="L56" s="12">
        <v>1</v>
      </c>
      <c r="M56" s="17">
        <v>30000000</v>
      </c>
      <c r="N56" s="17">
        <f t="shared" si="6"/>
        <v>30000000</v>
      </c>
      <c r="O56" s="12" t="s">
        <v>21</v>
      </c>
      <c r="P56" s="12">
        <f t="shared" si="2"/>
        <v>38</v>
      </c>
    </row>
    <row r="57" spans="1:16" ht="15" customHeight="1" x14ac:dyDescent="0.2">
      <c r="A57" s="12" t="s">
        <v>2678</v>
      </c>
      <c r="B57" s="90" t="s">
        <v>866</v>
      </c>
      <c r="C57" s="90">
        <f t="shared" si="8"/>
        <v>179</v>
      </c>
      <c r="D57" s="90">
        <v>1</v>
      </c>
      <c r="G57" s="14" t="s">
        <v>236</v>
      </c>
      <c r="H57" s="12" t="s">
        <v>4455</v>
      </c>
      <c r="I57" s="12">
        <v>6428</v>
      </c>
      <c r="J57" s="12">
        <v>112111</v>
      </c>
      <c r="K57" s="12" t="s">
        <v>20</v>
      </c>
      <c r="L57" s="12">
        <v>1</v>
      </c>
      <c r="M57" s="17">
        <v>5000000</v>
      </c>
      <c r="N57" s="17">
        <f t="shared" si="6"/>
        <v>5000000</v>
      </c>
      <c r="O57" s="12" t="s">
        <v>21</v>
      </c>
      <c r="P57" s="12">
        <f t="shared" si="2"/>
        <v>39</v>
      </c>
    </row>
    <row r="58" spans="1:16" ht="15" customHeight="1" x14ac:dyDescent="0.2">
      <c r="A58" s="12" t="s">
        <v>2678</v>
      </c>
      <c r="B58" s="90" t="s">
        <v>446</v>
      </c>
      <c r="C58" s="90">
        <f t="shared" si="8"/>
        <v>180</v>
      </c>
      <c r="D58" s="90">
        <v>1</v>
      </c>
      <c r="G58" s="14" t="s">
        <v>236</v>
      </c>
      <c r="H58" s="12" t="s">
        <v>3017</v>
      </c>
      <c r="I58" s="12">
        <v>1111</v>
      </c>
      <c r="J58" s="12">
        <v>112111</v>
      </c>
      <c r="K58" s="12" t="s">
        <v>20</v>
      </c>
      <c r="L58" s="12">
        <v>1</v>
      </c>
      <c r="M58" s="17">
        <v>10000000</v>
      </c>
      <c r="N58" s="17">
        <f t="shared" si="6"/>
        <v>10000000</v>
      </c>
      <c r="O58" s="12" t="s">
        <v>21</v>
      </c>
      <c r="P58" s="12">
        <f t="shared" si="2"/>
        <v>40</v>
      </c>
    </row>
    <row r="59" spans="1:16" ht="15" customHeight="1" x14ac:dyDescent="0.2">
      <c r="A59" s="12" t="s">
        <v>2678</v>
      </c>
      <c r="B59" s="90" t="s">
        <v>413</v>
      </c>
      <c r="C59" s="90">
        <f t="shared" si="8"/>
        <v>181</v>
      </c>
      <c r="D59" s="90">
        <v>1</v>
      </c>
      <c r="G59" s="14" t="s">
        <v>236</v>
      </c>
      <c r="H59" s="12" t="s">
        <v>3017</v>
      </c>
      <c r="I59" s="12">
        <v>1111</v>
      </c>
      <c r="J59" s="12">
        <v>112111</v>
      </c>
      <c r="K59" s="12" t="s">
        <v>20</v>
      </c>
      <c r="L59" s="12">
        <v>1</v>
      </c>
      <c r="M59" s="17">
        <v>5000000</v>
      </c>
      <c r="N59" s="17">
        <f t="shared" si="6"/>
        <v>5000000</v>
      </c>
      <c r="O59" s="12" t="s">
        <v>21</v>
      </c>
      <c r="P59" s="12">
        <f t="shared" si="2"/>
        <v>41</v>
      </c>
    </row>
    <row r="60" spans="1:16" ht="15" customHeight="1" x14ac:dyDescent="0.2">
      <c r="A60" s="12" t="s">
        <v>2679</v>
      </c>
      <c r="B60" s="90" t="s">
        <v>868</v>
      </c>
      <c r="C60" s="90">
        <f t="shared" si="8"/>
        <v>182</v>
      </c>
      <c r="D60" s="90">
        <v>1</v>
      </c>
      <c r="G60" s="14" t="s">
        <v>67</v>
      </c>
      <c r="H60" s="12" t="s">
        <v>4527</v>
      </c>
      <c r="I60" s="12">
        <v>112111</v>
      </c>
      <c r="J60" s="12">
        <v>131</v>
      </c>
      <c r="K60" s="12" t="s">
        <v>20</v>
      </c>
      <c r="L60" s="12">
        <v>1</v>
      </c>
      <c r="M60" s="17">
        <v>15967742</v>
      </c>
      <c r="N60" s="17">
        <f t="shared" si="6"/>
        <v>15967742</v>
      </c>
      <c r="O60" s="12" t="s">
        <v>21</v>
      </c>
      <c r="P60" s="12">
        <f t="shared" si="2"/>
        <v>42</v>
      </c>
    </row>
    <row r="61" spans="1:16" ht="15" customHeight="1" x14ac:dyDescent="0.2">
      <c r="A61" s="12" t="s">
        <v>2678</v>
      </c>
      <c r="B61" s="90" t="s">
        <v>447</v>
      </c>
      <c r="C61" s="90">
        <f t="shared" si="8"/>
        <v>183</v>
      </c>
      <c r="D61" s="90">
        <v>1</v>
      </c>
      <c r="G61" s="14" t="s">
        <v>236</v>
      </c>
      <c r="H61" s="12" t="s">
        <v>4455</v>
      </c>
      <c r="I61" s="12">
        <v>6428</v>
      </c>
      <c r="J61" s="12">
        <v>112111</v>
      </c>
      <c r="K61" s="12" t="s">
        <v>20</v>
      </c>
      <c r="L61" s="12">
        <v>1</v>
      </c>
      <c r="M61" s="17">
        <v>473040</v>
      </c>
      <c r="N61" s="17">
        <f t="shared" si="6"/>
        <v>473040</v>
      </c>
      <c r="O61" s="12" t="s">
        <v>21</v>
      </c>
      <c r="P61" s="12">
        <f t="shared" si="2"/>
        <v>43</v>
      </c>
    </row>
    <row r="62" spans="1:16" ht="15" customHeight="1" x14ac:dyDescent="0.2">
      <c r="A62" s="12" t="s">
        <v>2678</v>
      </c>
      <c r="B62" s="90" t="s">
        <v>468</v>
      </c>
      <c r="C62" s="90">
        <f t="shared" si="8"/>
        <v>184</v>
      </c>
      <c r="D62" s="90">
        <v>1</v>
      </c>
      <c r="G62" s="14" t="s">
        <v>236</v>
      </c>
      <c r="H62" s="12" t="s">
        <v>3017</v>
      </c>
      <c r="I62" s="12">
        <v>1111</v>
      </c>
      <c r="J62" s="12">
        <v>112111</v>
      </c>
      <c r="K62" s="12" t="s">
        <v>20</v>
      </c>
      <c r="L62" s="12">
        <v>1</v>
      </c>
      <c r="M62" s="17">
        <v>19000000</v>
      </c>
      <c r="N62" s="17">
        <f t="shared" si="6"/>
        <v>19000000</v>
      </c>
      <c r="O62" s="12" t="s">
        <v>21</v>
      </c>
      <c r="P62" s="12">
        <f t="shared" si="2"/>
        <v>44</v>
      </c>
    </row>
    <row r="63" spans="1:16" ht="15" customHeight="1" x14ac:dyDescent="0.2">
      <c r="A63" s="12" t="s">
        <v>2678</v>
      </c>
      <c r="B63" s="90" t="s">
        <v>414</v>
      </c>
      <c r="C63" s="90">
        <f t="shared" si="8"/>
        <v>185</v>
      </c>
      <c r="D63" s="90">
        <v>1</v>
      </c>
      <c r="G63" s="14" t="s">
        <v>236</v>
      </c>
      <c r="H63" s="12" t="s">
        <v>3017</v>
      </c>
      <c r="I63" s="12">
        <v>1111</v>
      </c>
      <c r="J63" s="12">
        <v>112111</v>
      </c>
      <c r="K63" s="12" t="s">
        <v>20</v>
      </c>
      <c r="L63" s="12">
        <v>1</v>
      </c>
      <c r="M63" s="17">
        <v>10000000</v>
      </c>
      <c r="N63" s="17">
        <f t="shared" si="6"/>
        <v>10000000</v>
      </c>
      <c r="O63" s="12" t="s">
        <v>21</v>
      </c>
      <c r="P63" s="12">
        <f t="shared" si="2"/>
        <v>45</v>
      </c>
    </row>
    <row r="64" spans="1:16" ht="15" customHeight="1" x14ac:dyDescent="0.2">
      <c r="A64" s="12" t="s">
        <v>2678</v>
      </c>
      <c r="B64" s="90" t="s">
        <v>414</v>
      </c>
      <c r="C64" s="90">
        <f t="shared" si="8"/>
        <v>186</v>
      </c>
      <c r="D64" s="90">
        <v>1</v>
      </c>
      <c r="G64" s="14" t="s">
        <v>236</v>
      </c>
      <c r="H64" s="12" t="s">
        <v>3017</v>
      </c>
      <c r="I64" s="12">
        <v>1111</v>
      </c>
      <c r="J64" s="12">
        <v>112111</v>
      </c>
      <c r="K64" s="12" t="s">
        <v>20</v>
      </c>
      <c r="L64" s="12">
        <v>1</v>
      </c>
      <c r="M64" s="17">
        <v>20000000</v>
      </c>
      <c r="N64" s="17">
        <f t="shared" si="6"/>
        <v>20000000</v>
      </c>
      <c r="O64" s="12" t="s">
        <v>21</v>
      </c>
      <c r="P64" s="12">
        <f t="shared" si="2"/>
        <v>46</v>
      </c>
    </row>
    <row r="65" spans="1:16" ht="15" customHeight="1" x14ac:dyDescent="0.2">
      <c r="A65" s="12" t="s">
        <v>2678</v>
      </c>
      <c r="B65" s="90" t="s">
        <v>469</v>
      </c>
      <c r="C65" s="90">
        <f t="shared" si="8"/>
        <v>187</v>
      </c>
      <c r="D65" s="90">
        <v>1</v>
      </c>
      <c r="G65" s="14" t="s">
        <v>236</v>
      </c>
      <c r="H65" s="12" t="s">
        <v>3017</v>
      </c>
      <c r="I65" s="12">
        <v>1111</v>
      </c>
      <c r="J65" s="12">
        <v>112111</v>
      </c>
      <c r="K65" s="12" t="s">
        <v>20</v>
      </c>
      <c r="L65" s="12">
        <v>1</v>
      </c>
      <c r="M65" s="17">
        <v>60000000</v>
      </c>
      <c r="N65" s="17">
        <f t="shared" si="6"/>
        <v>60000000</v>
      </c>
      <c r="O65" s="12" t="s">
        <v>21</v>
      </c>
      <c r="P65" s="12">
        <f t="shared" si="2"/>
        <v>47</v>
      </c>
    </row>
    <row r="66" spans="1:16" ht="15" customHeight="1" x14ac:dyDescent="0.2">
      <c r="A66" s="12" t="s">
        <v>18</v>
      </c>
      <c r="B66" s="90" t="s">
        <v>469</v>
      </c>
      <c r="C66" s="90">
        <f t="shared" ref="C66:C69" si="9">C65+D66</f>
        <v>188</v>
      </c>
      <c r="D66" s="90">
        <v>1</v>
      </c>
      <c r="G66" s="14" t="s">
        <v>3003</v>
      </c>
      <c r="H66" s="12" t="s">
        <v>3161</v>
      </c>
      <c r="I66" s="12">
        <v>131</v>
      </c>
      <c r="J66" s="12">
        <v>5118</v>
      </c>
      <c r="K66" s="12" t="s">
        <v>20</v>
      </c>
      <c r="L66" s="12">
        <v>1</v>
      </c>
      <c r="M66" s="17">
        <v>492518429</v>
      </c>
      <c r="N66" s="17">
        <f t="shared" si="6"/>
        <v>492518429</v>
      </c>
      <c r="O66" s="12" t="s">
        <v>21</v>
      </c>
      <c r="P66" s="12">
        <f t="shared" si="2"/>
        <v>48</v>
      </c>
    </row>
    <row r="67" spans="1:16" ht="15" customHeight="1" x14ac:dyDescent="0.2">
      <c r="A67" s="12" t="s">
        <v>2679</v>
      </c>
      <c r="B67" s="90" t="s">
        <v>469</v>
      </c>
      <c r="C67" s="90">
        <f t="shared" si="9"/>
        <v>189</v>
      </c>
      <c r="D67" s="90">
        <v>1</v>
      </c>
      <c r="G67" s="14" t="s">
        <v>3003</v>
      </c>
      <c r="H67" s="12" t="s">
        <v>3005</v>
      </c>
      <c r="I67" s="12">
        <v>112111</v>
      </c>
      <c r="J67" s="12">
        <v>131</v>
      </c>
      <c r="K67" s="12" t="s">
        <v>20</v>
      </c>
      <c r="L67" s="12">
        <v>1</v>
      </c>
      <c r="M67" s="17">
        <v>492518429</v>
      </c>
      <c r="N67" s="17">
        <f t="shared" si="6"/>
        <v>492518429</v>
      </c>
      <c r="O67" s="12" t="s">
        <v>21</v>
      </c>
      <c r="P67" s="12">
        <f t="shared" si="2"/>
        <v>49</v>
      </c>
    </row>
    <row r="68" spans="1:16" ht="15" customHeight="1" x14ac:dyDescent="0.2">
      <c r="A68" s="12" t="s">
        <v>18</v>
      </c>
      <c r="B68" s="90" t="s">
        <v>469</v>
      </c>
      <c r="C68" s="90">
        <f t="shared" si="9"/>
        <v>190</v>
      </c>
      <c r="D68" s="90">
        <v>1</v>
      </c>
      <c r="G68" s="14" t="s">
        <v>3003</v>
      </c>
      <c r="H68" s="12" t="s">
        <v>3161</v>
      </c>
      <c r="I68" s="12">
        <v>131</v>
      </c>
      <c r="J68" s="12">
        <v>5118</v>
      </c>
      <c r="K68" s="12" t="s">
        <v>20</v>
      </c>
      <c r="L68" s="12">
        <v>1</v>
      </c>
      <c r="M68" s="17">
        <v>107466541</v>
      </c>
      <c r="N68" s="17">
        <f t="shared" si="6"/>
        <v>107466541</v>
      </c>
      <c r="O68" s="12" t="s">
        <v>21</v>
      </c>
      <c r="P68" s="12">
        <f t="shared" si="2"/>
        <v>50</v>
      </c>
    </row>
    <row r="69" spans="1:16" ht="15" customHeight="1" x14ac:dyDescent="0.2">
      <c r="A69" s="12" t="s">
        <v>2679</v>
      </c>
      <c r="B69" s="90" t="s">
        <v>469</v>
      </c>
      <c r="C69" s="90">
        <f t="shared" si="9"/>
        <v>191</v>
      </c>
      <c r="D69" s="90">
        <v>1</v>
      </c>
      <c r="G69" s="14" t="s">
        <v>3003</v>
      </c>
      <c r="H69" s="12" t="s">
        <v>3005</v>
      </c>
      <c r="I69" s="12">
        <v>112111</v>
      </c>
      <c r="J69" s="12">
        <v>131</v>
      </c>
      <c r="K69" s="12" t="s">
        <v>20</v>
      </c>
      <c r="L69" s="12">
        <v>1</v>
      </c>
      <c r="M69" s="17">
        <v>107466541</v>
      </c>
      <c r="N69" s="17">
        <f t="shared" si="6"/>
        <v>107466541</v>
      </c>
      <c r="O69" s="12" t="s">
        <v>21</v>
      </c>
      <c r="P69" s="12">
        <f t="shared" si="2"/>
        <v>51</v>
      </c>
    </row>
    <row r="70" spans="1:16" ht="15" customHeight="1" x14ac:dyDescent="0.2">
      <c r="A70" s="12" t="s">
        <v>2678</v>
      </c>
      <c r="B70" s="90" t="s">
        <v>415</v>
      </c>
      <c r="C70" s="90">
        <f t="shared" si="8"/>
        <v>192</v>
      </c>
      <c r="D70" s="90">
        <v>1</v>
      </c>
      <c r="G70" s="14" t="s">
        <v>236</v>
      </c>
      <c r="H70" s="12" t="s">
        <v>3017</v>
      </c>
      <c r="I70" s="12">
        <v>1111</v>
      </c>
      <c r="J70" s="12">
        <v>112111</v>
      </c>
      <c r="K70" s="12" t="s">
        <v>20</v>
      </c>
      <c r="L70" s="12">
        <v>1</v>
      </c>
      <c r="M70" s="17">
        <v>3000000</v>
      </c>
      <c r="N70" s="17">
        <f t="shared" si="6"/>
        <v>3000000</v>
      </c>
      <c r="O70" s="12" t="s">
        <v>21</v>
      </c>
      <c r="P70" s="12">
        <f t="shared" si="2"/>
        <v>52</v>
      </c>
    </row>
    <row r="71" spans="1:16" ht="15" customHeight="1" x14ac:dyDescent="0.2">
      <c r="A71" s="12" t="s">
        <v>2678</v>
      </c>
      <c r="B71" s="90" t="s">
        <v>512</v>
      </c>
      <c r="C71" s="90">
        <f t="shared" si="8"/>
        <v>193</v>
      </c>
      <c r="D71" s="90">
        <v>1</v>
      </c>
      <c r="G71" s="14" t="s">
        <v>236</v>
      </c>
      <c r="H71" s="12" t="s">
        <v>3017</v>
      </c>
      <c r="I71" s="12">
        <v>1111</v>
      </c>
      <c r="J71" s="12">
        <v>112111</v>
      </c>
      <c r="K71" s="12" t="s">
        <v>20</v>
      </c>
      <c r="L71" s="12">
        <v>1</v>
      </c>
      <c r="M71" s="17">
        <v>2000000</v>
      </c>
      <c r="N71" s="17">
        <f t="shared" si="6"/>
        <v>2000000</v>
      </c>
      <c r="O71" s="12" t="s">
        <v>21</v>
      </c>
      <c r="P71" s="12">
        <f t="shared" si="2"/>
        <v>53</v>
      </c>
    </row>
    <row r="72" spans="1:16" ht="15" customHeight="1" x14ac:dyDescent="0.2">
      <c r="A72" s="12" t="s">
        <v>2678</v>
      </c>
      <c r="B72" s="90" t="s">
        <v>512</v>
      </c>
      <c r="C72" s="90">
        <f t="shared" si="8"/>
        <v>194</v>
      </c>
      <c r="D72" s="90">
        <v>1</v>
      </c>
      <c r="G72" s="14" t="s">
        <v>236</v>
      </c>
      <c r="H72" s="12" t="s">
        <v>3017</v>
      </c>
      <c r="I72" s="12">
        <v>1111</v>
      </c>
      <c r="J72" s="12">
        <v>112111</v>
      </c>
      <c r="K72" s="12" t="s">
        <v>20</v>
      </c>
      <c r="L72" s="12">
        <v>1</v>
      </c>
      <c r="M72" s="17">
        <v>1000000</v>
      </c>
      <c r="N72" s="17">
        <f t="shared" si="6"/>
        <v>1000000</v>
      </c>
      <c r="O72" s="12" t="s">
        <v>21</v>
      </c>
      <c r="P72" s="12">
        <f t="shared" si="2"/>
        <v>54</v>
      </c>
    </row>
    <row r="73" spans="1:16" ht="15" customHeight="1" x14ac:dyDescent="0.2">
      <c r="A73" s="12" t="s">
        <v>2678</v>
      </c>
      <c r="B73" s="90" t="s">
        <v>652</v>
      </c>
      <c r="C73" s="90">
        <f t="shared" si="8"/>
        <v>195</v>
      </c>
      <c r="D73" s="90">
        <v>1</v>
      </c>
      <c r="G73" s="14" t="s">
        <v>236</v>
      </c>
      <c r="H73" s="12" t="s">
        <v>3017</v>
      </c>
      <c r="I73" s="12">
        <v>1111</v>
      </c>
      <c r="J73" s="12">
        <v>112111</v>
      </c>
      <c r="K73" s="12" t="s">
        <v>20</v>
      </c>
      <c r="L73" s="12">
        <v>1</v>
      </c>
      <c r="M73" s="17">
        <v>10000000</v>
      </c>
      <c r="N73" s="17">
        <f t="shared" si="6"/>
        <v>10000000</v>
      </c>
      <c r="O73" s="12" t="s">
        <v>21</v>
      </c>
      <c r="P73" s="12">
        <f t="shared" si="2"/>
        <v>55</v>
      </c>
    </row>
    <row r="74" spans="1:16" ht="15" customHeight="1" x14ac:dyDescent="0.2">
      <c r="A74" s="12" t="s">
        <v>2678</v>
      </c>
      <c r="B74" s="90" t="s">
        <v>652</v>
      </c>
      <c r="C74" s="90">
        <f t="shared" si="8"/>
        <v>196</v>
      </c>
      <c r="D74" s="90">
        <v>1</v>
      </c>
      <c r="G74" s="14" t="s">
        <v>93</v>
      </c>
      <c r="H74" s="12" t="s">
        <v>4528</v>
      </c>
      <c r="I74" s="12">
        <v>3383</v>
      </c>
      <c r="J74" s="12">
        <v>112111</v>
      </c>
      <c r="K74" s="12" t="s">
        <v>20</v>
      </c>
      <c r="L74" s="12">
        <v>1</v>
      </c>
      <c r="M74" s="17">
        <v>6400000</v>
      </c>
      <c r="N74" s="17">
        <f t="shared" si="6"/>
        <v>6400000</v>
      </c>
      <c r="O74" s="12" t="s">
        <v>21</v>
      </c>
      <c r="P74" s="12">
        <f t="shared" si="2"/>
        <v>56</v>
      </c>
    </row>
    <row r="75" spans="1:16" ht="15" customHeight="1" x14ac:dyDescent="0.2">
      <c r="A75" s="12" t="s">
        <v>2678</v>
      </c>
      <c r="B75" s="90" t="s">
        <v>652</v>
      </c>
      <c r="C75" s="90">
        <f t="shared" si="8"/>
        <v>197</v>
      </c>
      <c r="D75" s="90">
        <v>1</v>
      </c>
      <c r="G75" s="14" t="s">
        <v>93</v>
      </c>
      <c r="H75" s="12" t="s">
        <v>4529</v>
      </c>
      <c r="I75" s="12">
        <v>3383</v>
      </c>
      <c r="J75" s="12">
        <v>112111</v>
      </c>
      <c r="K75" s="12" t="s">
        <v>20</v>
      </c>
      <c r="L75" s="12">
        <v>1</v>
      </c>
      <c r="M75" s="17">
        <v>690300</v>
      </c>
      <c r="N75" s="17">
        <f t="shared" si="6"/>
        <v>690300</v>
      </c>
      <c r="O75" s="12" t="s">
        <v>21</v>
      </c>
      <c r="P75" s="12">
        <f t="shared" si="2"/>
        <v>57</v>
      </c>
    </row>
    <row r="76" spans="1:16" ht="15" customHeight="1" x14ac:dyDescent="0.2">
      <c r="A76" s="12" t="s">
        <v>2679</v>
      </c>
      <c r="B76" s="90" t="s">
        <v>869</v>
      </c>
      <c r="C76" s="90">
        <f t="shared" si="8"/>
        <v>198</v>
      </c>
      <c r="D76" s="90">
        <v>1</v>
      </c>
      <c r="G76" s="14" t="s">
        <v>113</v>
      </c>
      <c r="H76" s="12" t="s">
        <v>4530</v>
      </c>
      <c r="I76" s="12">
        <v>112111</v>
      </c>
      <c r="J76" s="12">
        <v>131</v>
      </c>
      <c r="K76" s="12" t="s">
        <v>20</v>
      </c>
      <c r="L76" s="12">
        <v>1</v>
      </c>
      <c r="M76" s="17">
        <v>12774194</v>
      </c>
      <c r="N76" s="17">
        <f t="shared" si="6"/>
        <v>12774194</v>
      </c>
      <c r="O76" s="12" t="s">
        <v>21</v>
      </c>
      <c r="P76" s="12">
        <f t="shared" ref="P76:P147" si="10">P75+D76</f>
        <v>58</v>
      </c>
    </row>
    <row r="77" spans="1:16" ht="15" customHeight="1" x14ac:dyDescent="0.2">
      <c r="A77" s="12" t="s">
        <v>2678</v>
      </c>
      <c r="B77" s="90" t="s">
        <v>869</v>
      </c>
      <c r="C77" s="90">
        <f t="shared" si="8"/>
        <v>199</v>
      </c>
      <c r="D77" s="90">
        <v>1</v>
      </c>
      <c r="G77" s="14" t="s">
        <v>236</v>
      </c>
      <c r="H77" s="12" t="s">
        <v>3017</v>
      </c>
      <c r="I77" s="12">
        <v>1111</v>
      </c>
      <c r="J77" s="12">
        <v>112111</v>
      </c>
      <c r="K77" s="12" t="s">
        <v>20</v>
      </c>
      <c r="L77" s="12">
        <v>1</v>
      </c>
      <c r="M77" s="17">
        <v>50000000</v>
      </c>
      <c r="N77" s="17">
        <f t="shared" si="6"/>
        <v>50000000</v>
      </c>
      <c r="O77" s="12" t="s">
        <v>21</v>
      </c>
      <c r="P77" s="12">
        <f t="shared" si="10"/>
        <v>59</v>
      </c>
    </row>
    <row r="78" spans="1:16" ht="15" customHeight="1" x14ac:dyDescent="0.2">
      <c r="A78" s="12" t="s">
        <v>2678</v>
      </c>
      <c r="B78" s="90" t="s">
        <v>869</v>
      </c>
      <c r="C78" s="90">
        <f t="shared" si="8"/>
        <v>200</v>
      </c>
      <c r="D78" s="90">
        <v>1</v>
      </c>
      <c r="G78" s="14" t="s">
        <v>37</v>
      </c>
      <c r="H78" s="12" t="s">
        <v>4536</v>
      </c>
      <c r="I78" s="12">
        <v>331</v>
      </c>
      <c r="J78" s="12">
        <v>112111</v>
      </c>
      <c r="K78" s="12" t="s">
        <v>20</v>
      </c>
      <c r="L78" s="12">
        <v>1</v>
      </c>
      <c r="M78" s="17">
        <v>3240000</v>
      </c>
      <c r="N78" s="17">
        <f t="shared" si="6"/>
        <v>3240000</v>
      </c>
      <c r="O78" s="12" t="s">
        <v>21</v>
      </c>
      <c r="P78" s="12">
        <f t="shared" si="10"/>
        <v>60</v>
      </c>
    </row>
    <row r="79" spans="1:16" ht="15" customHeight="1" x14ac:dyDescent="0.2">
      <c r="A79" s="12" t="s">
        <v>2679</v>
      </c>
      <c r="B79" s="90" t="s">
        <v>291</v>
      </c>
      <c r="C79" s="90">
        <f t="shared" si="8"/>
        <v>201</v>
      </c>
      <c r="D79" s="90">
        <v>1</v>
      </c>
      <c r="G79" s="14" t="s">
        <v>3012</v>
      </c>
      <c r="H79" s="12" t="s">
        <v>2687</v>
      </c>
      <c r="I79" s="12">
        <v>112111</v>
      </c>
      <c r="J79" s="12">
        <v>5154</v>
      </c>
      <c r="K79" s="12" t="s">
        <v>20</v>
      </c>
      <c r="L79" s="12">
        <v>1</v>
      </c>
      <c r="M79" s="17">
        <v>148520</v>
      </c>
      <c r="N79" s="17">
        <f t="shared" si="6"/>
        <v>148520</v>
      </c>
      <c r="O79" s="12" t="s">
        <v>21</v>
      </c>
      <c r="P79" s="12">
        <f t="shared" si="10"/>
        <v>61</v>
      </c>
    </row>
    <row r="80" spans="1:16" ht="15" customHeight="1" x14ac:dyDescent="0.2">
      <c r="A80" s="12" t="s">
        <v>18</v>
      </c>
      <c r="B80" s="90" t="s">
        <v>291</v>
      </c>
      <c r="C80" s="90">
        <f t="shared" ref="C80:C81" si="11">C79+D80</f>
        <v>202</v>
      </c>
      <c r="D80" s="90">
        <v>1</v>
      </c>
      <c r="G80" s="14" t="s">
        <v>3003</v>
      </c>
      <c r="H80" s="12" t="s">
        <v>3161</v>
      </c>
      <c r="I80" s="12">
        <v>131</v>
      </c>
      <c r="J80" s="12">
        <v>5118</v>
      </c>
      <c r="K80" s="12" t="s">
        <v>20</v>
      </c>
      <c r="L80" s="12">
        <v>1</v>
      </c>
      <c r="M80" s="17">
        <v>210788774</v>
      </c>
      <c r="N80" s="17">
        <f t="shared" si="6"/>
        <v>210788774</v>
      </c>
      <c r="O80" s="12" t="s">
        <v>21</v>
      </c>
      <c r="P80" s="12">
        <f t="shared" si="10"/>
        <v>62</v>
      </c>
    </row>
    <row r="81" spans="1:16" ht="15" customHeight="1" x14ac:dyDescent="0.2">
      <c r="A81" s="12" t="s">
        <v>2679</v>
      </c>
      <c r="B81" s="90" t="s">
        <v>291</v>
      </c>
      <c r="C81" s="90">
        <f t="shared" si="11"/>
        <v>203</v>
      </c>
      <c r="D81" s="90">
        <v>1</v>
      </c>
      <c r="G81" s="14" t="s">
        <v>3003</v>
      </c>
      <c r="H81" s="12" t="s">
        <v>3005</v>
      </c>
      <c r="I81" s="12">
        <v>112111</v>
      </c>
      <c r="J81" s="12">
        <v>131</v>
      </c>
      <c r="K81" s="12" t="s">
        <v>20</v>
      </c>
      <c r="L81" s="12">
        <v>1</v>
      </c>
      <c r="M81" s="17">
        <v>210788774</v>
      </c>
      <c r="N81" s="17">
        <f t="shared" si="6"/>
        <v>210788774</v>
      </c>
      <c r="O81" s="12" t="s">
        <v>21</v>
      </c>
      <c r="P81" s="12">
        <f t="shared" si="10"/>
        <v>63</v>
      </c>
    </row>
    <row r="82" spans="1:16" ht="15" customHeight="1" x14ac:dyDescent="0.2">
      <c r="A82" s="12" t="s">
        <v>2678</v>
      </c>
      <c r="B82" s="90" t="s">
        <v>449</v>
      </c>
      <c r="C82" s="90">
        <f t="shared" si="8"/>
        <v>204</v>
      </c>
      <c r="D82" s="90">
        <v>1</v>
      </c>
      <c r="G82" s="14" t="s">
        <v>236</v>
      </c>
      <c r="H82" s="12" t="s">
        <v>3017</v>
      </c>
      <c r="I82" s="12">
        <v>1111</v>
      </c>
      <c r="J82" s="12">
        <v>112111</v>
      </c>
      <c r="K82" s="12" t="s">
        <v>20</v>
      </c>
      <c r="L82" s="12">
        <v>1</v>
      </c>
      <c r="M82" s="17">
        <v>200000000</v>
      </c>
      <c r="N82" s="17">
        <f t="shared" si="6"/>
        <v>200000000</v>
      </c>
      <c r="O82" s="12" t="s">
        <v>21</v>
      </c>
      <c r="P82" s="12">
        <f t="shared" si="10"/>
        <v>64</v>
      </c>
    </row>
    <row r="83" spans="1:16" ht="15" customHeight="1" x14ac:dyDescent="0.2">
      <c r="A83" s="12" t="s">
        <v>2678</v>
      </c>
      <c r="B83" s="90" t="s">
        <v>449</v>
      </c>
      <c r="C83" s="90">
        <f t="shared" si="8"/>
        <v>205</v>
      </c>
      <c r="D83" s="90">
        <v>1</v>
      </c>
      <c r="G83" s="14" t="s">
        <v>236</v>
      </c>
      <c r="H83" s="12" t="s">
        <v>3017</v>
      </c>
      <c r="I83" s="12">
        <v>1111</v>
      </c>
      <c r="J83" s="12">
        <v>112111</v>
      </c>
      <c r="K83" s="12" t="s">
        <v>20</v>
      </c>
      <c r="L83" s="12">
        <v>1</v>
      </c>
      <c r="M83" s="17">
        <v>499999999</v>
      </c>
      <c r="N83" s="17">
        <f t="shared" si="6"/>
        <v>499999999</v>
      </c>
      <c r="O83" s="12" t="s">
        <v>21</v>
      </c>
      <c r="P83" s="12">
        <f t="shared" si="10"/>
        <v>65</v>
      </c>
    </row>
    <row r="84" spans="1:16" ht="15" customHeight="1" x14ac:dyDescent="0.2">
      <c r="A84" s="12" t="s">
        <v>2678</v>
      </c>
      <c r="B84" s="90" t="s">
        <v>449</v>
      </c>
      <c r="C84" s="90">
        <f t="shared" si="8"/>
        <v>206</v>
      </c>
      <c r="D84" s="90">
        <v>1</v>
      </c>
      <c r="G84" s="14" t="s">
        <v>236</v>
      </c>
      <c r="H84" s="12" t="s">
        <v>3017</v>
      </c>
      <c r="I84" s="12">
        <v>1111</v>
      </c>
      <c r="J84" s="12">
        <v>112111</v>
      </c>
      <c r="K84" s="12" t="s">
        <v>20</v>
      </c>
      <c r="L84" s="12">
        <v>1</v>
      </c>
      <c r="M84" s="17">
        <v>499999999</v>
      </c>
      <c r="N84" s="17">
        <f t="shared" si="6"/>
        <v>499999999</v>
      </c>
      <c r="O84" s="12" t="s">
        <v>21</v>
      </c>
      <c r="P84" s="12">
        <f t="shared" si="10"/>
        <v>66</v>
      </c>
    </row>
    <row r="85" spans="1:16" ht="15" customHeight="1" x14ac:dyDescent="0.2">
      <c r="A85" s="12" t="s">
        <v>2678</v>
      </c>
      <c r="B85" s="90" t="s">
        <v>449</v>
      </c>
      <c r="C85" s="90">
        <f t="shared" si="8"/>
        <v>207</v>
      </c>
      <c r="D85" s="90">
        <v>1</v>
      </c>
      <c r="G85" s="14" t="s">
        <v>236</v>
      </c>
      <c r="H85" s="12" t="s">
        <v>3017</v>
      </c>
      <c r="I85" s="12">
        <v>1111</v>
      </c>
      <c r="J85" s="12">
        <v>112111</v>
      </c>
      <c r="K85" s="12" t="s">
        <v>20</v>
      </c>
      <c r="L85" s="12">
        <v>1</v>
      </c>
      <c r="M85" s="17">
        <v>499999999</v>
      </c>
      <c r="N85" s="17">
        <f t="shared" si="6"/>
        <v>499999999</v>
      </c>
      <c r="O85" s="12" t="s">
        <v>21</v>
      </c>
      <c r="P85" s="12">
        <f t="shared" si="10"/>
        <v>67</v>
      </c>
    </row>
    <row r="86" spans="1:16" ht="15" customHeight="1" x14ac:dyDescent="0.2">
      <c r="A86" s="12" t="s">
        <v>2678</v>
      </c>
      <c r="B86" s="90" t="s">
        <v>449</v>
      </c>
      <c r="C86" s="90">
        <f t="shared" si="8"/>
        <v>208</v>
      </c>
      <c r="D86" s="90">
        <v>1</v>
      </c>
      <c r="G86" s="14" t="s">
        <v>236</v>
      </c>
      <c r="H86" s="12" t="s">
        <v>3017</v>
      </c>
      <c r="I86" s="12">
        <v>1111</v>
      </c>
      <c r="J86" s="12">
        <v>112111</v>
      </c>
      <c r="K86" s="12" t="s">
        <v>20</v>
      </c>
      <c r="L86" s="12">
        <v>1</v>
      </c>
      <c r="M86" s="17">
        <v>499998003</v>
      </c>
      <c r="N86" s="17">
        <f t="shared" si="6"/>
        <v>499998003</v>
      </c>
      <c r="O86" s="12" t="s">
        <v>21</v>
      </c>
      <c r="P86" s="12">
        <f t="shared" si="10"/>
        <v>68</v>
      </c>
    </row>
    <row r="87" spans="1:16" ht="15" customHeight="1" x14ac:dyDescent="0.2">
      <c r="A87" s="12" t="s">
        <v>2678</v>
      </c>
      <c r="B87" s="90" t="s">
        <v>449</v>
      </c>
      <c r="C87" s="90">
        <f t="shared" si="8"/>
        <v>209</v>
      </c>
      <c r="D87" s="90">
        <v>1</v>
      </c>
      <c r="G87" s="14" t="s">
        <v>236</v>
      </c>
      <c r="H87" s="12" t="s">
        <v>3017</v>
      </c>
      <c r="I87" s="12">
        <v>1111</v>
      </c>
      <c r="J87" s="12">
        <v>112111</v>
      </c>
      <c r="K87" s="12" t="s">
        <v>20</v>
      </c>
      <c r="L87" s="12">
        <v>1</v>
      </c>
      <c r="M87" s="17">
        <v>2000</v>
      </c>
      <c r="N87" s="17">
        <f t="shared" si="6"/>
        <v>2000</v>
      </c>
      <c r="O87" s="12" t="s">
        <v>21</v>
      </c>
      <c r="P87" s="12">
        <f t="shared" si="10"/>
        <v>69</v>
      </c>
    </row>
    <row r="88" spans="1:16" ht="15" customHeight="1" x14ac:dyDescent="0.2">
      <c r="A88" s="12" t="s">
        <v>18</v>
      </c>
      <c r="B88" s="90" t="s">
        <v>450</v>
      </c>
      <c r="C88" s="90">
        <f t="shared" ref="C88:C89" si="12">C87+D88</f>
        <v>210</v>
      </c>
      <c r="D88" s="90">
        <v>1</v>
      </c>
      <c r="G88" s="14" t="s">
        <v>3003</v>
      </c>
      <c r="H88" s="12" t="s">
        <v>3161</v>
      </c>
      <c r="I88" s="12">
        <v>131</v>
      </c>
      <c r="J88" s="12">
        <v>5118</v>
      </c>
      <c r="K88" s="12" t="s">
        <v>20</v>
      </c>
      <c r="L88" s="12">
        <v>1</v>
      </c>
      <c r="M88" s="17">
        <v>25335604</v>
      </c>
      <c r="N88" s="17">
        <f t="shared" si="6"/>
        <v>25335604</v>
      </c>
      <c r="O88" s="12" t="s">
        <v>21</v>
      </c>
      <c r="P88" s="12">
        <f t="shared" si="10"/>
        <v>70</v>
      </c>
    </row>
    <row r="89" spans="1:16" ht="15" customHeight="1" x14ac:dyDescent="0.2">
      <c r="A89" s="12" t="s">
        <v>2679</v>
      </c>
      <c r="B89" s="90" t="s">
        <v>450</v>
      </c>
      <c r="C89" s="90">
        <f t="shared" si="12"/>
        <v>211</v>
      </c>
      <c r="D89" s="90">
        <v>1</v>
      </c>
      <c r="G89" s="14" t="s">
        <v>3003</v>
      </c>
      <c r="H89" s="12" t="s">
        <v>3005</v>
      </c>
      <c r="I89" s="12">
        <v>112111</v>
      </c>
      <c r="J89" s="12">
        <v>131</v>
      </c>
      <c r="K89" s="12" t="s">
        <v>20</v>
      </c>
      <c r="L89" s="12">
        <v>1</v>
      </c>
      <c r="M89" s="17">
        <v>25335604</v>
      </c>
      <c r="N89" s="17">
        <f t="shared" si="6"/>
        <v>25335604</v>
      </c>
      <c r="O89" s="12" t="s">
        <v>21</v>
      </c>
      <c r="P89" s="12">
        <f t="shared" si="10"/>
        <v>71</v>
      </c>
    </row>
    <row r="90" spans="1:16" ht="15" customHeight="1" x14ac:dyDescent="0.2">
      <c r="A90" s="12" t="s">
        <v>2678</v>
      </c>
      <c r="B90" s="90" t="s">
        <v>450</v>
      </c>
      <c r="C90" s="90">
        <f t="shared" si="8"/>
        <v>212</v>
      </c>
      <c r="D90" s="90">
        <v>1</v>
      </c>
      <c r="G90" s="14" t="s">
        <v>236</v>
      </c>
      <c r="H90" s="12" t="s">
        <v>3017</v>
      </c>
      <c r="I90" s="12">
        <v>1111</v>
      </c>
      <c r="J90" s="12">
        <v>112111</v>
      </c>
      <c r="K90" s="12" t="s">
        <v>20</v>
      </c>
      <c r="L90" s="12">
        <v>1</v>
      </c>
      <c r="M90" s="17">
        <v>50000000</v>
      </c>
      <c r="N90" s="17">
        <f t="shared" si="6"/>
        <v>50000000</v>
      </c>
      <c r="O90" s="12" t="s">
        <v>21</v>
      </c>
      <c r="P90" s="12">
        <f t="shared" si="10"/>
        <v>72</v>
      </c>
    </row>
    <row r="91" spans="1:16" ht="15" customHeight="1" x14ac:dyDescent="0.2">
      <c r="A91" s="12" t="s">
        <v>2678</v>
      </c>
      <c r="B91" s="90" t="s">
        <v>450</v>
      </c>
      <c r="C91" s="90">
        <f t="shared" si="8"/>
        <v>213</v>
      </c>
      <c r="D91" s="90">
        <v>1</v>
      </c>
      <c r="G91" s="14" t="s">
        <v>236</v>
      </c>
      <c r="H91" s="12" t="s">
        <v>3017</v>
      </c>
      <c r="I91" s="12">
        <v>1111</v>
      </c>
      <c r="J91" s="12">
        <v>112111</v>
      </c>
      <c r="K91" s="12" t="s">
        <v>20</v>
      </c>
      <c r="L91" s="12">
        <v>1</v>
      </c>
      <c r="M91" s="17">
        <v>2000000</v>
      </c>
      <c r="N91" s="17">
        <f t="shared" si="6"/>
        <v>2000000</v>
      </c>
      <c r="O91" s="12" t="s">
        <v>21</v>
      </c>
      <c r="P91" s="12">
        <f t="shared" si="10"/>
        <v>73</v>
      </c>
    </row>
    <row r="92" spans="1:16" ht="15" customHeight="1" x14ac:dyDescent="0.2">
      <c r="A92" s="12" t="s">
        <v>18</v>
      </c>
      <c r="B92" s="90" t="s">
        <v>315</v>
      </c>
      <c r="C92" s="90">
        <f t="shared" ref="C92:C93" si="13">C91+D92</f>
        <v>214</v>
      </c>
      <c r="D92" s="90">
        <v>1</v>
      </c>
      <c r="G92" s="14" t="s">
        <v>3003</v>
      </c>
      <c r="H92" s="12" t="s">
        <v>3161</v>
      </c>
      <c r="I92" s="12">
        <v>131</v>
      </c>
      <c r="J92" s="12">
        <v>5118</v>
      </c>
      <c r="K92" s="12" t="s">
        <v>20</v>
      </c>
      <c r="L92" s="12">
        <v>1</v>
      </c>
      <c r="M92" s="17">
        <v>47601451</v>
      </c>
      <c r="N92" s="17">
        <f t="shared" si="6"/>
        <v>47601451</v>
      </c>
      <c r="O92" s="12" t="s">
        <v>21</v>
      </c>
      <c r="P92" s="12">
        <f t="shared" si="10"/>
        <v>74</v>
      </c>
    </row>
    <row r="93" spans="1:16" ht="15" customHeight="1" x14ac:dyDescent="0.2">
      <c r="A93" s="12" t="s">
        <v>2679</v>
      </c>
      <c r="B93" s="90" t="s">
        <v>315</v>
      </c>
      <c r="C93" s="90">
        <f t="shared" si="13"/>
        <v>215</v>
      </c>
      <c r="D93" s="90">
        <v>1</v>
      </c>
      <c r="G93" s="14" t="s">
        <v>3003</v>
      </c>
      <c r="H93" s="12" t="s">
        <v>3005</v>
      </c>
      <c r="I93" s="12">
        <v>112111</v>
      </c>
      <c r="J93" s="12">
        <v>131</v>
      </c>
      <c r="K93" s="12" t="s">
        <v>20</v>
      </c>
      <c r="L93" s="12">
        <v>1</v>
      </c>
      <c r="M93" s="17">
        <v>47601451</v>
      </c>
      <c r="N93" s="17">
        <f t="shared" si="6"/>
        <v>47601451</v>
      </c>
      <c r="O93" s="12" t="s">
        <v>21</v>
      </c>
      <c r="P93" s="12">
        <f t="shared" si="10"/>
        <v>75</v>
      </c>
    </row>
    <row r="94" spans="1:16" ht="15" customHeight="1" x14ac:dyDescent="0.2">
      <c r="A94" s="12" t="s">
        <v>2678</v>
      </c>
      <c r="B94" s="90" t="s">
        <v>315</v>
      </c>
      <c r="C94" s="90">
        <f t="shared" si="8"/>
        <v>216</v>
      </c>
      <c r="D94" s="90">
        <v>1</v>
      </c>
      <c r="G94" s="14" t="s">
        <v>236</v>
      </c>
      <c r="H94" s="12" t="s">
        <v>3017</v>
      </c>
      <c r="I94" s="12">
        <v>1111</v>
      </c>
      <c r="J94" s="12">
        <v>112111</v>
      </c>
      <c r="K94" s="12" t="s">
        <v>20</v>
      </c>
      <c r="L94" s="12">
        <v>1</v>
      </c>
      <c r="M94" s="17">
        <v>49000000</v>
      </c>
      <c r="N94" s="17">
        <f t="shared" si="6"/>
        <v>49000000</v>
      </c>
      <c r="O94" s="12" t="s">
        <v>21</v>
      </c>
      <c r="P94" s="12">
        <f t="shared" si="10"/>
        <v>76</v>
      </c>
    </row>
    <row r="95" spans="1:16" ht="15" customHeight="1" x14ac:dyDescent="0.2">
      <c r="A95" s="12" t="s">
        <v>2679</v>
      </c>
      <c r="B95" s="90" t="s">
        <v>470</v>
      </c>
      <c r="C95" s="90">
        <f t="shared" si="8"/>
        <v>217</v>
      </c>
      <c r="D95" s="90">
        <v>1</v>
      </c>
      <c r="G95" s="14" t="s">
        <v>147</v>
      </c>
      <c r="H95" s="12" t="s">
        <v>4532</v>
      </c>
      <c r="I95" s="12">
        <v>112111</v>
      </c>
      <c r="J95" s="12">
        <v>131</v>
      </c>
      <c r="K95" s="12" t="s">
        <v>20</v>
      </c>
      <c r="L95" s="12">
        <v>1</v>
      </c>
      <c r="M95" s="17">
        <v>5322581</v>
      </c>
      <c r="N95" s="17">
        <f t="shared" si="6"/>
        <v>5322581</v>
      </c>
      <c r="O95" s="12" t="s">
        <v>21</v>
      </c>
      <c r="P95" s="12">
        <f t="shared" si="10"/>
        <v>77</v>
      </c>
    </row>
    <row r="96" spans="1:16" ht="15" customHeight="1" x14ac:dyDescent="0.2">
      <c r="A96" s="12" t="s">
        <v>2678</v>
      </c>
      <c r="B96" s="90" t="s">
        <v>378</v>
      </c>
      <c r="C96" s="90">
        <f t="shared" si="8"/>
        <v>218</v>
      </c>
      <c r="D96" s="90">
        <v>1</v>
      </c>
      <c r="G96" s="14" t="s">
        <v>236</v>
      </c>
      <c r="H96" s="12" t="s">
        <v>3017</v>
      </c>
      <c r="I96" s="12">
        <v>1111</v>
      </c>
      <c r="J96" s="12">
        <v>112111</v>
      </c>
      <c r="K96" s="12" t="s">
        <v>20</v>
      </c>
      <c r="L96" s="12">
        <v>1</v>
      </c>
      <c r="M96" s="17">
        <v>6000000</v>
      </c>
      <c r="N96" s="17">
        <f t="shared" si="6"/>
        <v>6000000</v>
      </c>
      <c r="O96" s="12" t="s">
        <v>21</v>
      </c>
      <c r="P96" s="12">
        <f t="shared" si="10"/>
        <v>78</v>
      </c>
    </row>
    <row r="97" spans="1:16" ht="15" customHeight="1" x14ac:dyDescent="0.2">
      <c r="A97" s="12" t="s">
        <v>18</v>
      </c>
      <c r="B97" s="90" t="s">
        <v>471</v>
      </c>
      <c r="C97" s="90">
        <f t="shared" ref="C97:C98" si="14">C96+D97</f>
        <v>219</v>
      </c>
      <c r="D97" s="90">
        <v>1</v>
      </c>
      <c r="G97" s="14" t="s">
        <v>3003</v>
      </c>
      <c r="H97" s="12" t="s">
        <v>3161</v>
      </c>
      <c r="I97" s="12">
        <v>131</v>
      </c>
      <c r="J97" s="12">
        <v>5118</v>
      </c>
      <c r="K97" s="12" t="s">
        <v>20</v>
      </c>
      <c r="L97" s="12">
        <v>1</v>
      </c>
      <c r="M97" s="17">
        <v>179463810</v>
      </c>
      <c r="N97" s="17">
        <f t="shared" si="6"/>
        <v>179463810</v>
      </c>
      <c r="O97" s="12" t="s">
        <v>21</v>
      </c>
      <c r="P97" s="12">
        <f t="shared" si="10"/>
        <v>79</v>
      </c>
    </row>
    <row r="98" spans="1:16" ht="15" customHeight="1" x14ac:dyDescent="0.2">
      <c r="A98" s="12" t="s">
        <v>2679</v>
      </c>
      <c r="B98" s="90" t="s">
        <v>471</v>
      </c>
      <c r="C98" s="90">
        <f t="shared" si="14"/>
        <v>220</v>
      </c>
      <c r="D98" s="90">
        <v>1</v>
      </c>
      <c r="G98" s="14" t="s">
        <v>3003</v>
      </c>
      <c r="H98" s="12" t="s">
        <v>3005</v>
      </c>
      <c r="I98" s="12">
        <v>112111</v>
      </c>
      <c r="J98" s="12">
        <v>131</v>
      </c>
      <c r="K98" s="12" t="s">
        <v>20</v>
      </c>
      <c r="L98" s="12">
        <v>1</v>
      </c>
      <c r="M98" s="17">
        <v>179463810</v>
      </c>
      <c r="N98" s="17">
        <f t="shared" si="6"/>
        <v>179463810</v>
      </c>
      <c r="O98" s="12" t="s">
        <v>21</v>
      </c>
      <c r="P98" s="12">
        <f t="shared" si="10"/>
        <v>80</v>
      </c>
    </row>
    <row r="99" spans="1:16" ht="15" customHeight="1" x14ac:dyDescent="0.2">
      <c r="A99" s="12" t="s">
        <v>2678</v>
      </c>
      <c r="B99" s="90" t="s">
        <v>471</v>
      </c>
      <c r="C99" s="90">
        <f t="shared" si="8"/>
        <v>221</v>
      </c>
      <c r="D99" s="90">
        <v>1</v>
      </c>
      <c r="G99" s="14" t="s">
        <v>236</v>
      </c>
      <c r="H99" s="12" t="s">
        <v>4455</v>
      </c>
      <c r="I99" s="12">
        <v>6428</v>
      </c>
      <c r="J99" s="12">
        <v>112111</v>
      </c>
      <c r="K99" s="12" t="s">
        <v>20</v>
      </c>
      <c r="L99" s="12">
        <v>1</v>
      </c>
      <c r="M99" s="17">
        <v>2365000</v>
      </c>
      <c r="N99" s="17">
        <f t="shared" si="6"/>
        <v>2365000</v>
      </c>
      <c r="O99" s="12" t="s">
        <v>21</v>
      </c>
      <c r="P99" s="12">
        <f t="shared" si="10"/>
        <v>81</v>
      </c>
    </row>
    <row r="100" spans="1:16" ht="15" customHeight="1" x14ac:dyDescent="0.2">
      <c r="A100" s="12" t="s">
        <v>2678</v>
      </c>
      <c r="B100" s="90" t="s">
        <v>4526</v>
      </c>
      <c r="C100" s="90">
        <f t="shared" si="8"/>
        <v>222</v>
      </c>
      <c r="D100" s="90">
        <v>1</v>
      </c>
      <c r="G100" s="14" t="s">
        <v>236</v>
      </c>
      <c r="H100" s="12" t="s">
        <v>3017</v>
      </c>
      <c r="I100" s="12">
        <v>1111</v>
      </c>
      <c r="J100" s="12">
        <v>112111</v>
      </c>
      <c r="K100" s="12" t="s">
        <v>20</v>
      </c>
      <c r="L100" s="12">
        <v>1</v>
      </c>
      <c r="M100" s="17">
        <v>5000000</v>
      </c>
      <c r="N100" s="17">
        <f t="shared" si="6"/>
        <v>5000000</v>
      </c>
      <c r="O100" s="12" t="s">
        <v>21</v>
      </c>
      <c r="P100" s="12">
        <f t="shared" si="10"/>
        <v>82</v>
      </c>
    </row>
    <row r="101" spans="1:16" ht="15" customHeight="1" x14ac:dyDescent="0.2">
      <c r="A101" s="12" t="s">
        <v>2678</v>
      </c>
      <c r="B101" s="90" t="s">
        <v>4526</v>
      </c>
      <c r="C101" s="90">
        <f t="shared" si="8"/>
        <v>223</v>
      </c>
      <c r="D101" s="90">
        <v>1</v>
      </c>
      <c r="G101" s="14" t="s">
        <v>236</v>
      </c>
      <c r="H101" s="12" t="s">
        <v>3017</v>
      </c>
      <c r="I101" s="12">
        <v>1111</v>
      </c>
      <c r="J101" s="12">
        <v>112111</v>
      </c>
      <c r="K101" s="12" t="s">
        <v>20</v>
      </c>
      <c r="L101" s="12">
        <v>1</v>
      </c>
      <c r="M101" s="17">
        <v>100000000</v>
      </c>
      <c r="N101" s="17">
        <f t="shared" si="6"/>
        <v>100000000</v>
      </c>
      <c r="O101" s="12" t="s">
        <v>21</v>
      </c>
      <c r="P101" s="12">
        <f t="shared" si="10"/>
        <v>83</v>
      </c>
    </row>
    <row r="102" spans="1:16" ht="15" customHeight="1" x14ac:dyDescent="0.2">
      <c r="A102" s="12" t="s">
        <v>2679</v>
      </c>
      <c r="B102" s="90" t="s">
        <v>417</v>
      </c>
      <c r="C102" s="90">
        <f t="shared" si="8"/>
        <v>224</v>
      </c>
      <c r="D102" s="90">
        <v>1</v>
      </c>
      <c r="G102" s="14" t="s">
        <v>86</v>
      </c>
      <c r="H102" s="12" t="s">
        <v>4534</v>
      </c>
      <c r="I102" s="12">
        <v>112111</v>
      </c>
      <c r="J102" s="12">
        <v>131</v>
      </c>
      <c r="K102" s="12" t="s">
        <v>20</v>
      </c>
      <c r="L102" s="12">
        <v>1</v>
      </c>
      <c r="M102" s="17">
        <v>12774194</v>
      </c>
      <c r="N102" s="17">
        <f t="shared" si="6"/>
        <v>12774194</v>
      </c>
      <c r="O102" s="12" t="s">
        <v>21</v>
      </c>
      <c r="P102" s="12">
        <f t="shared" si="10"/>
        <v>84</v>
      </c>
    </row>
    <row r="103" spans="1:16" ht="15" customHeight="1" x14ac:dyDescent="0.2">
      <c r="A103" s="12" t="s">
        <v>2678</v>
      </c>
      <c r="B103" s="90" t="s">
        <v>417</v>
      </c>
      <c r="C103" s="90">
        <f t="shared" si="8"/>
        <v>225</v>
      </c>
      <c r="D103" s="90">
        <v>1</v>
      </c>
      <c r="G103" s="14" t="s">
        <v>236</v>
      </c>
      <c r="H103" s="12" t="s">
        <v>3017</v>
      </c>
      <c r="I103" s="12">
        <v>1111</v>
      </c>
      <c r="J103" s="12">
        <v>112111</v>
      </c>
      <c r="K103" s="12" t="s">
        <v>20</v>
      </c>
      <c r="L103" s="12">
        <v>1</v>
      </c>
      <c r="M103" s="17">
        <v>4000000</v>
      </c>
      <c r="N103" s="17">
        <f t="shared" si="6"/>
        <v>4000000</v>
      </c>
      <c r="O103" s="12" t="s">
        <v>21</v>
      </c>
      <c r="P103" s="12">
        <f t="shared" si="10"/>
        <v>85</v>
      </c>
    </row>
    <row r="104" spans="1:16" ht="15" customHeight="1" x14ac:dyDescent="0.2">
      <c r="A104" s="12" t="s">
        <v>2679</v>
      </c>
      <c r="B104" s="90" t="s">
        <v>318</v>
      </c>
      <c r="C104" s="90">
        <f t="shared" si="8"/>
        <v>226</v>
      </c>
      <c r="D104" s="90">
        <v>1</v>
      </c>
      <c r="G104" s="14" t="s">
        <v>85</v>
      </c>
      <c r="H104" s="12" t="s">
        <v>4535</v>
      </c>
      <c r="I104" s="12">
        <v>112111</v>
      </c>
      <c r="J104" s="12">
        <v>131</v>
      </c>
      <c r="K104" s="12" t="s">
        <v>20</v>
      </c>
      <c r="L104" s="12">
        <v>1</v>
      </c>
      <c r="M104" s="17">
        <v>30338710</v>
      </c>
      <c r="N104" s="17">
        <f t="shared" si="6"/>
        <v>30338710</v>
      </c>
      <c r="O104" s="12" t="s">
        <v>21</v>
      </c>
      <c r="P104" s="12">
        <f t="shared" si="10"/>
        <v>86</v>
      </c>
    </row>
    <row r="105" spans="1:16" ht="15" customHeight="1" x14ac:dyDescent="0.2">
      <c r="A105" s="12" t="s">
        <v>2678</v>
      </c>
      <c r="B105" s="90" t="s">
        <v>418</v>
      </c>
      <c r="C105" s="90">
        <f t="shared" si="8"/>
        <v>227</v>
      </c>
      <c r="D105" s="90">
        <v>1</v>
      </c>
      <c r="G105" s="14" t="s">
        <v>236</v>
      </c>
      <c r="H105" s="12" t="s">
        <v>3017</v>
      </c>
      <c r="I105" s="12">
        <v>1111</v>
      </c>
      <c r="J105" s="12">
        <v>112111</v>
      </c>
      <c r="K105" s="12" t="s">
        <v>20</v>
      </c>
      <c r="L105" s="12">
        <v>1</v>
      </c>
      <c r="M105" s="17">
        <v>60000000</v>
      </c>
      <c r="N105" s="17">
        <f t="shared" si="6"/>
        <v>60000000</v>
      </c>
      <c r="O105" s="12" t="s">
        <v>21</v>
      </c>
      <c r="P105" s="12">
        <f t="shared" si="10"/>
        <v>87</v>
      </c>
    </row>
    <row r="106" spans="1:16" ht="15" customHeight="1" x14ac:dyDescent="0.2">
      <c r="A106" s="12" t="s">
        <v>2678</v>
      </c>
      <c r="B106" s="90" t="s">
        <v>418</v>
      </c>
      <c r="C106" s="90">
        <f t="shared" si="8"/>
        <v>228</v>
      </c>
      <c r="D106" s="90">
        <v>1</v>
      </c>
      <c r="G106" s="14" t="s">
        <v>236</v>
      </c>
      <c r="H106" s="12" t="s">
        <v>3017</v>
      </c>
      <c r="I106" s="12">
        <v>1111</v>
      </c>
      <c r="J106" s="12">
        <v>112111</v>
      </c>
      <c r="K106" s="12" t="s">
        <v>20</v>
      </c>
      <c r="L106" s="12">
        <v>1</v>
      </c>
      <c r="M106" s="17">
        <v>10000000</v>
      </c>
      <c r="N106" s="17">
        <f t="shared" si="6"/>
        <v>10000000</v>
      </c>
      <c r="O106" s="12" t="s">
        <v>21</v>
      </c>
      <c r="P106" s="12">
        <f t="shared" si="10"/>
        <v>88</v>
      </c>
    </row>
    <row r="107" spans="1:16" ht="15" customHeight="1" x14ac:dyDescent="0.2">
      <c r="A107" s="12" t="s">
        <v>2678</v>
      </c>
      <c r="B107" s="90" t="s">
        <v>601</v>
      </c>
      <c r="C107" s="90">
        <f t="shared" si="8"/>
        <v>229</v>
      </c>
      <c r="D107" s="90">
        <v>1</v>
      </c>
      <c r="G107" s="14" t="s">
        <v>236</v>
      </c>
      <c r="H107" s="12" t="s">
        <v>3017</v>
      </c>
      <c r="I107" s="12">
        <v>1111</v>
      </c>
      <c r="J107" s="12">
        <v>112111</v>
      </c>
      <c r="K107" s="12" t="s">
        <v>20</v>
      </c>
      <c r="L107" s="12">
        <v>1</v>
      </c>
      <c r="M107" s="17">
        <v>10000000</v>
      </c>
      <c r="N107" s="17">
        <f t="shared" si="6"/>
        <v>10000000</v>
      </c>
      <c r="O107" s="12" t="s">
        <v>21</v>
      </c>
      <c r="P107" s="12">
        <f t="shared" si="10"/>
        <v>89</v>
      </c>
    </row>
    <row r="108" spans="1:16" ht="15" customHeight="1" x14ac:dyDescent="0.2">
      <c r="A108" s="12" t="s">
        <v>2678</v>
      </c>
      <c r="B108" s="90" t="s">
        <v>319</v>
      </c>
      <c r="C108" s="90">
        <f t="shared" si="8"/>
        <v>230</v>
      </c>
      <c r="D108" s="90">
        <v>1</v>
      </c>
      <c r="G108" s="14" t="s">
        <v>236</v>
      </c>
      <c r="H108" s="12" t="s">
        <v>3017</v>
      </c>
      <c r="I108" s="12">
        <v>1111</v>
      </c>
      <c r="J108" s="12">
        <v>112111</v>
      </c>
      <c r="K108" s="12" t="s">
        <v>20</v>
      </c>
      <c r="L108" s="12">
        <v>1</v>
      </c>
      <c r="M108" s="17">
        <v>15000000</v>
      </c>
      <c r="N108" s="17">
        <f t="shared" si="6"/>
        <v>15000000</v>
      </c>
      <c r="O108" s="12" t="s">
        <v>21</v>
      </c>
      <c r="P108" s="12">
        <f t="shared" si="10"/>
        <v>90</v>
      </c>
    </row>
    <row r="109" spans="1:16" ht="15" customHeight="1" x14ac:dyDescent="0.2">
      <c r="A109" s="12" t="s">
        <v>2678</v>
      </c>
      <c r="B109" s="90" t="s">
        <v>513</v>
      </c>
      <c r="C109" s="90">
        <f t="shared" si="8"/>
        <v>231</v>
      </c>
      <c r="D109" s="90">
        <v>1</v>
      </c>
      <c r="G109" s="14" t="s">
        <v>236</v>
      </c>
      <c r="H109" s="12" t="s">
        <v>3017</v>
      </c>
      <c r="I109" s="12">
        <v>1111</v>
      </c>
      <c r="J109" s="12">
        <v>112111</v>
      </c>
      <c r="K109" s="12" t="s">
        <v>20</v>
      </c>
      <c r="L109" s="12">
        <v>1</v>
      </c>
      <c r="M109" s="17">
        <v>10000000</v>
      </c>
      <c r="N109" s="17">
        <f t="shared" si="6"/>
        <v>10000000</v>
      </c>
      <c r="O109" s="12" t="s">
        <v>21</v>
      </c>
      <c r="P109" s="12">
        <f t="shared" si="10"/>
        <v>91</v>
      </c>
    </row>
    <row r="110" spans="1:16" ht="15" customHeight="1" x14ac:dyDescent="0.2">
      <c r="A110" s="12" t="s">
        <v>2678</v>
      </c>
      <c r="B110" s="90" t="s">
        <v>514</v>
      </c>
      <c r="C110" s="90">
        <f t="shared" si="8"/>
        <v>232</v>
      </c>
      <c r="D110" s="90">
        <v>1</v>
      </c>
      <c r="G110" s="14" t="s">
        <v>236</v>
      </c>
      <c r="H110" s="12" t="s">
        <v>4455</v>
      </c>
      <c r="I110" s="12">
        <v>6428</v>
      </c>
      <c r="J110" s="12">
        <v>112111</v>
      </c>
      <c r="K110" s="12" t="s">
        <v>20</v>
      </c>
      <c r="L110" s="12">
        <v>1</v>
      </c>
      <c r="M110" s="17">
        <v>65000</v>
      </c>
      <c r="N110" s="17">
        <f t="shared" si="6"/>
        <v>65000</v>
      </c>
      <c r="O110" s="12" t="s">
        <v>21</v>
      </c>
      <c r="P110" s="12">
        <f t="shared" si="10"/>
        <v>92</v>
      </c>
    </row>
    <row r="111" spans="1:16" ht="15" customHeight="1" x14ac:dyDescent="0.2">
      <c r="A111" s="12" t="s">
        <v>2678</v>
      </c>
      <c r="B111" s="90" t="s">
        <v>514</v>
      </c>
      <c r="C111" s="90">
        <f t="shared" si="8"/>
        <v>233</v>
      </c>
      <c r="D111" s="90">
        <v>1</v>
      </c>
      <c r="G111" s="14" t="s">
        <v>236</v>
      </c>
      <c r="H111" s="12" t="s">
        <v>3017</v>
      </c>
      <c r="I111" s="12">
        <v>1111</v>
      </c>
      <c r="J111" s="12">
        <v>112111</v>
      </c>
      <c r="K111" s="12" t="s">
        <v>20</v>
      </c>
      <c r="L111" s="12">
        <v>1</v>
      </c>
      <c r="M111" s="17">
        <v>2000000</v>
      </c>
      <c r="N111" s="17">
        <f t="shared" si="6"/>
        <v>2000000</v>
      </c>
      <c r="O111" s="12" t="s">
        <v>21</v>
      </c>
      <c r="P111" s="12">
        <f t="shared" si="10"/>
        <v>93</v>
      </c>
    </row>
    <row r="112" spans="1:16" ht="15" customHeight="1" x14ac:dyDescent="0.2">
      <c r="A112" s="12" t="s">
        <v>2679</v>
      </c>
      <c r="B112" s="90" t="s">
        <v>514</v>
      </c>
      <c r="C112" s="90">
        <f t="shared" si="8"/>
        <v>234</v>
      </c>
      <c r="D112" s="90">
        <v>1</v>
      </c>
      <c r="G112" s="14" t="s">
        <v>113</v>
      </c>
      <c r="H112" s="12" t="s">
        <v>4533</v>
      </c>
      <c r="I112" s="12">
        <v>112111</v>
      </c>
      <c r="J112" s="12">
        <v>131</v>
      </c>
      <c r="K112" s="12" t="s">
        <v>20</v>
      </c>
      <c r="L112" s="12">
        <v>1</v>
      </c>
      <c r="M112" s="17">
        <v>5377000</v>
      </c>
      <c r="N112" s="17">
        <f t="shared" si="6"/>
        <v>5377000</v>
      </c>
      <c r="O112" s="12" t="s">
        <v>21</v>
      </c>
      <c r="P112" s="12">
        <f t="shared" si="10"/>
        <v>94</v>
      </c>
    </row>
    <row r="113" spans="1:16" ht="15" customHeight="1" x14ac:dyDescent="0.2">
      <c r="A113" s="12" t="s">
        <v>2678</v>
      </c>
      <c r="B113" s="90" t="s">
        <v>514</v>
      </c>
      <c r="C113" s="90">
        <f t="shared" si="8"/>
        <v>235</v>
      </c>
      <c r="D113" s="90">
        <v>1</v>
      </c>
      <c r="G113" s="14" t="s">
        <v>236</v>
      </c>
      <c r="H113" s="12" t="s">
        <v>3017</v>
      </c>
      <c r="I113" s="12">
        <v>1111</v>
      </c>
      <c r="J113" s="12">
        <v>112111</v>
      </c>
      <c r="K113" s="12" t="s">
        <v>20</v>
      </c>
      <c r="L113" s="12">
        <v>1</v>
      </c>
      <c r="M113" s="17">
        <v>9700000</v>
      </c>
      <c r="N113" s="17">
        <f t="shared" si="6"/>
        <v>9700000</v>
      </c>
      <c r="O113" s="12" t="s">
        <v>21</v>
      </c>
      <c r="P113" s="12">
        <f t="shared" si="10"/>
        <v>95</v>
      </c>
    </row>
    <row r="114" spans="1:16" ht="15" customHeight="1" x14ac:dyDescent="0.2">
      <c r="A114" s="12" t="s">
        <v>2679</v>
      </c>
      <c r="B114" s="90" t="s">
        <v>602</v>
      </c>
      <c r="C114" s="90">
        <f t="shared" si="8"/>
        <v>236</v>
      </c>
      <c r="D114" s="90">
        <v>1</v>
      </c>
      <c r="G114" s="14" t="s">
        <v>40</v>
      </c>
      <c r="H114" s="12" t="s">
        <v>4541</v>
      </c>
      <c r="I114" s="12">
        <v>112111</v>
      </c>
      <c r="J114" s="12">
        <v>131</v>
      </c>
      <c r="K114" s="12" t="s">
        <v>20</v>
      </c>
      <c r="L114" s="12">
        <v>1</v>
      </c>
      <c r="M114" s="17">
        <v>15967742</v>
      </c>
      <c r="N114" s="17">
        <f t="shared" si="6"/>
        <v>15967742</v>
      </c>
      <c r="O114" s="12" t="s">
        <v>21</v>
      </c>
      <c r="P114" s="12">
        <f t="shared" si="10"/>
        <v>96</v>
      </c>
    </row>
    <row r="115" spans="1:16" ht="15" customHeight="1" x14ac:dyDescent="0.2">
      <c r="A115" s="12" t="s">
        <v>18</v>
      </c>
      <c r="B115" s="90" t="s">
        <v>588</v>
      </c>
      <c r="C115" s="90">
        <f t="shared" ref="C115:C118" si="15">C114+D115</f>
        <v>237</v>
      </c>
      <c r="D115" s="90">
        <v>1</v>
      </c>
      <c r="G115" s="14" t="s">
        <v>3003</v>
      </c>
      <c r="H115" s="12" t="s">
        <v>3161</v>
      </c>
      <c r="I115" s="12">
        <v>131</v>
      </c>
      <c r="J115" s="12">
        <v>5118</v>
      </c>
      <c r="K115" s="12" t="s">
        <v>20</v>
      </c>
      <c r="L115" s="12">
        <v>1</v>
      </c>
      <c r="M115" s="17">
        <v>484606420</v>
      </c>
      <c r="N115" s="17">
        <f t="shared" si="6"/>
        <v>484606420</v>
      </c>
      <c r="O115" s="12" t="s">
        <v>21</v>
      </c>
      <c r="P115" s="12">
        <f t="shared" si="10"/>
        <v>97</v>
      </c>
    </row>
    <row r="116" spans="1:16" ht="15" customHeight="1" x14ac:dyDescent="0.2">
      <c r="A116" s="12" t="s">
        <v>2679</v>
      </c>
      <c r="B116" s="90" t="s">
        <v>588</v>
      </c>
      <c r="C116" s="90">
        <f t="shared" si="15"/>
        <v>238</v>
      </c>
      <c r="D116" s="90">
        <v>1</v>
      </c>
      <c r="G116" s="14" t="s">
        <v>3003</v>
      </c>
      <c r="H116" s="12" t="s">
        <v>3005</v>
      </c>
      <c r="I116" s="12">
        <v>112111</v>
      </c>
      <c r="J116" s="12">
        <v>131</v>
      </c>
      <c r="K116" s="12" t="s">
        <v>20</v>
      </c>
      <c r="L116" s="12">
        <v>1</v>
      </c>
      <c r="M116" s="17">
        <v>484606420</v>
      </c>
      <c r="N116" s="17">
        <f t="shared" si="6"/>
        <v>484606420</v>
      </c>
      <c r="O116" s="12" t="s">
        <v>21</v>
      </c>
      <c r="P116" s="12">
        <f t="shared" si="10"/>
        <v>98</v>
      </c>
    </row>
    <row r="117" spans="1:16" ht="15" customHeight="1" x14ac:dyDescent="0.2">
      <c r="A117" s="12" t="s">
        <v>18</v>
      </c>
      <c r="B117" s="90" t="s">
        <v>588</v>
      </c>
      <c r="C117" s="90">
        <f t="shared" si="15"/>
        <v>239</v>
      </c>
      <c r="D117" s="90">
        <v>1</v>
      </c>
      <c r="G117" s="14" t="s">
        <v>3003</v>
      </c>
      <c r="H117" s="12" t="s">
        <v>3161</v>
      </c>
      <c r="I117" s="12">
        <v>131</v>
      </c>
      <c r="J117" s="12">
        <v>5118</v>
      </c>
      <c r="K117" s="12" t="s">
        <v>20</v>
      </c>
      <c r="L117" s="12">
        <v>1</v>
      </c>
      <c r="M117" s="17">
        <v>48242939</v>
      </c>
      <c r="N117" s="17">
        <f t="shared" ref="N117:N119" si="16">L117*M117</f>
        <v>48242939</v>
      </c>
      <c r="O117" s="12" t="s">
        <v>21</v>
      </c>
      <c r="P117" s="12">
        <f t="shared" si="10"/>
        <v>99</v>
      </c>
    </row>
    <row r="118" spans="1:16" ht="15" customHeight="1" x14ac:dyDescent="0.2">
      <c r="A118" s="12" t="s">
        <v>2679</v>
      </c>
      <c r="B118" s="90" t="s">
        <v>588</v>
      </c>
      <c r="C118" s="90">
        <f t="shared" si="15"/>
        <v>240</v>
      </c>
      <c r="D118" s="90">
        <v>1</v>
      </c>
      <c r="G118" s="14" t="s">
        <v>3003</v>
      </c>
      <c r="H118" s="12" t="s">
        <v>3005</v>
      </c>
      <c r="I118" s="12">
        <v>112111</v>
      </c>
      <c r="J118" s="12">
        <v>131</v>
      </c>
      <c r="K118" s="12" t="s">
        <v>20</v>
      </c>
      <c r="L118" s="12">
        <v>1</v>
      </c>
      <c r="M118" s="17">
        <v>48242939</v>
      </c>
      <c r="N118" s="17">
        <f t="shared" si="16"/>
        <v>48242939</v>
      </c>
      <c r="O118" s="12" t="s">
        <v>21</v>
      </c>
      <c r="P118" s="12">
        <f t="shared" si="10"/>
        <v>100</v>
      </c>
    </row>
    <row r="119" spans="1:16" ht="15" customHeight="1" x14ac:dyDescent="0.2">
      <c r="A119" s="12" t="s">
        <v>2678</v>
      </c>
      <c r="B119" s="90" t="s">
        <v>588</v>
      </c>
      <c r="C119" s="90">
        <f t="shared" si="8"/>
        <v>241</v>
      </c>
      <c r="D119" s="90">
        <v>1</v>
      </c>
      <c r="G119" s="14" t="s">
        <v>37</v>
      </c>
      <c r="H119" s="12" t="s">
        <v>4531</v>
      </c>
      <c r="I119" s="12">
        <v>331</v>
      </c>
      <c r="J119" s="12">
        <v>112111</v>
      </c>
      <c r="K119" s="12" t="s">
        <v>20</v>
      </c>
      <c r="L119" s="12">
        <v>1</v>
      </c>
      <c r="M119" s="17">
        <v>3240000</v>
      </c>
      <c r="N119" s="17">
        <f t="shared" si="16"/>
        <v>3240000</v>
      </c>
      <c r="O119" s="12" t="s">
        <v>21</v>
      </c>
      <c r="P119" s="12">
        <f t="shared" si="10"/>
        <v>101</v>
      </c>
    </row>
    <row r="120" spans="1:16" ht="15" customHeight="1" x14ac:dyDescent="0.2">
      <c r="A120" s="12" t="s">
        <v>2678</v>
      </c>
      <c r="B120" s="90" t="s">
        <v>588</v>
      </c>
      <c r="C120" s="90">
        <f t="shared" ref="C120:C175" si="17">C119+D120</f>
        <v>242</v>
      </c>
      <c r="D120" s="90">
        <v>1</v>
      </c>
      <c r="G120" s="14" t="s">
        <v>93</v>
      </c>
      <c r="H120" s="12" t="s">
        <v>4539</v>
      </c>
      <c r="I120" s="12">
        <v>3383</v>
      </c>
      <c r="J120" s="12">
        <v>112111</v>
      </c>
      <c r="K120" s="12" t="s">
        <v>20</v>
      </c>
      <c r="L120" s="12">
        <v>1</v>
      </c>
      <c r="M120" s="17">
        <v>5025000</v>
      </c>
      <c r="N120" s="17">
        <f t="shared" ref="N120:N175" si="18">L120*M120</f>
        <v>5025000</v>
      </c>
      <c r="O120" s="12" t="s">
        <v>21</v>
      </c>
      <c r="P120" s="12">
        <f t="shared" si="10"/>
        <v>102</v>
      </c>
    </row>
    <row r="121" spans="1:16" ht="15" customHeight="1" x14ac:dyDescent="0.2">
      <c r="A121" s="12" t="s">
        <v>2678</v>
      </c>
      <c r="B121" s="90" t="s">
        <v>588</v>
      </c>
      <c r="C121" s="90">
        <f t="shared" si="17"/>
        <v>243</v>
      </c>
      <c r="D121" s="90">
        <v>1</v>
      </c>
      <c r="G121" s="14" t="s">
        <v>93</v>
      </c>
      <c r="H121" s="12" t="s">
        <v>4540</v>
      </c>
      <c r="I121" s="12">
        <v>3383</v>
      </c>
      <c r="J121" s="12">
        <v>112111</v>
      </c>
      <c r="K121" s="12" t="s">
        <v>20</v>
      </c>
      <c r="L121" s="12">
        <v>1</v>
      </c>
      <c r="M121" s="17">
        <v>690300</v>
      </c>
      <c r="N121" s="17">
        <f t="shared" si="18"/>
        <v>690300</v>
      </c>
      <c r="O121" s="12" t="s">
        <v>21</v>
      </c>
      <c r="P121" s="12">
        <f t="shared" si="10"/>
        <v>103</v>
      </c>
    </row>
    <row r="122" spans="1:16" ht="15" customHeight="1" x14ac:dyDescent="0.2">
      <c r="A122" s="12" t="s">
        <v>2678</v>
      </c>
      <c r="B122" s="90" t="s">
        <v>588</v>
      </c>
      <c r="C122" s="90">
        <f t="shared" si="17"/>
        <v>244</v>
      </c>
      <c r="D122" s="90">
        <v>1</v>
      </c>
      <c r="G122" s="14" t="s">
        <v>236</v>
      </c>
      <c r="H122" s="12" t="s">
        <v>3017</v>
      </c>
      <c r="I122" s="12">
        <v>1111</v>
      </c>
      <c r="J122" s="12">
        <v>112111</v>
      </c>
      <c r="K122" s="12" t="s">
        <v>20</v>
      </c>
      <c r="L122" s="12">
        <v>1</v>
      </c>
      <c r="M122" s="17">
        <v>230000000</v>
      </c>
      <c r="N122" s="17">
        <f t="shared" si="18"/>
        <v>230000000</v>
      </c>
      <c r="O122" s="12" t="s">
        <v>21</v>
      </c>
      <c r="P122" s="12">
        <f t="shared" si="10"/>
        <v>104</v>
      </c>
    </row>
    <row r="123" spans="1:16" ht="15" customHeight="1" x14ac:dyDescent="0.2">
      <c r="A123" s="12" t="s">
        <v>2679</v>
      </c>
      <c r="B123" s="90" t="s">
        <v>379</v>
      </c>
      <c r="C123" s="90">
        <f t="shared" si="17"/>
        <v>245</v>
      </c>
      <c r="D123" s="90">
        <v>1</v>
      </c>
      <c r="G123" s="14" t="s">
        <v>3012</v>
      </c>
      <c r="H123" s="12" t="s">
        <v>2687</v>
      </c>
      <c r="I123" s="12">
        <v>112111</v>
      </c>
      <c r="J123" s="12">
        <v>5154</v>
      </c>
      <c r="K123" s="12" t="s">
        <v>20</v>
      </c>
      <c r="L123" s="12">
        <v>1</v>
      </c>
      <c r="M123" s="17">
        <v>9216</v>
      </c>
      <c r="N123" s="17">
        <f t="shared" si="18"/>
        <v>9216</v>
      </c>
      <c r="O123" s="12" t="s">
        <v>21</v>
      </c>
      <c r="P123" s="12">
        <f t="shared" si="10"/>
        <v>105</v>
      </c>
    </row>
    <row r="124" spans="1:16" ht="15" customHeight="1" x14ac:dyDescent="0.2">
      <c r="A124" s="12" t="s">
        <v>2679</v>
      </c>
      <c r="B124" s="90" t="s">
        <v>453</v>
      </c>
      <c r="C124" s="90">
        <f t="shared" si="17"/>
        <v>246</v>
      </c>
      <c r="D124" s="90">
        <v>1</v>
      </c>
      <c r="G124" s="14" t="s">
        <v>93</v>
      </c>
      <c r="H124" s="12" t="s">
        <v>4542</v>
      </c>
      <c r="I124" s="12">
        <v>112111</v>
      </c>
      <c r="J124" s="12">
        <v>3383</v>
      </c>
      <c r="K124" s="12" t="s">
        <v>20</v>
      </c>
      <c r="L124" s="12">
        <v>1</v>
      </c>
      <c r="M124" s="17">
        <v>690300</v>
      </c>
      <c r="N124" s="17">
        <f t="shared" si="18"/>
        <v>690300</v>
      </c>
      <c r="O124" s="12" t="s">
        <v>21</v>
      </c>
      <c r="P124" s="12">
        <f t="shared" si="10"/>
        <v>106</v>
      </c>
    </row>
    <row r="125" spans="1:16" ht="15" customHeight="1" x14ac:dyDescent="0.2">
      <c r="A125" s="12" t="s">
        <v>2678</v>
      </c>
      <c r="B125" s="90" t="s">
        <v>523</v>
      </c>
      <c r="C125" s="90">
        <f t="shared" si="17"/>
        <v>247</v>
      </c>
      <c r="D125" s="90">
        <v>1</v>
      </c>
      <c r="G125" s="14" t="s">
        <v>236</v>
      </c>
      <c r="H125" s="12" t="s">
        <v>3017</v>
      </c>
      <c r="I125" s="12">
        <v>1111</v>
      </c>
      <c r="J125" s="12">
        <v>112111</v>
      </c>
      <c r="K125" s="12" t="s">
        <v>20</v>
      </c>
      <c r="L125" s="12">
        <v>1</v>
      </c>
      <c r="M125" s="17">
        <v>200000000</v>
      </c>
      <c r="N125" s="17">
        <f t="shared" si="18"/>
        <v>200000000</v>
      </c>
      <c r="O125" s="12" t="s">
        <v>21</v>
      </c>
      <c r="P125" s="12">
        <f t="shared" si="10"/>
        <v>107</v>
      </c>
    </row>
    <row r="126" spans="1:16" ht="15" customHeight="1" x14ac:dyDescent="0.2">
      <c r="A126" s="12" t="s">
        <v>2678</v>
      </c>
      <c r="B126" s="90" t="s">
        <v>515</v>
      </c>
      <c r="C126" s="90">
        <f t="shared" si="17"/>
        <v>248</v>
      </c>
      <c r="D126" s="90">
        <v>1</v>
      </c>
      <c r="G126" s="14" t="s">
        <v>236</v>
      </c>
      <c r="H126" s="12" t="s">
        <v>3017</v>
      </c>
      <c r="I126" s="12">
        <v>1111</v>
      </c>
      <c r="J126" s="12">
        <v>112111</v>
      </c>
      <c r="K126" s="12" t="s">
        <v>20</v>
      </c>
      <c r="L126" s="12">
        <v>1</v>
      </c>
      <c r="M126" s="17">
        <v>41000000</v>
      </c>
      <c r="N126" s="17">
        <f t="shared" si="18"/>
        <v>41000000</v>
      </c>
      <c r="O126" s="12" t="s">
        <v>21</v>
      </c>
      <c r="P126" s="12">
        <f t="shared" si="10"/>
        <v>108</v>
      </c>
    </row>
    <row r="127" spans="1:16" ht="15" customHeight="1" x14ac:dyDescent="0.2">
      <c r="A127" s="12" t="s">
        <v>2678</v>
      </c>
      <c r="B127" s="90" t="s">
        <v>515</v>
      </c>
      <c r="C127" s="90">
        <f t="shared" si="17"/>
        <v>249</v>
      </c>
      <c r="D127" s="90">
        <v>1</v>
      </c>
      <c r="G127" s="14" t="s">
        <v>236</v>
      </c>
      <c r="H127" s="12" t="s">
        <v>3017</v>
      </c>
      <c r="I127" s="12">
        <v>1111</v>
      </c>
      <c r="J127" s="12">
        <v>112111</v>
      </c>
      <c r="K127" s="12" t="s">
        <v>20</v>
      </c>
      <c r="L127" s="12">
        <v>1</v>
      </c>
      <c r="M127" s="17">
        <v>9000000</v>
      </c>
      <c r="N127" s="17">
        <f t="shared" si="18"/>
        <v>9000000</v>
      </c>
      <c r="O127" s="12" t="s">
        <v>21</v>
      </c>
      <c r="P127" s="12">
        <f t="shared" si="10"/>
        <v>109</v>
      </c>
    </row>
    <row r="128" spans="1:16" ht="15" customHeight="1" x14ac:dyDescent="0.2">
      <c r="A128" s="12" t="s">
        <v>2678</v>
      </c>
      <c r="B128" s="90" t="s">
        <v>456</v>
      </c>
      <c r="C128" s="90">
        <f t="shared" si="17"/>
        <v>250</v>
      </c>
      <c r="D128" s="90">
        <v>1</v>
      </c>
      <c r="G128" s="14" t="s">
        <v>236</v>
      </c>
      <c r="H128" s="12" t="s">
        <v>3017</v>
      </c>
      <c r="I128" s="12">
        <v>1111</v>
      </c>
      <c r="J128" s="12">
        <v>112111</v>
      </c>
      <c r="K128" s="12" t="s">
        <v>20</v>
      </c>
      <c r="L128" s="12">
        <v>1</v>
      </c>
      <c r="M128" s="17">
        <v>3000000</v>
      </c>
      <c r="N128" s="17">
        <f t="shared" si="18"/>
        <v>3000000</v>
      </c>
      <c r="O128" s="12" t="s">
        <v>21</v>
      </c>
      <c r="P128" s="12">
        <f t="shared" si="10"/>
        <v>110</v>
      </c>
    </row>
    <row r="129" spans="1:16" ht="15" customHeight="1" x14ac:dyDescent="0.2">
      <c r="A129" s="12" t="s">
        <v>2679</v>
      </c>
      <c r="B129" s="90" t="s">
        <v>456</v>
      </c>
      <c r="C129" s="90">
        <f t="shared" si="17"/>
        <v>251</v>
      </c>
      <c r="D129" s="90">
        <v>1</v>
      </c>
      <c r="G129" s="14" t="s">
        <v>1891</v>
      </c>
      <c r="H129" s="12" t="s">
        <v>4543</v>
      </c>
      <c r="I129" s="12">
        <v>112111</v>
      </c>
      <c r="J129" s="12">
        <v>131</v>
      </c>
      <c r="K129" s="12" t="s">
        <v>20</v>
      </c>
      <c r="L129" s="12">
        <v>1</v>
      </c>
      <c r="M129" s="17">
        <v>12774194</v>
      </c>
      <c r="N129" s="17">
        <f t="shared" si="18"/>
        <v>12774194</v>
      </c>
      <c r="O129" s="12" t="s">
        <v>21</v>
      </c>
      <c r="P129" s="12">
        <f t="shared" si="10"/>
        <v>111</v>
      </c>
    </row>
    <row r="130" spans="1:16" ht="15" customHeight="1" x14ac:dyDescent="0.2">
      <c r="A130" s="12" t="s">
        <v>2678</v>
      </c>
      <c r="B130" s="90" t="s">
        <v>525</v>
      </c>
      <c r="C130" s="90">
        <f t="shared" si="17"/>
        <v>252</v>
      </c>
      <c r="D130" s="90">
        <v>1</v>
      </c>
      <c r="G130" s="14" t="s">
        <v>236</v>
      </c>
      <c r="H130" s="12" t="s">
        <v>3017</v>
      </c>
      <c r="I130" s="12">
        <v>1111</v>
      </c>
      <c r="J130" s="12">
        <v>112111</v>
      </c>
      <c r="K130" s="12" t="s">
        <v>20</v>
      </c>
      <c r="L130" s="12">
        <v>1</v>
      </c>
      <c r="M130" s="17">
        <v>4000000</v>
      </c>
      <c r="N130" s="17">
        <f t="shared" si="18"/>
        <v>4000000</v>
      </c>
      <c r="O130" s="12" t="s">
        <v>21</v>
      </c>
      <c r="P130" s="12">
        <f t="shared" si="10"/>
        <v>112</v>
      </c>
    </row>
    <row r="131" spans="1:16" ht="15" customHeight="1" x14ac:dyDescent="0.2">
      <c r="A131" s="12" t="s">
        <v>18</v>
      </c>
      <c r="B131" s="90" t="s">
        <v>525</v>
      </c>
      <c r="C131" s="90">
        <f t="shared" ref="C131:C132" si="19">C130+D131</f>
        <v>253</v>
      </c>
      <c r="D131" s="90">
        <v>1</v>
      </c>
      <c r="G131" s="14" t="s">
        <v>3003</v>
      </c>
      <c r="H131" s="12" t="s">
        <v>3161</v>
      </c>
      <c r="I131" s="12">
        <v>131</v>
      </c>
      <c r="J131" s="12">
        <v>5118</v>
      </c>
      <c r="K131" s="12" t="s">
        <v>20</v>
      </c>
      <c r="L131" s="12">
        <v>1</v>
      </c>
      <c r="M131" s="17">
        <v>310645628</v>
      </c>
      <c r="N131" s="17">
        <f t="shared" ref="N131:N132" si="20">L131*M131</f>
        <v>310645628</v>
      </c>
      <c r="O131" s="12" t="s">
        <v>21</v>
      </c>
      <c r="P131" s="12">
        <f t="shared" ref="P131:P132" si="21">P130+D131</f>
        <v>113</v>
      </c>
    </row>
    <row r="132" spans="1:16" ht="15" customHeight="1" x14ac:dyDescent="0.2">
      <c r="A132" s="12" t="s">
        <v>2679</v>
      </c>
      <c r="B132" s="90" t="s">
        <v>525</v>
      </c>
      <c r="C132" s="90">
        <f t="shared" si="19"/>
        <v>254</v>
      </c>
      <c r="D132" s="90">
        <v>1</v>
      </c>
      <c r="G132" s="14" t="s">
        <v>3003</v>
      </c>
      <c r="H132" s="12" t="s">
        <v>3005</v>
      </c>
      <c r="I132" s="12">
        <v>112111</v>
      </c>
      <c r="J132" s="12">
        <v>131</v>
      </c>
      <c r="K132" s="12" t="s">
        <v>20</v>
      </c>
      <c r="L132" s="12">
        <v>1</v>
      </c>
      <c r="M132" s="17">
        <v>310645628</v>
      </c>
      <c r="N132" s="17">
        <f t="shared" si="20"/>
        <v>310645628</v>
      </c>
      <c r="O132" s="12" t="s">
        <v>21</v>
      </c>
      <c r="P132" s="12">
        <f t="shared" si="21"/>
        <v>114</v>
      </c>
    </row>
    <row r="133" spans="1:16" ht="15" customHeight="1" x14ac:dyDescent="0.2">
      <c r="A133" s="12" t="s">
        <v>2678</v>
      </c>
      <c r="B133" s="90" t="s">
        <v>870</v>
      </c>
      <c r="C133" s="90">
        <f t="shared" si="17"/>
        <v>255</v>
      </c>
      <c r="D133" s="90">
        <v>1</v>
      </c>
      <c r="G133" s="14" t="s">
        <v>236</v>
      </c>
      <c r="H133" s="12" t="s">
        <v>3017</v>
      </c>
      <c r="I133" s="12">
        <v>1111</v>
      </c>
      <c r="J133" s="12">
        <v>112111</v>
      </c>
      <c r="K133" s="12" t="s">
        <v>20</v>
      </c>
      <c r="L133" s="12">
        <v>1</v>
      </c>
      <c r="M133" s="17">
        <v>6000000</v>
      </c>
      <c r="N133" s="17">
        <f t="shared" si="18"/>
        <v>6000000</v>
      </c>
      <c r="O133" s="12" t="s">
        <v>21</v>
      </c>
      <c r="P133" s="12">
        <f t="shared" si="10"/>
        <v>115</v>
      </c>
    </row>
    <row r="134" spans="1:16" ht="15" customHeight="1" x14ac:dyDescent="0.2">
      <c r="A134" s="12" t="s">
        <v>2678</v>
      </c>
      <c r="B134" s="90" t="s">
        <v>870</v>
      </c>
      <c r="C134" s="90">
        <f t="shared" si="17"/>
        <v>256</v>
      </c>
      <c r="D134" s="90">
        <v>1</v>
      </c>
      <c r="G134" s="14" t="s">
        <v>236</v>
      </c>
      <c r="H134" s="12" t="s">
        <v>3017</v>
      </c>
      <c r="I134" s="12">
        <v>1111</v>
      </c>
      <c r="J134" s="12">
        <v>112111</v>
      </c>
      <c r="K134" s="12" t="s">
        <v>20</v>
      </c>
      <c r="L134" s="12">
        <v>1</v>
      </c>
      <c r="M134" s="17">
        <v>7100000</v>
      </c>
      <c r="N134" s="17">
        <f t="shared" si="18"/>
        <v>7100000</v>
      </c>
      <c r="O134" s="12" t="s">
        <v>21</v>
      </c>
      <c r="P134" s="12">
        <f t="shared" si="10"/>
        <v>116</v>
      </c>
    </row>
    <row r="135" spans="1:16" ht="15" customHeight="1" x14ac:dyDescent="0.2">
      <c r="A135" s="12" t="s">
        <v>2678</v>
      </c>
      <c r="B135" s="90" t="s">
        <v>2130</v>
      </c>
      <c r="C135" s="90">
        <f t="shared" si="17"/>
        <v>257</v>
      </c>
      <c r="D135" s="90">
        <v>1</v>
      </c>
      <c r="G135" s="14" t="s">
        <v>236</v>
      </c>
      <c r="H135" s="12" t="s">
        <v>4455</v>
      </c>
      <c r="I135" s="12">
        <v>6428</v>
      </c>
      <c r="J135" s="12">
        <v>112111</v>
      </c>
      <c r="K135" s="12" t="s">
        <v>20</v>
      </c>
      <c r="L135" s="12">
        <v>1</v>
      </c>
      <c r="M135" s="17">
        <v>15000000</v>
      </c>
      <c r="N135" s="17">
        <f t="shared" si="18"/>
        <v>15000000</v>
      </c>
      <c r="O135" s="12" t="s">
        <v>21</v>
      </c>
      <c r="P135" s="12">
        <f t="shared" si="10"/>
        <v>117</v>
      </c>
    </row>
    <row r="136" spans="1:16" ht="15" customHeight="1" x14ac:dyDescent="0.2">
      <c r="A136" s="12" t="s">
        <v>18</v>
      </c>
      <c r="B136" s="90" t="s">
        <v>527</v>
      </c>
      <c r="C136" s="90">
        <f t="shared" ref="C136:C137" si="22">C135+D136</f>
        <v>258</v>
      </c>
      <c r="D136" s="90">
        <v>1</v>
      </c>
      <c r="G136" s="14" t="s">
        <v>3003</v>
      </c>
      <c r="H136" s="12" t="s">
        <v>3161</v>
      </c>
      <c r="I136" s="12">
        <v>131</v>
      </c>
      <c r="J136" s="12">
        <v>5118</v>
      </c>
      <c r="K136" s="12" t="s">
        <v>20</v>
      </c>
      <c r="L136" s="12">
        <v>1</v>
      </c>
      <c r="M136" s="17">
        <v>324640188</v>
      </c>
      <c r="N136" s="17">
        <f t="shared" ref="N136:N137" si="23">L136*M136</f>
        <v>324640188</v>
      </c>
      <c r="O136" s="12" t="s">
        <v>21</v>
      </c>
      <c r="P136" s="12">
        <f t="shared" si="10"/>
        <v>118</v>
      </c>
    </row>
    <row r="137" spans="1:16" ht="15" customHeight="1" x14ac:dyDescent="0.2">
      <c r="A137" s="12" t="s">
        <v>2679</v>
      </c>
      <c r="B137" s="90" t="s">
        <v>527</v>
      </c>
      <c r="C137" s="90">
        <f t="shared" si="22"/>
        <v>259</v>
      </c>
      <c r="D137" s="90">
        <v>1</v>
      </c>
      <c r="G137" s="14" t="s">
        <v>3003</v>
      </c>
      <c r="H137" s="12" t="s">
        <v>3005</v>
      </c>
      <c r="I137" s="12">
        <v>112111</v>
      </c>
      <c r="J137" s="12">
        <v>131</v>
      </c>
      <c r="K137" s="12" t="s">
        <v>20</v>
      </c>
      <c r="L137" s="12">
        <v>1</v>
      </c>
      <c r="M137" s="17">
        <v>324640188</v>
      </c>
      <c r="N137" s="17">
        <f t="shared" si="23"/>
        <v>324640188</v>
      </c>
      <c r="O137" s="12" t="s">
        <v>21</v>
      </c>
      <c r="P137" s="12">
        <f t="shared" si="10"/>
        <v>119</v>
      </c>
    </row>
    <row r="138" spans="1:16" ht="15" customHeight="1" x14ac:dyDescent="0.2">
      <c r="A138" s="12" t="s">
        <v>2678</v>
      </c>
      <c r="B138" s="90" t="s">
        <v>527</v>
      </c>
      <c r="C138" s="90">
        <f t="shared" si="17"/>
        <v>260</v>
      </c>
      <c r="D138" s="90">
        <v>1</v>
      </c>
      <c r="G138" s="14" t="s">
        <v>93</v>
      </c>
      <c r="H138" s="12" t="s">
        <v>4537</v>
      </c>
      <c r="I138" s="12">
        <v>3383</v>
      </c>
      <c r="J138" s="12">
        <v>112111</v>
      </c>
      <c r="K138" s="12" t="s">
        <v>20</v>
      </c>
      <c r="L138" s="12">
        <v>1</v>
      </c>
      <c r="M138" s="17">
        <v>4800000</v>
      </c>
      <c r="N138" s="17">
        <f t="shared" si="18"/>
        <v>4800000</v>
      </c>
      <c r="O138" s="12" t="s">
        <v>21</v>
      </c>
      <c r="P138" s="12">
        <f t="shared" si="10"/>
        <v>120</v>
      </c>
    </row>
    <row r="139" spans="1:16" ht="15" customHeight="1" x14ac:dyDescent="0.2">
      <c r="A139" s="12" t="s">
        <v>2678</v>
      </c>
      <c r="B139" s="90" t="s">
        <v>527</v>
      </c>
      <c r="C139" s="90">
        <f t="shared" si="17"/>
        <v>261</v>
      </c>
      <c r="D139" s="90">
        <v>1</v>
      </c>
      <c r="G139" s="14" t="s">
        <v>93</v>
      </c>
      <c r="H139" s="12" t="s">
        <v>4538</v>
      </c>
      <c r="I139" s="12">
        <v>3383</v>
      </c>
      <c r="J139" s="12">
        <v>112111</v>
      </c>
      <c r="K139" s="12" t="s">
        <v>20</v>
      </c>
      <c r="L139" s="12">
        <v>1</v>
      </c>
      <c r="M139" s="17">
        <v>690300</v>
      </c>
      <c r="N139" s="17">
        <f t="shared" si="18"/>
        <v>690300</v>
      </c>
      <c r="O139" s="12" t="s">
        <v>21</v>
      </c>
      <c r="P139" s="12">
        <f t="shared" si="10"/>
        <v>121</v>
      </c>
    </row>
    <row r="140" spans="1:16" ht="15" customHeight="1" x14ac:dyDescent="0.2">
      <c r="A140" s="12" t="s">
        <v>2678</v>
      </c>
      <c r="B140" s="90" t="s">
        <v>527</v>
      </c>
      <c r="C140" s="90">
        <f t="shared" si="17"/>
        <v>262</v>
      </c>
      <c r="D140" s="90">
        <v>1</v>
      </c>
      <c r="G140" s="14" t="s">
        <v>236</v>
      </c>
      <c r="H140" s="12" t="s">
        <v>3017</v>
      </c>
      <c r="I140" s="12">
        <v>1111</v>
      </c>
      <c r="J140" s="12">
        <v>112111</v>
      </c>
      <c r="K140" s="12" t="s">
        <v>20</v>
      </c>
      <c r="L140" s="12">
        <v>1</v>
      </c>
      <c r="M140" s="17">
        <v>68000000</v>
      </c>
      <c r="N140" s="17">
        <f t="shared" si="18"/>
        <v>68000000</v>
      </c>
      <c r="O140" s="12" t="s">
        <v>21</v>
      </c>
      <c r="P140" s="12">
        <f t="shared" si="10"/>
        <v>122</v>
      </c>
    </row>
    <row r="141" spans="1:16" ht="15" customHeight="1" x14ac:dyDescent="0.2">
      <c r="A141" s="12" t="s">
        <v>2679</v>
      </c>
      <c r="B141" s="90" t="s">
        <v>527</v>
      </c>
      <c r="C141" s="90">
        <f t="shared" si="17"/>
        <v>263</v>
      </c>
      <c r="D141" s="90">
        <v>1</v>
      </c>
      <c r="G141" s="14" t="s">
        <v>85</v>
      </c>
      <c r="H141" s="12" t="s">
        <v>4524</v>
      </c>
      <c r="I141" s="12">
        <v>112111</v>
      </c>
      <c r="J141" s="12">
        <v>131</v>
      </c>
      <c r="K141" s="12" t="s">
        <v>20</v>
      </c>
      <c r="L141" s="12">
        <v>1</v>
      </c>
      <c r="M141" s="17">
        <v>10645161</v>
      </c>
      <c r="N141" s="17">
        <f t="shared" si="18"/>
        <v>10645161</v>
      </c>
      <c r="O141" s="12" t="s">
        <v>21</v>
      </c>
      <c r="P141" s="12">
        <f t="shared" si="10"/>
        <v>123</v>
      </c>
    </row>
    <row r="142" spans="1:16" ht="15" customHeight="1" x14ac:dyDescent="0.2">
      <c r="A142" s="12" t="s">
        <v>2678</v>
      </c>
      <c r="B142" s="90" t="s">
        <v>527</v>
      </c>
      <c r="C142" s="90">
        <f t="shared" si="17"/>
        <v>264</v>
      </c>
      <c r="D142" s="90">
        <v>1</v>
      </c>
      <c r="G142" s="14" t="s">
        <v>236</v>
      </c>
      <c r="H142" s="12" t="s">
        <v>3017</v>
      </c>
      <c r="I142" s="12">
        <v>1111</v>
      </c>
      <c r="J142" s="12">
        <v>112111</v>
      </c>
      <c r="K142" s="12" t="s">
        <v>20</v>
      </c>
      <c r="L142" s="12">
        <v>1</v>
      </c>
      <c r="M142" s="17">
        <v>2000000</v>
      </c>
      <c r="N142" s="17">
        <f t="shared" si="18"/>
        <v>2000000</v>
      </c>
      <c r="O142" s="12" t="s">
        <v>21</v>
      </c>
      <c r="P142" s="12">
        <f t="shared" si="10"/>
        <v>124</v>
      </c>
    </row>
    <row r="143" spans="1:16" ht="15" customHeight="1" x14ac:dyDescent="0.2">
      <c r="A143" s="12" t="s">
        <v>2678</v>
      </c>
      <c r="B143" s="90" t="s">
        <v>381</v>
      </c>
      <c r="C143" s="90">
        <f t="shared" si="17"/>
        <v>265</v>
      </c>
      <c r="D143" s="90">
        <v>1</v>
      </c>
      <c r="G143" s="14" t="s">
        <v>236</v>
      </c>
      <c r="H143" s="12" t="s">
        <v>3017</v>
      </c>
      <c r="I143" s="12">
        <v>1111</v>
      </c>
      <c r="J143" s="12">
        <v>112111</v>
      </c>
      <c r="K143" s="12" t="s">
        <v>20</v>
      </c>
      <c r="L143" s="12">
        <v>1</v>
      </c>
      <c r="M143" s="17">
        <v>4000000</v>
      </c>
      <c r="N143" s="17">
        <f t="shared" si="18"/>
        <v>4000000</v>
      </c>
      <c r="O143" s="12" t="s">
        <v>21</v>
      </c>
      <c r="P143" s="12">
        <f t="shared" si="10"/>
        <v>125</v>
      </c>
    </row>
    <row r="144" spans="1:16" ht="15" customHeight="1" x14ac:dyDescent="0.2">
      <c r="A144" s="12" t="s">
        <v>2679</v>
      </c>
      <c r="B144" s="90" t="s">
        <v>381</v>
      </c>
      <c r="C144" s="90">
        <f t="shared" si="17"/>
        <v>266</v>
      </c>
      <c r="D144" s="90">
        <v>1</v>
      </c>
      <c r="G144" s="14" t="s">
        <v>40</v>
      </c>
      <c r="H144" s="12" t="s">
        <v>4544</v>
      </c>
      <c r="I144" s="12">
        <v>112111</v>
      </c>
      <c r="J144" s="12">
        <v>131</v>
      </c>
      <c r="K144" s="12" t="s">
        <v>20</v>
      </c>
      <c r="L144" s="12">
        <v>1</v>
      </c>
      <c r="M144" s="17">
        <v>12774194</v>
      </c>
      <c r="N144" s="17">
        <f t="shared" si="18"/>
        <v>12774194</v>
      </c>
      <c r="O144" s="12" t="s">
        <v>21</v>
      </c>
      <c r="P144" s="12">
        <f t="shared" si="10"/>
        <v>126</v>
      </c>
    </row>
    <row r="145" spans="1:16" ht="15" customHeight="1" x14ac:dyDescent="0.2">
      <c r="A145" s="12" t="s">
        <v>2678</v>
      </c>
      <c r="B145" s="90" t="s">
        <v>381</v>
      </c>
      <c r="C145" s="90">
        <f t="shared" si="17"/>
        <v>267</v>
      </c>
      <c r="D145" s="90">
        <v>1</v>
      </c>
      <c r="G145" s="14" t="s">
        <v>236</v>
      </c>
      <c r="H145" s="12" t="s">
        <v>3017</v>
      </c>
      <c r="I145" s="12">
        <v>1111</v>
      </c>
      <c r="J145" s="12">
        <v>112111</v>
      </c>
      <c r="K145" s="12" t="s">
        <v>20</v>
      </c>
      <c r="L145" s="12">
        <v>1</v>
      </c>
      <c r="M145" s="17">
        <v>156000000</v>
      </c>
      <c r="N145" s="17">
        <f t="shared" si="18"/>
        <v>156000000</v>
      </c>
      <c r="O145" s="12" t="s">
        <v>21</v>
      </c>
      <c r="P145" s="12">
        <f t="shared" si="10"/>
        <v>127</v>
      </c>
    </row>
    <row r="146" spans="1:16" ht="15" customHeight="1" x14ac:dyDescent="0.2">
      <c r="A146" s="12" t="s">
        <v>2678</v>
      </c>
      <c r="B146" s="90" t="s">
        <v>382</v>
      </c>
      <c r="C146" s="90">
        <f t="shared" si="17"/>
        <v>268</v>
      </c>
      <c r="D146" s="90">
        <v>1</v>
      </c>
      <c r="G146" s="14" t="s">
        <v>236</v>
      </c>
      <c r="H146" s="12" t="s">
        <v>3017</v>
      </c>
      <c r="I146" s="12">
        <v>1111</v>
      </c>
      <c r="J146" s="12">
        <v>112111</v>
      </c>
      <c r="K146" s="12" t="s">
        <v>20</v>
      </c>
      <c r="L146" s="12">
        <v>1</v>
      </c>
      <c r="M146" s="17">
        <v>3000000</v>
      </c>
      <c r="N146" s="17">
        <f t="shared" si="18"/>
        <v>3000000</v>
      </c>
      <c r="O146" s="12" t="s">
        <v>21</v>
      </c>
      <c r="P146" s="12">
        <f t="shared" si="10"/>
        <v>128</v>
      </c>
    </row>
    <row r="147" spans="1:16" ht="15" customHeight="1" x14ac:dyDescent="0.2">
      <c r="A147" s="12" t="s">
        <v>2678</v>
      </c>
      <c r="B147" s="90" t="s">
        <v>382</v>
      </c>
      <c r="C147" s="90">
        <f t="shared" si="17"/>
        <v>269</v>
      </c>
      <c r="D147" s="90">
        <v>1</v>
      </c>
      <c r="G147" s="14" t="s">
        <v>236</v>
      </c>
      <c r="H147" s="12" t="s">
        <v>3017</v>
      </c>
      <c r="I147" s="12">
        <v>1111</v>
      </c>
      <c r="J147" s="12">
        <v>112111</v>
      </c>
      <c r="K147" s="12" t="s">
        <v>20</v>
      </c>
      <c r="L147" s="12">
        <v>1</v>
      </c>
      <c r="M147" s="17">
        <v>1000000</v>
      </c>
      <c r="N147" s="17">
        <f t="shared" si="18"/>
        <v>1000000</v>
      </c>
      <c r="O147" s="12" t="s">
        <v>21</v>
      </c>
      <c r="P147" s="12">
        <f t="shared" si="10"/>
        <v>129</v>
      </c>
    </row>
    <row r="148" spans="1:16" ht="15" customHeight="1" x14ac:dyDescent="0.2">
      <c r="A148" s="12" t="s">
        <v>2678</v>
      </c>
      <c r="B148" s="90" t="s">
        <v>603</v>
      </c>
      <c r="C148" s="90">
        <f t="shared" si="17"/>
        <v>270</v>
      </c>
      <c r="D148" s="90">
        <v>1</v>
      </c>
      <c r="G148" s="14" t="s">
        <v>236</v>
      </c>
      <c r="H148" s="12" t="s">
        <v>3017</v>
      </c>
      <c r="I148" s="12">
        <v>1111</v>
      </c>
      <c r="J148" s="12">
        <v>112111</v>
      </c>
      <c r="K148" s="12" t="s">
        <v>20</v>
      </c>
      <c r="L148" s="12">
        <v>1</v>
      </c>
      <c r="M148" s="17">
        <v>2000000</v>
      </c>
      <c r="N148" s="17">
        <f t="shared" si="18"/>
        <v>2000000</v>
      </c>
      <c r="O148" s="12" t="s">
        <v>21</v>
      </c>
      <c r="P148" s="12">
        <f t="shared" ref="P148:P170" si="24">P147+D148</f>
        <v>130</v>
      </c>
    </row>
    <row r="149" spans="1:16" ht="15" customHeight="1" x14ac:dyDescent="0.2">
      <c r="A149" s="12" t="s">
        <v>18</v>
      </c>
      <c r="B149" s="90" t="s">
        <v>603</v>
      </c>
      <c r="C149" s="90">
        <f t="shared" ref="C149:C150" si="25">C148+D149</f>
        <v>271</v>
      </c>
      <c r="D149" s="90">
        <v>1</v>
      </c>
      <c r="G149" s="14" t="s">
        <v>3003</v>
      </c>
      <c r="H149" s="12" t="s">
        <v>3161</v>
      </c>
      <c r="I149" s="12">
        <v>131</v>
      </c>
      <c r="J149" s="12">
        <v>5118</v>
      </c>
      <c r="K149" s="12" t="s">
        <v>20</v>
      </c>
      <c r="L149" s="12">
        <v>1</v>
      </c>
      <c r="M149" s="17">
        <v>347394592</v>
      </c>
      <c r="N149" s="17">
        <f t="shared" ref="N149:N150" si="26">L149*M149</f>
        <v>347394592</v>
      </c>
      <c r="O149" s="12" t="s">
        <v>21</v>
      </c>
      <c r="P149" s="12">
        <f t="shared" ref="P149:P150" si="27">P148+D149</f>
        <v>131</v>
      </c>
    </row>
    <row r="150" spans="1:16" ht="15" customHeight="1" x14ac:dyDescent="0.2">
      <c r="A150" s="12" t="s">
        <v>2679</v>
      </c>
      <c r="B150" s="90" t="s">
        <v>603</v>
      </c>
      <c r="C150" s="90">
        <f t="shared" si="25"/>
        <v>272</v>
      </c>
      <c r="D150" s="90">
        <v>1</v>
      </c>
      <c r="G150" s="14" t="s">
        <v>3003</v>
      </c>
      <c r="H150" s="12" t="s">
        <v>3005</v>
      </c>
      <c r="I150" s="12">
        <v>112111</v>
      </c>
      <c r="J150" s="12">
        <v>131</v>
      </c>
      <c r="K150" s="12" t="s">
        <v>20</v>
      </c>
      <c r="L150" s="12">
        <v>1</v>
      </c>
      <c r="M150" s="17">
        <v>347394592</v>
      </c>
      <c r="N150" s="17">
        <f t="shared" si="26"/>
        <v>347394592</v>
      </c>
      <c r="O150" s="12" t="s">
        <v>21</v>
      </c>
      <c r="P150" s="12">
        <f t="shared" si="27"/>
        <v>132</v>
      </c>
    </row>
    <row r="151" spans="1:16" ht="15" customHeight="1" x14ac:dyDescent="0.2">
      <c r="A151" s="12" t="s">
        <v>2678</v>
      </c>
      <c r="B151" s="90" t="s">
        <v>516</v>
      </c>
      <c r="C151" s="90">
        <f t="shared" si="17"/>
        <v>273</v>
      </c>
      <c r="D151" s="90">
        <v>1</v>
      </c>
      <c r="G151" s="14" t="s">
        <v>236</v>
      </c>
      <c r="H151" s="12" t="s">
        <v>3017</v>
      </c>
      <c r="I151" s="12">
        <v>1111</v>
      </c>
      <c r="J151" s="12">
        <v>112111</v>
      </c>
      <c r="K151" s="12" t="s">
        <v>20</v>
      </c>
      <c r="L151" s="12">
        <v>1</v>
      </c>
      <c r="M151" s="17">
        <v>10000000</v>
      </c>
      <c r="N151" s="17">
        <f t="shared" si="18"/>
        <v>10000000</v>
      </c>
      <c r="O151" s="12" t="s">
        <v>21</v>
      </c>
      <c r="P151" s="12">
        <f t="shared" si="24"/>
        <v>133</v>
      </c>
    </row>
    <row r="152" spans="1:16" ht="15" customHeight="1" x14ac:dyDescent="0.2">
      <c r="A152" s="12" t="s">
        <v>2678</v>
      </c>
      <c r="B152" s="90" t="s">
        <v>516</v>
      </c>
      <c r="C152" s="90">
        <f t="shared" si="17"/>
        <v>274</v>
      </c>
      <c r="D152" s="90">
        <v>1</v>
      </c>
      <c r="G152" s="14" t="s">
        <v>236</v>
      </c>
      <c r="H152" s="12" t="s">
        <v>3017</v>
      </c>
      <c r="I152" s="12">
        <v>1111</v>
      </c>
      <c r="J152" s="12">
        <v>112111</v>
      </c>
      <c r="K152" s="12" t="s">
        <v>20</v>
      </c>
      <c r="L152" s="12">
        <v>1</v>
      </c>
      <c r="M152" s="17">
        <v>12000000</v>
      </c>
      <c r="N152" s="17">
        <f t="shared" si="18"/>
        <v>12000000</v>
      </c>
      <c r="O152" s="12" t="s">
        <v>21</v>
      </c>
      <c r="P152" s="12">
        <f t="shared" si="24"/>
        <v>134</v>
      </c>
    </row>
    <row r="153" spans="1:16" ht="15" customHeight="1" x14ac:dyDescent="0.2">
      <c r="A153" s="12" t="s">
        <v>2678</v>
      </c>
      <c r="B153" s="90" t="s">
        <v>2043</v>
      </c>
      <c r="C153" s="90">
        <f t="shared" si="17"/>
        <v>275</v>
      </c>
      <c r="D153" s="90">
        <v>1</v>
      </c>
      <c r="G153" s="14" t="s">
        <v>236</v>
      </c>
      <c r="H153" s="12" t="s">
        <v>3017</v>
      </c>
      <c r="I153" s="12">
        <v>1111</v>
      </c>
      <c r="J153" s="12">
        <v>112111</v>
      </c>
      <c r="K153" s="12" t="s">
        <v>20</v>
      </c>
      <c r="L153" s="12">
        <v>1</v>
      </c>
      <c r="M153" s="17">
        <v>1000000</v>
      </c>
      <c r="N153" s="17">
        <f t="shared" si="18"/>
        <v>1000000</v>
      </c>
      <c r="O153" s="12" t="s">
        <v>21</v>
      </c>
      <c r="P153" s="12">
        <f t="shared" si="24"/>
        <v>135</v>
      </c>
    </row>
    <row r="154" spans="1:16" ht="15" customHeight="1" x14ac:dyDescent="0.2">
      <c r="A154" s="12" t="s">
        <v>2679</v>
      </c>
      <c r="B154" s="90" t="s">
        <v>383</v>
      </c>
      <c r="C154" s="90">
        <f t="shared" si="17"/>
        <v>276</v>
      </c>
      <c r="D154" s="90">
        <v>1</v>
      </c>
      <c r="G154" s="14" t="s">
        <v>43</v>
      </c>
      <c r="H154" s="12" t="s">
        <v>4555</v>
      </c>
      <c r="I154" s="12">
        <v>112111</v>
      </c>
      <c r="J154" s="12">
        <v>131</v>
      </c>
      <c r="K154" s="12" t="s">
        <v>20</v>
      </c>
      <c r="L154" s="12">
        <v>1</v>
      </c>
      <c r="M154" s="17">
        <v>13306452</v>
      </c>
      <c r="N154" s="17">
        <f t="shared" si="18"/>
        <v>13306452</v>
      </c>
      <c r="O154" s="12" t="s">
        <v>21</v>
      </c>
      <c r="P154" s="12">
        <f t="shared" si="24"/>
        <v>136</v>
      </c>
    </row>
    <row r="155" spans="1:16" ht="15" customHeight="1" x14ac:dyDescent="0.2">
      <c r="A155" s="12" t="s">
        <v>2678</v>
      </c>
      <c r="B155" s="90" t="s">
        <v>383</v>
      </c>
      <c r="C155" s="90">
        <f t="shared" si="17"/>
        <v>277</v>
      </c>
      <c r="D155" s="90">
        <v>1</v>
      </c>
      <c r="G155" s="14" t="s">
        <v>236</v>
      </c>
      <c r="H155" s="12" t="s">
        <v>3017</v>
      </c>
      <c r="I155" s="12">
        <v>1111</v>
      </c>
      <c r="J155" s="12">
        <v>112111</v>
      </c>
      <c r="K155" s="12" t="s">
        <v>20</v>
      </c>
      <c r="L155" s="12">
        <v>1</v>
      </c>
      <c r="M155" s="17">
        <v>3000000</v>
      </c>
      <c r="N155" s="17">
        <f t="shared" si="18"/>
        <v>3000000</v>
      </c>
      <c r="O155" s="12" t="s">
        <v>21</v>
      </c>
      <c r="P155" s="12">
        <f t="shared" si="24"/>
        <v>137</v>
      </c>
    </row>
    <row r="156" spans="1:16" ht="15" customHeight="1" x14ac:dyDescent="0.2">
      <c r="A156" s="12" t="s">
        <v>2679</v>
      </c>
      <c r="B156" s="90" t="s">
        <v>457</v>
      </c>
      <c r="C156" s="90">
        <f t="shared" si="17"/>
        <v>278</v>
      </c>
      <c r="D156" s="90">
        <v>1</v>
      </c>
      <c r="G156" s="14" t="s">
        <v>1892</v>
      </c>
      <c r="H156" s="12" t="s">
        <v>4545</v>
      </c>
      <c r="I156" s="12">
        <v>112111</v>
      </c>
      <c r="J156" s="12">
        <v>131</v>
      </c>
      <c r="K156" s="12" t="s">
        <v>20</v>
      </c>
      <c r="L156" s="12">
        <v>1</v>
      </c>
      <c r="M156" s="17">
        <v>11709677</v>
      </c>
      <c r="N156" s="17">
        <f t="shared" si="18"/>
        <v>11709677</v>
      </c>
      <c r="O156" s="12" t="s">
        <v>21</v>
      </c>
      <c r="P156" s="12">
        <f t="shared" si="24"/>
        <v>138</v>
      </c>
    </row>
    <row r="157" spans="1:16" ht="15" customHeight="1" x14ac:dyDescent="0.2">
      <c r="A157" s="12" t="s">
        <v>2679</v>
      </c>
      <c r="B157" s="90" t="s">
        <v>320</v>
      </c>
      <c r="C157" s="90">
        <f t="shared" si="17"/>
        <v>279</v>
      </c>
      <c r="D157" s="90">
        <v>1</v>
      </c>
      <c r="G157" s="14" t="s">
        <v>86</v>
      </c>
      <c r="H157" s="12" t="s">
        <v>4546</v>
      </c>
      <c r="I157" s="12">
        <v>112111</v>
      </c>
      <c r="J157" s="12">
        <v>131</v>
      </c>
      <c r="K157" s="12" t="s">
        <v>20</v>
      </c>
      <c r="L157" s="12">
        <v>1</v>
      </c>
      <c r="M157" s="17">
        <v>12774194</v>
      </c>
      <c r="N157" s="17">
        <f t="shared" si="18"/>
        <v>12774194</v>
      </c>
      <c r="O157" s="12" t="s">
        <v>21</v>
      </c>
      <c r="P157" s="12">
        <f t="shared" si="24"/>
        <v>139</v>
      </c>
    </row>
    <row r="158" spans="1:16" ht="15" customHeight="1" x14ac:dyDescent="0.2">
      <c r="A158" s="12" t="s">
        <v>2678</v>
      </c>
      <c r="B158" s="90" t="s">
        <v>320</v>
      </c>
      <c r="C158" s="90">
        <f t="shared" si="17"/>
        <v>280</v>
      </c>
      <c r="D158" s="90">
        <v>1</v>
      </c>
      <c r="G158" s="14" t="s">
        <v>236</v>
      </c>
      <c r="H158" s="12" t="s">
        <v>3017</v>
      </c>
      <c r="I158" s="12">
        <v>1111</v>
      </c>
      <c r="J158" s="12">
        <v>112111</v>
      </c>
      <c r="K158" s="12" t="s">
        <v>20</v>
      </c>
      <c r="L158" s="12">
        <v>1</v>
      </c>
      <c r="M158" s="17">
        <v>2000000</v>
      </c>
      <c r="N158" s="17">
        <f t="shared" si="18"/>
        <v>2000000</v>
      </c>
      <c r="O158" s="12" t="s">
        <v>21</v>
      </c>
      <c r="P158" s="12">
        <f t="shared" si="24"/>
        <v>140</v>
      </c>
    </row>
    <row r="159" spans="1:16" ht="15" customHeight="1" x14ac:dyDescent="0.2">
      <c r="A159" s="12" t="s">
        <v>2679</v>
      </c>
      <c r="B159" s="90" t="s">
        <v>604</v>
      </c>
      <c r="C159" s="90">
        <f t="shared" si="17"/>
        <v>281</v>
      </c>
      <c r="D159" s="90">
        <v>1</v>
      </c>
      <c r="G159" s="14" t="s">
        <v>40</v>
      </c>
      <c r="H159" s="12" t="s">
        <v>4547</v>
      </c>
      <c r="I159" s="12">
        <v>112111</v>
      </c>
      <c r="J159" s="12">
        <v>131</v>
      </c>
      <c r="K159" s="12" t="s">
        <v>20</v>
      </c>
      <c r="L159" s="12">
        <v>1</v>
      </c>
      <c r="M159" s="17">
        <v>12774194</v>
      </c>
      <c r="N159" s="17">
        <f t="shared" si="18"/>
        <v>12774194</v>
      </c>
      <c r="O159" s="12" t="s">
        <v>21</v>
      </c>
      <c r="P159" s="12">
        <f t="shared" si="24"/>
        <v>141</v>
      </c>
    </row>
    <row r="160" spans="1:16" ht="15" customHeight="1" x14ac:dyDescent="0.2">
      <c r="A160" s="12" t="s">
        <v>2678</v>
      </c>
      <c r="B160" s="90" t="s">
        <v>2045</v>
      </c>
      <c r="C160" s="90">
        <f t="shared" si="17"/>
        <v>282</v>
      </c>
      <c r="D160" s="90">
        <v>1</v>
      </c>
      <c r="G160" s="14" t="s">
        <v>236</v>
      </c>
      <c r="H160" s="12" t="s">
        <v>3017</v>
      </c>
      <c r="I160" s="12">
        <v>1111</v>
      </c>
      <c r="J160" s="12">
        <v>112111</v>
      </c>
      <c r="K160" s="12" t="s">
        <v>20</v>
      </c>
      <c r="L160" s="12">
        <v>1</v>
      </c>
      <c r="M160" s="17">
        <v>10000000</v>
      </c>
      <c r="N160" s="17">
        <f t="shared" si="18"/>
        <v>10000000</v>
      </c>
      <c r="O160" s="12" t="s">
        <v>21</v>
      </c>
      <c r="P160" s="12">
        <f t="shared" si="24"/>
        <v>142</v>
      </c>
    </row>
    <row r="161" spans="1:16" ht="15" customHeight="1" x14ac:dyDescent="0.2">
      <c r="A161" s="12" t="s">
        <v>2679</v>
      </c>
      <c r="B161" s="90" t="s">
        <v>2045</v>
      </c>
      <c r="C161" s="90">
        <f t="shared" si="17"/>
        <v>283</v>
      </c>
      <c r="D161" s="90">
        <v>1</v>
      </c>
      <c r="G161" s="14" t="s">
        <v>282</v>
      </c>
      <c r="H161" s="12" t="s">
        <v>4548</v>
      </c>
      <c r="I161" s="12">
        <v>112111</v>
      </c>
      <c r="J161" s="12">
        <v>131</v>
      </c>
      <c r="K161" s="12" t="s">
        <v>20</v>
      </c>
      <c r="L161" s="12">
        <v>1</v>
      </c>
      <c r="M161" s="17">
        <v>19161291</v>
      </c>
      <c r="N161" s="17">
        <f t="shared" si="18"/>
        <v>19161291</v>
      </c>
      <c r="O161" s="12" t="s">
        <v>21</v>
      </c>
      <c r="P161" s="12">
        <f t="shared" si="24"/>
        <v>143</v>
      </c>
    </row>
    <row r="162" spans="1:16" ht="15" customHeight="1" x14ac:dyDescent="0.2">
      <c r="A162" s="12" t="s">
        <v>2678</v>
      </c>
      <c r="B162" s="90" t="s">
        <v>2045</v>
      </c>
      <c r="C162" s="90">
        <f t="shared" si="17"/>
        <v>284</v>
      </c>
      <c r="D162" s="90">
        <v>1</v>
      </c>
      <c r="G162" s="14" t="s">
        <v>236</v>
      </c>
      <c r="H162" s="12" t="s">
        <v>3017</v>
      </c>
      <c r="I162" s="12">
        <v>1111</v>
      </c>
      <c r="J162" s="12">
        <v>112111</v>
      </c>
      <c r="K162" s="12" t="s">
        <v>20</v>
      </c>
      <c r="L162" s="12">
        <v>1</v>
      </c>
      <c r="M162" s="17">
        <v>200000000</v>
      </c>
      <c r="N162" s="17">
        <f t="shared" si="18"/>
        <v>200000000</v>
      </c>
      <c r="O162" s="12" t="s">
        <v>21</v>
      </c>
      <c r="P162" s="12">
        <f t="shared" si="24"/>
        <v>144</v>
      </c>
    </row>
    <row r="163" spans="1:16" ht="15" customHeight="1" x14ac:dyDescent="0.2">
      <c r="A163" s="12" t="s">
        <v>2678</v>
      </c>
      <c r="B163" s="90" t="s">
        <v>2045</v>
      </c>
      <c r="C163" s="90">
        <f t="shared" si="17"/>
        <v>285</v>
      </c>
      <c r="D163" s="90">
        <v>1</v>
      </c>
      <c r="G163" s="14" t="s">
        <v>236</v>
      </c>
      <c r="H163" s="12" t="s">
        <v>3017</v>
      </c>
      <c r="I163" s="12">
        <v>1111</v>
      </c>
      <c r="J163" s="12">
        <v>112111</v>
      </c>
      <c r="K163" s="12" t="s">
        <v>20</v>
      </c>
      <c r="L163" s="12">
        <v>1</v>
      </c>
      <c r="M163" s="17">
        <v>200000000</v>
      </c>
      <c r="N163" s="17">
        <f t="shared" si="18"/>
        <v>200000000</v>
      </c>
      <c r="O163" s="12" t="s">
        <v>21</v>
      </c>
      <c r="P163" s="12">
        <f t="shared" si="24"/>
        <v>145</v>
      </c>
    </row>
    <row r="164" spans="1:16" ht="15" customHeight="1" x14ac:dyDescent="0.2">
      <c r="A164" s="12" t="s">
        <v>2678</v>
      </c>
      <c r="B164" s="90" t="s">
        <v>2045</v>
      </c>
      <c r="C164" s="90">
        <f t="shared" si="17"/>
        <v>286</v>
      </c>
      <c r="D164" s="90">
        <v>1</v>
      </c>
      <c r="G164" s="14" t="s">
        <v>236</v>
      </c>
      <c r="H164" s="12" t="s">
        <v>3017</v>
      </c>
      <c r="I164" s="12">
        <v>1111</v>
      </c>
      <c r="J164" s="12">
        <v>112111</v>
      </c>
      <c r="K164" s="12" t="s">
        <v>20</v>
      </c>
      <c r="L164" s="12">
        <v>1</v>
      </c>
      <c r="M164" s="17">
        <v>71000000</v>
      </c>
      <c r="N164" s="17">
        <f t="shared" si="18"/>
        <v>71000000</v>
      </c>
      <c r="O164" s="12" t="s">
        <v>21</v>
      </c>
      <c r="P164" s="12">
        <f t="shared" si="24"/>
        <v>146</v>
      </c>
    </row>
    <row r="165" spans="1:16" ht="15" customHeight="1" x14ac:dyDescent="0.2">
      <c r="A165" s="12" t="s">
        <v>2678</v>
      </c>
      <c r="B165" s="90" t="s">
        <v>2382</v>
      </c>
      <c r="C165" s="90">
        <f t="shared" si="17"/>
        <v>287</v>
      </c>
      <c r="D165" s="90">
        <v>1</v>
      </c>
      <c r="G165" s="14" t="s">
        <v>236</v>
      </c>
      <c r="H165" s="12" t="s">
        <v>3017</v>
      </c>
      <c r="I165" s="12">
        <v>1111</v>
      </c>
      <c r="J165" s="12">
        <v>112111</v>
      </c>
      <c r="K165" s="12" t="s">
        <v>20</v>
      </c>
      <c r="L165" s="12">
        <v>1</v>
      </c>
      <c r="M165" s="17">
        <v>300000000</v>
      </c>
      <c r="N165" s="17">
        <f t="shared" si="18"/>
        <v>300000000</v>
      </c>
      <c r="O165" s="12" t="s">
        <v>21</v>
      </c>
      <c r="P165" s="12">
        <f t="shared" si="24"/>
        <v>147</v>
      </c>
    </row>
    <row r="166" spans="1:16" ht="15" customHeight="1" x14ac:dyDescent="0.2">
      <c r="A166" s="12" t="s">
        <v>18</v>
      </c>
      <c r="B166" s="90" t="s">
        <v>2382</v>
      </c>
      <c r="C166" s="90">
        <f t="shared" ref="C166:C167" si="28">C165+D166</f>
        <v>288</v>
      </c>
      <c r="D166" s="90">
        <v>1</v>
      </c>
      <c r="G166" s="14" t="s">
        <v>3003</v>
      </c>
      <c r="H166" s="12" t="s">
        <v>3161</v>
      </c>
      <c r="I166" s="12">
        <v>131</v>
      </c>
      <c r="J166" s="12">
        <v>5118</v>
      </c>
      <c r="K166" s="12" t="s">
        <v>20</v>
      </c>
      <c r="L166" s="12">
        <v>1</v>
      </c>
      <c r="M166" s="17">
        <v>350837630</v>
      </c>
      <c r="N166" s="17">
        <f t="shared" ref="N166:N167" si="29">L166*M166</f>
        <v>350837630</v>
      </c>
      <c r="O166" s="12" t="s">
        <v>21</v>
      </c>
      <c r="P166" s="12">
        <f t="shared" ref="P166:P167" si="30">P165+D166</f>
        <v>148</v>
      </c>
    </row>
    <row r="167" spans="1:16" ht="15" customHeight="1" x14ac:dyDescent="0.2">
      <c r="A167" s="12" t="s">
        <v>2679</v>
      </c>
      <c r="B167" s="90" t="s">
        <v>2382</v>
      </c>
      <c r="C167" s="90">
        <f t="shared" si="28"/>
        <v>289</v>
      </c>
      <c r="D167" s="90">
        <v>1</v>
      </c>
      <c r="G167" s="14" t="s">
        <v>3003</v>
      </c>
      <c r="H167" s="12" t="s">
        <v>3005</v>
      </c>
      <c r="I167" s="12">
        <v>112111</v>
      </c>
      <c r="J167" s="12">
        <v>131</v>
      </c>
      <c r="K167" s="12" t="s">
        <v>20</v>
      </c>
      <c r="L167" s="12">
        <v>1</v>
      </c>
      <c r="M167" s="17">
        <v>350837630</v>
      </c>
      <c r="N167" s="17">
        <f t="shared" si="29"/>
        <v>350837630</v>
      </c>
      <c r="O167" s="12" t="s">
        <v>21</v>
      </c>
      <c r="P167" s="12">
        <f t="shared" si="30"/>
        <v>149</v>
      </c>
    </row>
    <row r="168" spans="1:16" ht="15" customHeight="1" x14ac:dyDescent="0.2">
      <c r="A168" s="12" t="s">
        <v>2678</v>
      </c>
      <c r="B168" s="90" t="s">
        <v>2382</v>
      </c>
      <c r="C168" s="90">
        <f t="shared" si="17"/>
        <v>290</v>
      </c>
      <c r="D168" s="90">
        <v>1</v>
      </c>
      <c r="G168" s="14" t="s">
        <v>236</v>
      </c>
      <c r="H168" s="12" t="s">
        <v>3017</v>
      </c>
      <c r="I168" s="12">
        <v>1111</v>
      </c>
      <c r="J168" s="12">
        <v>112111</v>
      </c>
      <c r="K168" s="12" t="s">
        <v>20</v>
      </c>
      <c r="L168" s="12">
        <v>1</v>
      </c>
      <c r="M168" s="17">
        <v>10000000</v>
      </c>
      <c r="N168" s="17">
        <f t="shared" si="18"/>
        <v>10000000</v>
      </c>
      <c r="O168" s="12" t="s">
        <v>21</v>
      </c>
      <c r="P168" s="12">
        <f t="shared" si="24"/>
        <v>150</v>
      </c>
    </row>
    <row r="169" spans="1:16" ht="15" customHeight="1" x14ac:dyDescent="0.2">
      <c r="A169" s="12" t="s">
        <v>2679</v>
      </c>
      <c r="B169" s="90" t="s">
        <v>2504</v>
      </c>
      <c r="C169" s="90">
        <f t="shared" si="17"/>
        <v>291</v>
      </c>
      <c r="D169" s="90">
        <v>1</v>
      </c>
      <c r="G169" s="14" t="s">
        <v>40</v>
      </c>
      <c r="H169" s="12" t="s">
        <v>4549</v>
      </c>
      <c r="I169" s="12">
        <v>112111</v>
      </c>
      <c r="J169" s="12">
        <v>131</v>
      </c>
      <c r="K169" s="12" t="s">
        <v>20</v>
      </c>
      <c r="L169" s="12">
        <v>1</v>
      </c>
      <c r="M169" s="17">
        <v>25548387</v>
      </c>
      <c r="N169" s="17">
        <f t="shared" si="18"/>
        <v>25548387</v>
      </c>
      <c r="O169" s="12" t="s">
        <v>21</v>
      </c>
      <c r="P169" s="12">
        <f t="shared" si="24"/>
        <v>151</v>
      </c>
    </row>
    <row r="170" spans="1:16" ht="15" customHeight="1" x14ac:dyDescent="0.2">
      <c r="A170" s="12" t="s">
        <v>2679</v>
      </c>
      <c r="B170" s="90" t="s">
        <v>2513</v>
      </c>
      <c r="C170" s="90">
        <f t="shared" si="17"/>
        <v>292</v>
      </c>
      <c r="D170" s="90">
        <v>1</v>
      </c>
      <c r="G170" s="14" t="s">
        <v>3012</v>
      </c>
      <c r="H170" s="12" t="s">
        <v>2687</v>
      </c>
      <c r="I170" s="12">
        <v>112111</v>
      </c>
      <c r="J170" s="12">
        <v>5154</v>
      </c>
      <c r="K170" s="12" t="s">
        <v>20</v>
      </c>
      <c r="L170" s="12">
        <v>1</v>
      </c>
      <c r="M170" s="17">
        <v>34670</v>
      </c>
      <c r="N170" s="17">
        <f t="shared" si="18"/>
        <v>34670</v>
      </c>
      <c r="O170" s="12" t="s">
        <v>21</v>
      </c>
      <c r="P170" s="12">
        <f t="shared" si="24"/>
        <v>152</v>
      </c>
    </row>
    <row r="171" spans="1:16" ht="15" customHeight="1" x14ac:dyDescent="0.2">
      <c r="A171" s="12" t="s">
        <v>2719</v>
      </c>
      <c r="B171" s="90" t="s">
        <v>869</v>
      </c>
      <c r="C171" s="90">
        <f t="shared" si="17"/>
        <v>293</v>
      </c>
      <c r="D171" s="90">
        <v>1</v>
      </c>
      <c r="G171" s="14" t="s">
        <v>1888</v>
      </c>
      <c r="H171" s="12" t="s">
        <v>4550</v>
      </c>
      <c r="I171" s="12">
        <v>331</v>
      </c>
      <c r="J171" s="12">
        <v>1111</v>
      </c>
      <c r="K171" s="12" t="s">
        <v>20</v>
      </c>
      <c r="L171" s="12">
        <v>1</v>
      </c>
      <c r="M171" s="17">
        <v>1035720</v>
      </c>
      <c r="N171" s="17">
        <f t="shared" si="18"/>
        <v>1035720</v>
      </c>
      <c r="O171" s="12" t="s">
        <v>21</v>
      </c>
      <c r="P171" s="12">
        <f t="shared" ref="P171:P175" si="31">P170+D171</f>
        <v>153</v>
      </c>
    </row>
    <row r="172" spans="1:16" ht="15" customHeight="1" x14ac:dyDescent="0.2">
      <c r="A172" s="12" t="s">
        <v>2719</v>
      </c>
      <c r="B172" s="90" t="s">
        <v>291</v>
      </c>
      <c r="C172" s="90">
        <f t="shared" si="17"/>
        <v>294</v>
      </c>
      <c r="D172" s="90">
        <v>1</v>
      </c>
      <c r="G172" s="14" t="s">
        <v>283</v>
      </c>
      <c r="H172" s="12" t="s">
        <v>4551</v>
      </c>
      <c r="I172" s="12">
        <v>331</v>
      </c>
      <c r="J172" s="12">
        <v>1111</v>
      </c>
      <c r="K172" s="12" t="s">
        <v>20</v>
      </c>
      <c r="L172" s="12">
        <v>1</v>
      </c>
      <c r="M172" s="17">
        <v>265600</v>
      </c>
      <c r="N172" s="17">
        <f t="shared" si="18"/>
        <v>265600</v>
      </c>
      <c r="O172" s="12" t="s">
        <v>21</v>
      </c>
      <c r="P172" s="12">
        <f t="shared" si="31"/>
        <v>154</v>
      </c>
    </row>
    <row r="173" spans="1:16" ht="15" customHeight="1" x14ac:dyDescent="0.2">
      <c r="A173" s="12" t="s">
        <v>2719</v>
      </c>
      <c r="B173" s="90" t="s">
        <v>417</v>
      </c>
      <c r="C173" s="90">
        <f t="shared" si="17"/>
        <v>295</v>
      </c>
      <c r="D173" s="90">
        <v>1</v>
      </c>
      <c r="G173" s="14" t="s">
        <v>1889</v>
      </c>
      <c r="H173" s="12" t="s">
        <v>4552</v>
      </c>
      <c r="I173" s="12">
        <v>331</v>
      </c>
      <c r="J173" s="12">
        <v>1111</v>
      </c>
      <c r="K173" s="12" t="s">
        <v>20</v>
      </c>
      <c r="L173" s="12">
        <v>1</v>
      </c>
      <c r="M173" s="17">
        <v>2365000</v>
      </c>
      <c r="N173" s="17">
        <f t="shared" si="18"/>
        <v>2365000</v>
      </c>
      <c r="O173" s="12" t="s">
        <v>21</v>
      </c>
      <c r="P173" s="12">
        <f t="shared" si="31"/>
        <v>155</v>
      </c>
    </row>
    <row r="174" spans="1:16" ht="15" customHeight="1" x14ac:dyDescent="0.2">
      <c r="A174" s="12" t="s">
        <v>2719</v>
      </c>
      <c r="B174" s="90" t="s">
        <v>379</v>
      </c>
      <c r="C174" s="90">
        <f t="shared" si="17"/>
        <v>296</v>
      </c>
      <c r="D174" s="90">
        <v>1</v>
      </c>
      <c r="G174" s="14" t="s">
        <v>283</v>
      </c>
      <c r="H174" s="12" t="s">
        <v>4553</v>
      </c>
      <c r="I174" s="12">
        <v>331</v>
      </c>
      <c r="J174" s="12">
        <v>1111</v>
      </c>
      <c r="K174" s="12" t="s">
        <v>20</v>
      </c>
      <c r="L174" s="12">
        <v>1</v>
      </c>
      <c r="M174" s="17">
        <v>265600</v>
      </c>
      <c r="N174" s="17">
        <f t="shared" si="18"/>
        <v>265600</v>
      </c>
      <c r="O174" s="12" t="s">
        <v>21</v>
      </c>
      <c r="P174" s="12">
        <f t="shared" si="31"/>
        <v>156</v>
      </c>
    </row>
    <row r="175" spans="1:16" ht="15" customHeight="1" x14ac:dyDescent="0.2">
      <c r="A175" s="12" t="s">
        <v>2719</v>
      </c>
      <c r="B175" s="36">
        <v>46022</v>
      </c>
      <c r="C175" s="90">
        <f t="shared" si="17"/>
        <v>297</v>
      </c>
      <c r="D175" s="90">
        <v>1</v>
      </c>
      <c r="G175" s="14" t="s">
        <v>283</v>
      </c>
      <c r="H175" s="12" t="s">
        <v>4554</v>
      </c>
      <c r="I175" s="12">
        <v>331</v>
      </c>
      <c r="J175" s="12">
        <v>1111</v>
      </c>
      <c r="K175" s="12" t="s">
        <v>20</v>
      </c>
      <c r="L175" s="12">
        <v>1</v>
      </c>
      <c r="M175" s="17">
        <v>265600</v>
      </c>
      <c r="N175" s="17">
        <f t="shared" si="18"/>
        <v>265600</v>
      </c>
      <c r="O175" s="12" t="s">
        <v>21</v>
      </c>
      <c r="P175" s="12">
        <f t="shared" si="31"/>
        <v>157</v>
      </c>
    </row>
    <row r="176" spans="1:16" ht="15" customHeight="1" x14ac:dyDescent="0.2">
      <c r="A176" s="12" t="s">
        <v>2719</v>
      </c>
      <c r="B176" s="36">
        <v>45930</v>
      </c>
      <c r="C176" s="90">
        <f t="shared" ref="C176" si="32">C175+D176</f>
        <v>298</v>
      </c>
      <c r="D176" s="90">
        <v>1</v>
      </c>
      <c r="G176" s="14" t="s">
        <v>93</v>
      </c>
      <c r="H176" s="12" t="s">
        <v>4359</v>
      </c>
      <c r="I176" s="12">
        <v>3383</v>
      </c>
      <c r="J176" s="12">
        <v>1111</v>
      </c>
      <c r="K176" s="12" t="s">
        <v>20</v>
      </c>
      <c r="L176" s="12">
        <v>1</v>
      </c>
      <c r="M176" s="17">
        <v>7090300</v>
      </c>
      <c r="N176" s="17">
        <f t="shared" ref="N176" si="33">L176*M176</f>
        <v>7090300</v>
      </c>
      <c r="O176" s="12" t="s">
        <v>21</v>
      </c>
      <c r="P176" s="12">
        <f t="shared" ref="P176" si="34">P175+D176</f>
        <v>158</v>
      </c>
    </row>
    <row r="177" spans="1:16" ht="15" customHeight="1" x14ac:dyDescent="0.2">
      <c r="A177" s="12" t="s">
        <v>2719</v>
      </c>
      <c r="B177" s="36">
        <v>45961</v>
      </c>
      <c r="C177" s="90">
        <f t="shared" ref="C177" si="35">C176+D177</f>
        <v>299</v>
      </c>
      <c r="D177" s="90">
        <v>1</v>
      </c>
      <c r="G177" s="14" t="s">
        <v>93</v>
      </c>
      <c r="H177" s="12" t="s">
        <v>4528</v>
      </c>
      <c r="I177" s="12">
        <v>3383</v>
      </c>
      <c r="J177" s="12">
        <v>1111</v>
      </c>
      <c r="K177" s="12" t="s">
        <v>20</v>
      </c>
      <c r="L177" s="12">
        <v>1</v>
      </c>
      <c r="M177" s="17">
        <v>7090300</v>
      </c>
      <c r="N177" s="17">
        <f t="shared" ref="N177" si="36">L177*M177</f>
        <v>7090300</v>
      </c>
      <c r="O177" s="12" t="s">
        <v>21</v>
      </c>
      <c r="P177" s="12">
        <f t="shared" ref="P177" si="37">P176+D177</f>
        <v>159</v>
      </c>
    </row>
  </sheetData>
  <autoFilter ref="A3:P175" xr:uid="{00000000-0009-0000-0000-000010000000}">
    <sortState xmlns:xlrd2="http://schemas.microsoft.com/office/spreadsheetml/2017/richdata2" ref="A4:P41">
      <sortCondition ref="P3:P41"/>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conditionalFormatting sqref="O114:O119">
    <cfRule type="uniqueValues" dxfId="0" priority="1"/>
  </conditionalFormatting>
  <hyperlinks>
    <hyperlink ref="P1" location="Summary!A1" display="Back to summary" xr:uid="{00000000-0004-0000-1000-000000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Q408"/>
  <sheetViews>
    <sheetView workbookViewId="0">
      <selection activeCell="P1" sqref="P1"/>
    </sheetView>
  </sheetViews>
  <sheetFormatPr defaultRowHeight="15" x14ac:dyDescent="0.25"/>
  <cols>
    <col min="1" max="6" width="9.140625" style="126"/>
    <col min="7" max="7" width="12.7109375" style="126" bestFit="1" customWidth="1"/>
    <col min="8" max="8" width="33" style="126" customWidth="1"/>
    <col min="9" max="12" width="9.140625" style="126"/>
    <col min="13" max="15" width="11.28515625" style="126" bestFit="1" customWidth="1"/>
    <col min="16" max="16" width="9.140625" style="126"/>
    <col min="17" max="17" width="14.28515625" style="126" bestFit="1" customWidth="1"/>
    <col min="18" max="16384" width="9.140625" style="126"/>
  </cols>
  <sheetData>
    <row r="1" spans="1:16" ht="15.75" customHeight="1" thickBot="1" x14ac:dyDescent="0.25">
      <c r="A1" s="189" t="s">
        <v>0</v>
      </c>
      <c r="B1" s="169" t="s">
        <v>1</v>
      </c>
      <c r="C1" s="189" t="s">
        <v>2</v>
      </c>
      <c r="D1" s="187" t="s">
        <v>3</v>
      </c>
      <c r="E1" s="187" t="s">
        <v>4</v>
      </c>
      <c r="F1" s="187" t="s">
        <v>5</v>
      </c>
      <c r="G1" s="194" t="s">
        <v>6</v>
      </c>
      <c r="H1" s="196" t="s">
        <v>7</v>
      </c>
      <c r="I1" s="198" t="s">
        <v>8</v>
      </c>
      <c r="J1" s="199"/>
      <c r="K1" s="189" t="s">
        <v>9</v>
      </c>
      <c r="L1" s="189" t="s">
        <v>10</v>
      </c>
      <c r="M1" s="192" t="s">
        <v>98</v>
      </c>
      <c r="N1" s="192" t="s">
        <v>99</v>
      </c>
      <c r="O1" s="91" t="s">
        <v>100</v>
      </c>
      <c r="P1" s="152" t="s">
        <v>3991</v>
      </c>
    </row>
    <row r="2" spans="1:16" ht="15.75" thickBot="1" x14ac:dyDescent="0.3">
      <c r="A2" s="190"/>
      <c r="B2" s="170"/>
      <c r="C2" s="190"/>
      <c r="D2" s="191"/>
      <c r="E2" s="191"/>
      <c r="F2" s="188"/>
      <c r="G2" s="195"/>
      <c r="H2" s="197"/>
      <c r="I2" s="96" t="s">
        <v>13</v>
      </c>
      <c r="J2" s="97" t="s">
        <v>14</v>
      </c>
      <c r="K2" s="190"/>
      <c r="L2" s="190"/>
      <c r="M2" s="193"/>
      <c r="N2" s="193"/>
      <c r="O2" s="92" t="s">
        <v>100</v>
      </c>
      <c r="P2" s="92"/>
    </row>
    <row r="3" spans="1:16" x14ac:dyDescent="0.25">
      <c r="A3" s="98"/>
      <c r="B3" s="68"/>
      <c r="C3" s="98">
        <v>75</v>
      </c>
      <c r="D3" s="99"/>
      <c r="E3" s="99"/>
      <c r="F3" s="99"/>
      <c r="G3" s="100" t="s">
        <v>15</v>
      </c>
      <c r="H3" s="101"/>
      <c r="I3" s="101"/>
      <c r="J3" s="101"/>
      <c r="K3" s="98"/>
      <c r="L3" s="98"/>
      <c r="M3" s="102"/>
      <c r="N3" s="102"/>
      <c r="O3" s="92" t="s">
        <v>16</v>
      </c>
      <c r="P3" s="92" t="s">
        <v>17</v>
      </c>
    </row>
    <row r="4" spans="1:16" x14ac:dyDescent="0.25">
      <c r="A4" s="93" t="s">
        <v>18</v>
      </c>
      <c r="B4" s="71" t="s">
        <v>309</v>
      </c>
      <c r="C4" s="93">
        <f>C3+D4</f>
        <v>76</v>
      </c>
      <c r="D4" s="93">
        <v>1</v>
      </c>
      <c r="E4" s="93"/>
      <c r="F4" s="93"/>
      <c r="G4" s="94" t="s">
        <v>37</v>
      </c>
      <c r="H4" s="93" t="s">
        <v>1946</v>
      </c>
      <c r="I4" s="93">
        <v>64277</v>
      </c>
      <c r="J4" s="93">
        <v>331</v>
      </c>
      <c r="K4" s="93" t="s">
        <v>20</v>
      </c>
      <c r="L4" s="93">
        <v>1</v>
      </c>
      <c r="M4" s="127">
        <v>3240000</v>
      </c>
      <c r="N4" s="127">
        <f t="shared" ref="N4:N67" si="0">L4*M4</f>
        <v>3240000</v>
      </c>
      <c r="O4" s="104" t="s">
        <v>21</v>
      </c>
      <c r="P4" s="93">
        <v>1</v>
      </c>
    </row>
    <row r="5" spans="1:16" x14ac:dyDescent="0.25">
      <c r="A5" s="93" t="s">
        <v>18</v>
      </c>
      <c r="B5" s="71" t="s">
        <v>374</v>
      </c>
      <c r="C5" s="93">
        <f>C4+D5</f>
        <v>77</v>
      </c>
      <c r="D5" s="93">
        <v>1</v>
      </c>
      <c r="E5" s="93"/>
      <c r="F5" s="93"/>
      <c r="G5" s="94" t="s">
        <v>1931</v>
      </c>
      <c r="H5" s="93" t="s">
        <v>2013</v>
      </c>
      <c r="I5" s="93">
        <v>64276</v>
      </c>
      <c r="J5" s="93">
        <v>331</v>
      </c>
      <c r="K5" s="93" t="s">
        <v>20</v>
      </c>
      <c r="L5" s="93">
        <v>1</v>
      </c>
      <c r="M5" s="127">
        <v>32130000</v>
      </c>
      <c r="N5" s="127">
        <f t="shared" si="0"/>
        <v>32130000</v>
      </c>
      <c r="O5" s="104" t="s">
        <v>21</v>
      </c>
      <c r="P5" s="93">
        <f t="shared" ref="P5:P68" si="1">P4+D5</f>
        <v>2</v>
      </c>
    </row>
    <row r="6" spans="1:16" x14ac:dyDescent="0.25">
      <c r="A6" s="93" t="s">
        <v>18</v>
      </c>
      <c r="B6" s="71" t="s">
        <v>311</v>
      </c>
      <c r="C6" s="93">
        <f t="shared" ref="C6:C69" si="2">C5+D6</f>
        <v>78</v>
      </c>
      <c r="D6" s="93">
        <v>1</v>
      </c>
      <c r="E6" s="93"/>
      <c r="F6" s="93"/>
      <c r="G6" s="94" t="s">
        <v>1932</v>
      </c>
      <c r="H6" s="93" t="s">
        <v>2014</v>
      </c>
      <c r="I6" s="93">
        <v>64276</v>
      </c>
      <c r="J6" s="93">
        <v>331</v>
      </c>
      <c r="K6" s="93" t="s">
        <v>20</v>
      </c>
      <c r="L6" s="93">
        <v>1</v>
      </c>
      <c r="M6" s="127">
        <v>22600000</v>
      </c>
      <c r="N6" s="127">
        <f t="shared" si="0"/>
        <v>22600000</v>
      </c>
      <c r="O6" s="104" t="s">
        <v>21</v>
      </c>
      <c r="P6" s="93">
        <f t="shared" si="1"/>
        <v>3</v>
      </c>
    </row>
    <row r="7" spans="1:16" x14ac:dyDescent="0.25">
      <c r="A7" s="93" t="s">
        <v>18</v>
      </c>
      <c r="B7" s="71" t="s">
        <v>866</v>
      </c>
      <c r="C7" s="93">
        <f t="shared" si="2"/>
        <v>79</v>
      </c>
      <c r="D7" s="93">
        <v>1</v>
      </c>
      <c r="E7" s="93"/>
      <c r="F7" s="93"/>
      <c r="G7" s="94" t="s">
        <v>1933</v>
      </c>
      <c r="H7" s="93" t="s">
        <v>2015</v>
      </c>
      <c r="I7" s="93">
        <v>64276</v>
      </c>
      <c r="J7" s="93">
        <v>331</v>
      </c>
      <c r="K7" s="93" t="s">
        <v>20</v>
      </c>
      <c r="L7" s="93">
        <v>1</v>
      </c>
      <c r="M7" s="127">
        <v>30590000</v>
      </c>
      <c r="N7" s="127">
        <f t="shared" si="0"/>
        <v>30590000</v>
      </c>
      <c r="O7" s="104" t="s">
        <v>21</v>
      </c>
      <c r="P7" s="93">
        <f t="shared" si="1"/>
        <v>4</v>
      </c>
    </row>
    <row r="8" spans="1:16" x14ac:dyDescent="0.25">
      <c r="A8" s="93" t="s">
        <v>18</v>
      </c>
      <c r="B8" s="71" t="s">
        <v>376</v>
      </c>
      <c r="C8" s="93">
        <f t="shared" si="2"/>
        <v>80</v>
      </c>
      <c r="D8" s="93">
        <v>1</v>
      </c>
      <c r="E8" s="93"/>
      <c r="F8" s="93"/>
      <c r="G8" s="94" t="s">
        <v>1934</v>
      </c>
      <c r="H8" s="93" t="s">
        <v>2016</v>
      </c>
      <c r="I8" s="93">
        <v>64277</v>
      </c>
      <c r="J8" s="93">
        <v>331</v>
      </c>
      <c r="K8" s="93" t="s">
        <v>20</v>
      </c>
      <c r="L8" s="93">
        <v>1</v>
      </c>
      <c r="M8" s="127">
        <v>6534000</v>
      </c>
      <c r="N8" s="127">
        <f t="shared" si="0"/>
        <v>6534000</v>
      </c>
      <c r="O8" s="104" t="s">
        <v>21</v>
      </c>
      <c r="P8" s="93">
        <f t="shared" si="1"/>
        <v>5</v>
      </c>
    </row>
    <row r="9" spans="1:16" x14ac:dyDescent="0.25">
      <c r="A9" s="93" t="s">
        <v>18</v>
      </c>
      <c r="B9" s="71" t="s">
        <v>447</v>
      </c>
      <c r="C9" s="93">
        <f t="shared" si="2"/>
        <v>81</v>
      </c>
      <c r="D9" s="93">
        <v>1</v>
      </c>
      <c r="E9" s="93"/>
      <c r="F9" s="93"/>
      <c r="G9" s="94" t="s">
        <v>1933</v>
      </c>
      <c r="H9" s="93" t="s">
        <v>2017</v>
      </c>
      <c r="I9" s="93">
        <v>64276</v>
      </c>
      <c r="J9" s="93">
        <v>331</v>
      </c>
      <c r="K9" s="93" t="s">
        <v>20</v>
      </c>
      <c r="L9" s="93">
        <v>1</v>
      </c>
      <c r="M9" s="127">
        <v>25600000</v>
      </c>
      <c r="N9" s="127">
        <f t="shared" si="0"/>
        <v>25600000</v>
      </c>
      <c r="O9" s="104" t="s">
        <v>21</v>
      </c>
      <c r="P9" s="93">
        <f t="shared" si="1"/>
        <v>6</v>
      </c>
    </row>
    <row r="10" spans="1:16" x14ac:dyDescent="0.25">
      <c r="A10" s="93" t="s">
        <v>18</v>
      </c>
      <c r="B10" s="71" t="s">
        <v>312</v>
      </c>
      <c r="C10" s="93">
        <f t="shared" si="2"/>
        <v>82</v>
      </c>
      <c r="D10" s="93">
        <v>1</v>
      </c>
      <c r="E10" s="93"/>
      <c r="F10" s="93"/>
      <c r="G10" s="94" t="s">
        <v>1931</v>
      </c>
      <c r="H10" s="93" t="s">
        <v>2018</v>
      </c>
      <c r="I10" s="93">
        <v>64276</v>
      </c>
      <c r="J10" s="93">
        <v>331</v>
      </c>
      <c r="K10" s="93" t="s">
        <v>20</v>
      </c>
      <c r="L10" s="93">
        <v>1</v>
      </c>
      <c r="M10" s="127">
        <v>32130000</v>
      </c>
      <c r="N10" s="127">
        <f t="shared" si="0"/>
        <v>32130000</v>
      </c>
      <c r="O10" s="104" t="s">
        <v>21</v>
      </c>
      <c r="P10" s="93">
        <f t="shared" si="1"/>
        <v>7</v>
      </c>
    </row>
    <row r="11" spans="1:16" x14ac:dyDescent="0.25">
      <c r="A11" s="93" t="s">
        <v>18</v>
      </c>
      <c r="B11" s="71" t="s">
        <v>312</v>
      </c>
      <c r="C11" s="93">
        <f t="shared" si="2"/>
        <v>83</v>
      </c>
      <c r="D11" s="93">
        <v>1</v>
      </c>
      <c r="E11" s="93"/>
      <c r="F11" s="93"/>
      <c r="G11" s="94" t="s">
        <v>1935</v>
      </c>
      <c r="H11" s="93" t="s">
        <v>2019</v>
      </c>
      <c r="I11" s="93">
        <v>64277</v>
      </c>
      <c r="J11" s="93">
        <v>331</v>
      </c>
      <c r="K11" s="93" t="s">
        <v>20</v>
      </c>
      <c r="L11" s="93">
        <v>1</v>
      </c>
      <c r="M11" s="127">
        <v>985054</v>
      </c>
      <c r="N11" s="127">
        <f t="shared" si="0"/>
        <v>985054</v>
      </c>
      <c r="O11" s="104" t="s">
        <v>21</v>
      </c>
      <c r="P11" s="93">
        <f t="shared" si="1"/>
        <v>8</v>
      </c>
    </row>
    <row r="12" spans="1:16" x14ac:dyDescent="0.25">
      <c r="A12" s="93" t="s">
        <v>18</v>
      </c>
      <c r="B12" s="71" t="s">
        <v>652</v>
      </c>
      <c r="C12" s="93">
        <f t="shared" si="2"/>
        <v>84</v>
      </c>
      <c r="D12" s="93">
        <v>1</v>
      </c>
      <c r="E12" s="93"/>
      <c r="F12" s="93"/>
      <c r="G12" s="94" t="s">
        <v>1936</v>
      </c>
      <c r="H12" s="93" t="s">
        <v>2020</v>
      </c>
      <c r="I12" s="93">
        <v>64277</v>
      </c>
      <c r="J12" s="93">
        <v>331</v>
      </c>
      <c r="K12" s="93" t="s">
        <v>20</v>
      </c>
      <c r="L12" s="93">
        <v>1</v>
      </c>
      <c r="M12" s="127">
        <v>1784177</v>
      </c>
      <c r="N12" s="127">
        <f t="shared" si="0"/>
        <v>1784177</v>
      </c>
      <c r="O12" s="104" t="s">
        <v>21</v>
      </c>
      <c r="P12" s="93">
        <f t="shared" si="1"/>
        <v>9</v>
      </c>
    </row>
    <row r="13" spans="1:16" x14ac:dyDescent="0.25">
      <c r="A13" s="93" t="s">
        <v>18</v>
      </c>
      <c r="B13" s="71" t="s">
        <v>377</v>
      </c>
      <c r="C13" s="93">
        <f t="shared" si="2"/>
        <v>85</v>
      </c>
      <c r="D13" s="93">
        <v>1</v>
      </c>
      <c r="E13" s="93"/>
      <c r="F13" s="93"/>
      <c r="G13" s="94" t="s">
        <v>37</v>
      </c>
      <c r="H13" s="93" t="s">
        <v>1947</v>
      </c>
      <c r="I13" s="93">
        <v>64277</v>
      </c>
      <c r="J13" s="93">
        <v>331</v>
      </c>
      <c r="K13" s="93" t="s">
        <v>20</v>
      </c>
      <c r="L13" s="93">
        <v>1</v>
      </c>
      <c r="M13" s="127">
        <v>3240000</v>
      </c>
      <c r="N13" s="127">
        <f t="shared" si="0"/>
        <v>3240000</v>
      </c>
      <c r="O13" s="104" t="s">
        <v>21</v>
      </c>
      <c r="P13" s="93">
        <f t="shared" si="1"/>
        <v>10</v>
      </c>
    </row>
    <row r="14" spans="1:16" x14ac:dyDescent="0.25">
      <c r="A14" s="93" t="s">
        <v>18</v>
      </c>
      <c r="B14" s="71" t="s">
        <v>377</v>
      </c>
      <c r="C14" s="93">
        <f t="shared" si="2"/>
        <v>86</v>
      </c>
      <c r="D14" s="93">
        <v>1</v>
      </c>
      <c r="E14" s="93"/>
      <c r="F14" s="93"/>
      <c r="G14" s="94" t="s">
        <v>1937</v>
      </c>
      <c r="H14" s="93" t="s">
        <v>2021</v>
      </c>
      <c r="I14" s="93">
        <v>64276</v>
      </c>
      <c r="J14" s="93">
        <v>331</v>
      </c>
      <c r="K14" s="93" t="s">
        <v>20</v>
      </c>
      <c r="L14" s="93">
        <v>1</v>
      </c>
      <c r="M14" s="127">
        <v>3850000</v>
      </c>
      <c r="N14" s="127">
        <f t="shared" si="0"/>
        <v>3850000</v>
      </c>
      <c r="O14" s="104" t="s">
        <v>21</v>
      </c>
      <c r="P14" s="93">
        <f t="shared" si="1"/>
        <v>11</v>
      </c>
    </row>
    <row r="15" spans="1:16" x14ac:dyDescent="0.25">
      <c r="A15" s="93" t="s">
        <v>18</v>
      </c>
      <c r="B15" s="71" t="s">
        <v>449</v>
      </c>
      <c r="C15" s="93">
        <f t="shared" si="2"/>
        <v>87</v>
      </c>
      <c r="D15" s="93">
        <v>1</v>
      </c>
      <c r="E15" s="93"/>
      <c r="F15" s="93"/>
      <c r="G15" s="94" t="s">
        <v>1938</v>
      </c>
      <c r="H15" s="93" t="s">
        <v>2022</v>
      </c>
      <c r="I15" s="93">
        <v>64277</v>
      </c>
      <c r="J15" s="93">
        <v>331</v>
      </c>
      <c r="K15" s="93" t="s">
        <v>20</v>
      </c>
      <c r="L15" s="93">
        <v>1</v>
      </c>
      <c r="M15" s="127">
        <v>580000</v>
      </c>
      <c r="N15" s="127">
        <f t="shared" si="0"/>
        <v>580000</v>
      </c>
      <c r="O15" s="104" t="s">
        <v>21</v>
      </c>
      <c r="P15" s="93">
        <f t="shared" si="1"/>
        <v>12</v>
      </c>
    </row>
    <row r="16" spans="1:16" x14ac:dyDescent="0.25">
      <c r="A16" s="93" t="s">
        <v>18</v>
      </c>
      <c r="B16" s="71" t="s">
        <v>313</v>
      </c>
      <c r="C16" s="93">
        <f t="shared" si="2"/>
        <v>88</v>
      </c>
      <c r="D16" s="93">
        <v>1</v>
      </c>
      <c r="E16" s="93"/>
      <c r="F16" s="93"/>
      <c r="G16" s="94" t="s">
        <v>1936</v>
      </c>
      <c r="H16" s="93" t="s">
        <v>2023</v>
      </c>
      <c r="I16" s="93">
        <v>64276</v>
      </c>
      <c r="J16" s="93">
        <v>331</v>
      </c>
      <c r="K16" s="93" t="s">
        <v>20</v>
      </c>
      <c r="L16" s="93">
        <v>1</v>
      </c>
      <c r="M16" s="127">
        <v>1735100</v>
      </c>
      <c r="N16" s="127">
        <f t="shared" si="0"/>
        <v>1735100</v>
      </c>
      <c r="O16" s="104" t="s">
        <v>21</v>
      </c>
      <c r="P16" s="93">
        <f t="shared" si="1"/>
        <v>13</v>
      </c>
    </row>
    <row r="17" spans="1:17" x14ac:dyDescent="0.25">
      <c r="A17" s="93" t="s">
        <v>18</v>
      </c>
      <c r="B17" s="71" t="s">
        <v>313</v>
      </c>
      <c r="C17" s="93">
        <f t="shared" si="2"/>
        <v>89</v>
      </c>
      <c r="D17" s="93">
        <v>1</v>
      </c>
      <c r="E17" s="93"/>
      <c r="F17" s="93"/>
      <c r="G17" s="94" t="s">
        <v>1936</v>
      </c>
      <c r="H17" s="93" t="s">
        <v>2024</v>
      </c>
      <c r="I17" s="93">
        <v>64277</v>
      </c>
      <c r="J17" s="93">
        <v>331</v>
      </c>
      <c r="K17" s="93" t="s">
        <v>20</v>
      </c>
      <c r="L17" s="93">
        <v>1</v>
      </c>
      <c r="M17" s="127">
        <v>1468604</v>
      </c>
      <c r="N17" s="127">
        <f t="shared" si="0"/>
        <v>1468604</v>
      </c>
      <c r="O17" s="104" t="s">
        <v>21</v>
      </c>
      <c r="P17" s="93">
        <f t="shared" si="1"/>
        <v>14</v>
      </c>
    </row>
    <row r="18" spans="1:17" x14ac:dyDescent="0.25">
      <c r="A18" s="93" t="s">
        <v>18</v>
      </c>
      <c r="B18" s="71" t="s">
        <v>600</v>
      </c>
      <c r="C18" s="93">
        <f t="shared" si="2"/>
        <v>90</v>
      </c>
      <c r="D18" s="93">
        <v>1</v>
      </c>
      <c r="E18" s="93"/>
      <c r="F18" s="93"/>
      <c r="G18" s="94" t="s">
        <v>119</v>
      </c>
      <c r="H18" s="93" t="s">
        <v>2025</v>
      </c>
      <c r="I18" s="93">
        <v>64277</v>
      </c>
      <c r="J18" s="93">
        <v>331</v>
      </c>
      <c r="K18" s="93" t="s">
        <v>20</v>
      </c>
      <c r="L18" s="93">
        <v>1</v>
      </c>
      <c r="M18" s="127">
        <v>732812</v>
      </c>
      <c r="N18" s="127">
        <f t="shared" si="0"/>
        <v>732812</v>
      </c>
      <c r="O18" s="104" t="s">
        <v>21</v>
      </c>
      <c r="P18" s="93">
        <f t="shared" si="1"/>
        <v>15</v>
      </c>
    </row>
    <row r="19" spans="1:17" x14ac:dyDescent="0.25">
      <c r="A19" s="93" t="s">
        <v>18</v>
      </c>
      <c r="B19" s="71" t="s">
        <v>600</v>
      </c>
      <c r="C19" s="93">
        <f t="shared" si="2"/>
        <v>91</v>
      </c>
      <c r="D19" s="93">
        <v>1</v>
      </c>
      <c r="E19" s="93"/>
      <c r="F19" s="93"/>
      <c r="G19" s="94" t="s">
        <v>1939</v>
      </c>
      <c r="H19" s="93" t="s">
        <v>2026</v>
      </c>
      <c r="I19" s="93">
        <v>64277</v>
      </c>
      <c r="J19" s="93">
        <v>331</v>
      </c>
      <c r="K19" s="93" t="s">
        <v>20</v>
      </c>
      <c r="L19" s="93">
        <v>1</v>
      </c>
      <c r="M19" s="127">
        <v>969600</v>
      </c>
      <c r="N19" s="127">
        <f t="shared" si="0"/>
        <v>969600</v>
      </c>
      <c r="O19" s="104" t="s">
        <v>21</v>
      </c>
      <c r="P19" s="93">
        <f t="shared" si="1"/>
        <v>16</v>
      </c>
    </row>
    <row r="20" spans="1:17" x14ac:dyDescent="0.25">
      <c r="A20" s="93" t="s">
        <v>18</v>
      </c>
      <c r="B20" s="71" t="s">
        <v>416</v>
      </c>
      <c r="C20" s="93">
        <f t="shared" si="2"/>
        <v>92</v>
      </c>
      <c r="D20" s="93">
        <v>1</v>
      </c>
      <c r="E20" s="93"/>
      <c r="F20" s="93"/>
      <c r="G20" s="94" t="s">
        <v>53</v>
      </c>
      <c r="H20" s="93" t="s">
        <v>2027</v>
      </c>
      <c r="I20" s="93">
        <v>64277</v>
      </c>
      <c r="J20" s="93">
        <v>331</v>
      </c>
      <c r="K20" s="93" t="s">
        <v>20</v>
      </c>
      <c r="L20" s="93">
        <v>1</v>
      </c>
      <c r="M20" s="127">
        <v>535680</v>
      </c>
      <c r="N20" s="127">
        <f t="shared" si="0"/>
        <v>535680</v>
      </c>
      <c r="O20" s="104" t="s">
        <v>21</v>
      </c>
      <c r="P20" s="93">
        <f t="shared" si="1"/>
        <v>17</v>
      </c>
      <c r="Q20" s="128"/>
    </row>
    <row r="21" spans="1:17" x14ac:dyDescent="0.25">
      <c r="A21" s="93" t="s">
        <v>18</v>
      </c>
      <c r="B21" s="71" t="s">
        <v>471</v>
      </c>
      <c r="C21" s="93">
        <f t="shared" si="2"/>
        <v>93</v>
      </c>
      <c r="D21" s="93">
        <v>1</v>
      </c>
      <c r="E21" s="93"/>
      <c r="F21" s="93"/>
      <c r="G21" s="94" t="s">
        <v>1940</v>
      </c>
      <c r="H21" s="93" t="s">
        <v>2028</v>
      </c>
      <c r="I21" s="93">
        <v>64277</v>
      </c>
      <c r="J21" s="93">
        <v>331</v>
      </c>
      <c r="K21" s="93" t="s">
        <v>20</v>
      </c>
      <c r="L21" s="93">
        <v>1</v>
      </c>
      <c r="M21" s="127">
        <v>1597112</v>
      </c>
      <c r="N21" s="127">
        <f t="shared" si="0"/>
        <v>1597112</v>
      </c>
      <c r="O21" s="104" t="s">
        <v>21</v>
      </c>
      <c r="P21" s="93">
        <f t="shared" si="1"/>
        <v>18</v>
      </c>
      <c r="Q21" s="128"/>
    </row>
    <row r="22" spans="1:17" x14ac:dyDescent="0.25">
      <c r="A22" s="93" t="s">
        <v>18</v>
      </c>
      <c r="B22" s="71" t="s">
        <v>318</v>
      </c>
      <c r="C22" s="93">
        <f t="shared" si="2"/>
        <v>94</v>
      </c>
      <c r="D22" s="93">
        <v>1</v>
      </c>
      <c r="E22" s="93"/>
      <c r="F22" s="93"/>
      <c r="G22" s="94" t="s">
        <v>119</v>
      </c>
      <c r="H22" s="93" t="s">
        <v>2029</v>
      </c>
      <c r="I22" s="93">
        <v>64277</v>
      </c>
      <c r="J22" s="93">
        <v>331</v>
      </c>
      <c r="K22" s="93" t="s">
        <v>20</v>
      </c>
      <c r="L22" s="93">
        <v>1</v>
      </c>
      <c r="M22" s="127">
        <v>800068</v>
      </c>
      <c r="N22" s="127">
        <f t="shared" si="0"/>
        <v>800068</v>
      </c>
      <c r="O22" s="104" t="s">
        <v>21</v>
      </c>
      <c r="P22" s="93">
        <f t="shared" si="1"/>
        <v>19</v>
      </c>
    </row>
    <row r="23" spans="1:17" x14ac:dyDescent="0.25">
      <c r="A23" s="93" t="s">
        <v>18</v>
      </c>
      <c r="B23" s="71" t="s">
        <v>318</v>
      </c>
      <c r="C23" s="93">
        <f t="shared" si="2"/>
        <v>95</v>
      </c>
      <c r="D23" s="93">
        <v>1</v>
      </c>
      <c r="E23" s="93"/>
      <c r="F23" s="93"/>
      <c r="G23" s="94" t="s">
        <v>1940</v>
      </c>
      <c r="H23" s="93" t="s">
        <v>2030</v>
      </c>
      <c r="I23" s="93">
        <v>64276</v>
      </c>
      <c r="J23" s="93">
        <v>331</v>
      </c>
      <c r="K23" s="93" t="s">
        <v>20</v>
      </c>
      <c r="L23" s="93">
        <v>1</v>
      </c>
      <c r="M23" s="127">
        <v>1071200</v>
      </c>
      <c r="N23" s="127">
        <f t="shared" si="0"/>
        <v>1071200</v>
      </c>
      <c r="O23" s="104" t="s">
        <v>21</v>
      </c>
      <c r="P23" s="93">
        <f t="shared" si="1"/>
        <v>20</v>
      </c>
    </row>
    <row r="24" spans="1:17" x14ac:dyDescent="0.25">
      <c r="A24" s="93" t="s">
        <v>18</v>
      </c>
      <c r="B24" s="71" t="s">
        <v>452</v>
      </c>
      <c r="C24" s="93">
        <f t="shared" si="2"/>
        <v>96</v>
      </c>
      <c r="D24" s="93">
        <v>1</v>
      </c>
      <c r="E24" s="93"/>
      <c r="F24" s="93"/>
      <c r="G24" s="94" t="s">
        <v>1936</v>
      </c>
      <c r="H24" s="93" t="s">
        <v>2031</v>
      </c>
      <c r="I24" s="93">
        <v>64277</v>
      </c>
      <c r="J24" s="93">
        <v>331</v>
      </c>
      <c r="K24" s="93" t="s">
        <v>20</v>
      </c>
      <c r="L24" s="93">
        <v>1</v>
      </c>
      <c r="M24" s="127">
        <v>945310</v>
      </c>
      <c r="N24" s="127">
        <f t="shared" si="0"/>
        <v>945310</v>
      </c>
      <c r="O24" s="104" t="s">
        <v>21</v>
      </c>
      <c r="P24" s="93">
        <f t="shared" si="1"/>
        <v>21</v>
      </c>
    </row>
    <row r="25" spans="1:17" x14ac:dyDescent="0.25">
      <c r="A25" s="93" t="s">
        <v>18</v>
      </c>
      <c r="B25" s="71" t="s">
        <v>588</v>
      </c>
      <c r="C25" s="93">
        <f t="shared" si="2"/>
        <v>97</v>
      </c>
      <c r="D25" s="93">
        <v>1</v>
      </c>
      <c r="E25" s="93"/>
      <c r="F25" s="93"/>
      <c r="G25" s="94" t="s">
        <v>37</v>
      </c>
      <c r="H25" s="93" t="s">
        <v>1948</v>
      </c>
      <c r="I25" s="93">
        <v>64277</v>
      </c>
      <c r="J25" s="93">
        <v>331</v>
      </c>
      <c r="K25" s="93" t="s">
        <v>20</v>
      </c>
      <c r="L25" s="93">
        <v>1</v>
      </c>
      <c r="M25" s="127">
        <v>3240000</v>
      </c>
      <c r="N25" s="127">
        <f t="shared" si="0"/>
        <v>3240000</v>
      </c>
      <c r="O25" s="104" t="s">
        <v>21</v>
      </c>
      <c r="P25" s="93">
        <f t="shared" si="1"/>
        <v>22</v>
      </c>
    </row>
    <row r="26" spans="1:17" x14ac:dyDescent="0.25">
      <c r="A26" s="93" t="s">
        <v>18</v>
      </c>
      <c r="B26" s="71" t="s">
        <v>453</v>
      </c>
      <c r="C26" s="93">
        <f t="shared" si="2"/>
        <v>98</v>
      </c>
      <c r="D26" s="93">
        <v>1</v>
      </c>
      <c r="E26" s="93"/>
      <c r="F26" s="93"/>
      <c r="G26" s="94" t="s">
        <v>1940</v>
      </c>
      <c r="H26" s="93" t="s">
        <v>2032</v>
      </c>
      <c r="I26" s="93">
        <v>64277</v>
      </c>
      <c r="J26" s="93">
        <v>331</v>
      </c>
      <c r="K26" s="93" t="s">
        <v>20</v>
      </c>
      <c r="L26" s="93">
        <v>1</v>
      </c>
      <c r="M26" s="127">
        <v>1359294</v>
      </c>
      <c r="N26" s="127">
        <f t="shared" si="0"/>
        <v>1359294</v>
      </c>
      <c r="O26" s="104" t="s">
        <v>21</v>
      </c>
      <c r="P26" s="93">
        <f t="shared" si="1"/>
        <v>23</v>
      </c>
    </row>
    <row r="27" spans="1:17" x14ac:dyDescent="0.25">
      <c r="A27" s="93" t="s">
        <v>18</v>
      </c>
      <c r="B27" s="71" t="s">
        <v>523</v>
      </c>
      <c r="C27" s="93">
        <f t="shared" si="2"/>
        <v>99</v>
      </c>
      <c r="D27" s="93">
        <v>1</v>
      </c>
      <c r="E27" s="93"/>
      <c r="F27" s="93"/>
      <c r="G27" s="94" t="s">
        <v>1940</v>
      </c>
      <c r="H27" s="93" t="s">
        <v>2033</v>
      </c>
      <c r="I27" s="93">
        <v>64277</v>
      </c>
      <c r="J27" s="93">
        <v>331</v>
      </c>
      <c r="K27" s="93" t="s">
        <v>20</v>
      </c>
      <c r="L27" s="93">
        <v>1</v>
      </c>
      <c r="M27" s="127">
        <v>691144</v>
      </c>
      <c r="N27" s="127">
        <f t="shared" si="0"/>
        <v>691144</v>
      </c>
      <c r="O27" s="104" t="s">
        <v>21</v>
      </c>
      <c r="P27" s="93">
        <f t="shared" si="1"/>
        <v>24</v>
      </c>
    </row>
    <row r="28" spans="1:17" x14ac:dyDescent="0.25">
      <c r="A28" s="93" t="s">
        <v>18</v>
      </c>
      <c r="B28" s="71" t="s">
        <v>454</v>
      </c>
      <c r="C28" s="93">
        <f t="shared" si="2"/>
        <v>100</v>
      </c>
      <c r="D28" s="93">
        <v>1</v>
      </c>
      <c r="E28" s="93"/>
      <c r="F28" s="93"/>
      <c r="G28" s="94" t="s">
        <v>1941</v>
      </c>
      <c r="H28" s="93" t="s">
        <v>2034</v>
      </c>
      <c r="I28" s="93">
        <v>64277</v>
      </c>
      <c r="J28" s="93">
        <v>331</v>
      </c>
      <c r="K28" s="93" t="s">
        <v>20</v>
      </c>
      <c r="L28" s="93">
        <v>1</v>
      </c>
      <c r="M28" s="127">
        <v>4039200</v>
      </c>
      <c r="N28" s="127">
        <f t="shared" si="0"/>
        <v>4039200</v>
      </c>
      <c r="O28" s="104" t="s">
        <v>21</v>
      </c>
      <c r="P28" s="93">
        <f t="shared" si="1"/>
        <v>25</v>
      </c>
    </row>
    <row r="29" spans="1:17" x14ac:dyDescent="0.25">
      <c r="A29" s="93" t="s">
        <v>18</v>
      </c>
      <c r="B29" s="71" t="s">
        <v>455</v>
      </c>
      <c r="C29" s="93">
        <f t="shared" si="2"/>
        <v>101</v>
      </c>
      <c r="D29" s="93">
        <v>1</v>
      </c>
      <c r="E29" s="93"/>
      <c r="F29" s="93"/>
      <c r="G29" s="94" t="s">
        <v>119</v>
      </c>
      <c r="H29" s="93" t="s">
        <v>2035</v>
      </c>
      <c r="I29" s="93">
        <v>64277</v>
      </c>
      <c r="J29" s="93">
        <v>331</v>
      </c>
      <c r="K29" s="93" t="s">
        <v>20</v>
      </c>
      <c r="L29" s="93">
        <v>1</v>
      </c>
      <c r="M29" s="127">
        <v>820008</v>
      </c>
      <c r="N29" s="127">
        <f t="shared" si="0"/>
        <v>820008</v>
      </c>
      <c r="O29" s="104" t="s">
        <v>21</v>
      </c>
      <c r="P29" s="93">
        <f t="shared" si="1"/>
        <v>26</v>
      </c>
    </row>
    <row r="30" spans="1:17" x14ac:dyDescent="0.25">
      <c r="A30" s="93" t="s">
        <v>18</v>
      </c>
      <c r="B30" s="71" t="s">
        <v>672</v>
      </c>
      <c r="C30" s="93">
        <f t="shared" si="2"/>
        <v>102</v>
      </c>
      <c r="D30" s="93">
        <v>1</v>
      </c>
      <c r="E30" s="93"/>
      <c r="F30" s="93"/>
      <c r="G30" s="94" t="s">
        <v>1942</v>
      </c>
      <c r="H30" s="93" t="s">
        <v>4202</v>
      </c>
      <c r="I30" s="93">
        <v>64276</v>
      </c>
      <c r="J30" s="93">
        <v>331</v>
      </c>
      <c r="K30" s="93" t="s">
        <v>20</v>
      </c>
      <c r="L30" s="93">
        <v>1</v>
      </c>
      <c r="M30" s="127">
        <v>1026000</v>
      </c>
      <c r="N30" s="127">
        <f t="shared" si="0"/>
        <v>1026000</v>
      </c>
      <c r="O30" s="104" t="s">
        <v>21</v>
      </c>
      <c r="P30" s="93">
        <f t="shared" si="1"/>
        <v>27</v>
      </c>
    </row>
    <row r="31" spans="1:17" x14ac:dyDescent="0.25">
      <c r="A31" s="93" t="s">
        <v>18</v>
      </c>
      <c r="B31" s="71" t="s">
        <v>672</v>
      </c>
      <c r="C31" s="93">
        <f t="shared" si="2"/>
        <v>103</v>
      </c>
      <c r="D31" s="93">
        <v>1</v>
      </c>
      <c r="E31" s="93"/>
      <c r="F31" s="93"/>
      <c r="G31" s="94" t="s">
        <v>1942</v>
      </c>
      <c r="H31" s="93" t="s">
        <v>4203</v>
      </c>
      <c r="I31" s="93">
        <v>64276</v>
      </c>
      <c r="J31" s="93">
        <v>331</v>
      </c>
      <c r="K31" s="93" t="s">
        <v>20</v>
      </c>
      <c r="L31" s="93">
        <v>1</v>
      </c>
      <c r="M31" s="127">
        <v>16801241</v>
      </c>
      <c r="N31" s="127">
        <f t="shared" si="0"/>
        <v>16801241</v>
      </c>
      <c r="O31" s="104" t="s">
        <v>21</v>
      </c>
      <c r="P31" s="93">
        <f t="shared" si="1"/>
        <v>28</v>
      </c>
    </row>
    <row r="32" spans="1:17" x14ac:dyDescent="0.25">
      <c r="A32" s="93" t="s">
        <v>18</v>
      </c>
      <c r="B32" s="71" t="s">
        <v>672</v>
      </c>
      <c r="C32" s="93">
        <f t="shared" si="2"/>
        <v>104</v>
      </c>
      <c r="D32" s="93">
        <v>1</v>
      </c>
      <c r="E32" s="93"/>
      <c r="F32" s="93"/>
      <c r="G32" s="94" t="s">
        <v>1936</v>
      </c>
      <c r="H32" s="93" t="s">
        <v>2036</v>
      </c>
      <c r="I32" s="93">
        <v>64277</v>
      </c>
      <c r="J32" s="93">
        <v>331</v>
      </c>
      <c r="K32" s="93" t="s">
        <v>20</v>
      </c>
      <c r="L32" s="93">
        <v>1</v>
      </c>
      <c r="M32" s="127">
        <v>453410</v>
      </c>
      <c r="N32" s="127">
        <f t="shared" si="0"/>
        <v>453410</v>
      </c>
      <c r="O32" s="104" t="s">
        <v>21</v>
      </c>
      <c r="P32" s="93">
        <f t="shared" si="1"/>
        <v>29</v>
      </c>
    </row>
    <row r="33" spans="1:16" x14ac:dyDescent="0.25">
      <c r="A33" s="93" t="s">
        <v>18</v>
      </c>
      <c r="B33" s="71" t="s">
        <v>527</v>
      </c>
      <c r="C33" s="93">
        <f t="shared" si="2"/>
        <v>105</v>
      </c>
      <c r="D33" s="93">
        <v>1</v>
      </c>
      <c r="E33" s="93"/>
      <c r="F33" s="93"/>
      <c r="G33" s="94" t="s">
        <v>1936</v>
      </c>
      <c r="H33" s="93" t="s">
        <v>2037</v>
      </c>
      <c r="I33" s="93">
        <v>64276</v>
      </c>
      <c r="J33" s="93">
        <v>331</v>
      </c>
      <c r="K33" s="93" t="s">
        <v>20</v>
      </c>
      <c r="L33" s="93">
        <v>1</v>
      </c>
      <c r="M33" s="127">
        <v>229000</v>
      </c>
      <c r="N33" s="127">
        <f t="shared" si="0"/>
        <v>229000</v>
      </c>
      <c r="O33" s="104" t="s">
        <v>21</v>
      </c>
      <c r="P33" s="93">
        <f t="shared" si="1"/>
        <v>30</v>
      </c>
    </row>
    <row r="34" spans="1:16" x14ac:dyDescent="0.25">
      <c r="A34" s="93" t="s">
        <v>18</v>
      </c>
      <c r="B34" s="71" t="s">
        <v>527</v>
      </c>
      <c r="C34" s="93">
        <f t="shared" si="2"/>
        <v>106</v>
      </c>
      <c r="D34" s="93">
        <v>1</v>
      </c>
      <c r="E34" s="93"/>
      <c r="F34" s="93"/>
      <c r="G34" s="94" t="s">
        <v>1936</v>
      </c>
      <c r="H34" s="93" t="s">
        <v>2038</v>
      </c>
      <c r="I34" s="93">
        <v>64277</v>
      </c>
      <c r="J34" s="93">
        <v>331</v>
      </c>
      <c r="K34" s="93" t="s">
        <v>20</v>
      </c>
      <c r="L34" s="93">
        <v>1</v>
      </c>
      <c r="M34" s="127">
        <v>1857956</v>
      </c>
      <c r="N34" s="127">
        <f t="shared" si="0"/>
        <v>1857956</v>
      </c>
      <c r="O34" s="104" t="s">
        <v>21</v>
      </c>
      <c r="P34" s="93">
        <f t="shared" si="1"/>
        <v>31</v>
      </c>
    </row>
    <row r="35" spans="1:16" x14ac:dyDescent="0.25">
      <c r="A35" s="93" t="s">
        <v>18</v>
      </c>
      <c r="B35" s="71" t="s">
        <v>457</v>
      </c>
      <c r="C35" s="93">
        <f t="shared" si="2"/>
        <v>107</v>
      </c>
      <c r="D35" s="93">
        <v>1</v>
      </c>
      <c r="E35" s="93"/>
      <c r="F35" s="93"/>
      <c r="G35" s="94" t="s">
        <v>119</v>
      </c>
      <c r="H35" s="93" t="s">
        <v>2039</v>
      </c>
      <c r="I35" s="93">
        <v>64277</v>
      </c>
      <c r="J35" s="93">
        <v>331</v>
      </c>
      <c r="K35" s="93" t="s">
        <v>20</v>
      </c>
      <c r="L35" s="93">
        <v>1</v>
      </c>
      <c r="M35" s="127">
        <v>800060</v>
      </c>
      <c r="N35" s="127">
        <f t="shared" si="0"/>
        <v>800060</v>
      </c>
      <c r="O35" s="104" t="s">
        <v>21</v>
      </c>
      <c r="P35" s="93">
        <f t="shared" si="1"/>
        <v>32</v>
      </c>
    </row>
    <row r="36" spans="1:16" x14ac:dyDescent="0.25">
      <c r="A36" s="93" t="s">
        <v>18</v>
      </c>
      <c r="B36" s="71" t="s">
        <v>457</v>
      </c>
      <c r="C36" s="93">
        <f t="shared" si="2"/>
        <v>108</v>
      </c>
      <c r="D36" s="93">
        <v>1</v>
      </c>
      <c r="E36" s="93"/>
      <c r="F36" s="93"/>
      <c r="G36" s="94" t="s">
        <v>1936</v>
      </c>
      <c r="H36" s="93" t="s">
        <v>2040</v>
      </c>
      <c r="I36" s="93">
        <v>64277</v>
      </c>
      <c r="J36" s="93">
        <v>331</v>
      </c>
      <c r="K36" s="93" t="s">
        <v>20</v>
      </c>
      <c r="L36" s="93">
        <v>1</v>
      </c>
      <c r="M36" s="127">
        <v>2846902</v>
      </c>
      <c r="N36" s="127">
        <f t="shared" si="0"/>
        <v>2846902</v>
      </c>
      <c r="O36" s="104" t="s">
        <v>21</v>
      </c>
      <c r="P36" s="93">
        <f t="shared" si="1"/>
        <v>33</v>
      </c>
    </row>
    <row r="37" spans="1:16" x14ac:dyDescent="0.25">
      <c r="A37" s="93" t="s">
        <v>18</v>
      </c>
      <c r="B37" s="71" t="s">
        <v>1930</v>
      </c>
      <c r="C37" s="93">
        <f t="shared" si="2"/>
        <v>109</v>
      </c>
      <c r="D37" s="93">
        <v>1</v>
      </c>
      <c r="E37" s="93"/>
      <c r="F37" s="93"/>
      <c r="G37" s="94" t="s">
        <v>1936</v>
      </c>
      <c r="H37" s="93" t="s">
        <v>2041</v>
      </c>
      <c r="I37" s="93">
        <v>64277</v>
      </c>
      <c r="J37" s="93">
        <v>331</v>
      </c>
      <c r="K37" s="93" t="s">
        <v>20</v>
      </c>
      <c r="L37" s="93">
        <v>1</v>
      </c>
      <c r="M37" s="127">
        <v>848008</v>
      </c>
      <c r="N37" s="127">
        <f t="shared" si="0"/>
        <v>848008</v>
      </c>
      <c r="O37" s="104" t="s">
        <v>21</v>
      </c>
      <c r="P37" s="93">
        <f t="shared" si="1"/>
        <v>34</v>
      </c>
    </row>
    <row r="38" spans="1:16" x14ac:dyDescent="0.25">
      <c r="A38" s="93" t="s">
        <v>18</v>
      </c>
      <c r="B38" s="71" t="s">
        <v>2504</v>
      </c>
      <c r="C38" s="93">
        <f t="shared" si="2"/>
        <v>110</v>
      </c>
      <c r="D38" s="93">
        <v>1</v>
      </c>
      <c r="E38" s="93"/>
      <c r="F38" s="93"/>
      <c r="G38" s="94" t="s">
        <v>61</v>
      </c>
      <c r="H38" s="93" t="s">
        <v>2652</v>
      </c>
      <c r="I38" s="93">
        <v>64277</v>
      </c>
      <c r="J38" s="93">
        <v>331</v>
      </c>
      <c r="K38" s="93" t="s">
        <v>20</v>
      </c>
      <c r="L38" s="93">
        <v>1</v>
      </c>
      <c r="M38" s="127">
        <v>932256</v>
      </c>
      <c r="N38" s="127">
        <f t="shared" si="0"/>
        <v>932256</v>
      </c>
      <c r="O38" s="104" t="s">
        <v>21</v>
      </c>
      <c r="P38" s="93">
        <f t="shared" si="1"/>
        <v>35</v>
      </c>
    </row>
    <row r="39" spans="1:16" x14ac:dyDescent="0.25">
      <c r="A39" s="93" t="s">
        <v>18</v>
      </c>
      <c r="B39" s="69" t="s">
        <v>442</v>
      </c>
      <c r="C39" s="93">
        <f t="shared" si="2"/>
        <v>111</v>
      </c>
      <c r="D39" s="93">
        <v>1</v>
      </c>
      <c r="E39" s="129"/>
      <c r="F39" s="156"/>
      <c r="G39" s="130" t="s">
        <v>89</v>
      </c>
      <c r="H39" s="129" t="s">
        <v>1949</v>
      </c>
      <c r="I39" s="93">
        <v>131</v>
      </c>
      <c r="J39" s="93">
        <v>5113</v>
      </c>
      <c r="K39" s="93" t="s">
        <v>20</v>
      </c>
      <c r="L39" s="93">
        <v>1</v>
      </c>
      <c r="M39" s="131">
        <v>75268817</v>
      </c>
      <c r="N39" s="127">
        <f t="shared" si="0"/>
        <v>75268817</v>
      </c>
      <c r="O39" s="104" t="s">
        <v>21</v>
      </c>
      <c r="P39" s="93">
        <f t="shared" si="1"/>
        <v>36</v>
      </c>
    </row>
    <row r="40" spans="1:16" x14ac:dyDescent="0.25">
      <c r="A40" s="93" t="s">
        <v>18</v>
      </c>
      <c r="B40" s="71" t="s">
        <v>442</v>
      </c>
      <c r="C40" s="93">
        <f t="shared" si="2"/>
        <v>111</v>
      </c>
      <c r="D40" s="93">
        <v>0</v>
      </c>
      <c r="E40" s="93"/>
      <c r="F40" s="93"/>
      <c r="G40" s="116" t="s">
        <v>89</v>
      </c>
      <c r="H40" s="111" t="s">
        <v>1981</v>
      </c>
      <c r="I40" s="93">
        <v>333821</v>
      </c>
      <c r="J40" s="111">
        <v>131</v>
      </c>
      <c r="K40" s="93" t="s">
        <v>20</v>
      </c>
      <c r="L40" s="93">
        <v>1</v>
      </c>
      <c r="M40" s="127">
        <v>752688</v>
      </c>
      <c r="N40" s="127">
        <f t="shared" si="0"/>
        <v>752688</v>
      </c>
      <c r="O40" s="104" t="s">
        <v>21</v>
      </c>
      <c r="P40" s="93">
        <f t="shared" si="1"/>
        <v>36</v>
      </c>
    </row>
    <row r="41" spans="1:16" x14ac:dyDescent="0.25">
      <c r="A41" s="93" t="s">
        <v>18</v>
      </c>
      <c r="B41" s="69" t="s">
        <v>310</v>
      </c>
      <c r="C41" s="93">
        <f t="shared" si="2"/>
        <v>112</v>
      </c>
      <c r="D41" s="93">
        <v>1</v>
      </c>
      <c r="E41" s="129"/>
      <c r="F41" s="156"/>
      <c r="G41" s="130" t="s">
        <v>85</v>
      </c>
      <c r="H41" s="129" t="s">
        <v>1950</v>
      </c>
      <c r="I41" s="93">
        <v>131</v>
      </c>
      <c r="J41" s="93">
        <v>5113</v>
      </c>
      <c r="K41" s="93" t="s">
        <v>20</v>
      </c>
      <c r="L41" s="93">
        <v>1</v>
      </c>
      <c r="M41" s="131">
        <v>75268817</v>
      </c>
      <c r="N41" s="127">
        <f t="shared" si="0"/>
        <v>75268817</v>
      </c>
      <c r="O41" s="104" t="s">
        <v>21</v>
      </c>
      <c r="P41" s="93">
        <f t="shared" si="1"/>
        <v>37</v>
      </c>
    </row>
    <row r="42" spans="1:16" x14ac:dyDescent="0.25">
      <c r="A42" s="93" t="s">
        <v>18</v>
      </c>
      <c r="B42" s="71" t="s">
        <v>310</v>
      </c>
      <c r="C42" s="93">
        <f t="shared" si="2"/>
        <v>112</v>
      </c>
      <c r="D42" s="93">
        <v>0</v>
      </c>
      <c r="E42" s="93"/>
      <c r="F42" s="93"/>
      <c r="G42" s="94" t="s">
        <v>85</v>
      </c>
      <c r="H42" s="111" t="s">
        <v>1982</v>
      </c>
      <c r="I42" s="93">
        <v>333821</v>
      </c>
      <c r="J42" s="111">
        <v>131</v>
      </c>
      <c r="K42" s="93" t="s">
        <v>20</v>
      </c>
      <c r="L42" s="93">
        <v>1</v>
      </c>
      <c r="M42" s="127">
        <v>752688</v>
      </c>
      <c r="N42" s="127">
        <f t="shared" si="0"/>
        <v>752688</v>
      </c>
      <c r="O42" s="104" t="s">
        <v>21</v>
      </c>
      <c r="P42" s="93">
        <f t="shared" si="1"/>
        <v>37</v>
      </c>
    </row>
    <row r="43" spans="1:16" x14ac:dyDescent="0.25">
      <c r="A43" s="93" t="s">
        <v>18</v>
      </c>
      <c r="B43" s="69" t="s">
        <v>310</v>
      </c>
      <c r="C43" s="93">
        <f t="shared" si="2"/>
        <v>113</v>
      </c>
      <c r="D43" s="93">
        <v>1</v>
      </c>
      <c r="E43" s="129"/>
      <c r="F43" s="156"/>
      <c r="G43" s="130" t="s">
        <v>66</v>
      </c>
      <c r="H43" s="92" t="s">
        <v>1951</v>
      </c>
      <c r="I43" s="93">
        <v>131</v>
      </c>
      <c r="J43" s="93">
        <v>5113</v>
      </c>
      <c r="K43" s="93" t="s">
        <v>20</v>
      </c>
      <c r="L43" s="93">
        <v>1</v>
      </c>
      <c r="M43" s="131">
        <v>53763440</v>
      </c>
      <c r="N43" s="127">
        <f t="shared" si="0"/>
        <v>53763440</v>
      </c>
      <c r="O43" s="104" t="s">
        <v>21</v>
      </c>
      <c r="P43" s="93">
        <f t="shared" si="1"/>
        <v>38</v>
      </c>
    </row>
    <row r="44" spans="1:16" x14ac:dyDescent="0.25">
      <c r="A44" s="93" t="s">
        <v>18</v>
      </c>
      <c r="B44" s="71" t="s">
        <v>310</v>
      </c>
      <c r="C44" s="93">
        <f t="shared" si="2"/>
        <v>113</v>
      </c>
      <c r="D44" s="93">
        <v>0</v>
      </c>
      <c r="E44" s="93"/>
      <c r="F44" s="93"/>
      <c r="G44" s="94" t="s">
        <v>66</v>
      </c>
      <c r="H44" s="111" t="s">
        <v>1983</v>
      </c>
      <c r="I44" s="93">
        <v>333821</v>
      </c>
      <c r="J44" s="111">
        <v>131</v>
      </c>
      <c r="K44" s="93" t="s">
        <v>20</v>
      </c>
      <c r="L44" s="93">
        <v>1</v>
      </c>
      <c r="M44" s="127">
        <v>537634</v>
      </c>
      <c r="N44" s="127">
        <f t="shared" si="0"/>
        <v>537634</v>
      </c>
      <c r="O44" s="104" t="s">
        <v>21</v>
      </c>
      <c r="P44" s="93">
        <f t="shared" si="1"/>
        <v>38</v>
      </c>
    </row>
    <row r="45" spans="1:16" x14ac:dyDescent="0.25">
      <c r="A45" s="93" t="s">
        <v>18</v>
      </c>
      <c r="B45" s="71" t="s">
        <v>310</v>
      </c>
      <c r="C45" s="93">
        <f t="shared" si="2"/>
        <v>114</v>
      </c>
      <c r="D45" s="93">
        <v>1</v>
      </c>
      <c r="E45" s="93"/>
      <c r="F45" s="156"/>
      <c r="G45" s="94" t="s">
        <v>66</v>
      </c>
      <c r="H45" s="92" t="s">
        <v>1952</v>
      </c>
      <c r="I45" s="93">
        <v>131</v>
      </c>
      <c r="J45" s="93">
        <v>5113</v>
      </c>
      <c r="K45" s="93" t="s">
        <v>20</v>
      </c>
      <c r="L45" s="93">
        <v>1</v>
      </c>
      <c r="M45" s="127">
        <v>53763440</v>
      </c>
      <c r="N45" s="127">
        <f t="shared" si="0"/>
        <v>53763440</v>
      </c>
      <c r="O45" s="104" t="s">
        <v>21</v>
      </c>
      <c r="P45" s="93">
        <f t="shared" si="1"/>
        <v>39</v>
      </c>
    </row>
    <row r="46" spans="1:16" x14ac:dyDescent="0.25">
      <c r="A46" s="93" t="s">
        <v>18</v>
      </c>
      <c r="B46" s="71" t="s">
        <v>310</v>
      </c>
      <c r="C46" s="93">
        <f t="shared" si="2"/>
        <v>114</v>
      </c>
      <c r="D46" s="93">
        <v>0</v>
      </c>
      <c r="E46" s="93"/>
      <c r="F46" s="93"/>
      <c r="G46" s="116" t="s">
        <v>66</v>
      </c>
      <c r="H46" s="111" t="s">
        <v>1984</v>
      </c>
      <c r="I46" s="93">
        <v>333821</v>
      </c>
      <c r="J46" s="111">
        <v>131</v>
      </c>
      <c r="K46" s="93" t="s">
        <v>20</v>
      </c>
      <c r="L46" s="93">
        <v>1</v>
      </c>
      <c r="M46" s="127">
        <v>537634</v>
      </c>
      <c r="N46" s="127">
        <f t="shared" si="0"/>
        <v>537634</v>
      </c>
      <c r="O46" s="104" t="s">
        <v>21</v>
      </c>
      <c r="P46" s="93">
        <f t="shared" si="1"/>
        <v>39</v>
      </c>
    </row>
    <row r="47" spans="1:16" x14ac:dyDescent="0.25">
      <c r="A47" s="93" t="s">
        <v>18</v>
      </c>
      <c r="B47" s="71" t="s">
        <v>445</v>
      </c>
      <c r="C47" s="93">
        <f t="shared" si="2"/>
        <v>115</v>
      </c>
      <c r="D47" s="93">
        <v>1</v>
      </c>
      <c r="E47" s="93"/>
      <c r="F47" s="156"/>
      <c r="G47" s="94" t="s">
        <v>403</v>
      </c>
      <c r="H47" s="92" t="s">
        <v>1953</v>
      </c>
      <c r="I47" s="93">
        <v>131</v>
      </c>
      <c r="J47" s="93">
        <v>5113</v>
      </c>
      <c r="K47" s="93" t="s">
        <v>20</v>
      </c>
      <c r="L47" s="93">
        <v>1</v>
      </c>
      <c r="M47" s="127">
        <v>40322581</v>
      </c>
      <c r="N47" s="127">
        <f t="shared" si="0"/>
        <v>40322581</v>
      </c>
      <c r="O47" s="104" t="s">
        <v>21</v>
      </c>
      <c r="P47" s="93">
        <f t="shared" si="1"/>
        <v>40</v>
      </c>
    </row>
    <row r="48" spans="1:16" x14ac:dyDescent="0.25">
      <c r="A48" s="93" t="s">
        <v>18</v>
      </c>
      <c r="B48" s="71" t="s">
        <v>445</v>
      </c>
      <c r="C48" s="93">
        <f t="shared" si="2"/>
        <v>115</v>
      </c>
      <c r="D48" s="93">
        <v>0</v>
      </c>
      <c r="E48" s="93"/>
      <c r="F48" s="93"/>
      <c r="G48" s="116" t="s">
        <v>403</v>
      </c>
      <c r="H48" s="111" t="s">
        <v>1985</v>
      </c>
      <c r="I48" s="93">
        <v>333821</v>
      </c>
      <c r="J48" s="111">
        <v>131</v>
      </c>
      <c r="K48" s="93" t="s">
        <v>20</v>
      </c>
      <c r="L48" s="93">
        <v>1</v>
      </c>
      <c r="M48" s="127">
        <v>403226</v>
      </c>
      <c r="N48" s="127">
        <f t="shared" si="0"/>
        <v>403226</v>
      </c>
      <c r="O48" s="104" t="s">
        <v>21</v>
      </c>
      <c r="P48" s="93">
        <f t="shared" si="1"/>
        <v>40</v>
      </c>
    </row>
    <row r="49" spans="1:16" x14ac:dyDescent="0.25">
      <c r="A49" s="93" t="s">
        <v>18</v>
      </c>
      <c r="B49" s="71" t="s">
        <v>376</v>
      </c>
      <c r="C49" s="93">
        <f t="shared" si="2"/>
        <v>116</v>
      </c>
      <c r="D49" s="93">
        <v>1</v>
      </c>
      <c r="E49" s="93"/>
      <c r="F49" s="156"/>
      <c r="G49" s="94" t="s">
        <v>1727</v>
      </c>
      <c r="H49" s="92" t="s">
        <v>1954</v>
      </c>
      <c r="I49" s="93">
        <v>131</v>
      </c>
      <c r="J49" s="93">
        <v>5113</v>
      </c>
      <c r="K49" s="93" t="s">
        <v>20</v>
      </c>
      <c r="L49" s="93">
        <v>1</v>
      </c>
      <c r="M49" s="127">
        <v>64516129</v>
      </c>
      <c r="N49" s="127">
        <f t="shared" si="0"/>
        <v>64516129</v>
      </c>
      <c r="O49" s="104" t="s">
        <v>21</v>
      </c>
      <c r="P49" s="93">
        <f t="shared" si="1"/>
        <v>41</v>
      </c>
    </row>
    <row r="50" spans="1:16" x14ac:dyDescent="0.25">
      <c r="A50" s="93" t="s">
        <v>18</v>
      </c>
      <c r="B50" s="71" t="s">
        <v>376</v>
      </c>
      <c r="C50" s="93">
        <f t="shared" si="2"/>
        <v>116</v>
      </c>
      <c r="D50" s="93">
        <v>0</v>
      </c>
      <c r="E50" s="93"/>
      <c r="F50" s="93"/>
      <c r="G50" s="94" t="s">
        <v>1727</v>
      </c>
      <c r="H50" s="111" t="s">
        <v>1986</v>
      </c>
      <c r="I50" s="93">
        <v>333821</v>
      </c>
      <c r="J50" s="111">
        <v>131</v>
      </c>
      <c r="K50" s="93" t="s">
        <v>20</v>
      </c>
      <c r="L50" s="93">
        <v>1</v>
      </c>
      <c r="M50" s="127">
        <v>645161</v>
      </c>
      <c r="N50" s="127">
        <f t="shared" si="0"/>
        <v>645161</v>
      </c>
      <c r="O50" s="104" t="s">
        <v>21</v>
      </c>
      <c r="P50" s="93">
        <f t="shared" si="1"/>
        <v>41</v>
      </c>
    </row>
    <row r="51" spans="1:16" x14ac:dyDescent="0.25">
      <c r="A51" s="93" t="s">
        <v>18</v>
      </c>
      <c r="B51" s="71" t="s">
        <v>469</v>
      </c>
      <c r="C51" s="93">
        <f t="shared" si="2"/>
        <v>117</v>
      </c>
      <c r="D51" s="93">
        <v>1</v>
      </c>
      <c r="E51" s="93"/>
      <c r="F51" s="156"/>
      <c r="G51" s="94" t="s">
        <v>66</v>
      </c>
      <c r="H51" s="92" t="s">
        <v>1955</v>
      </c>
      <c r="I51" s="93">
        <v>131</v>
      </c>
      <c r="J51" s="93">
        <v>5113</v>
      </c>
      <c r="K51" s="93" t="s">
        <v>20</v>
      </c>
      <c r="L51" s="93">
        <v>1</v>
      </c>
      <c r="M51" s="127">
        <v>53763440</v>
      </c>
      <c r="N51" s="127">
        <f t="shared" si="0"/>
        <v>53763440</v>
      </c>
      <c r="O51" s="104" t="s">
        <v>21</v>
      </c>
      <c r="P51" s="93">
        <f t="shared" si="1"/>
        <v>42</v>
      </c>
    </row>
    <row r="52" spans="1:16" x14ac:dyDescent="0.25">
      <c r="A52" s="93" t="s">
        <v>18</v>
      </c>
      <c r="B52" s="71" t="s">
        <v>469</v>
      </c>
      <c r="C52" s="93">
        <f t="shared" si="2"/>
        <v>117</v>
      </c>
      <c r="D52" s="93">
        <v>0</v>
      </c>
      <c r="E52" s="93"/>
      <c r="F52" s="93"/>
      <c r="G52" s="94" t="s">
        <v>66</v>
      </c>
      <c r="H52" s="111" t="s">
        <v>1987</v>
      </c>
      <c r="I52" s="93">
        <v>333821</v>
      </c>
      <c r="J52" s="111">
        <v>131</v>
      </c>
      <c r="K52" s="93" t="s">
        <v>20</v>
      </c>
      <c r="L52" s="93">
        <v>1</v>
      </c>
      <c r="M52" s="127">
        <v>537634</v>
      </c>
      <c r="N52" s="127">
        <f t="shared" si="0"/>
        <v>537634</v>
      </c>
      <c r="O52" s="104" t="s">
        <v>21</v>
      </c>
      <c r="P52" s="93">
        <f t="shared" si="1"/>
        <v>42</v>
      </c>
    </row>
    <row r="53" spans="1:16" x14ac:dyDescent="0.25">
      <c r="A53" s="93" t="s">
        <v>18</v>
      </c>
      <c r="B53" s="71" t="s">
        <v>469</v>
      </c>
      <c r="C53" s="93">
        <f t="shared" si="2"/>
        <v>118</v>
      </c>
      <c r="D53" s="93">
        <v>1</v>
      </c>
      <c r="E53" s="93"/>
      <c r="F53" s="156"/>
      <c r="G53" s="94" t="s">
        <v>66</v>
      </c>
      <c r="H53" s="93" t="s">
        <v>1956</v>
      </c>
      <c r="I53" s="93">
        <v>131</v>
      </c>
      <c r="J53" s="93">
        <v>5113</v>
      </c>
      <c r="K53" s="93" t="s">
        <v>20</v>
      </c>
      <c r="L53" s="93">
        <v>1</v>
      </c>
      <c r="M53" s="127">
        <v>53763440</v>
      </c>
      <c r="N53" s="127">
        <f t="shared" si="0"/>
        <v>53763440</v>
      </c>
      <c r="O53" s="104" t="s">
        <v>21</v>
      </c>
      <c r="P53" s="93">
        <f t="shared" si="1"/>
        <v>43</v>
      </c>
    </row>
    <row r="54" spans="1:16" x14ac:dyDescent="0.25">
      <c r="A54" s="93" t="s">
        <v>18</v>
      </c>
      <c r="B54" s="71" t="s">
        <v>469</v>
      </c>
      <c r="C54" s="93">
        <f t="shared" si="2"/>
        <v>118</v>
      </c>
      <c r="D54" s="93">
        <v>0</v>
      </c>
      <c r="E54" s="93"/>
      <c r="F54" s="93"/>
      <c r="G54" s="94" t="s">
        <v>66</v>
      </c>
      <c r="H54" s="111" t="s">
        <v>1988</v>
      </c>
      <c r="I54" s="93">
        <v>333821</v>
      </c>
      <c r="J54" s="111">
        <v>131</v>
      </c>
      <c r="K54" s="93" t="s">
        <v>20</v>
      </c>
      <c r="L54" s="93">
        <v>1</v>
      </c>
      <c r="M54" s="127">
        <v>537634</v>
      </c>
      <c r="N54" s="127">
        <f t="shared" si="0"/>
        <v>537634</v>
      </c>
      <c r="O54" s="104" t="s">
        <v>21</v>
      </c>
      <c r="P54" s="93">
        <f t="shared" si="1"/>
        <v>43</v>
      </c>
    </row>
    <row r="55" spans="1:16" x14ac:dyDescent="0.25">
      <c r="A55" s="93" t="s">
        <v>18</v>
      </c>
      <c r="B55" s="69" t="s">
        <v>312</v>
      </c>
      <c r="C55" s="93">
        <f t="shared" si="2"/>
        <v>119</v>
      </c>
      <c r="D55" s="93">
        <v>1</v>
      </c>
      <c r="E55" s="129"/>
      <c r="F55" s="156"/>
      <c r="G55" s="130" t="s">
        <v>89</v>
      </c>
      <c r="H55" s="129" t="s">
        <v>1957</v>
      </c>
      <c r="I55" s="93">
        <v>131</v>
      </c>
      <c r="J55" s="93">
        <v>5113</v>
      </c>
      <c r="K55" s="93" t="s">
        <v>20</v>
      </c>
      <c r="L55" s="93">
        <v>1</v>
      </c>
      <c r="M55" s="131">
        <v>75806452</v>
      </c>
      <c r="N55" s="127">
        <f t="shared" si="0"/>
        <v>75806452</v>
      </c>
      <c r="O55" s="104" t="s">
        <v>21</v>
      </c>
      <c r="P55" s="93">
        <f t="shared" si="1"/>
        <v>44</v>
      </c>
    </row>
    <row r="56" spans="1:16" x14ac:dyDescent="0.25">
      <c r="A56" s="93" t="s">
        <v>18</v>
      </c>
      <c r="B56" s="71" t="s">
        <v>312</v>
      </c>
      <c r="C56" s="93">
        <f t="shared" si="2"/>
        <v>119</v>
      </c>
      <c r="D56" s="93">
        <v>0</v>
      </c>
      <c r="E56" s="93"/>
      <c r="F56" s="93"/>
      <c r="G56" s="94" t="s">
        <v>89</v>
      </c>
      <c r="H56" s="111" t="s">
        <v>1989</v>
      </c>
      <c r="I56" s="93">
        <v>333821</v>
      </c>
      <c r="J56" s="111">
        <v>131</v>
      </c>
      <c r="K56" s="93" t="s">
        <v>20</v>
      </c>
      <c r="L56" s="93">
        <v>1</v>
      </c>
      <c r="M56" s="127">
        <v>758065</v>
      </c>
      <c r="N56" s="127">
        <f t="shared" si="0"/>
        <v>758065</v>
      </c>
      <c r="O56" s="104" t="s">
        <v>21</v>
      </c>
      <c r="P56" s="93">
        <f t="shared" si="1"/>
        <v>44</v>
      </c>
    </row>
    <row r="57" spans="1:16" x14ac:dyDescent="0.25">
      <c r="A57" s="93" t="s">
        <v>18</v>
      </c>
      <c r="B57" s="69" t="s">
        <v>312</v>
      </c>
      <c r="C57" s="93">
        <f t="shared" si="2"/>
        <v>120</v>
      </c>
      <c r="D57" s="93">
        <v>1</v>
      </c>
      <c r="E57" s="129"/>
      <c r="F57" s="156"/>
      <c r="G57" s="130" t="s">
        <v>66</v>
      </c>
      <c r="H57" s="129" t="s">
        <v>1958</v>
      </c>
      <c r="I57" s="93">
        <v>131</v>
      </c>
      <c r="J57" s="93">
        <v>5113</v>
      </c>
      <c r="K57" s="93" t="s">
        <v>20</v>
      </c>
      <c r="L57" s="93">
        <v>1</v>
      </c>
      <c r="M57" s="131">
        <v>10752688</v>
      </c>
      <c r="N57" s="127">
        <f t="shared" si="0"/>
        <v>10752688</v>
      </c>
      <c r="O57" s="104" t="s">
        <v>21</v>
      </c>
      <c r="P57" s="93">
        <f t="shared" si="1"/>
        <v>45</v>
      </c>
    </row>
    <row r="58" spans="1:16" x14ac:dyDescent="0.25">
      <c r="A58" s="93" t="s">
        <v>18</v>
      </c>
      <c r="B58" s="71" t="s">
        <v>312</v>
      </c>
      <c r="C58" s="93">
        <f t="shared" si="2"/>
        <v>120</v>
      </c>
      <c r="D58" s="93">
        <v>0</v>
      </c>
      <c r="E58" s="93"/>
      <c r="F58" s="93"/>
      <c r="G58" s="94" t="s">
        <v>66</v>
      </c>
      <c r="H58" s="111" t="s">
        <v>1990</v>
      </c>
      <c r="I58" s="93">
        <v>333821</v>
      </c>
      <c r="J58" s="111">
        <v>131</v>
      </c>
      <c r="K58" s="93" t="s">
        <v>20</v>
      </c>
      <c r="L58" s="93">
        <v>1</v>
      </c>
      <c r="M58" s="103">
        <v>107527</v>
      </c>
      <c r="N58" s="127">
        <f t="shared" si="0"/>
        <v>107527</v>
      </c>
      <c r="O58" s="104" t="s">
        <v>21</v>
      </c>
      <c r="P58" s="93">
        <f t="shared" si="1"/>
        <v>45</v>
      </c>
    </row>
    <row r="59" spans="1:16" x14ac:dyDescent="0.25">
      <c r="A59" s="93" t="s">
        <v>18</v>
      </c>
      <c r="B59" s="69" t="s">
        <v>312</v>
      </c>
      <c r="C59" s="93">
        <f t="shared" si="2"/>
        <v>121</v>
      </c>
      <c r="D59" s="93">
        <v>1</v>
      </c>
      <c r="E59" s="129"/>
      <c r="F59" s="156"/>
      <c r="G59" s="130" t="s">
        <v>66</v>
      </c>
      <c r="H59" s="92" t="s">
        <v>1959</v>
      </c>
      <c r="I59" s="93">
        <v>131</v>
      </c>
      <c r="J59" s="93">
        <v>5113</v>
      </c>
      <c r="K59" s="93" t="s">
        <v>20</v>
      </c>
      <c r="L59" s="93">
        <v>1</v>
      </c>
      <c r="M59" s="131">
        <v>53763440</v>
      </c>
      <c r="N59" s="127">
        <f t="shared" si="0"/>
        <v>53763440</v>
      </c>
      <c r="O59" s="104" t="s">
        <v>21</v>
      </c>
      <c r="P59" s="93">
        <f t="shared" si="1"/>
        <v>46</v>
      </c>
    </row>
    <row r="60" spans="1:16" x14ac:dyDescent="0.25">
      <c r="A60" s="93" t="s">
        <v>18</v>
      </c>
      <c r="B60" s="71" t="s">
        <v>312</v>
      </c>
      <c r="C60" s="93">
        <f t="shared" si="2"/>
        <v>121</v>
      </c>
      <c r="D60" s="93">
        <v>0</v>
      </c>
      <c r="E60" s="93"/>
      <c r="F60" s="93"/>
      <c r="G60" s="94" t="s">
        <v>66</v>
      </c>
      <c r="H60" s="111" t="s">
        <v>1991</v>
      </c>
      <c r="I60" s="93">
        <v>333821</v>
      </c>
      <c r="J60" s="111">
        <v>131</v>
      </c>
      <c r="K60" s="93" t="s">
        <v>20</v>
      </c>
      <c r="L60" s="93">
        <v>1</v>
      </c>
      <c r="M60" s="103">
        <v>537634</v>
      </c>
      <c r="N60" s="127">
        <f t="shared" si="0"/>
        <v>537634</v>
      </c>
      <c r="O60" s="104" t="s">
        <v>21</v>
      </c>
      <c r="P60" s="93">
        <f t="shared" si="1"/>
        <v>46</v>
      </c>
    </row>
    <row r="61" spans="1:16" x14ac:dyDescent="0.25">
      <c r="A61" s="93" t="s">
        <v>18</v>
      </c>
      <c r="B61" s="71" t="s">
        <v>312</v>
      </c>
      <c r="C61" s="93">
        <f t="shared" si="2"/>
        <v>122</v>
      </c>
      <c r="D61" s="93">
        <v>1</v>
      </c>
      <c r="E61" s="93"/>
      <c r="F61" s="156"/>
      <c r="G61" s="94" t="s">
        <v>66</v>
      </c>
      <c r="H61" s="92" t="s">
        <v>1960</v>
      </c>
      <c r="I61" s="93">
        <v>131</v>
      </c>
      <c r="J61" s="93">
        <v>5113</v>
      </c>
      <c r="K61" s="93" t="s">
        <v>20</v>
      </c>
      <c r="L61" s="93">
        <v>1</v>
      </c>
      <c r="M61" s="127">
        <v>10752688</v>
      </c>
      <c r="N61" s="127">
        <f t="shared" si="0"/>
        <v>10752688</v>
      </c>
      <c r="O61" s="104" t="s">
        <v>21</v>
      </c>
      <c r="P61" s="93">
        <f t="shared" si="1"/>
        <v>47</v>
      </c>
    </row>
    <row r="62" spans="1:16" x14ac:dyDescent="0.25">
      <c r="A62" s="93" t="s">
        <v>18</v>
      </c>
      <c r="B62" s="71" t="s">
        <v>312</v>
      </c>
      <c r="C62" s="93">
        <f t="shared" si="2"/>
        <v>122</v>
      </c>
      <c r="D62" s="93">
        <v>0</v>
      </c>
      <c r="E62" s="93"/>
      <c r="F62" s="93"/>
      <c r="G62" s="94" t="s">
        <v>66</v>
      </c>
      <c r="H62" s="111" t="s">
        <v>1992</v>
      </c>
      <c r="I62" s="93">
        <v>333821</v>
      </c>
      <c r="J62" s="111">
        <v>131</v>
      </c>
      <c r="K62" s="93" t="s">
        <v>20</v>
      </c>
      <c r="L62" s="93">
        <v>1</v>
      </c>
      <c r="M62" s="103">
        <v>107527</v>
      </c>
      <c r="N62" s="127">
        <f t="shared" si="0"/>
        <v>107527</v>
      </c>
      <c r="O62" s="104" t="s">
        <v>21</v>
      </c>
      <c r="P62" s="93">
        <f t="shared" si="1"/>
        <v>47</v>
      </c>
    </row>
    <row r="63" spans="1:16" x14ac:dyDescent="0.25">
      <c r="A63" s="93" t="s">
        <v>18</v>
      </c>
      <c r="B63" s="71" t="s">
        <v>312</v>
      </c>
      <c r="C63" s="93">
        <f t="shared" si="2"/>
        <v>123</v>
      </c>
      <c r="D63" s="93">
        <v>1</v>
      </c>
      <c r="E63" s="93"/>
      <c r="F63" s="156"/>
      <c r="G63" s="94" t="s">
        <v>47</v>
      </c>
      <c r="H63" s="92" t="s">
        <v>1961</v>
      </c>
      <c r="I63" s="93">
        <v>131</v>
      </c>
      <c r="J63" s="93">
        <v>5113</v>
      </c>
      <c r="K63" s="93" t="s">
        <v>20</v>
      </c>
      <c r="L63" s="93">
        <v>1</v>
      </c>
      <c r="M63" s="127">
        <v>53763440</v>
      </c>
      <c r="N63" s="127">
        <f t="shared" si="0"/>
        <v>53763440</v>
      </c>
      <c r="O63" s="104" t="s">
        <v>21</v>
      </c>
      <c r="P63" s="93">
        <f t="shared" si="1"/>
        <v>48</v>
      </c>
    </row>
    <row r="64" spans="1:16" x14ac:dyDescent="0.25">
      <c r="A64" s="93" t="s">
        <v>18</v>
      </c>
      <c r="B64" s="71" t="s">
        <v>312</v>
      </c>
      <c r="C64" s="93">
        <f t="shared" si="2"/>
        <v>123</v>
      </c>
      <c r="D64" s="93">
        <v>0</v>
      </c>
      <c r="E64" s="93"/>
      <c r="F64" s="93"/>
      <c r="G64" s="94" t="s">
        <v>47</v>
      </c>
      <c r="H64" s="111" t="s">
        <v>1993</v>
      </c>
      <c r="I64" s="93">
        <v>333821</v>
      </c>
      <c r="J64" s="111">
        <v>131</v>
      </c>
      <c r="K64" s="93" t="s">
        <v>20</v>
      </c>
      <c r="L64" s="93">
        <v>1</v>
      </c>
      <c r="M64" s="103">
        <v>537634</v>
      </c>
      <c r="N64" s="127">
        <f t="shared" si="0"/>
        <v>537634</v>
      </c>
      <c r="O64" s="104" t="s">
        <v>21</v>
      </c>
      <c r="P64" s="93">
        <f t="shared" si="1"/>
        <v>48</v>
      </c>
    </row>
    <row r="65" spans="1:16" x14ac:dyDescent="0.25">
      <c r="A65" s="93" t="s">
        <v>18</v>
      </c>
      <c r="B65" s="71" t="s">
        <v>652</v>
      </c>
      <c r="C65" s="93">
        <f t="shared" si="2"/>
        <v>124</v>
      </c>
      <c r="D65" s="93">
        <v>1</v>
      </c>
      <c r="E65" s="93"/>
      <c r="F65" s="156"/>
      <c r="G65" s="94" t="s">
        <v>1892</v>
      </c>
      <c r="H65" s="92" t="s">
        <v>1962</v>
      </c>
      <c r="I65" s="93">
        <v>131</v>
      </c>
      <c r="J65" s="93">
        <v>5113</v>
      </c>
      <c r="K65" s="93" t="s">
        <v>20</v>
      </c>
      <c r="L65" s="93">
        <v>1</v>
      </c>
      <c r="M65" s="127">
        <v>64516129</v>
      </c>
      <c r="N65" s="127">
        <f t="shared" si="0"/>
        <v>64516129</v>
      </c>
      <c r="O65" s="104" t="s">
        <v>21</v>
      </c>
      <c r="P65" s="93">
        <f t="shared" si="1"/>
        <v>49</v>
      </c>
    </row>
    <row r="66" spans="1:16" x14ac:dyDescent="0.25">
      <c r="A66" s="93" t="s">
        <v>18</v>
      </c>
      <c r="B66" s="71" t="s">
        <v>652</v>
      </c>
      <c r="C66" s="93">
        <f t="shared" si="2"/>
        <v>124</v>
      </c>
      <c r="D66" s="93">
        <v>0</v>
      </c>
      <c r="E66" s="93"/>
      <c r="F66" s="93"/>
      <c r="G66" s="94" t="s">
        <v>1892</v>
      </c>
      <c r="H66" s="111" t="s">
        <v>1994</v>
      </c>
      <c r="I66" s="93">
        <v>333821</v>
      </c>
      <c r="J66" s="111">
        <v>131</v>
      </c>
      <c r="K66" s="93" t="s">
        <v>20</v>
      </c>
      <c r="L66" s="93">
        <v>1</v>
      </c>
      <c r="M66" s="103">
        <v>645161</v>
      </c>
      <c r="N66" s="127">
        <f t="shared" si="0"/>
        <v>645161</v>
      </c>
      <c r="O66" s="104" t="s">
        <v>21</v>
      </c>
      <c r="P66" s="93">
        <f t="shared" si="1"/>
        <v>49</v>
      </c>
    </row>
    <row r="67" spans="1:16" x14ac:dyDescent="0.25">
      <c r="A67" s="93" t="s">
        <v>18</v>
      </c>
      <c r="B67" s="71" t="s">
        <v>652</v>
      </c>
      <c r="C67" s="93">
        <f t="shared" si="2"/>
        <v>125</v>
      </c>
      <c r="D67" s="93">
        <v>1</v>
      </c>
      <c r="E67" s="93"/>
      <c r="F67" s="156"/>
      <c r="G67" s="94" t="s">
        <v>288</v>
      </c>
      <c r="H67" s="92" t="s">
        <v>1963</v>
      </c>
      <c r="I67" s="93">
        <v>131</v>
      </c>
      <c r="J67" s="93">
        <v>5113</v>
      </c>
      <c r="K67" s="93" t="s">
        <v>20</v>
      </c>
      <c r="L67" s="93">
        <v>1</v>
      </c>
      <c r="M67" s="127">
        <v>64516129</v>
      </c>
      <c r="N67" s="127">
        <f t="shared" si="0"/>
        <v>64516129</v>
      </c>
      <c r="O67" s="104" t="s">
        <v>21</v>
      </c>
      <c r="P67" s="93">
        <f t="shared" si="1"/>
        <v>50</v>
      </c>
    </row>
    <row r="68" spans="1:16" x14ac:dyDescent="0.25">
      <c r="A68" s="93" t="s">
        <v>18</v>
      </c>
      <c r="B68" s="71" t="s">
        <v>652</v>
      </c>
      <c r="C68" s="93">
        <f t="shared" si="2"/>
        <v>125</v>
      </c>
      <c r="D68" s="93">
        <v>0</v>
      </c>
      <c r="E68" s="93"/>
      <c r="F68" s="93"/>
      <c r="G68" s="94" t="s">
        <v>288</v>
      </c>
      <c r="H68" s="111" t="s">
        <v>1995</v>
      </c>
      <c r="I68" s="93">
        <v>333821</v>
      </c>
      <c r="J68" s="111">
        <v>131</v>
      </c>
      <c r="K68" s="93" t="s">
        <v>20</v>
      </c>
      <c r="L68" s="93">
        <v>1</v>
      </c>
      <c r="M68" s="103">
        <v>645161</v>
      </c>
      <c r="N68" s="127">
        <f t="shared" ref="N68:N131" si="3">L68*M68</f>
        <v>645161</v>
      </c>
      <c r="O68" s="104" t="s">
        <v>21</v>
      </c>
      <c r="P68" s="93">
        <f t="shared" si="1"/>
        <v>50</v>
      </c>
    </row>
    <row r="69" spans="1:16" x14ac:dyDescent="0.25">
      <c r="A69" s="93" t="s">
        <v>18</v>
      </c>
      <c r="B69" s="71" t="s">
        <v>377</v>
      </c>
      <c r="C69" s="93">
        <f t="shared" si="2"/>
        <v>126</v>
      </c>
      <c r="D69" s="93">
        <v>1</v>
      </c>
      <c r="E69" s="93"/>
      <c r="F69" s="156"/>
      <c r="G69" s="94" t="s">
        <v>66</v>
      </c>
      <c r="H69" s="93" t="s">
        <v>1964</v>
      </c>
      <c r="I69" s="93">
        <v>131</v>
      </c>
      <c r="J69" s="93">
        <v>5113</v>
      </c>
      <c r="K69" s="93" t="s">
        <v>20</v>
      </c>
      <c r="L69" s="93">
        <v>1</v>
      </c>
      <c r="M69" s="127">
        <v>53763440</v>
      </c>
      <c r="N69" s="127">
        <f t="shared" si="3"/>
        <v>53763440</v>
      </c>
      <c r="O69" s="104" t="s">
        <v>21</v>
      </c>
      <c r="P69" s="93">
        <f t="shared" ref="P69:P132" si="4">P68+D69</f>
        <v>51</v>
      </c>
    </row>
    <row r="70" spans="1:16" x14ac:dyDescent="0.25">
      <c r="A70" s="93" t="s">
        <v>18</v>
      </c>
      <c r="B70" s="71" t="s">
        <v>377</v>
      </c>
      <c r="C70" s="93">
        <f t="shared" ref="C70:C133" si="5">C69+D70</f>
        <v>126</v>
      </c>
      <c r="D70" s="93">
        <v>0</v>
      </c>
      <c r="E70" s="93"/>
      <c r="F70" s="93"/>
      <c r="G70" s="94" t="s">
        <v>66</v>
      </c>
      <c r="H70" s="111" t="s">
        <v>1996</v>
      </c>
      <c r="I70" s="93">
        <v>333821</v>
      </c>
      <c r="J70" s="111">
        <v>131</v>
      </c>
      <c r="K70" s="93" t="s">
        <v>20</v>
      </c>
      <c r="L70" s="93">
        <v>1</v>
      </c>
      <c r="M70" s="103">
        <v>537634</v>
      </c>
      <c r="N70" s="127">
        <f t="shared" si="3"/>
        <v>537634</v>
      </c>
      <c r="O70" s="104" t="s">
        <v>21</v>
      </c>
      <c r="P70" s="93">
        <f t="shared" si="4"/>
        <v>51</v>
      </c>
    </row>
    <row r="71" spans="1:16" x14ac:dyDescent="0.25">
      <c r="A71" s="93" t="s">
        <v>18</v>
      </c>
      <c r="B71" s="71" t="s">
        <v>291</v>
      </c>
      <c r="C71" s="93">
        <f t="shared" si="5"/>
        <v>127</v>
      </c>
      <c r="D71" s="93">
        <v>1</v>
      </c>
      <c r="E71" s="93"/>
      <c r="F71" s="156"/>
      <c r="G71" s="116" t="s">
        <v>82</v>
      </c>
      <c r="H71" s="111" t="s">
        <v>1965</v>
      </c>
      <c r="I71" s="93">
        <v>131</v>
      </c>
      <c r="J71" s="93">
        <v>5113</v>
      </c>
      <c r="K71" s="93" t="s">
        <v>20</v>
      </c>
      <c r="L71" s="93">
        <v>1</v>
      </c>
      <c r="M71" s="127">
        <v>19354839</v>
      </c>
      <c r="N71" s="127">
        <f t="shared" si="3"/>
        <v>19354839</v>
      </c>
      <c r="O71" s="104" t="s">
        <v>21</v>
      </c>
      <c r="P71" s="93">
        <f t="shared" si="4"/>
        <v>52</v>
      </c>
    </row>
    <row r="72" spans="1:16" x14ac:dyDescent="0.25">
      <c r="A72" s="93" t="s">
        <v>18</v>
      </c>
      <c r="B72" s="71" t="s">
        <v>291</v>
      </c>
      <c r="C72" s="93">
        <f t="shared" si="5"/>
        <v>127</v>
      </c>
      <c r="D72" s="93">
        <v>0</v>
      </c>
      <c r="E72" s="93"/>
      <c r="F72" s="93"/>
      <c r="G72" s="94" t="s">
        <v>82</v>
      </c>
      <c r="H72" s="111" t="s">
        <v>1997</v>
      </c>
      <c r="I72" s="93">
        <v>333821</v>
      </c>
      <c r="J72" s="111">
        <v>131</v>
      </c>
      <c r="K72" s="93" t="s">
        <v>20</v>
      </c>
      <c r="L72" s="93">
        <v>1</v>
      </c>
      <c r="M72" s="103">
        <v>193549</v>
      </c>
      <c r="N72" s="127">
        <f t="shared" si="3"/>
        <v>193549</v>
      </c>
      <c r="O72" s="104" t="s">
        <v>21</v>
      </c>
      <c r="P72" s="93">
        <f t="shared" si="4"/>
        <v>52</v>
      </c>
    </row>
    <row r="73" spans="1:16" x14ac:dyDescent="0.25">
      <c r="A73" s="93" t="s">
        <v>18</v>
      </c>
      <c r="B73" s="71" t="s">
        <v>292</v>
      </c>
      <c r="C73" s="93">
        <f t="shared" si="5"/>
        <v>128</v>
      </c>
      <c r="D73" s="93">
        <v>1</v>
      </c>
      <c r="E73" s="93"/>
      <c r="F73" s="156"/>
      <c r="G73" s="116" t="s">
        <v>150</v>
      </c>
      <c r="H73" s="111" t="s">
        <v>1966</v>
      </c>
      <c r="I73" s="93">
        <v>131</v>
      </c>
      <c r="J73" s="93">
        <v>5113</v>
      </c>
      <c r="K73" s="93" t="s">
        <v>20</v>
      </c>
      <c r="L73" s="93">
        <v>1</v>
      </c>
      <c r="M73" s="127">
        <v>75268817</v>
      </c>
      <c r="N73" s="127">
        <f t="shared" si="3"/>
        <v>75268817</v>
      </c>
      <c r="O73" s="104" t="s">
        <v>21</v>
      </c>
      <c r="P73" s="93">
        <f t="shared" si="4"/>
        <v>53</v>
      </c>
    </row>
    <row r="74" spans="1:16" x14ac:dyDescent="0.25">
      <c r="A74" s="93" t="s">
        <v>18</v>
      </c>
      <c r="B74" s="71" t="s">
        <v>292</v>
      </c>
      <c r="C74" s="93">
        <f t="shared" si="5"/>
        <v>128</v>
      </c>
      <c r="D74" s="93">
        <v>0</v>
      </c>
      <c r="E74" s="93"/>
      <c r="F74" s="93"/>
      <c r="G74" s="94" t="s">
        <v>150</v>
      </c>
      <c r="H74" s="111" t="s">
        <v>1998</v>
      </c>
      <c r="I74" s="93">
        <v>333821</v>
      </c>
      <c r="J74" s="111">
        <v>131</v>
      </c>
      <c r="K74" s="93" t="s">
        <v>20</v>
      </c>
      <c r="L74" s="93">
        <v>1</v>
      </c>
      <c r="M74" s="103">
        <v>752688</v>
      </c>
      <c r="N74" s="127">
        <f t="shared" si="3"/>
        <v>752688</v>
      </c>
      <c r="O74" s="104" t="s">
        <v>21</v>
      </c>
      <c r="P74" s="93">
        <f t="shared" si="4"/>
        <v>53</v>
      </c>
    </row>
    <row r="75" spans="1:16" x14ac:dyDescent="0.25">
      <c r="A75" s="93" t="s">
        <v>18</v>
      </c>
      <c r="B75" s="71" t="s">
        <v>292</v>
      </c>
      <c r="C75" s="93">
        <f t="shared" si="5"/>
        <v>129</v>
      </c>
      <c r="D75" s="93">
        <v>1</v>
      </c>
      <c r="E75" s="93"/>
      <c r="F75" s="156"/>
      <c r="G75" s="94" t="s">
        <v>403</v>
      </c>
      <c r="H75" s="93" t="s">
        <v>1967</v>
      </c>
      <c r="I75" s="93">
        <v>131</v>
      </c>
      <c r="J75" s="93">
        <v>5113</v>
      </c>
      <c r="K75" s="93" t="s">
        <v>20</v>
      </c>
      <c r="L75" s="93">
        <v>1</v>
      </c>
      <c r="M75" s="127">
        <v>40322581</v>
      </c>
      <c r="N75" s="127">
        <f t="shared" si="3"/>
        <v>40322581</v>
      </c>
      <c r="O75" s="104" t="s">
        <v>21</v>
      </c>
      <c r="P75" s="93">
        <f t="shared" si="4"/>
        <v>54</v>
      </c>
    </row>
    <row r="76" spans="1:16" x14ac:dyDescent="0.25">
      <c r="A76" s="93" t="s">
        <v>18</v>
      </c>
      <c r="B76" s="71" t="s">
        <v>292</v>
      </c>
      <c r="C76" s="93">
        <f t="shared" si="5"/>
        <v>129</v>
      </c>
      <c r="D76" s="93">
        <v>0</v>
      </c>
      <c r="E76" s="93"/>
      <c r="F76" s="93"/>
      <c r="G76" s="94" t="s">
        <v>403</v>
      </c>
      <c r="H76" s="111" t="s">
        <v>1999</v>
      </c>
      <c r="I76" s="93">
        <v>333821</v>
      </c>
      <c r="J76" s="111">
        <v>131</v>
      </c>
      <c r="K76" s="93" t="s">
        <v>20</v>
      </c>
      <c r="L76" s="93">
        <v>1</v>
      </c>
      <c r="M76" s="103">
        <v>403226</v>
      </c>
      <c r="N76" s="127">
        <f t="shared" si="3"/>
        <v>403226</v>
      </c>
      <c r="O76" s="104" t="s">
        <v>21</v>
      </c>
      <c r="P76" s="93">
        <f t="shared" si="4"/>
        <v>54</v>
      </c>
    </row>
    <row r="77" spans="1:16" x14ac:dyDescent="0.25">
      <c r="A77" s="93" t="s">
        <v>18</v>
      </c>
      <c r="B77" s="71" t="s">
        <v>313</v>
      </c>
      <c r="C77" s="93">
        <f t="shared" si="5"/>
        <v>130</v>
      </c>
      <c r="D77" s="93">
        <v>1</v>
      </c>
      <c r="E77" s="93"/>
      <c r="F77" s="156"/>
      <c r="G77" s="94" t="s">
        <v>66</v>
      </c>
      <c r="H77" s="93" t="s">
        <v>1968</v>
      </c>
      <c r="I77" s="93">
        <v>131</v>
      </c>
      <c r="J77" s="93">
        <v>5113</v>
      </c>
      <c r="K77" s="93" t="s">
        <v>20</v>
      </c>
      <c r="L77" s="93">
        <v>1</v>
      </c>
      <c r="M77" s="127">
        <v>53763440</v>
      </c>
      <c r="N77" s="127">
        <f t="shared" si="3"/>
        <v>53763440</v>
      </c>
      <c r="O77" s="104" t="s">
        <v>21</v>
      </c>
      <c r="P77" s="93">
        <f t="shared" si="4"/>
        <v>55</v>
      </c>
    </row>
    <row r="78" spans="1:16" x14ac:dyDescent="0.25">
      <c r="A78" s="93" t="s">
        <v>18</v>
      </c>
      <c r="B78" s="71" t="s">
        <v>313</v>
      </c>
      <c r="C78" s="93">
        <f t="shared" si="5"/>
        <v>130</v>
      </c>
      <c r="D78" s="93">
        <v>0</v>
      </c>
      <c r="E78" s="93"/>
      <c r="F78" s="93"/>
      <c r="G78" s="94" t="s">
        <v>66</v>
      </c>
      <c r="H78" s="111" t="s">
        <v>2000</v>
      </c>
      <c r="I78" s="93">
        <v>333821</v>
      </c>
      <c r="J78" s="111">
        <v>131</v>
      </c>
      <c r="K78" s="93" t="s">
        <v>20</v>
      </c>
      <c r="L78" s="93">
        <v>1</v>
      </c>
      <c r="M78" s="103">
        <v>537634</v>
      </c>
      <c r="N78" s="127">
        <f t="shared" si="3"/>
        <v>537634</v>
      </c>
      <c r="O78" s="104" t="s">
        <v>21</v>
      </c>
      <c r="P78" s="93">
        <f t="shared" si="4"/>
        <v>55</v>
      </c>
    </row>
    <row r="79" spans="1:16" x14ac:dyDescent="0.25">
      <c r="A79" s="93" t="s">
        <v>18</v>
      </c>
      <c r="B79" s="71" t="s">
        <v>470</v>
      </c>
      <c r="C79" s="93">
        <f t="shared" si="5"/>
        <v>131</v>
      </c>
      <c r="D79" s="93">
        <v>1</v>
      </c>
      <c r="E79" s="93"/>
      <c r="F79" s="156"/>
      <c r="G79" s="94" t="s">
        <v>113</v>
      </c>
      <c r="H79" s="93" t="s">
        <v>1969</v>
      </c>
      <c r="I79" s="93">
        <v>131</v>
      </c>
      <c r="J79" s="93">
        <v>5113</v>
      </c>
      <c r="K79" s="93" t="s">
        <v>20</v>
      </c>
      <c r="L79" s="93">
        <v>1</v>
      </c>
      <c r="M79" s="127">
        <v>7526882</v>
      </c>
      <c r="N79" s="127">
        <f t="shared" si="3"/>
        <v>7526882</v>
      </c>
      <c r="O79" s="104" t="s">
        <v>21</v>
      </c>
      <c r="P79" s="93">
        <f t="shared" si="4"/>
        <v>56</v>
      </c>
    </row>
    <row r="80" spans="1:16" x14ac:dyDescent="0.25">
      <c r="A80" s="93" t="s">
        <v>18</v>
      </c>
      <c r="B80" s="71" t="s">
        <v>470</v>
      </c>
      <c r="C80" s="93">
        <f t="shared" si="5"/>
        <v>131</v>
      </c>
      <c r="D80" s="93">
        <v>0</v>
      </c>
      <c r="E80" s="93"/>
      <c r="F80" s="93"/>
      <c r="G80" s="94" t="s">
        <v>113</v>
      </c>
      <c r="H80" s="111" t="s">
        <v>2001</v>
      </c>
      <c r="I80" s="93">
        <v>333821</v>
      </c>
      <c r="J80" s="111">
        <v>131</v>
      </c>
      <c r="K80" s="93" t="s">
        <v>20</v>
      </c>
      <c r="L80" s="93">
        <v>1</v>
      </c>
      <c r="M80" s="103">
        <v>75269</v>
      </c>
      <c r="N80" s="127">
        <f t="shared" si="3"/>
        <v>75269</v>
      </c>
      <c r="O80" s="104" t="s">
        <v>21</v>
      </c>
      <c r="P80" s="93">
        <f t="shared" si="4"/>
        <v>56</v>
      </c>
    </row>
    <row r="81" spans="1:16" x14ac:dyDescent="0.25">
      <c r="A81" s="93" t="s">
        <v>18</v>
      </c>
      <c r="B81" s="71" t="s">
        <v>316</v>
      </c>
      <c r="C81" s="93">
        <f t="shared" si="5"/>
        <v>132</v>
      </c>
      <c r="D81" s="93">
        <v>1</v>
      </c>
      <c r="E81" s="93"/>
      <c r="F81" s="156"/>
      <c r="G81" s="94" t="s">
        <v>1943</v>
      </c>
      <c r="H81" s="93" t="s">
        <v>1970</v>
      </c>
      <c r="I81" s="93">
        <v>131</v>
      </c>
      <c r="J81" s="93">
        <v>5113</v>
      </c>
      <c r="K81" s="93" t="s">
        <v>20</v>
      </c>
      <c r="L81" s="93">
        <v>1</v>
      </c>
      <c r="M81" s="127">
        <v>64516129</v>
      </c>
      <c r="N81" s="127">
        <f t="shared" si="3"/>
        <v>64516129</v>
      </c>
      <c r="O81" s="104" t="s">
        <v>21</v>
      </c>
      <c r="P81" s="93">
        <f t="shared" si="4"/>
        <v>57</v>
      </c>
    </row>
    <row r="82" spans="1:16" x14ac:dyDescent="0.25">
      <c r="A82" s="93" t="s">
        <v>18</v>
      </c>
      <c r="B82" s="71" t="s">
        <v>316</v>
      </c>
      <c r="C82" s="93">
        <f t="shared" si="5"/>
        <v>132</v>
      </c>
      <c r="D82" s="93">
        <v>0</v>
      </c>
      <c r="E82" s="93"/>
      <c r="F82" s="93"/>
      <c r="G82" s="94" t="s">
        <v>1943</v>
      </c>
      <c r="H82" s="111" t="s">
        <v>2002</v>
      </c>
      <c r="I82" s="93">
        <v>333821</v>
      </c>
      <c r="J82" s="111">
        <v>131</v>
      </c>
      <c r="K82" s="93" t="s">
        <v>20</v>
      </c>
      <c r="L82" s="93">
        <v>1</v>
      </c>
      <c r="M82" s="103">
        <v>645161</v>
      </c>
      <c r="N82" s="127">
        <f t="shared" si="3"/>
        <v>645161</v>
      </c>
      <c r="O82" s="104" t="s">
        <v>21</v>
      </c>
      <c r="P82" s="93">
        <f t="shared" si="4"/>
        <v>57</v>
      </c>
    </row>
    <row r="83" spans="1:16" x14ac:dyDescent="0.25">
      <c r="A83" s="93" t="s">
        <v>18</v>
      </c>
      <c r="B83" s="71" t="s">
        <v>316</v>
      </c>
      <c r="C83" s="93">
        <f t="shared" si="5"/>
        <v>133</v>
      </c>
      <c r="D83" s="93">
        <v>1</v>
      </c>
      <c r="E83" s="93"/>
      <c r="F83" s="156"/>
      <c r="G83" s="116" t="s">
        <v>82</v>
      </c>
      <c r="H83" s="111" t="s">
        <v>1971</v>
      </c>
      <c r="I83" s="93">
        <v>131</v>
      </c>
      <c r="J83" s="93">
        <v>5113</v>
      </c>
      <c r="K83" s="93" t="s">
        <v>20</v>
      </c>
      <c r="L83" s="93">
        <v>1</v>
      </c>
      <c r="M83" s="127">
        <v>64516129</v>
      </c>
      <c r="N83" s="127">
        <f t="shared" si="3"/>
        <v>64516129</v>
      </c>
      <c r="O83" s="104" t="s">
        <v>21</v>
      </c>
      <c r="P83" s="93">
        <f t="shared" si="4"/>
        <v>58</v>
      </c>
    </row>
    <row r="84" spans="1:16" x14ac:dyDescent="0.25">
      <c r="A84" s="93" t="s">
        <v>18</v>
      </c>
      <c r="B84" s="71" t="s">
        <v>316</v>
      </c>
      <c r="C84" s="93">
        <f t="shared" si="5"/>
        <v>133</v>
      </c>
      <c r="D84" s="93">
        <v>0</v>
      </c>
      <c r="E84" s="93"/>
      <c r="F84" s="93"/>
      <c r="G84" s="94" t="s">
        <v>82</v>
      </c>
      <c r="H84" s="111" t="s">
        <v>2003</v>
      </c>
      <c r="I84" s="93">
        <v>333821</v>
      </c>
      <c r="J84" s="111">
        <v>131</v>
      </c>
      <c r="K84" s="93" t="s">
        <v>20</v>
      </c>
      <c r="L84" s="93">
        <v>1</v>
      </c>
      <c r="M84" s="103">
        <v>645161</v>
      </c>
      <c r="N84" s="127">
        <f t="shared" si="3"/>
        <v>645161</v>
      </c>
      <c r="O84" s="104" t="s">
        <v>21</v>
      </c>
      <c r="P84" s="93">
        <f t="shared" si="4"/>
        <v>58</v>
      </c>
    </row>
    <row r="85" spans="1:16" x14ac:dyDescent="0.25">
      <c r="A85" s="93" t="s">
        <v>18</v>
      </c>
      <c r="B85" s="71" t="s">
        <v>317</v>
      </c>
      <c r="C85" s="93">
        <f t="shared" si="5"/>
        <v>134</v>
      </c>
      <c r="D85" s="93">
        <v>1</v>
      </c>
      <c r="E85" s="93"/>
      <c r="F85" s="156"/>
      <c r="G85" s="116" t="s">
        <v>110</v>
      </c>
      <c r="H85" s="111" t="s">
        <v>1972</v>
      </c>
      <c r="I85" s="93">
        <v>131</v>
      </c>
      <c r="J85" s="93">
        <v>5113</v>
      </c>
      <c r="K85" s="93" t="s">
        <v>20</v>
      </c>
      <c r="L85" s="93">
        <v>1</v>
      </c>
      <c r="M85" s="127">
        <v>64516129</v>
      </c>
      <c r="N85" s="127">
        <f t="shared" si="3"/>
        <v>64516129</v>
      </c>
      <c r="O85" s="104" t="s">
        <v>21</v>
      </c>
      <c r="P85" s="93">
        <f t="shared" si="4"/>
        <v>59</v>
      </c>
    </row>
    <row r="86" spans="1:16" x14ac:dyDescent="0.25">
      <c r="A86" s="93" t="s">
        <v>18</v>
      </c>
      <c r="B86" s="71" t="s">
        <v>317</v>
      </c>
      <c r="C86" s="93">
        <f t="shared" si="5"/>
        <v>134</v>
      </c>
      <c r="D86" s="93">
        <v>0</v>
      </c>
      <c r="E86" s="93"/>
      <c r="F86" s="93"/>
      <c r="G86" s="94" t="s">
        <v>110</v>
      </c>
      <c r="H86" s="111" t="s">
        <v>2004</v>
      </c>
      <c r="I86" s="93">
        <v>333821</v>
      </c>
      <c r="J86" s="111">
        <v>131</v>
      </c>
      <c r="K86" s="93" t="s">
        <v>20</v>
      </c>
      <c r="L86" s="93">
        <v>1</v>
      </c>
      <c r="M86" s="103">
        <v>645161</v>
      </c>
      <c r="N86" s="127">
        <f t="shared" si="3"/>
        <v>645161</v>
      </c>
      <c r="O86" s="104" t="s">
        <v>21</v>
      </c>
      <c r="P86" s="93">
        <f t="shared" si="4"/>
        <v>59</v>
      </c>
    </row>
    <row r="87" spans="1:16" x14ac:dyDescent="0.25">
      <c r="A87" s="93" t="s">
        <v>18</v>
      </c>
      <c r="B87" s="71" t="s">
        <v>471</v>
      </c>
      <c r="C87" s="93">
        <f t="shared" si="5"/>
        <v>135</v>
      </c>
      <c r="D87" s="93">
        <v>1</v>
      </c>
      <c r="E87" s="93"/>
      <c r="F87" s="156"/>
      <c r="G87" s="94" t="s">
        <v>1944</v>
      </c>
      <c r="H87" s="93" t="s">
        <v>1973</v>
      </c>
      <c r="I87" s="93">
        <v>131</v>
      </c>
      <c r="J87" s="93">
        <v>5113</v>
      </c>
      <c r="K87" s="93" t="s">
        <v>20</v>
      </c>
      <c r="L87" s="93">
        <v>1</v>
      </c>
      <c r="M87" s="127">
        <v>107526882</v>
      </c>
      <c r="N87" s="127">
        <f t="shared" si="3"/>
        <v>107526882</v>
      </c>
      <c r="O87" s="104" t="s">
        <v>21</v>
      </c>
      <c r="P87" s="93">
        <f t="shared" si="4"/>
        <v>60</v>
      </c>
    </row>
    <row r="88" spans="1:16" x14ac:dyDescent="0.25">
      <c r="A88" s="93" t="s">
        <v>18</v>
      </c>
      <c r="B88" s="71" t="s">
        <v>471</v>
      </c>
      <c r="C88" s="93">
        <f t="shared" si="5"/>
        <v>135</v>
      </c>
      <c r="D88" s="93">
        <v>0</v>
      </c>
      <c r="E88" s="93"/>
      <c r="F88" s="93"/>
      <c r="G88" s="94" t="s">
        <v>1944</v>
      </c>
      <c r="H88" s="111" t="s">
        <v>2005</v>
      </c>
      <c r="I88" s="93">
        <v>333821</v>
      </c>
      <c r="J88" s="111">
        <v>131</v>
      </c>
      <c r="K88" s="93" t="s">
        <v>20</v>
      </c>
      <c r="L88" s="93">
        <v>1</v>
      </c>
      <c r="M88" s="103">
        <v>1075269</v>
      </c>
      <c r="N88" s="127">
        <f t="shared" si="3"/>
        <v>1075269</v>
      </c>
      <c r="O88" s="104" t="s">
        <v>21</v>
      </c>
      <c r="P88" s="93">
        <f t="shared" si="4"/>
        <v>60</v>
      </c>
    </row>
    <row r="89" spans="1:16" x14ac:dyDescent="0.25">
      <c r="A89" s="93" t="s">
        <v>18</v>
      </c>
      <c r="B89" s="71" t="s">
        <v>471</v>
      </c>
      <c r="C89" s="93">
        <f t="shared" si="5"/>
        <v>136</v>
      </c>
      <c r="D89" s="93">
        <v>1</v>
      </c>
      <c r="E89" s="93"/>
      <c r="F89" s="156"/>
      <c r="G89" s="94" t="s">
        <v>47</v>
      </c>
      <c r="H89" s="92" t="s">
        <v>1974</v>
      </c>
      <c r="I89" s="93">
        <v>131</v>
      </c>
      <c r="J89" s="93">
        <v>5113</v>
      </c>
      <c r="K89" s="93" t="s">
        <v>20</v>
      </c>
      <c r="L89" s="93">
        <v>1</v>
      </c>
      <c r="M89" s="127">
        <v>53763440</v>
      </c>
      <c r="N89" s="127">
        <f t="shared" si="3"/>
        <v>53763440</v>
      </c>
      <c r="O89" s="104" t="s">
        <v>21</v>
      </c>
      <c r="P89" s="93">
        <f t="shared" si="4"/>
        <v>61</v>
      </c>
    </row>
    <row r="90" spans="1:16" x14ac:dyDescent="0.25">
      <c r="A90" s="93" t="s">
        <v>18</v>
      </c>
      <c r="B90" s="71" t="s">
        <v>471</v>
      </c>
      <c r="C90" s="93">
        <f t="shared" si="5"/>
        <v>136</v>
      </c>
      <c r="D90" s="93">
        <v>0</v>
      </c>
      <c r="E90" s="93"/>
      <c r="F90" s="93"/>
      <c r="G90" s="94" t="s">
        <v>47</v>
      </c>
      <c r="H90" s="111" t="s">
        <v>2006</v>
      </c>
      <c r="I90" s="93">
        <v>333821</v>
      </c>
      <c r="J90" s="111">
        <v>131</v>
      </c>
      <c r="K90" s="93" t="s">
        <v>20</v>
      </c>
      <c r="L90" s="93">
        <v>1</v>
      </c>
      <c r="M90" s="103">
        <v>537634</v>
      </c>
      <c r="N90" s="127">
        <f t="shared" si="3"/>
        <v>537634</v>
      </c>
      <c r="O90" s="104" t="s">
        <v>21</v>
      </c>
      <c r="P90" s="93">
        <f t="shared" si="4"/>
        <v>61</v>
      </c>
    </row>
    <row r="91" spans="1:16" x14ac:dyDescent="0.25">
      <c r="A91" s="93" t="s">
        <v>18</v>
      </c>
      <c r="B91" s="71" t="s">
        <v>318</v>
      </c>
      <c r="C91" s="93">
        <f t="shared" si="5"/>
        <v>137</v>
      </c>
      <c r="D91" s="93">
        <v>1</v>
      </c>
      <c r="E91" s="93"/>
      <c r="F91" s="156"/>
      <c r="G91" s="94" t="s">
        <v>1360</v>
      </c>
      <c r="H91" s="92" t="s">
        <v>1975</v>
      </c>
      <c r="I91" s="93">
        <v>131</v>
      </c>
      <c r="J91" s="93">
        <v>5113</v>
      </c>
      <c r="K91" s="93" t="s">
        <v>20</v>
      </c>
      <c r="L91" s="93">
        <v>1</v>
      </c>
      <c r="M91" s="127">
        <v>64516129</v>
      </c>
      <c r="N91" s="127">
        <f t="shared" si="3"/>
        <v>64516129</v>
      </c>
      <c r="O91" s="104" t="s">
        <v>21</v>
      </c>
      <c r="P91" s="93">
        <f t="shared" si="4"/>
        <v>62</v>
      </c>
    </row>
    <row r="92" spans="1:16" x14ac:dyDescent="0.25">
      <c r="A92" s="93" t="s">
        <v>18</v>
      </c>
      <c r="B92" s="71" t="s">
        <v>318</v>
      </c>
      <c r="C92" s="93">
        <f t="shared" si="5"/>
        <v>137</v>
      </c>
      <c r="D92" s="93">
        <v>0</v>
      </c>
      <c r="E92" s="93"/>
      <c r="F92" s="93"/>
      <c r="G92" s="94" t="s">
        <v>1360</v>
      </c>
      <c r="H92" s="111" t="s">
        <v>2007</v>
      </c>
      <c r="I92" s="93">
        <v>333821</v>
      </c>
      <c r="J92" s="111">
        <v>131</v>
      </c>
      <c r="K92" s="93" t="s">
        <v>20</v>
      </c>
      <c r="L92" s="93">
        <v>1</v>
      </c>
      <c r="M92" s="103">
        <v>645161</v>
      </c>
      <c r="N92" s="127">
        <f t="shared" si="3"/>
        <v>645161</v>
      </c>
      <c r="O92" s="104" t="s">
        <v>21</v>
      </c>
      <c r="P92" s="93">
        <f t="shared" si="4"/>
        <v>62</v>
      </c>
    </row>
    <row r="93" spans="1:16" x14ac:dyDescent="0.25">
      <c r="A93" s="93" t="s">
        <v>18</v>
      </c>
      <c r="B93" s="71" t="s">
        <v>514</v>
      </c>
      <c r="C93" s="93">
        <f t="shared" si="5"/>
        <v>138</v>
      </c>
      <c r="D93" s="93">
        <v>1</v>
      </c>
      <c r="E93" s="93"/>
      <c r="F93" s="156"/>
      <c r="G93" s="94" t="s">
        <v>66</v>
      </c>
      <c r="H93" s="93" t="s">
        <v>1976</v>
      </c>
      <c r="I93" s="93">
        <v>131</v>
      </c>
      <c r="J93" s="93">
        <v>5113</v>
      </c>
      <c r="K93" s="93" t="s">
        <v>20</v>
      </c>
      <c r="L93" s="93">
        <v>1</v>
      </c>
      <c r="M93" s="127">
        <v>53763440</v>
      </c>
      <c r="N93" s="127">
        <f t="shared" si="3"/>
        <v>53763440</v>
      </c>
      <c r="O93" s="104" t="s">
        <v>21</v>
      </c>
      <c r="P93" s="93">
        <f t="shared" si="4"/>
        <v>63</v>
      </c>
    </row>
    <row r="94" spans="1:16" x14ac:dyDescent="0.25">
      <c r="A94" s="93" t="s">
        <v>18</v>
      </c>
      <c r="B94" s="71" t="s">
        <v>514</v>
      </c>
      <c r="C94" s="93">
        <f t="shared" si="5"/>
        <v>138</v>
      </c>
      <c r="D94" s="93">
        <v>0</v>
      </c>
      <c r="E94" s="93"/>
      <c r="F94" s="93"/>
      <c r="G94" s="94" t="s">
        <v>66</v>
      </c>
      <c r="H94" s="111" t="s">
        <v>2008</v>
      </c>
      <c r="I94" s="93">
        <v>333821</v>
      </c>
      <c r="J94" s="111">
        <v>131</v>
      </c>
      <c r="K94" s="93" t="s">
        <v>20</v>
      </c>
      <c r="L94" s="93">
        <v>1</v>
      </c>
      <c r="M94" s="103">
        <v>537634</v>
      </c>
      <c r="N94" s="127">
        <f t="shared" si="3"/>
        <v>537634</v>
      </c>
      <c r="O94" s="104" t="s">
        <v>21</v>
      </c>
      <c r="P94" s="93">
        <f t="shared" si="4"/>
        <v>63</v>
      </c>
    </row>
    <row r="95" spans="1:16" x14ac:dyDescent="0.25">
      <c r="A95" s="93" t="s">
        <v>18</v>
      </c>
      <c r="B95" s="71" t="s">
        <v>523</v>
      </c>
      <c r="C95" s="93">
        <f t="shared" si="5"/>
        <v>139</v>
      </c>
      <c r="D95" s="93">
        <v>1</v>
      </c>
      <c r="E95" s="93"/>
      <c r="F95" s="156"/>
      <c r="G95" s="94" t="s">
        <v>88</v>
      </c>
      <c r="H95" s="93" t="s">
        <v>1977</v>
      </c>
      <c r="I95" s="93">
        <v>131</v>
      </c>
      <c r="J95" s="93">
        <v>5113</v>
      </c>
      <c r="K95" s="93" t="s">
        <v>20</v>
      </c>
      <c r="L95" s="93">
        <v>1</v>
      </c>
      <c r="M95" s="127">
        <v>53763440</v>
      </c>
      <c r="N95" s="127">
        <f t="shared" si="3"/>
        <v>53763440</v>
      </c>
      <c r="O95" s="104" t="s">
        <v>21</v>
      </c>
      <c r="P95" s="93">
        <f t="shared" si="4"/>
        <v>64</v>
      </c>
    </row>
    <row r="96" spans="1:16" x14ac:dyDescent="0.25">
      <c r="A96" s="93" t="s">
        <v>18</v>
      </c>
      <c r="B96" s="71" t="s">
        <v>523</v>
      </c>
      <c r="C96" s="93">
        <f t="shared" si="5"/>
        <v>139</v>
      </c>
      <c r="D96" s="93">
        <v>0</v>
      </c>
      <c r="E96" s="93"/>
      <c r="F96" s="93"/>
      <c r="G96" s="94" t="s">
        <v>88</v>
      </c>
      <c r="H96" s="111" t="s">
        <v>2009</v>
      </c>
      <c r="I96" s="93">
        <v>333821</v>
      </c>
      <c r="J96" s="111">
        <v>131</v>
      </c>
      <c r="K96" s="93" t="s">
        <v>20</v>
      </c>
      <c r="L96" s="93">
        <v>1</v>
      </c>
      <c r="M96" s="103">
        <v>537634</v>
      </c>
      <c r="N96" s="127">
        <f t="shared" si="3"/>
        <v>537634</v>
      </c>
      <c r="O96" s="104" t="s">
        <v>21</v>
      </c>
      <c r="P96" s="93">
        <f t="shared" si="4"/>
        <v>64</v>
      </c>
    </row>
    <row r="97" spans="1:16" x14ac:dyDescent="0.25">
      <c r="A97" s="93" t="s">
        <v>18</v>
      </c>
      <c r="B97" s="71" t="s">
        <v>523</v>
      </c>
      <c r="C97" s="93">
        <f t="shared" si="5"/>
        <v>140</v>
      </c>
      <c r="D97" s="93">
        <v>1</v>
      </c>
      <c r="E97" s="93"/>
      <c r="F97" s="156"/>
      <c r="G97" s="94" t="s">
        <v>150</v>
      </c>
      <c r="H97" s="93" t="s">
        <v>1978</v>
      </c>
      <c r="I97" s="93">
        <v>131</v>
      </c>
      <c r="J97" s="93">
        <v>5113</v>
      </c>
      <c r="K97" s="93" t="s">
        <v>20</v>
      </c>
      <c r="L97" s="93">
        <v>1</v>
      </c>
      <c r="M97" s="127">
        <v>75268817</v>
      </c>
      <c r="N97" s="127">
        <f t="shared" si="3"/>
        <v>75268817</v>
      </c>
      <c r="O97" s="104" t="s">
        <v>21</v>
      </c>
      <c r="P97" s="93">
        <f t="shared" si="4"/>
        <v>65</v>
      </c>
    </row>
    <row r="98" spans="1:16" x14ac:dyDescent="0.25">
      <c r="A98" s="93" t="s">
        <v>18</v>
      </c>
      <c r="B98" s="71" t="s">
        <v>523</v>
      </c>
      <c r="C98" s="93">
        <f t="shared" si="5"/>
        <v>140</v>
      </c>
      <c r="D98" s="93">
        <v>0</v>
      </c>
      <c r="E98" s="93"/>
      <c r="F98" s="93"/>
      <c r="G98" s="94" t="s">
        <v>150</v>
      </c>
      <c r="H98" s="111" t="s">
        <v>2010</v>
      </c>
      <c r="I98" s="93">
        <v>333821</v>
      </c>
      <c r="J98" s="111">
        <v>131</v>
      </c>
      <c r="K98" s="93" t="s">
        <v>20</v>
      </c>
      <c r="L98" s="93">
        <v>1</v>
      </c>
      <c r="M98" s="103">
        <v>752688</v>
      </c>
      <c r="N98" s="127">
        <f t="shared" si="3"/>
        <v>752688</v>
      </c>
      <c r="O98" s="104" t="s">
        <v>21</v>
      </c>
      <c r="P98" s="93">
        <f t="shared" si="4"/>
        <v>65</v>
      </c>
    </row>
    <row r="99" spans="1:16" x14ac:dyDescent="0.25">
      <c r="A99" s="93" t="s">
        <v>18</v>
      </c>
      <c r="B99" s="71" t="s">
        <v>454</v>
      </c>
      <c r="C99" s="93">
        <f t="shared" si="5"/>
        <v>141</v>
      </c>
      <c r="D99" s="93">
        <v>1</v>
      </c>
      <c r="E99" s="93"/>
      <c r="F99" s="156"/>
      <c r="G99" s="94" t="s">
        <v>89</v>
      </c>
      <c r="H99" s="93" t="s">
        <v>1979</v>
      </c>
      <c r="I99" s="93">
        <v>131</v>
      </c>
      <c r="J99" s="93">
        <v>5113</v>
      </c>
      <c r="K99" s="93" t="s">
        <v>20</v>
      </c>
      <c r="L99" s="93">
        <v>1</v>
      </c>
      <c r="M99" s="127">
        <v>53763441</v>
      </c>
      <c r="N99" s="127">
        <f t="shared" si="3"/>
        <v>53763441</v>
      </c>
      <c r="O99" s="104" t="s">
        <v>21</v>
      </c>
      <c r="P99" s="93">
        <f t="shared" si="4"/>
        <v>66</v>
      </c>
    </row>
    <row r="100" spans="1:16" x14ac:dyDescent="0.25">
      <c r="A100" s="93" t="s">
        <v>18</v>
      </c>
      <c r="B100" s="71" t="s">
        <v>454</v>
      </c>
      <c r="C100" s="93">
        <f t="shared" si="5"/>
        <v>141</v>
      </c>
      <c r="D100" s="93">
        <v>0</v>
      </c>
      <c r="E100" s="93"/>
      <c r="F100" s="93"/>
      <c r="G100" s="94" t="s">
        <v>89</v>
      </c>
      <c r="H100" s="111" t="s">
        <v>2011</v>
      </c>
      <c r="I100" s="93">
        <v>333821</v>
      </c>
      <c r="J100" s="111">
        <v>131</v>
      </c>
      <c r="K100" s="93" t="s">
        <v>20</v>
      </c>
      <c r="L100" s="93">
        <v>1</v>
      </c>
      <c r="M100" s="103">
        <v>537635</v>
      </c>
      <c r="N100" s="127">
        <f t="shared" si="3"/>
        <v>537635</v>
      </c>
      <c r="O100" s="104" t="s">
        <v>21</v>
      </c>
      <c r="P100" s="93">
        <f t="shared" si="4"/>
        <v>66</v>
      </c>
    </row>
    <row r="101" spans="1:16" x14ac:dyDescent="0.25">
      <c r="A101" s="93" t="s">
        <v>18</v>
      </c>
      <c r="B101" s="71" t="s">
        <v>603</v>
      </c>
      <c r="C101" s="93">
        <f t="shared" si="5"/>
        <v>142</v>
      </c>
      <c r="D101" s="93">
        <v>1</v>
      </c>
      <c r="E101" s="93"/>
      <c r="F101" s="156"/>
      <c r="G101" s="116" t="s">
        <v>1945</v>
      </c>
      <c r="H101" s="111" t="s">
        <v>1980</v>
      </c>
      <c r="I101" s="93">
        <v>131</v>
      </c>
      <c r="J101" s="93">
        <v>5113</v>
      </c>
      <c r="K101" s="93" t="s">
        <v>20</v>
      </c>
      <c r="L101" s="93">
        <v>1</v>
      </c>
      <c r="M101" s="127">
        <v>15053764</v>
      </c>
      <c r="N101" s="127">
        <f t="shared" si="3"/>
        <v>15053764</v>
      </c>
      <c r="O101" s="104" t="s">
        <v>21</v>
      </c>
      <c r="P101" s="93">
        <f t="shared" si="4"/>
        <v>67</v>
      </c>
    </row>
    <row r="102" spans="1:16" x14ac:dyDescent="0.25">
      <c r="A102" s="93" t="s">
        <v>18</v>
      </c>
      <c r="B102" s="71" t="s">
        <v>603</v>
      </c>
      <c r="C102" s="93">
        <f t="shared" si="5"/>
        <v>142</v>
      </c>
      <c r="D102" s="93">
        <v>0</v>
      </c>
      <c r="E102" s="93"/>
      <c r="F102" s="93"/>
      <c r="G102" s="94" t="s">
        <v>1945</v>
      </c>
      <c r="H102" s="111" t="s">
        <v>2012</v>
      </c>
      <c r="I102" s="93">
        <v>333821</v>
      </c>
      <c r="J102" s="111">
        <v>131</v>
      </c>
      <c r="K102" s="93" t="s">
        <v>20</v>
      </c>
      <c r="L102" s="93">
        <v>1</v>
      </c>
      <c r="M102" s="103">
        <v>150538</v>
      </c>
      <c r="N102" s="127">
        <f t="shared" si="3"/>
        <v>150538</v>
      </c>
      <c r="O102" s="104" t="s">
        <v>21</v>
      </c>
      <c r="P102" s="93">
        <f t="shared" si="4"/>
        <v>67</v>
      </c>
    </row>
    <row r="103" spans="1:16" x14ac:dyDescent="0.25">
      <c r="A103" s="93" t="s">
        <v>18</v>
      </c>
      <c r="B103" s="71">
        <v>45961</v>
      </c>
      <c r="C103" s="93">
        <f t="shared" si="5"/>
        <v>143</v>
      </c>
      <c r="D103" s="93">
        <v>1</v>
      </c>
      <c r="E103" s="93"/>
      <c r="F103" s="93"/>
      <c r="G103" s="94" t="s">
        <v>3011</v>
      </c>
      <c r="H103" s="92" t="s">
        <v>371</v>
      </c>
      <c r="I103" s="129">
        <v>64271</v>
      </c>
      <c r="J103" s="129">
        <v>3383</v>
      </c>
      <c r="K103" s="93" t="s">
        <v>20</v>
      </c>
      <c r="L103" s="93">
        <v>1</v>
      </c>
      <c r="M103" s="103">
        <v>690300</v>
      </c>
      <c r="N103" s="127">
        <f t="shared" si="3"/>
        <v>690300</v>
      </c>
      <c r="O103" s="104" t="s">
        <v>21</v>
      </c>
      <c r="P103" s="93">
        <f t="shared" si="4"/>
        <v>68</v>
      </c>
    </row>
    <row r="104" spans="1:16" x14ac:dyDescent="0.25">
      <c r="A104" s="93" t="s">
        <v>18</v>
      </c>
      <c r="B104" s="71">
        <v>45991</v>
      </c>
      <c r="C104" s="93">
        <f t="shared" si="5"/>
        <v>144</v>
      </c>
      <c r="D104" s="93">
        <v>1</v>
      </c>
      <c r="E104" s="93"/>
      <c r="F104" s="93"/>
      <c r="G104" s="94" t="s">
        <v>3011</v>
      </c>
      <c r="H104" s="92" t="s">
        <v>372</v>
      </c>
      <c r="I104" s="129">
        <v>64271</v>
      </c>
      <c r="J104" s="129">
        <v>3383</v>
      </c>
      <c r="K104" s="93" t="s">
        <v>20</v>
      </c>
      <c r="L104" s="93">
        <v>1</v>
      </c>
      <c r="M104" s="103">
        <v>690300</v>
      </c>
      <c r="N104" s="127">
        <f t="shared" si="3"/>
        <v>690300</v>
      </c>
      <c r="O104" s="104" t="s">
        <v>21</v>
      </c>
      <c r="P104" s="93">
        <f t="shared" si="4"/>
        <v>69</v>
      </c>
    </row>
    <row r="105" spans="1:16" x14ac:dyDescent="0.25">
      <c r="A105" s="93" t="s">
        <v>18</v>
      </c>
      <c r="B105" s="71">
        <v>46022</v>
      </c>
      <c r="C105" s="93">
        <f t="shared" si="5"/>
        <v>145</v>
      </c>
      <c r="D105" s="93">
        <v>1</v>
      </c>
      <c r="E105" s="93"/>
      <c r="F105" s="93"/>
      <c r="G105" s="94" t="s">
        <v>3011</v>
      </c>
      <c r="H105" s="92" t="s">
        <v>373</v>
      </c>
      <c r="I105" s="129">
        <v>64271</v>
      </c>
      <c r="J105" s="129">
        <v>3383</v>
      </c>
      <c r="K105" s="93" t="s">
        <v>20</v>
      </c>
      <c r="L105" s="93">
        <v>1</v>
      </c>
      <c r="M105" s="103">
        <v>690300</v>
      </c>
      <c r="N105" s="127">
        <f t="shared" si="3"/>
        <v>690300</v>
      </c>
      <c r="O105" s="104" t="s">
        <v>21</v>
      </c>
      <c r="P105" s="93">
        <f t="shared" si="4"/>
        <v>70</v>
      </c>
    </row>
    <row r="106" spans="1:16" x14ac:dyDescent="0.25">
      <c r="A106" s="129" t="s">
        <v>2679</v>
      </c>
      <c r="B106" s="132">
        <v>45932</v>
      </c>
      <c r="C106" s="93">
        <f t="shared" si="5"/>
        <v>146</v>
      </c>
      <c r="D106" s="93">
        <v>1</v>
      </c>
      <c r="E106" s="93"/>
      <c r="F106" s="93"/>
      <c r="G106" s="94" t="s">
        <v>85</v>
      </c>
      <c r="H106" s="92" t="s">
        <v>4204</v>
      </c>
      <c r="I106" s="129">
        <v>112111</v>
      </c>
      <c r="J106" s="129">
        <v>131</v>
      </c>
      <c r="K106" s="93" t="s">
        <v>20</v>
      </c>
      <c r="L106" s="93">
        <v>1</v>
      </c>
      <c r="M106" s="103">
        <v>117096774</v>
      </c>
      <c r="N106" s="127">
        <f t="shared" si="3"/>
        <v>117096774</v>
      </c>
      <c r="O106" s="104" t="s">
        <v>21</v>
      </c>
      <c r="P106" s="93">
        <f t="shared" si="4"/>
        <v>71</v>
      </c>
    </row>
    <row r="107" spans="1:16" x14ac:dyDescent="0.25">
      <c r="A107" s="129" t="s">
        <v>2679</v>
      </c>
      <c r="B107" s="132">
        <v>45937</v>
      </c>
      <c r="C107" s="93">
        <f t="shared" si="5"/>
        <v>147</v>
      </c>
      <c r="D107" s="93">
        <v>1</v>
      </c>
      <c r="E107" s="93"/>
      <c r="F107" s="93"/>
      <c r="G107" s="94" t="s">
        <v>403</v>
      </c>
      <c r="H107" s="92" t="s">
        <v>4205</v>
      </c>
      <c r="I107" s="129">
        <v>112111</v>
      </c>
      <c r="J107" s="129">
        <v>131</v>
      </c>
      <c r="K107" s="93" t="s">
        <v>20</v>
      </c>
      <c r="L107" s="93">
        <v>1</v>
      </c>
      <c r="M107" s="103">
        <v>39919355</v>
      </c>
      <c r="N107" s="127">
        <f t="shared" si="3"/>
        <v>39919355</v>
      </c>
      <c r="O107" s="104" t="s">
        <v>21</v>
      </c>
      <c r="P107" s="93">
        <f t="shared" si="4"/>
        <v>72</v>
      </c>
    </row>
    <row r="108" spans="1:16" x14ac:dyDescent="0.25">
      <c r="A108" s="129" t="s">
        <v>2679</v>
      </c>
      <c r="B108" s="132">
        <v>45938</v>
      </c>
      <c r="C108" s="93">
        <f t="shared" si="5"/>
        <v>148</v>
      </c>
      <c r="D108" s="93">
        <v>1</v>
      </c>
      <c r="E108" s="93"/>
      <c r="F108" s="93"/>
      <c r="G108" s="130" t="s">
        <v>89</v>
      </c>
      <c r="H108" s="129" t="s">
        <v>4206</v>
      </c>
      <c r="I108" s="129">
        <v>112111</v>
      </c>
      <c r="J108" s="129">
        <v>131</v>
      </c>
      <c r="K108" s="93" t="s">
        <v>20</v>
      </c>
      <c r="L108" s="93">
        <v>1</v>
      </c>
      <c r="M108" s="103">
        <v>74516129</v>
      </c>
      <c r="N108" s="127">
        <f t="shared" si="3"/>
        <v>74516129</v>
      </c>
      <c r="O108" s="104" t="s">
        <v>21</v>
      </c>
      <c r="P108" s="93">
        <f t="shared" si="4"/>
        <v>73</v>
      </c>
    </row>
    <row r="109" spans="1:16" x14ac:dyDescent="0.25">
      <c r="A109" s="129" t="s">
        <v>2678</v>
      </c>
      <c r="B109" s="132">
        <v>45941</v>
      </c>
      <c r="C109" s="93">
        <f t="shared" si="5"/>
        <v>149</v>
      </c>
      <c r="D109" s="93">
        <v>1</v>
      </c>
      <c r="E109" s="93"/>
      <c r="F109" s="93"/>
      <c r="G109" s="94" t="s">
        <v>1931</v>
      </c>
      <c r="H109" s="93" t="s">
        <v>4207</v>
      </c>
      <c r="I109" s="129">
        <v>331</v>
      </c>
      <c r="J109" s="129">
        <v>112111</v>
      </c>
      <c r="K109" s="93" t="s">
        <v>20</v>
      </c>
      <c r="L109" s="93">
        <v>1</v>
      </c>
      <c r="M109" s="103">
        <v>30590000</v>
      </c>
      <c r="N109" s="127">
        <f t="shared" si="3"/>
        <v>30590000</v>
      </c>
      <c r="O109" s="104" t="s">
        <v>21</v>
      </c>
      <c r="P109" s="93">
        <f t="shared" si="4"/>
        <v>74</v>
      </c>
    </row>
    <row r="110" spans="1:16" x14ac:dyDescent="0.25">
      <c r="A110" s="129" t="s">
        <v>2678</v>
      </c>
      <c r="B110" s="132">
        <v>45949</v>
      </c>
      <c r="C110" s="93">
        <f t="shared" si="5"/>
        <v>150</v>
      </c>
      <c r="D110" s="93">
        <v>1</v>
      </c>
      <c r="E110" s="93"/>
      <c r="F110" s="93"/>
      <c r="G110" s="94" t="s">
        <v>152</v>
      </c>
      <c r="H110" s="92" t="s">
        <v>3017</v>
      </c>
      <c r="I110" s="129">
        <v>1111</v>
      </c>
      <c r="J110" s="129">
        <v>112111</v>
      </c>
      <c r="K110" s="93" t="s">
        <v>20</v>
      </c>
      <c r="L110" s="93">
        <v>1</v>
      </c>
      <c r="M110" s="103">
        <v>201800000</v>
      </c>
      <c r="N110" s="127">
        <f t="shared" si="3"/>
        <v>201800000</v>
      </c>
      <c r="O110" s="104" t="s">
        <v>21</v>
      </c>
      <c r="P110" s="93">
        <f t="shared" si="4"/>
        <v>75</v>
      </c>
    </row>
    <row r="111" spans="1:16" x14ac:dyDescent="0.25">
      <c r="A111" s="129" t="s">
        <v>2679</v>
      </c>
      <c r="B111" s="132">
        <v>45950</v>
      </c>
      <c r="C111" s="93">
        <f t="shared" si="5"/>
        <v>151</v>
      </c>
      <c r="D111" s="93">
        <v>1</v>
      </c>
      <c r="E111" s="93"/>
      <c r="F111" s="93"/>
      <c r="G111" s="94" t="s">
        <v>2393</v>
      </c>
      <c r="H111" s="92" t="s">
        <v>4208</v>
      </c>
      <c r="I111" s="129">
        <v>112111</v>
      </c>
      <c r="J111" s="129">
        <v>131</v>
      </c>
      <c r="K111" s="93" t="s">
        <v>20</v>
      </c>
      <c r="L111" s="93">
        <v>1</v>
      </c>
      <c r="M111" s="103">
        <v>15967742</v>
      </c>
      <c r="N111" s="127">
        <f t="shared" si="3"/>
        <v>15967742</v>
      </c>
      <c r="O111" s="104" t="s">
        <v>21</v>
      </c>
      <c r="P111" s="93">
        <f t="shared" si="4"/>
        <v>76</v>
      </c>
    </row>
    <row r="112" spans="1:16" x14ac:dyDescent="0.25">
      <c r="A112" s="129" t="s">
        <v>2678</v>
      </c>
      <c r="B112" s="132">
        <v>45950</v>
      </c>
      <c r="C112" s="93">
        <f t="shared" si="5"/>
        <v>152</v>
      </c>
      <c r="D112" s="93">
        <v>1</v>
      </c>
      <c r="E112" s="93"/>
      <c r="F112" s="93"/>
      <c r="G112" s="94" t="s">
        <v>152</v>
      </c>
      <c r="H112" s="92" t="s">
        <v>3017</v>
      </c>
      <c r="I112" s="129">
        <v>1111</v>
      </c>
      <c r="J112" s="129">
        <v>112111</v>
      </c>
      <c r="K112" s="93" t="s">
        <v>20</v>
      </c>
      <c r="L112" s="93">
        <v>1</v>
      </c>
      <c r="M112" s="103">
        <v>15900000</v>
      </c>
      <c r="N112" s="127">
        <f t="shared" si="3"/>
        <v>15900000</v>
      </c>
      <c r="O112" s="104" t="s">
        <v>21</v>
      </c>
      <c r="P112" s="93">
        <f t="shared" si="4"/>
        <v>77</v>
      </c>
    </row>
    <row r="113" spans="1:16" x14ac:dyDescent="0.25">
      <c r="A113" s="129" t="s">
        <v>2679</v>
      </c>
      <c r="B113" s="132">
        <v>45951</v>
      </c>
      <c r="C113" s="93">
        <f t="shared" si="5"/>
        <v>153</v>
      </c>
      <c r="D113" s="93">
        <v>1</v>
      </c>
      <c r="E113" s="93"/>
      <c r="F113" s="93"/>
      <c r="G113" s="130" t="s">
        <v>66</v>
      </c>
      <c r="H113" s="92" t="s">
        <v>4209</v>
      </c>
      <c r="I113" s="129">
        <v>112111</v>
      </c>
      <c r="J113" s="111">
        <v>131</v>
      </c>
      <c r="K113" s="93" t="s">
        <v>20</v>
      </c>
      <c r="L113" s="93">
        <v>1</v>
      </c>
      <c r="M113" s="103">
        <v>53225806</v>
      </c>
      <c r="N113" s="127">
        <f t="shared" si="3"/>
        <v>53225806</v>
      </c>
      <c r="O113" s="104" t="s">
        <v>21</v>
      </c>
      <c r="P113" s="93">
        <f t="shared" si="4"/>
        <v>78</v>
      </c>
    </row>
    <row r="114" spans="1:16" x14ac:dyDescent="0.25">
      <c r="A114" s="129" t="s">
        <v>2679</v>
      </c>
      <c r="B114" s="132">
        <v>45951</v>
      </c>
      <c r="C114" s="93">
        <f t="shared" si="5"/>
        <v>154</v>
      </c>
      <c r="D114" s="93">
        <v>1</v>
      </c>
      <c r="E114" s="93"/>
      <c r="F114" s="93"/>
      <c r="G114" s="130" t="s">
        <v>66</v>
      </c>
      <c r="H114" s="92" t="s">
        <v>4210</v>
      </c>
      <c r="I114" s="129">
        <v>112111</v>
      </c>
      <c r="J114" s="111">
        <v>131</v>
      </c>
      <c r="K114" s="93" t="s">
        <v>20</v>
      </c>
      <c r="L114" s="93">
        <v>1</v>
      </c>
      <c r="M114" s="103">
        <v>53225806</v>
      </c>
      <c r="N114" s="127">
        <f t="shared" si="3"/>
        <v>53225806</v>
      </c>
      <c r="O114" s="104" t="s">
        <v>21</v>
      </c>
      <c r="P114" s="93">
        <f t="shared" si="4"/>
        <v>79</v>
      </c>
    </row>
    <row r="115" spans="1:16" x14ac:dyDescent="0.25">
      <c r="A115" s="129" t="s">
        <v>2678</v>
      </c>
      <c r="B115" s="132">
        <v>45951</v>
      </c>
      <c r="C115" s="93">
        <f t="shared" si="5"/>
        <v>155</v>
      </c>
      <c r="D115" s="93">
        <v>1</v>
      </c>
      <c r="E115" s="93"/>
      <c r="F115" s="93"/>
      <c r="G115" s="94" t="s">
        <v>152</v>
      </c>
      <c r="H115" s="92" t="s">
        <v>3017</v>
      </c>
      <c r="I115" s="129">
        <v>1111</v>
      </c>
      <c r="J115" s="129">
        <v>112111</v>
      </c>
      <c r="K115" s="93" t="s">
        <v>20</v>
      </c>
      <c r="L115" s="93">
        <v>1</v>
      </c>
      <c r="M115" s="103">
        <v>100000000</v>
      </c>
      <c r="N115" s="127">
        <f t="shared" si="3"/>
        <v>100000000</v>
      </c>
      <c r="O115" s="104" t="s">
        <v>21</v>
      </c>
      <c r="P115" s="93">
        <f t="shared" si="4"/>
        <v>80</v>
      </c>
    </row>
    <row r="116" spans="1:16" x14ac:dyDescent="0.25">
      <c r="A116" s="129" t="s">
        <v>18</v>
      </c>
      <c r="B116" s="132">
        <v>45952</v>
      </c>
      <c r="C116" s="93">
        <f t="shared" si="5"/>
        <v>156</v>
      </c>
      <c r="D116" s="93">
        <v>1</v>
      </c>
      <c r="E116" s="93"/>
      <c r="F116" s="93"/>
      <c r="G116" s="94" t="s">
        <v>3003</v>
      </c>
      <c r="H116" s="92" t="s">
        <v>3161</v>
      </c>
      <c r="I116" s="129">
        <v>131</v>
      </c>
      <c r="J116" s="129">
        <v>5118</v>
      </c>
      <c r="K116" s="93" t="s">
        <v>20</v>
      </c>
      <c r="L116" s="93">
        <v>1</v>
      </c>
      <c r="M116" s="103">
        <v>368756662</v>
      </c>
      <c r="N116" s="127">
        <f t="shared" si="3"/>
        <v>368756662</v>
      </c>
      <c r="O116" s="104" t="s">
        <v>21</v>
      </c>
      <c r="P116" s="93">
        <f t="shared" si="4"/>
        <v>81</v>
      </c>
    </row>
    <row r="117" spans="1:16" x14ac:dyDescent="0.25">
      <c r="A117" s="129" t="s">
        <v>2679</v>
      </c>
      <c r="B117" s="132">
        <v>45952</v>
      </c>
      <c r="C117" s="93">
        <f t="shared" si="5"/>
        <v>157</v>
      </c>
      <c r="D117" s="93">
        <v>1</v>
      </c>
      <c r="E117" s="93"/>
      <c r="F117" s="93"/>
      <c r="G117" s="94" t="s">
        <v>3003</v>
      </c>
      <c r="H117" s="92" t="s">
        <v>3162</v>
      </c>
      <c r="I117" s="129">
        <v>112111</v>
      </c>
      <c r="J117" s="129">
        <v>131</v>
      </c>
      <c r="K117" s="93" t="s">
        <v>20</v>
      </c>
      <c r="L117" s="93">
        <v>1</v>
      </c>
      <c r="M117" s="103">
        <v>368756662</v>
      </c>
      <c r="N117" s="127">
        <f t="shared" si="3"/>
        <v>368756662</v>
      </c>
      <c r="O117" s="104" t="s">
        <v>21</v>
      </c>
      <c r="P117" s="93">
        <f t="shared" si="4"/>
        <v>82</v>
      </c>
    </row>
    <row r="118" spans="1:16" x14ac:dyDescent="0.25">
      <c r="A118" s="129" t="s">
        <v>2678</v>
      </c>
      <c r="B118" s="132">
        <v>45952</v>
      </c>
      <c r="C118" s="93">
        <f t="shared" si="5"/>
        <v>158</v>
      </c>
      <c r="D118" s="93">
        <v>1</v>
      </c>
      <c r="E118" s="93"/>
      <c r="F118" s="93"/>
      <c r="G118" s="94" t="s">
        <v>152</v>
      </c>
      <c r="H118" s="92" t="s">
        <v>3017</v>
      </c>
      <c r="I118" s="129">
        <v>1111</v>
      </c>
      <c r="J118" s="129">
        <v>112111</v>
      </c>
      <c r="K118" s="93" t="s">
        <v>20</v>
      </c>
      <c r="L118" s="93">
        <v>1</v>
      </c>
      <c r="M118" s="103">
        <v>375000000</v>
      </c>
      <c r="N118" s="127">
        <f t="shared" si="3"/>
        <v>375000000</v>
      </c>
      <c r="O118" s="104" t="s">
        <v>21</v>
      </c>
      <c r="P118" s="93">
        <f t="shared" si="4"/>
        <v>83</v>
      </c>
    </row>
    <row r="119" spans="1:16" x14ac:dyDescent="0.25">
      <c r="A119" s="129" t="s">
        <v>2679</v>
      </c>
      <c r="B119" s="132">
        <v>45953</v>
      </c>
      <c r="C119" s="93">
        <f t="shared" si="5"/>
        <v>159</v>
      </c>
      <c r="D119" s="93">
        <v>1</v>
      </c>
      <c r="E119" s="93"/>
      <c r="F119" s="93"/>
      <c r="G119" s="94" t="s">
        <v>288</v>
      </c>
      <c r="H119" s="92" t="s">
        <v>4211</v>
      </c>
      <c r="I119" s="129">
        <v>112111</v>
      </c>
      <c r="J119" s="129">
        <v>131</v>
      </c>
      <c r="K119" s="93" t="s">
        <v>20</v>
      </c>
      <c r="L119" s="93">
        <v>1</v>
      </c>
      <c r="M119" s="103">
        <v>63870968</v>
      </c>
      <c r="N119" s="127">
        <f t="shared" si="3"/>
        <v>63870968</v>
      </c>
      <c r="O119" s="104" t="s">
        <v>21</v>
      </c>
      <c r="P119" s="93">
        <f t="shared" si="4"/>
        <v>84</v>
      </c>
    </row>
    <row r="120" spans="1:16" x14ac:dyDescent="0.25">
      <c r="A120" s="129" t="s">
        <v>2679</v>
      </c>
      <c r="B120" s="132">
        <v>45955</v>
      </c>
      <c r="C120" s="93">
        <f t="shared" si="5"/>
        <v>160</v>
      </c>
      <c r="D120" s="93">
        <v>1</v>
      </c>
      <c r="E120" s="93"/>
      <c r="F120" s="93"/>
      <c r="G120" s="94" t="s">
        <v>47</v>
      </c>
      <c r="H120" s="92" t="s">
        <v>4212</v>
      </c>
      <c r="I120" s="129">
        <v>112111</v>
      </c>
      <c r="J120" s="129">
        <v>131</v>
      </c>
      <c r="K120" s="93" t="s">
        <v>20</v>
      </c>
      <c r="L120" s="93">
        <v>1</v>
      </c>
      <c r="M120" s="103">
        <v>53225806</v>
      </c>
      <c r="N120" s="127">
        <f t="shared" si="3"/>
        <v>53225806</v>
      </c>
      <c r="O120" s="104" t="s">
        <v>21</v>
      </c>
      <c r="P120" s="93">
        <f t="shared" si="4"/>
        <v>85</v>
      </c>
    </row>
    <row r="121" spans="1:16" x14ac:dyDescent="0.25">
      <c r="A121" s="129" t="s">
        <v>2679</v>
      </c>
      <c r="B121" s="132">
        <v>45960</v>
      </c>
      <c r="C121" s="93">
        <f t="shared" si="5"/>
        <v>161</v>
      </c>
      <c r="D121" s="93">
        <v>1</v>
      </c>
      <c r="E121" s="93"/>
      <c r="F121" s="93"/>
      <c r="G121" s="94" t="s">
        <v>65</v>
      </c>
      <c r="H121" s="92" t="s">
        <v>4213</v>
      </c>
      <c r="I121" s="129">
        <v>112111</v>
      </c>
      <c r="J121" s="129">
        <v>131</v>
      </c>
      <c r="K121" s="93" t="s">
        <v>20</v>
      </c>
      <c r="L121" s="93">
        <v>1</v>
      </c>
      <c r="M121" s="103">
        <v>63870968</v>
      </c>
      <c r="N121" s="127">
        <f t="shared" si="3"/>
        <v>63870968</v>
      </c>
      <c r="O121" s="104" t="s">
        <v>21</v>
      </c>
      <c r="P121" s="93">
        <f t="shared" si="4"/>
        <v>86</v>
      </c>
    </row>
    <row r="122" spans="1:16" x14ac:dyDescent="0.25">
      <c r="A122" s="129" t="s">
        <v>2679</v>
      </c>
      <c r="B122" s="132">
        <v>45960</v>
      </c>
      <c r="C122" s="93">
        <f t="shared" si="5"/>
        <v>162</v>
      </c>
      <c r="D122" s="93">
        <v>1</v>
      </c>
      <c r="E122" s="93"/>
      <c r="F122" s="93"/>
      <c r="G122" s="94" t="s">
        <v>1727</v>
      </c>
      <c r="H122" s="92" t="s">
        <v>4214</v>
      </c>
      <c r="I122" s="129">
        <v>112111</v>
      </c>
      <c r="J122" s="129">
        <v>131</v>
      </c>
      <c r="K122" s="93" t="s">
        <v>20</v>
      </c>
      <c r="L122" s="93">
        <v>1</v>
      </c>
      <c r="M122" s="103">
        <v>63870968</v>
      </c>
      <c r="N122" s="127">
        <f t="shared" si="3"/>
        <v>63870968</v>
      </c>
      <c r="O122" s="104" t="s">
        <v>21</v>
      </c>
      <c r="P122" s="93">
        <f t="shared" si="4"/>
        <v>87</v>
      </c>
    </row>
    <row r="123" spans="1:16" x14ac:dyDescent="0.25">
      <c r="A123" s="129" t="s">
        <v>2678</v>
      </c>
      <c r="B123" s="132">
        <v>45960</v>
      </c>
      <c r="C123" s="93">
        <f t="shared" si="5"/>
        <v>163</v>
      </c>
      <c r="D123" s="93">
        <v>1</v>
      </c>
      <c r="E123" s="93"/>
      <c r="F123" s="93"/>
      <c r="G123" s="94" t="s">
        <v>152</v>
      </c>
      <c r="H123" s="92" t="s">
        <v>3017</v>
      </c>
      <c r="I123" s="129">
        <v>1111</v>
      </c>
      <c r="J123" s="129">
        <v>112111</v>
      </c>
      <c r="K123" s="93" t="s">
        <v>20</v>
      </c>
      <c r="L123" s="93">
        <v>1</v>
      </c>
      <c r="M123" s="103">
        <v>230000000</v>
      </c>
      <c r="N123" s="127">
        <f t="shared" si="3"/>
        <v>230000000</v>
      </c>
      <c r="O123" s="104" t="s">
        <v>21</v>
      </c>
      <c r="P123" s="93">
        <f t="shared" si="4"/>
        <v>88</v>
      </c>
    </row>
    <row r="124" spans="1:16" x14ac:dyDescent="0.25">
      <c r="A124" s="129" t="s">
        <v>2679</v>
      </c>
      <c r="B124" s="132">
        <v>45960</v>
      </c>
      <c r="C124" s="93">
        <f t="shared" si="5"/>
        <v>164</v>
      </c>
      <c r="D124" s="93">
        <v>1</v>
      </c>
      <c r="E124" s="93"/>
      <c r="F124" s="93"/>
      <c r="G124" s="94" t="s">
        <v>147</v>
      </c>
      <c r="H124" s="92" t="s">
        <v>4215</v>
      </c>
      <c r="I124" s="129">
        <v>112111</v>
      </c>
      <c r="J124" s="129">
        <v>131</v>
      </c>
      <c r="K124" s="93" t="s">
        <v>20</v>
      </c>
      <c r="L124" s="93">
        <v>1</v>
      </c>
      <c r="M124" s="103">
        <v>7451613</v>
      </c>
      <c r="N124" s="127">
        <f t="shared" si="3"/>
        <v>7451613</v>
      </c>
      <c r="O124" s="104" t="s">
        <v>21</v>
      </c>
      <c r="P124" s="93">
        <f t="shared" si="4"/>
        <v>89</v>
      </c>
    </row>
    <row r="125" spans="1:16" x14ac:dyDescent="0.25">
      <c r="A125" s="129" t="s">
        <v>2679</v>
      </c>
      <c r="B125" s="132">
        <v>45960</v>
      </c>
      <c r="C125" s="93">
        <f t="shared" si="5"/>
        <v>165</v>
      </c>
      <c r="D125" s="93">
        <v>1</v>
      </c>
      <c r="E125" s="93"/>
      <c r="F125" s="93"/>
      <c r="G125" s="130" t="s">
        <v>66</v>
      </c>
      <c r="H125" s="92" t="s">
        <v>4216</v>
      </c>
      <c r="I125" s="129">
        <v>112111</v>
      </c>
      <c r="J125" s="129">
        <v>131</v>
      </c>
      <c r="K125" s="93" t="s">
        <v>20</v>
      </c>
      <c r="L125" s="93">
        <v>1</v>
      </c>
      <c r="M125" s="103">
        <v>53225806</v>
      </c>
      <c r="N125" s="127">
        <f t="shared" si="3"/>
        <v>53225806</v>
      </c>
      <c r="O125" s="104" t="s">
        <v>21</v>
      </c>
      <c r="P125" s="93">
        <f t="shared" si="4"/>
        <v>90</v>
      </c>
    </row>
    <row r="126" spans="1:16" x14ac:dyDescent="0.25">
      <c r="A126" s="129" t="s">
        <v>2679</v>
      </c>
      <c r="B126" s="132">
        <v>45960</v>
      </c>
      <c r="C126" s="93">
        <f t="shared" si="5"/>
        <v>166</v>
      </c>
      <c r="D126" s="93">
        <v>1</v>
      </c>
      <c r="E126" s="93"/>
      <c r="F126" s="93"/>
      <c r="G126" s="130" t="s">
        <v>66</v>
      </c>
      <c r="H126" s="129" t="s">
        <v>4217</v>
      </c>
      <c r="I126" s="129">
        <v>112111</v>
      </c>
      <c r="J126" s="129">
        <v>131</v>
      </c>
      <c r="K126" s="93" t="s">
        <v>20</v>
      </c>
      <c r="L126" s="93">
        <v>1</v>
      </c>
      <c r="M126" s="103">
        <v>10645161</v>
      </c>
      <c r="N126" s="127">
        <f t="shared" si="3"/>
        <v>10645161</v>
      </c>
      <c r="O126" s="104" t="s">
        <v>21</v>
      </c>
      <c r="P126" s="93">
        <f t="shared" si="4"/>
        <v>91</v>
      </c>
    </row>
    <row r="127" spans="1:16" x14ac:dyDescent="0.25">
      <c r="A127" s="129" t="s">
        <v>2679</v>
      </c>
      <c r="B127" s="132">
        <v>45960</v>
      </c>
      <c r="C127" s="93">
        <f t="shared" si="5"/>
        <v>167</v>
      </c>
      <c r="D127" s="93">
        <v>1</v>
      </c>
      <c r="E127" s="93"/>
      <c r="F127" s="93"/>
      <c r="G127" s="130" t="s">
        <v>66</v>
      </c>
      <c r="H127" s="92" t="s">
        <v>4218</v>
      </c>
      <c r="I127" s="129">
        <v>112111</v>
      </c>
      <c r="J127" s="129">
        <v>131</v>
      </c>
      <c r="K127" s="93" t="s">
        <v>20</v>
      </c>
      <c r="L127" s="93">
        <v>1</v>
      </c>
      <c r="M127" s="103">
        <v>10645161</v>
      </c>
      <c r="N127" s="127">
        <f t="shared" si="3"/>
        <v>10645161</v>
      </c>
      <c r="O127" s="104" t="s">
        <v>21</v>
      </c>
      <c r="P127" s="93">
        <f t="shared" si="4"/>
        <v>92</v>
      </c>
    </row>
    <row r="128" spans="1:16" x14ac:dyDescent="0.25">
      <c r="A128" s="129" t="s">
        <v>2679</v>
      </c>
      <c r="B128" s="132">
        <v>45960</v>
      </c>
      <c r="C128" s="93">
        <f t="shared" si="5"/>
        <v>168</v>
      </c>
      <c r="D128" s="93">
        <v>1</v>
      </c>
      <c r="E128" s="93"/>
      <c r="F128" s="93"/>
      <c r="G128" s="130" t="s">
        <v>66</v>
      </c>
      <c r="H128" s="92" t="s">
        <v>4219</v>
      </c>
      <c r="I128" s="129">
        <v>112111</v>
      </c>
      <c r="J128" s="129">
        <v>131</v>
      </c>
      <c r="K128" s="93" t="s">
        <v>20</v>
      </c>
      <c r="L128" s="93">
        <v>1</v>
      </c>
      <c r="M128" s="103">
        <v>53225806</v>
      </c>
      <c r="N128" s="127">
        <f t="shared" si="3"/>
        <v>53225806</v>
      </c>
      <c r="O128" s="104" t="s">
        <v>21</v>
      </c>
      <c r="P128" s="93">
        <f t="shared" si="4"/>
        <v>93</v>
      </c>
    </row>
    <row r="129" spans="1:16" x14ac:dyDescent="0.25">
      <c r="A129" s="129" t="s">
        <v>2679</v>
      </c>
      <c r="B129" s="132">
        <v>45960</v>
      </c>
      <c r="C129" s="93">
        <f t="shared" si="5"/>
        <v>169</v>
      </c>
      <c r="D129" s="93">
        <v>1</v>
      </c>
      <c r="E129" s="93"/>
      <c r="F129" s="93"/>
      <c r="G129" s="130" t="s">
        <v>85</v>
      </c>
      <c r="H129" s="129" t="s">
        <v>4220</v>
      </c>
      <c r="I129" s="129">
        <v>112111</v>
      </c>
      <c r="J129" s="129">
        <v>131</v>
      </c>
      <c r="K129" s="93" t="s">
        <v>20</v>
      </c>
      <c r="L129" s="93">
        <v>1</v>
      </c>
      <c r="M129" s="103">
        <v>74516129</v>
      </c>
      <c r="N129" s="127">
        <f t="shared" si="3"/>
        <v>74516129</v>
      </c>
      <c r="O129" s="104" t="s">
        <v>21</v>
      </c>
      <c r="P129" s="93">
        <f t="shared" si="4"/>
        <v>94</v>
      </c>
    </row>
    <row r="130" spans="1:16" x14ac:dyDescent="0.25">
      <c r="A130" s="129" t="s">
        <v>2679</v>
      </c>
      <c r="B130" s="132">
        <v>45961</v>
      </c>
      <c r="C130" s="93">
        <f t="shared" si="5"/>
        <v>170</v>
      </c>
      <c r="D130" s="93">
        <v>1</v>
      </c>
      <c r="E130" s="93"/>
      <c r="F130" s="93"/>
      <c r="G130" s="94" t="s">
        <v>1892</v>
      </c>
      <c r="H130" s="92" t="s">
        <v>4221</v>
      </c>
      <c r="I130" s="129">
        <v>112111</v>
      </c>
      <c r="J130" s="129">
        <v>131</v>
      </c>
      <c r="K130" s="93" t="s">
        <v>20</v>
      </c>
      <c r="L130" s="93">
        <v>1</v>
      </c>
      <c r="M130" s="103">
        <v>63870968</v>
      </c>
      <c r="N130" s="127">
        <f t="shared" si="3"/>
        <v>63870968</v>
      </c>
      <c r="O130" s="104" t="s">
        <v>21</v>
      </c>
      <c r="P130" s="93">
        <f t="shared" si="4"/>
        <v>95</v>
      </c>
    </row>
    <row r="131" spans="1:16" x14ac:dyDescent="0.25">
      <c r="A131" s="129" t="s">
        <v>2679</v>
      </c>
      <c r="B131" s="132">
        <v>45971</v>
      </c>
      <c r="C131" s="93">
        <f t="shared" si="5"/>
        <v>171</v>
      </c>
      <c r="D131" s="93">
        <v>1</v>
      </c>
      <c r="E131" s="93"/>
      <c r="F131" s="93"/>
      <c r="G131" s="94" t="s">
        <v>4222</v>
      </c>
      <c r="H131" s="92" t="s">
        <v>4223</v>
      </c>
      <c r="I131" s="129">
        <v>112111</v>
      </c>
      <c r="J131" s="129">
        <v>131</v>
      </c>
      <c r="K131" s="93" t="s">
        <v>20</v>
      </c>
      <c r="L131" s="93">
        <v>1</v>
      </c>
      <c r="M131" s="103">
        <v>63000</v>
      </c>
      <c r="N131" s="127">
        <f t="shared" si="3"/>
        <v>63000</v>
      </c>
      <c r="O131" s="104" t="s">
        <v>21</v>
      </c>
      <c r="P131" s="93">
        <f t="shared" si="4"/>
        <v>96</v>
      </c>
    </row>
    <row r="132" spans="1:16" x14ac:dyDescent="0.25">
      <c r="A132" s="129" t="s">
        <v>2679</v>
      </c>
      <c r="B132" s="132">
        <v>45973</v>
      </c>
      <c r="C132" s="93">
        <f t="shared" si="5"/>
        <v>172</v>
      </c>
      <c r="D132" s="93">
        <v>1</v>
      </c>
      <c r="E132" s="93"/>
      <c r="F132" s="93"/>
      <c r="G132" s="130" t="s">
        <v>89</v>
      </c>
      <c r="H132" s="129" t="s">
        <v>4224</v>
      </c>
      <c r="I132" s="129">
        <v>112111</v>
      </c>
      <c r="J132" s="129">
        <v>131</v>
      </c>
      <c r="K132" s="93" t="s">
        <v>20</v>
      </c>
      <c r="L132" s="93">
        <v>1</v>
      </c>
      <c r="M132" s="103">
        <v>75048387</v>
      </c>
      <c r="N132" s="127">
        <f t="shared" ref="N132:N194" si="6">L132*M132</f>
        <v>75048387</v>
      </c>
      <c r="O132" s="104" t="s">
        <v>21</v>
      </c>
      <c r="P132" s="93">
        <f t="shared" si="4"/>
        <v>97</v>
      </c>
    </row>
    <row r="133" spans="1:16" x14ac:dyDescent="0.25">
      <c r="A133" s="129" t="s">
        <v>2679</v>
      </c>
      <c r="B133" s="132">
        <v>45975</v>
      </c>
      <c r="C133" s="93">
        <f t="shared" si="5"/>
        <v>173</v>
      </c>
      <c r="D133" s="93">
        <v>1</v>
      </c>
      <c r="E133" s="93"/>
      <c r="F133" s="93"/>
      <c r="G133" s="94" t="s">
        <v>1944</v>
      </c>
      <c r="H133" s="93" t="s">
        <v>4225</v>
      </c>
      <c r="I133" s="129">
        <v>112111</v>
      </c>
      <c r="J133" s="129">
        <v>131</v>
      </c>
      <c r="K133" s="93" t="s">
        <v>20</v>
      </c>
      <c r="L133" s="93">
        <v>1</v>
      </c>
      <c r="M133" s="103">
        <v>106451613</v>
      </c>
      <c r="N133" s="127">
        <f t="shared" si="6"/>
        <v>106451613</v>
      </c>
      <c r="O133" s="104" t="s">
        <v>21</v>
      </c>
      <c r="P133" s="93">
        <f t="shared" ref="P133:P155" si="7">P132+D133</f>
        <v>98</v>
      </c>
    </row>
    <row r="134" spans="1:16" x14ac:dyDescent="0.25">
      <c r="A134" s="129" t="s">
        <v>2679</v>
      </c>
      <c r="B134" s="132">
        <v>45975</v>
      </c>
      <c r="C134" s="93">
        <f t="shared" ref="C134:C194" si="8">C133+D134</f>
        <v>174</v>
      </c>
      <c r="D134" s="93">
        <v>1</v>
      </c>
      <c r="E134" s="93"/>
      <c r="F134" s="93"/>
      <c r="G134" s="94" t="s">
        <v>1667</v>
      </c>
      <c r="H134" s="92" t="s">
        <v>4226</v>
      </c>
      <c r="I134" s="129">
        <v>112111</v>
      </c>
      <c r="J134" s="129">
        <v>131</v>
      </c>
      <c r="K134" s="93" t="s">
        <v>20</v>
      </c>
      <c r="L134" s="93">
        <v>1</v>
      </c>
      <c r="M134" s="103">
        <v>63870968</v>
      </c>
      <c r="N134" s="127">
        <f t="shared" si="6"/>
        <v>63870968</v>
      </c>
      <c r="O134" s="104" t="s">
        <v>21</v>
      </c>
      <c r="P134" s="93">
        <f t="shared" si="7"/>
        <v>99</v>
      </c>
    </row>
    <row r="135" spans="1:16" x14ac:dyDescent="0.25">
      <c r="A135" s="129" t="s">
        <v>2679</v>
      </c>
      <c r="B135" s="132">
        <v>45980</v>
      </c>
      <c r="C135" s="93">
        <f t="shared" si="8"/>
        <v>175</v>
      </c>
      <c r="D135" s="93">
        <v>1</v>
      </c>
      <c r="E135" s="93"/>
      <c r="F135" s="93"/>
      <c r="G135" s="94" t="s">
        <v>47</v>
      </c>
      <c r="H135" s="92" t="s">
        <v>4227</v>
      </c>
      <c r="I135" s="129">
        <v>112111</v>
      </c>
      <c r="J135" s="129">
        <v>131</v>
      </c>
      <c r="K135" s="93" t="s">
        <v>20</v>
      </c>
      <c r="L135" s="93">
        <v>1</v>
      </c>
      <c r="M135" s="103">
        <v>53225806</v>
      </c>
      <c r="N135" s="127">
        <f t="shared" si="6"/>
        <v>53225806</v>
      </c>
      <c r="O135" s="104" t="s">
        <v>21</v>
      </c>
      <c r="P135" s="93">
        <f t="shared" si="7"/>
        <v>100</v>
      </c>
    </row>
    <row r="136" spans="1:16" x14ac:dyDescent="0.25">
      <c r="A136" s="129" t="s">
        <v>2678</v>
      </c>
      <c r="B136" s="132">
        <v>45981</v>
      </c>
      <c r="C136" s="93">
        <f t="shared" si="8"/>
        <v>176</v>
      </c>
      <c r="D136" s="93">
        <v>1</v>
      </c>
      <c r="E136" s="93"/>
      <c r="F136" s="93"/>
      <c r="G136" s="94" t="s">
        <v>152</v>
      </c>
      <c r="H136" s="92" t="s">
        <v>3017</v>
      </c>
      <c r="I136" s="129">
        <v>1111</v>
      </c>
      <c r="J136" s="129">
        <v>112111</v>
      </c>
      <c r="K136" s="93" t="s">
        <v>20</v>
      </c>
      <c r="L136" s="93">
        <v>1</v>
      </c>
      <c r="M136" s="103">
        <v>587405000</v>
      </c>
      <c r="N136" s="127">
        <f t="shared" si="6"/>
        <v>587405000</v>
      </c>
      <c r="O136" s="104" t="s">
        <v>21</v>
      </c>
      <c r="P136" s="93">
        <f t="shared" si="7"/>
        <v>101</v>
      </c>
    </row>
    <row r="137" spans="1:16" x14ac:dyDescent="0.25">
      <c r="A137" s="129" t="s">
        <v>2678</v>
      </c>
      <c r="B137" s="132">
        <v>45981</v>
      </c>
      <c r="C137" s="93">
        <f t="shared" si="8"/>
        <v>177</v>
      </c>
      <c r="D137" s="93">
        <v>1</v>
      </c>
      <c r="E137" s="93"/>
      <c r="F137" s="93"/>
      <c r="G137" s="94" t="s">
        <v>152</v>
      </c>
      <c r="H137" s="92" t="s">
        <v>3017</v>
      </c>
      <c r="I137" s="129">
        <v>1111</v>
      </c>
      <c r="J137" s="129">
        <v>112111</v>
      </c>
      <c r="K137" s="93" t="s">
        <v>20</v>
      </c>
      <c r="L137" s="93">
        <v>1</v>
      </c>
      <c r="M137" s="103">
        <v>494496000</v>
      </c>
      <c r="N137" s="127">
        <f t="shared" si="6"/>
        <v>494496000</v>
      </c>
      <c r="O137" s="104" t="s">
        <v>21</v>
      </c>
      <c r="P137" s="93">
        <f t="shared" si="7"/>
        <v>102</v>
      </c>
    </row>
    <row r="138" spans="1:16" x14ac:dyDescent="0.25">
      <c r="A138" s="129" t="s">
        <v>2679</v>
      </c>
      <c r="B138" s="132">
        <v>45982</v>
      </c>
      <c r="C138" s="93">
        <f t="shared" si="8"/>
        <v>178</v>
      </c>
      <c r="D138" s="93">
        <v>1</v>
      </c>
      <c r="E138" s="93"/>
      <c r="F138" s="93"/>
      <c r="G138" s="94" t="s">
        <v>26</v>
      </c>
      <c r="H138" s="92" t="s">
        <v>4228</v>
      </c>
      <c r="I138" s="129">
        <v>112111</v>
      </c>
      <c r="J138" s="129">
        <v>131</v>
      </c>
      <c r="K138" s="93" t="s">
        <v>20</v>
      </c>
      <c r="L138" s="93">
        <v>1</v>
      </c>
      <c r="M138" s="103">
        <v>63870968</v>
      </c>
      <c r="N138" s="127">
        <f t="shared" si="6"/>
        <v>63870968</v>
      </c>
      <c r="O138" s="104" t="s">
        <v>21</v>
      </c>
      <c r="P138" s="93">
        <f t="shared" si="7"/>
        <v>103</v>
      </c>
    </row>
    <row r="139" spans="1:16" x14ac:dyDescent="0.25">
      <c r="A139" s="129" t="s">
        <v>2679</v>
      </c>
      <c r="B139" s="132">
        <v>45988</v>
      </c>
      <c r="C139" s="93">
        <f t="shared" si="8"/>
        <v>179</v>
      </c>
      <c r="D139" s="93">
        <v>1</v>
      </c>
      <c r="E139" s="93"/>
      <c r="F139" s="93"/>
      <c r="G139" s="130" t="s">
        <v>66</v>
      </c>
      <c r="H139" s="93" t="s">
        <v>4229</v>
      </c>
      <c r="I139" s="129">
        <v>112111</v>
      </c>
      <c r="J139" s="129">
        <v>131</v>
      </c>
      <c r="K139" s="93" t="s">
        <v>20</v>
      </c>
      <c r="L139" s="93">
        <v>1</v>
      </c>
      <c r="M139" s="103">
        <v>53225806</v>
      </c>
      <c r="N139" s="127">
        <f t="shared" si="6"/>
        <v>53225806</v>
      </c>
      <c r="O139" s="104" t="s">
        <v>21</v>
      </c>
      <c r="P139" s="93">
        <f t="shared" si="7"/>
        <v>104</v>
      </c>
    </row>
    <row r="140" spans="1:16" x14ac:dyDescent="0.25">
      <c r="A140" s="129" t="s">
        <v>2678</v>
      </c>
      <c r="B140" s="132">
        <v>45990</v>
      </c>
      <c r="C140" s="93">
        <f t="shared" si="8"/>
        <v>180</v>
      </c>
      <c r="D140" s="93">
        <v>1</v>
      </c>
      <c r="E140" s="93"/>
      <c r="F140" s="93"/>
      <c r="G140" s="94" t="s">
        <v>152</v>
      </c>
      <c r="H140" s="92" t="s">
        <v>3017</v>
      </c>
      <c r="I140" s="129">
        <v>1111</v>
      </c>
      <c r="J140" s="129">
        <v>112111</v>
      </c>
      <c r="K140" s="93" t="s">
        <v>20</v>
      </c>
      <c r="L140" s="93">
        <v>1</v>
      </c>
      <c r="M140" s="103">
        <v>70000000</v>
      </c>
      <c r="N140" s="127">
        <f t="shared" si="6"/>
        <v>70000000</v>
      </c>
      <c r="O140" s="104" t="s">
        <v>21</v>
      </c>
      <c r="P140" s="93">
        <f t="shared" si="7"/>
        <v>105</v>
      </c>
    </row>
    <row r="141" spans="1:16" x14ac:dyDescent="0.25">
      <c r="A141" s="129" t="s">
        <v>2679</v>
      </c>
      <c r="B141" s="132">
        <v>45992</v>
      </c>
      <c r="C141" s="93">
        <f t="shared" si="8"/>
        <v>181</v>
      </c>
      <c r="D141" s="93">
        <v>1</v>
      </c>
      <c r="E141" s="93"/>
      <c r="F141" s="93"/>
      <c r="G141" s="94" t="s">
        <v>403</v>
      </c>
      <c r="H141" s="93" t="s">
        <v>4230</v>
      </c>
      <c r="I141" s="129">
        <v>112111</v>
      </c>
      <c r="J141" s="129">
        <v>131</v>
      </c>
      <c r="K141" s="93" t="s">
        <v>20</v>
      </c>
      <c r="L141" s="93">
        <v>1</v>
      </c>
      <c r="M141" s="103">
        <v>39919355</v>
      </c>
      <c r="N141" s="127">
        <f t="shared" si="6"/>
        <v>39919355</v>
      </c>
      <c r="O141" s="104" t="s">
        <v>21</v>
      </c>
      <c r="P141" s="93">
        <f t="shared" si="7"/>
        <v>106</v>
      </c>
    </row>
    <row r="142" spans="1:16" x14ac:dyDescent="0.25">
      <c r="A142" s="129" t="s">
        <v>2679</v>
      </c>
      <c r="B142" s="132">
        <v>45994</v>
      </c>
      <c r="C142" s="93">
        <f t="shared" si="8"/>
        <v>182</v>
      </c>
      <c r="D142" s="93">
        <v>1</v>
      </c>
      <c r="E142" s="93"/>
      <c r="F142" s="93"/>
      <c r="G142" s="94" t="s">
        <v>150</v>
      </c>
      <c r="H142" s="93" t="s">
        <v>4231</v>
      </c>
      <c r="I142" s="129">
        <v>112111</v>
      </c>
      <c r="J142" s="111">
        <v>131</v>
      </c>
      <c r="K142" s="93" t="s">
        <v>20</v>
      </c>
      <c r="L142" s="93">
        <v>1</v>
      </c>
      <c r="M142" s="103">
        <v>74516129</v>
      </c>
      <c r="N142" s="127">
        <f t="shared" si="6"/>
        <v>74516129</v>
      </c>
      <c r="O142" s="104" t="s">
        <v>21</v>
      </c>
      <c r="P142" s="93">
        <f t="shared" si="7"/>
        <v>107</v>
      </c>
    </row>
    <row r="143" spans="1:16" x14ac:dyDescent="0.25">
      <c r="A143" s="129" t="s">
        <v>2679</v>
      </c>
      <c r="B143" s="132">
        <v>45994</v>
      </c>
      <c r="C143" s="93">
        <f t="shared" si="8"/>
        <v>183</v>
      </c>
      <c r="D143" s="93">
        <v>1</v>
      </c>
      <c r="E143" s="93"/>
      <c r="F143" s="93"/>
      <c r="G143" s="94" t="s">
        <v>150</v>
      </c>
      <c r="H143" s="111" t="s">
        <v>4232</v>
      </c>
      <c r="I143" s="129">
        <v>112111</v>
      </c>
      <c r="J143" s="111">
        <v>131</v>
      </c>
      <c r="K143" s="93" t="s">
        <v>20</v>
      </c>
      <c r="L143" s="93">
        <v>1</v>
      </c>
      <c r="M143" s="103">
        <v>74516129</v>
      </c>
      <c r="N143" s="127">
        <f t="shared" si="6"/>
        <v>74516129</v>
      </c>
      <c r="O143" s="104" t="s">
        <v>21</v>
      </c>
      <c r="P143" s="93">
        <f t="shared" si="7"/>
        <v>108</v>
      </c>
    </row>
    <row r="144" spans="1:16" x14ac:dyDescent="0.25">
      <c r="A144" s="129" t="s">
        <v>2679</v>
      </c>
      <c r="B144" s="132">
        <v>45995</v>
      </c>
      <c r="C144" s="93">
        <f t="shared" si="8"/>
        <v>184</v>
      </c>
      <c r="D144" s="93">
        <v>1</v>
      </c>
      <c r="E144" s="93"/>
      <c r="F144" s="93"/>
      <c r="G144" s="94" t="s">
        <v>88</v>
      </c>
      <c r="H144" s="93" t="s">
        <v>4233</v>
      </c>
      <c r="I144" s="129">
        <v>112111</v>
      </c>
      <c r="J144" s="129">
        <v>131</v>
      </c>
      <c r="K144" s="93" t="s">
        <v>20</v>
      </c>
      <c r="L144" s="93">
        <v>1</v>
      </c>
      <c r="M144" s="103">
        <v>53225806</v>
      </c>
      <c r="N144" s="127">
        <f t="shared" si="6"/>
        <v>53225806</v>
      </c>
      <c r="O144" s="104" t="s">
        <v>21</v>
      </c>
      <c r="P144" s="93">
        <f t="shared" si="7"/>
        <v>109</v>
      </c>
    </row>
    <row r="145" spans="1:16" x14ac:dyDescent="0.25">
      <c r="A145" s="129" t="s">
        <v>2678</v>
      </c>
      <c r="B145" s="132">
        <v>45997</v>
      </c>
      <c r="C145" s="93">
        <f t="shared" si="8"/>
        <v>185</v>
      </c>
      <c r="D145" s="93">
        <v>1</v>
      </c>
      <c r="E145" s="93"/>
      <c r="F145" s="93"/>
      <c r="G145" s="94" t="s">
        <v>1942</v>
      </c>
      <c r="H145" s="93" t="s">
        <v>4234</v>
      </c>
      <c r="I145" s="129">
        <v>331</v>
      </c>
      <c r="J145" s="129">
        <v>112111</v>
      </c>
      <c r="K145" s="93" t="s">
        <v>20</v>
      </c>
      <c r="L145" s="93">
        <v>1</v>
      </c>
      <c r="M145" s="103">
        <v>16801241</v>
      </c>
      <c r="N145" s="127">
        <f t="shared" si="6"/>
        <v>16801241</v>
      </c>
      <c r="O145" s="104" t="s">
        <v>21</v>
      </c>
      <c r="P145" s="93">
        <f t="shared" si="7"/>
        <v>110</v>
      </c>
    </row>
    <row r="146" spans="1:16" x14ac:dyDescent="0.25">
      <c r="A146" s="129" t="s">
        <v>2678</v>
      </c>
      <c r="B146" s="132">
        <v>45997</v>
      </c>
      <c r="C146" s="93">
        <f t="shared" si="8"/>
        <v>185</v>
      </c>
      <c r="D146" s="93">
        <v>0</v>
      </c>
      <c r="E146" s="93"/>
      <c r="F146" s="93"/>
      <c r="G146" s="94" t="s">
        <v>1942</v>
      </c>
      <c r="H146" s="93" t="s">
        <v>4235</v>
      </c>
      <c r="I146" s="129">
        <v>331</v>
      </c>
      <c r="J146" s="129">
        <v>112111</v>
      </c>
      <c r="K146" s="93" t="s">
        <v>20</v>
      </c>
      <c r="L146" s="93">
        <v>1</v>
      </c>
      <c r="M146" s="103">
        <v>1026000</v>
      </c>
      <c r="N146" s="127">
        <f t="shared" si="6"/>
        <v>1026000</v>
      </c>
      <c r="O146" s="104" t="s">
        <v>21</v>
      </c>
      <c r="P146" s="93">
        <f t="shared" si="7"/>
        <v>110</v>
      </c>
    </row>
    <row r="147" spans="1:16" x14ac:dyDescent="0.25">
      <c r="A147" s="129" t="s">
        <v>2679</v>
      </c>
      <c r="B147" s="132">
        <v>46001</v>
      </c>
      <c r="C147" s="93">
        <f t="shared" si="8"/>
        <v>186</v>
      </c>
      <c r="D147" s="93">
        <v>1</v>
      </c>
      <c r="E147" s="93"/>
      <c r="F147" s="93"/>
      <c r="G147" s="94" t="s">
        <v>1667</v>
      </c>
      <c r="H147" s="92" t="s">
        <v>4226</v>
      </c>
      <c r="I147" s="129">
        <v>112111</v>
      </c>
      <c r="J147" s="129">
        <v>131</v>
      </c>
      <c r="K147" s="93" t="s">
        <v>20</v>
      </c>
      <c r="L147" s="93">
        <v>1</v>
      </c>
      <c r="M147" s="103">
        <v>10645161</v>
      </c>
      <c r="N147" s="127">
        <f t="shared" si="6"/>
        <v>10645161</v>
      </c>
      <c r="O147" s="104" t="s">
        <v>21</v>
      </c>
      <c r="P147" s="93">
        <f t="shared" si="7"/>
        <v>111</v>
      </c>
    </row>
    <row r="148" spans="1:16" x14ac:dyDescent="0.25">
      <c r="A148" s="129" t="s">
        <v>2679</v>
      </c>
      <c r="B148" s="132">
        <v>46002</v>
      </c>
      <c r="C148" s="93">
        <f t="shared" si="8"/>
        <v>187</v>
      </c>
      <c r="D148" s="93">
        <v>1</v>
      </c>
      <c r="E148" s="93"/>
      <c r="F148" s="93"/>
      <c r="G148" s="94" t="s">
        <v>89</v>
      </c>
      <c r="H148" s="93" t="s">
        <v>4236</v>
      </c>
      <c r="I148" s="129">
        <v>112111</v>
      </c>
      <c r="J148" s="129">
        <v>131</v>
      </c>
      <c r="K148" s="93" t="s">
        <v>20</v>
      </c>
      <c r="L148" s="93">
        <v>1</v>
      </c>
      <c r="M148" s="103">
        <v>53225806</v>
      </c>
      <c r="N148" s="127">
        <f t="shared" si="6"/>
        <v>53225806</v>
      </c>
      <c r="O148" s="104" t="s">
        <v>21</v>
      </c>
      <c r="P148" s="93">
        <f t="shared" si="7"/>
        <v>112</v>
      </c>
    </row>
    <row r="149" spans="1:16" x14ac:dyDescent="0.25">
      <c r="A149" s="129" t="s">
        <v>2679</v>
      </c>
      <c r="B149" s="132">
        <v>46002</v>
      </c>
      <c r="C149" s="93">
        <f t="shared" si="8"/>
        <v>188</v>
      </c>
      <c r="D149" s="93">
        <v>1</v>
      </c>
      <c r="E149" s="93"/>
      <c r="F149" s="93"/>
      <c r="G149" s="94" t="s">
        <v>1943</v>
      </c>
      <c r="H149" s="93" t="s">
        <v>4237</v>
      </c>
      <c r="I149" s="129">
        <v>112111</v>
      </c>
      <c r="J149" s="129">
        <v>131</v>
      </c>
      <c r="K149" s="93" t="s">
        <v>20</v>
      </c>
      <c r="L149" s="93">
        <v>1</v>
      </c>
      <c r="M149" s="103">
        <v>31935484</v>
      </c>
      <c r="N149" s="127">
        <f t="shared" si="6"/>
        <v>31935484</v>
      </c>
      <c r="O149" s="104" t="s">
        <v>21</v>
      </c>
      <c r="P149" s="93">
        <f t="shared" si="7"/>
        <v>113</v>
      </c>
    </row>
    <row r="150" spans="1:16" x14ac:dyDescent="0.25">
      <c r="A150" s="129" t="s">
        <v>2679</v>
      </c>
      <c r="B150" s="132">
        <v>46003</v>
      </c>
      <c r="C150" s="93">
        <f t="shared" si="8"/>
        <v>189</v>
      </c>
      <c r="D150" s="93">
        <v>1</v>
      </c>
      <c r="E150" s="93"/>
      <c r="F150" s="93"/>
      <c r="G150" s="116" t="s">
        <v>82</v>
      </c>
      <c r="H150" s="111" t="s">
        <v>4238</v>
      </c>
      <c r="I150" s="129">
        <v>112111</v>
      </c>
      <c r="J150" s="129">
        <v>131</v>
      </c>
      <c r="K150" s="93" t="s">
        <v>20</v>
      </c>
      <c r="L150" s="93">
        <v>1</v>
      </c>
      <c r="M150" s="103">
        <v>63870968</v>
      </c>
      <c r="N150" s="127">
        <f t="shared" si="6"/>
        <v>63870968</v>
      </c>
      <c r="O150" s="104" t="s">
        <v>21</v>
      </c>
      <c r="P150" s="93">
        <f t="shared" si="7"/>
        <v>114</v>
      </c>
    </row>
    <row r="151" spans="1:16" x14ac:dyDescent="0.25">
      <c r="A151" s="129" t="s">
        <v>2678</v>
      </c>
      <c r="B151" s="132">
        <v>46006</v>
      </c>
      <c r="C151" s="93">
        <f t="shared" si="8"/>
        <v>190</v>
      </c>
      <c r="D151" s="93">
        <v>1</v>
      </c>
      <c r="E151" s="93"/>
      <c r="F151" s="93"/>
      <c r="G151" s="94" t="s">
        <v>3011</v>
      </c>
      <c r="H151" s="92" t="s">
        <v>3036</v>
      </c>
      <c r="I151" s="129">
        <v>3383</v>
      </c>
      <c r="J151" s="129">
        <v>112111</v>
      </c>
      <c r="K151" s="93" t="s">
        <v>20</v>
      </c>
      <c r="L151" s="93">
        <v>1</v>
      </c>
      <c r="M151" s="103">
        <v>690300</v>
      </c>
      <c r="N151" s="127">
        <f t="shared" si="6"/>
        <v>690300</v>
      </c>
      <c r="O151" s="104" t="s">
        <v>21</v>
      </c>
      <c r="P151" s="93">
        <f t="shared" si="7"/>
        <v>115</v>
      </c>
    </row>
    <row r="152" spans="1:16" x14ac:dyDescent="0.25">
      <c r="A152" s="129" t="s">
        <v>2678</v>
      </c>
      <c r="B152" s="132">
        <v>46009</v>
      </c>
      <c r="C152" s="93">
        <f t="shared" si="8"/>
        <v>191</v>
      </c>
      <c r="D152" s="93">
        <v>1</v>
      </c>
      <c r="E152" s="93"/>
      <c r="F152" s="93"/>
      <c r="G152" s="94" t="s">
        <v>152</v>
      </c>
      <c r="H152" s="92" t="s">
        <v>3017</v>
      </c>
      <c r="I152" s="129">
        <v>1111</v>
      </c>
      <c r="J152" s="129">
        <v>112111</v>
      </c>
      <c r="K152" s="93" t="s">
        <v>20</v>
      </c>
      <c r="L152" s="93">
        <v>1</v>
      </c>
      <c r="M152" s="103">
        <v>53000000</v>
      </c>
      <c r="N152" s="127">
        <f t="shared" si="6"/>
        <v>53000000</v>
      </c>
      <c r="O152" s="104" t="s">
        <v>21</v>
      </c>
      <c r="P152" s="93">
        <f t="shared" si="7"/>
        <v>116</v>
      </c>
    </row>
    <row r="153" spans="1:16" x14ac:dyDescent="0.25">
      <c r="A153" s="129" t="s">
        <v>2678</v>
      </c>
      <c r="B153" s="132">
        <v>46013</v>
      </c>
      <c r="C153" s="93">
        <f t="shared" si="8"/>
        <v>192</v>
      </c>
      <c r="D153" s="93">
        <v>1</v>
      </c>
      <c r="E153" s="93"/>
      <c r="F153" s="93"/>
      <c r="G153" s="94" t="s">
        <v>152</v>
      </c>
      <c r="H153" s="92" t="s">
        <v>3017</v>
      </c>
      <c r="I153" s="129">
        <v>1111</v>
      </c>
      <c r="J153" s="129">
        <v>112111</v>
      </c>
      <c r="K153" s="93" t="s">
        <v>20</v>
      </c>
      <c r="L153" s="93">
        <v>1</v>
      </c>
      <c r="M153" s="103">
        <v>16500000</v>
      </c>
      <c r="N153" s="127">
        <f t="shared" si="6"/>
        <v>16500000</v>
      </c>
      <c r="O153" s="104" t="s">
        <v>21</v>
      </c>
      <c r="P153" s="93">
        <f t="shared" si="7"/>
        <v>117</v>
      </c>
    </row>
    <row r="154" spans="1:16" x14ac:dyDescent="0.25">
      <c r="A154" s="129" t="s">
        <v>18</v>
      </c>
      <c r="B154" s="132">
        <v>46013</v>
      </c>
      <c r="C154" s="93">
        <f t="shared" si="8"/>
        <v>193</v>
      </c>
      <c r="D154" s="93">
        <v>1</v>
      </c>
      <c r="E154" s="93"/>
      <c r="F154" s="93"/>
      <c r="G154" s="94" t="s">
        <v>3003</v>
      </c>
      <c r="H154" s="92" t="s">
        <v>3161</v>
      </c>
      <c r="I154" s="129">
        <v>131</v>
      </c>
      <c r="J154" s="129">
        <v>5118</v>
      </c>
      <c r="K154" s="93" t="s">
        <v>20</v>
      </c>
      <c r="L154" s="93">
        <v>1</v>
      </c>
      <c r="M154" s="103">
        <v>493507427</v>
      </c>
      <c r="N154" s="127">
        <f t="shared" si="6"/>
        <v>493507427</v>
      </c>
      <c r="O154" s="104" t="s">
        <v>21</v>
      </c>
      <c r="P154" s="93">
        <f t="shared" si="7"/>
        <v>118</v>
      </c>
    </row>
    <row r="155" spans="1:16" x14ac:dyDescent="0.25">
      <c r="A155" s="129" t="s">
        <v>2679</v>
      </c>
      <c r="B155" s="132">
        <v>46013</v>
      </c>
      <c r="C155" s="93">
        <f t="shared" si="8"/>
        <v>194</v>
      </c>
      <c r="D155" s="93">
        <v>1</v>
      </c>
      <c r="E155" s="93"/>
      <c r="F155" s="93"/>
      <c r="G155" s="94" t="s">
        <v>3003</v>
      </c>
      <c r="H155" s="92" t="s">
        <v>3162</v>
      </c>
      <c r="I155" s="129">
        <v>112111</v>
      </c>
      <c r="J155" s="129">
        <v>131</v>
      </c>
      <c r="K155" s="93" t="s">
        <v>20</v>
      </c>
      <c r="L155" s="93">
        <v>1</v>
      </c>
      <c r="M155" s="103">
        <v>493507427</v>
      </c>
      <c r="N155" s="127">
        <f t="shared" si="6"/>
        <v>493507427</v>
      </c>
      <c r="O155" s="104" t="s">
        <v>21</v>
      </c>
      <c r="P155" s="93">
        <f t="shared" si="7"/>
        <v>119</v>
      </c>
    </row>
    <row r="156" spans="1:16" x14ac:dyDescent="0.25">
      <c r="A156" s="129" t="s">
        <v>2678</v>
      </c>
      <c r="B156" s="132">
        <v>46013</v>
      </c>
      <c r="C156" s="93">
        <f t="shared" si="8"/>
        <v>195</v>
      </c>
      <c r="D156" s="93">
        <v>1</v>
      </c>
      <c r="E156" s="93"/>
      <c r="F156" s="93"/>
      <c r="G156" s="94" t="s">
        <v>152</v>
      </c>
      <c r="H156" s="92" t="s">
        <v>3017</v>
      </c>
      <c r="I156" s="129">
        <v>1111</v>
      </c>
      <c r="J156" s="129">
        <v>112111</v>
      </c>
      <c r="K156" s="93" t="s">
        <v>20</v>
      </c>
      <c r="L156" s="93">
        <v>1</v>
      </c>
      <c r="M156" s="103">
        <v>854000000</v>
      </c>
      <c r="N156" s="127">
        <f t="shared" si="6"/>
        <v>854000000</v>
      </c>
      <c r="O156" s="104" t="s">
        <v>21</v>
      </c>
      <c r="P156" s="93">
        <f>P155+D156</f>
        <v>120</v>
      </c>
    </row>
    <row r="157" spans="1:16" x14ac:dyDescent="0.25">
      <c r="A157" s="129" t="s">
        <v>2679</v>
      </c>
      <c r="B157" s="132">
        <v>46017</v>
      </c>
      <c r="C157" s="93">
        <f t="shared" si="8"/>
        <v>196</v>
      </c>
      <c r="D157" s="93">
        <v>1</v>
      </c>
      <c r="E157" s="93"/>
      <c r="F157" s="93"/>
      <c r="G157" s="94" t="s">
        <v>150</v>
      </c>
      <c r="H157" s="93" t="s">
        <v>4239</v>
      </c>
      <c r="I157" s="129">
        <v>112111</v>
      </c>
      <c r="J157" s="129">
        <v>131</v>
      </c>
      <c r="K157" s="93" t="s">
        <v>20</v>
      </c>
      <c r="L157" s="93">
        <v>1</v>
      </c>
      <c r="M157" s="103">
        <v>74516129</v>
      </c>
      <c r="N157" s="127">
        <f t="shared" si="6"/>
        <v>74516129</v>
      </c>
      <c r="O157" s="104" t="s">
        <v>21</v>
      </c>
      <c r="P157" s="93">
        <f t="shared" ref="P157:P194" si="9">P156+D157</f>
        <v>121</v>
      </c>
    </row>
    <row r="158" spans="1:16" x14ac:dyDescent="0.25">
      <c r="A158" s="129" t="s">
        <v>2679</v>
      </c>
      <c r="B158" s="132">
        <v>46020</v>
      </c>
      <c r="C158" s="93">
        <f t="shared" si="8"/>
        <v>197</v>
      </c>
      <c r="D158" s="93">
        <v>1</v>
      </c>
      <c r="E158" s="93"/>
      <c r="F158" s="93"/>
      <c r="G158" s="116" t="s">
        <v>82</v>
      </c>
      <c r="H158" s="111" t="s">
        <v>4240</v>
      </c>
      <c r="I158" s="129">
        <v>112111</v>
      </c>
      <c r="J158" s="129">
        <v>131</v>
      </c>
      <c r="K158" s="93" t="s">
        <v>20</v>
      </c>
      <c r="L158" s="93">
        <v>1</v>
      </c>
      <c r="M158" s="103">
        <v>19161290</v>
      </c>
      <c r="N158" s="127">
        <f t="shared" si="6"/>
        <v>19161290</v>
      </c>
      <c r="O158" s="104" t="s">
        <v>21</v>
      </c>
      <c r="P158" s="93">
        <f t="shared" si="9"/>
        <v>122</v>
      </c>
    </row>
    <row r="159" spans="1:16" x14ac:dyDescent="0.25">
      <c r="A159" s="93" t="s">
        <v>2719</v>
      </c>
      <c r="B159" s="71" t="s">
        <v>309</v>
      </c>
      <c r="C159" s="93">
        <f t="shared" si="8"/>
        <v>198</v>
      </c>
      <c r="D159" s="93">
        <v>1</v>
      </c>
      <c r="E159" s="93"/>
      <c r="F159" s="93"/>
      <c r="G159" s="94" t="s">
        <v>37</v>
      </c>
      <c r="H159" s="93" t="s">
        <v>4241</v>
      </c>
      <c r="I159" s="93">
        <v>331</v>
      </c>
      <c r="J159" s="93">
        <v>1111</v>
      </c>
      <c r="K159" s="93" t="s">
        <v>20</v>
      </c>
      <c r="L159" s="93">
        <v>1</v>
      </c>
      <c r="M159" s="127">
        <v>3240000</v>
      </c>
      <c r="N159" s="127">
        <f t="shared" si="6"/>
        <v>3240000</v>
      </c>
      <c r="O159" s="104" t="s">
        <v>21</v>
      </c>
      <c r="P159" s="93">
        <f t="shared" si="9"/>
        <v>123</v>
      </c>
    </row>
    <row r="160" spans="1:16" x14ac:dyDescent="0.25">
      <c r="A160" s="93" t="s">
        <v>2719</v>
      </c>
      <c r="B160" s="71" t="s">
        <v>311</v>
      </c>
      <c r="C160" s="93">
        <f t="shared" si="8"/>
        <v>199</v>
      </c>
      <c r="D160" s="93">
        <v>1</v>
      </c>
      <c r="E160" s="93"/>
      <c r="F160" s="93"/>
      <c r="G160" s="94" t="s">
        <v>1932</v>
      </c>
      <c r="H160" s="93" t="s">
        <v>4242</v>
      </c>
      <c r="I160" s="93">
        <v>331</v>
      </c>
      <c r="J160" s="93">
        <v>1111</v>
      </c>
      <c r="K160" s="93" t="s">
        <v>20</v>
      </c>
      <c r="L160" s="93">
        <v>1</v>
      </c>
      <c r="M160" s="127">
        <v>22600000</v>
      </c>
      <c r="N160" s="127">
        <f t="shared" si="6"/>
        <v>22600000</v>
      </c>
      <c r="O160" s="104" t="s">
        <v>21</v>
      </c>
      <c r="P160" s="93">
        <f t="shared" si="9"/>
        <v>124</v>
      </c>
    </row>
    <row r="161" spans="1:16" x14ac:dyDescent="0.25">
      <c r="A161" s="93" t="s">
        <v>2719</v>
      </c>
      <c r="B161" s="71" t="s">
        <v>866</v>
      </c>
      <c r="C161" s="93">
        <f t="shared" si="8"/>
        <v>200</v>
      </c>
      <c r="D161" s="93">
        <v>1</v>
      </c>
      <c r="E161" s="93"/>
      <c r="F161" s="93"/>
      <c r="G161" s="94" t="s">
        <v>1933</v>
      </c>
      <c r="H161" s="93" t="s">
        <v>4243</v>
      </c>
      <c r="I161" s="93">
        <v>331</v>
      </c>
      <c r="J161" s="93">
        <v>1111</v>
      </c>
      <c r="K161" s="93" t="s">
        <v>20</v>
      </c>
      <c r="L161" s="93">
        <v>1</v>
      </c>
      <c r="M161" s="127">
        <v>30590000</v>
      </c>
      <c r="N161" s="127">
        <f t="shared" si="6"/>
        <v>30590000</v>
      </c>
      <c r="O161" s="104" t="s">
        <v>21</v>
      </c>
      <c r="P161" s="93">
        <f t="shared" si="9"/>
        <v>125</v>
      </c>
    </row>
    <row r="162" spans="1:16" x14ac:dyDescent="0.25">
      <c r="A162" s="93" t="s">
        <v>2719</v>
      </c>
      <c r="B162" s="71" t="s">
        <v>376</v>
      </c>
      <c r="C162" s="93">
        <f t="shared" si="8"/>
        <v>201</v>
      </c>
      <c r="D162" s="93">
        <v>1</v>
      </c>
      <c r="E162" s="93"/>
      <c r="F162" s="93"/>
      <c r="G162" s="94" t="s">
        <v>1934</v>
      </c>
      <c r="H162" s="93" t="s">
        <v>4244</v>
      </c>
      <c r="I162" s="93">
        <v>331</v>
      </c>
      <c r="J162" s="93">
        <v>1111</v>
      </c>
      <c r="K162" s="93" t="s">
        <v>20</v>
      </c>
      <c r="L162" s="93">
        <v>1</v>
      </c>
      <c r="M162" s="127">
        <v>6534000</v>
      </c>
      <c r="N162" s="127">
        <f t="shared" si="6"/>
        <v>6534000</v>
      </c>
      <c r="O162" s="104" t="s">
        <v>21</v>
      </c>
      <c r="P162" s="93">
        <f t="shared" si="9"/>
        <v>126</v>
      </c>
    </row>
    <row r="163" spans="1:16" x14ac:dyDescent="0.25">
      <c r="A163" s="93" t="s">
        <v>2719</v>
      </c>
      <c r="B163" s="71" t="s">
        <v>447</v>
      </c>
      <c r="C163" s="93">
        <f t="shared" si="8"/>
        <v>202</v>
      </c>
      <c r="D163" s="93">
        <v>1</v>
      </c>
      <c r="E163" s="93"/>
      <c r="F163" s="93"/>
      <c r="G163" s="94" t="s">
        <v>1933</v>
      </c>
      <c r="H163" s="93" t="s">
        <v>4245</v>
      </c>
      <c r="I163" s="93">
        <v>331</v>
      </c>
      <c r="J163" s="93">
        <v>1111</v>
      </c>
      <c r="K163" s="93" t="s">
        <v>20</v>
      </c>
      <c r="L163" s="93">
        <v>1</v>
      </c>
      <c r="M163" s="127">
        <v>25600000</v>
      </c>
      <c r="N163" s="127">
        <f t="shared" si="6"/>
        <v>25600000</v>
      </c>
      <c r="O163" s="104" t="s">
        <v>21</v>
      </c>
      <c r="P163" s="93">
        <f t="shared" si="9"/>
        <v>127</v>
      </c>
    </row>
    <row r="164" spans="1:16" x14ac:dyDescent="0.25">
      <c r="A164" s="93" t="s">
        <v>2719</v>
      </c>
      <c r="B164" s="71" t="s">
        <v>312</v>
      </c>
      <c r="C164" s="93">
        <f t="shared" si="8"/>
        <v>203</v>
      </c>
      <c r="D164" s="93">
        <v>1</v>
      </c>
      <c r="E164" s="93"/>
      <c r="F164" s="93"/>
      <c r="G164" s="94" t="s">
        <v>1931</v>
      </c>
      <c r="H164" s="93" t="s">
        <v>4246</v>
      </c>
      <c r="I164" s="93">
        <v>331</v>
      </c>
      <c r="J164" s="93">
        <v>1111</v>
      </c>
      <c r="K164" s="93" t="s">
        <v>20</v>
      </c>
      <c r="L164" s="93">
        <v>1</v>
      </c>
      <c r="M164" s="127">
        <v>32130000</v>
      </c>
      <c r="N164" s="127">
        <f t="shared" si="6"/>
        <v>32130000</v>
      </c>
      <c r="O164" s="104" t="s">
        <v>21</v>
      </c>
      <c r="P164" s="93">
        <f t="shared" si="9"/>
        <v>128</v>
      </c>
    </row>
    <row r="165" spans="1:16" x14ac:dyDescent="0.25">
      <c r="A165" s="93" t="s">
        <v>2719</v>
      </c>
      <c r="B165" s="71" t="s">
        <v>312</v>
      </c>
      <c r="C165" s="93">
        <f t="shared" si="8"/>
        <v>204</v>
      </c>
      <c r="D165" s="93">
        <v>1</v>
      </c>
      <c r="E165" s="93"/>
      <c r="F165" s="93"/>
      <c r="G165" s="94" t="s">
        <v>1935</v>
      </c>
      <c r="H165" s="93" t="s">
        <v>4247</v>
      </c>
      <c r="I165" s="93">
        <v>331</v>
      </c>
      <c r="J165" s="93">
        <v>1111</v>
      </c>
      <c r="K165" s="93" t="s">
        <v>20</v>
      </c>
      <c r="L165" s="93">
        <v>1</v>
      </c>
      <c r="M165" s="127">
        <v>985054</v>
      </c>
      <c r="N165" s="127">
        <f t="shared" si="6"/>
        <v>985054</v>
      </c>
      <c r="O165" s="104" t="s">
        <v>21</v>
      </c>
      <c r="P165" s="93">
        <f t="shared" si="9"/>
        <v>129</v>
      </c>
    </row>
    <row r="166" spans="1:16" x14ac:dyDescent="0.25">
      <c r="A166" s="93" t="s">
        <v>2719</v>
      </c>
      <c r="B166" s="71" t="s">
        <v>652</v>
      </c>
      <c r="C166" s="93">
        <f t="shared" si="8"/>
        <v>205</v>
      </c>
      <c r="D166" s="93">
        <v>1</v>
      </c>
      <c r="E166" s="93"/>
      <c r="F166" s="93"/>
      <c r="G166" s="94" t="s">
        <v>1936</v>
      </c>
      <c r="H166" s="93" t="s">
        <v>4248</v>
      </c>
      <c r="I166" s="93">
        <v>331</v>
      </c>
      <c r="J166" s="93">
        <v>1111</v>
      </c>
      <c r="K166" s="93" t="s">
        <v>20</v>
      </c>
      <c r="L166" s="93">
        <v>1</v>
      </c>
      <c r="M166" s="127">
        <v>1784177</v>
      </c>
      <c r="N166" s="127">
        <f t="shared" si="6"/>
        <v>1784177</v>
      </c>
      <c r="O166" s="104" t="s">
        <v>21</v>
      </c>
      <c r="P166" s="93">
        <f t="shared" si="9"/>
        <v>130</v>
      </c>
    </row>
    <row r="167" spans="1:16" x14ac:dyDescent="0.25">
      <c r="A167" s="93" t="s">
        <v>2719</v>
      </c>
      <c r="B167" s="71" t="s">
        <v>377</v>
      </c>
      <c r="C167" s="93">
        <f t="shared" si="8"/>
        <v>206</v>
      </c>
      <c r="D167" s="93">
        <v>1</v>
      </c>
      <c r="E167" s="93"/>
      <c r="F167" s="93"/>
      <c r="G167" s="94" t="s">
        <v>37</v>
      </c>
      <c r="H167" s="93" t="s">
        <v>4249</v>
      </c>
      <c r="I167" s="93">
        <v>331</v>
      </c>
      <c r="J167" s="93">
        <v>1111</v>
      </c>
      <c r="K167" s="93" t="s">
        <v>20</v>
      </c>
      <c r="L167" s="93">
        <v>1</v>
      </c>
      <c r="M167" s="127">
        <v>3240000</v>
      </c>
      <c r="N167" s="127">
        <f t="shared" si="6"/>
        <v>3240000</v>
      </c>
      <c r="O167" s="104" t="s">
        <v>21</v>
      </c>
      <c r="P167" s="93">
        <f t="shared" si="9"/>
        <v>131</v>
      </c>
    </row>
    <row r="168" spans="1:16" x14ac:dyDescent="0.25">
      <c r="A168" s="93" t="s">
        <v>2719</v>
      </c>
      <c r="B168" s="71" t="s">
        <v>377</v>
      </c>
      <c r="C168" s="93">
        <f t="shared" si="8"/>
        <v>207</v>
      </c>
      <c r="D168" s="93">
        <v>1</v>
      </c>
      <c r="E168" s="93"/>
      <c r="F168" s="93"/>
      <c r="G168" s="94" t="s">
        <v>1937</v>
      </c>
      <c r="H168" s="93" t="s">
        <v>4250</v>
      </c>
      <c r="I168" s="93">
        <v>331</v>
      </c>
      <c r="J168" s="93">
        <v>1111</v>
      </c>
      <c r="K168" s="93" t="s">
        <v>20</v>
      </c>
      <c r="L168" s="93">
        <v>1</v>
      </c>
      <c r="M168" s="127">
        <v>3850000</v>
      </c>
      <c r="N168" s="127">
        <f t="shared" si="6"/>
        <v>3850000</v>
      </c>
      <c r="O168" s="104" t="s">
        <v>21</v>
      </c>
      <c r="P168" s="93">
        <f t="shared" si="9"/>
        <v>132</v>
      </c>
    </row>
    <row r="169" spans="1:16" x14ac:dyDescent="0.25">
      <c r="A169" s="93" t="s">
        <v>2719</v>
      </c>
      <c r="B169" s="71" t="s">
        <v>449</v>
      </c>
      <c r="C169" s="93">
        <f t="shared" si="8"/>
        <v>208</v>
      </c>
      <c r="D169" s="93">
        <v>1</v>
      </c>
      <c r="E169" s="93"/>
      <c r="F169" s="93"/>
      <c r="G169" s="94" t="s">
        <v>1938</v>
      </c>
      <c r="H169" s="93" t="s">
        <v>4251</v>
      </c>
      <c r="I169" s="93">
        <v>331</v>
      </c>
      <c r="J169" s="93">
        <v>1111</v>
      </c>
      <c r="K169" s="93" t="s">
        <v>20</v>
      </c>
      <c r="L169" s="93">
        <v>1</v>
      </c>
      <c r="M169" s="127">
        <v>580000</v>
      </c>
      <c r="N169" s="127">
        <f t="shared" si="6"/>
        <v>580000</v>
      </c>
      <c r="O169" s="104" t="s">
        <v>21</v>
      </c>
      <c r="P169" s="93">
        <f t="shared" si="9"/>
        <v>133</v>
      </c>
    </row>
    <row r="170" spans="1:16" x14ac:dyDescent="0.25">
      <c r="A170" s="93" t="s">
        <v>2719</v>
      </c>
      <c r="B170" s="71" t="s">
        <v>313</v>
      </c>
      <c r="C170" s="93">
        <f t="shared" si="8"/>
        <v>209</v>
      </c>
      <c r="D170" s="93">
        <v>1</v>
      </c>
      <c r="E170" s="93"/>
      <c r="F170" s="93"/>
      <c r="G170" s="94" t="s">
        <v>1936</v>
      </c>
      <c r="H170" s="93" t="s">
        <v>4252</v>
      </c>
      <c r="I170" s="93">
        <v>331</v>
      </c>
      <c r="J170" s="93">
        <v>1111</v>
      </c>
      <c r="K170" s="93" t="s">
        <v>20</v>
      </c>
      <c r="L170" s="93">
        <v>1</v>
      </c>
      <c r="M170" s="127">
        <v>1735100</v>
      </c>
      <c r="N170" s="127">
        <f t="shared" si="6"/>
        <v>1735100</v>
      </c>
      <c r="O170" s="104" t="s">
        <v>21</v>
      </c>
      <c r="P170" s="93">
        <f t="shared" si="9"/>
        <v>134</v>
      </c>
    </row>
    <row r="171" spans="1:16" x14ac:dyDescent="0.25">
      <c r="A171" s="93" t="s">
        <v>2719</v>
      </c>
      <c r="B171" s="71" t="s">
        <v>313</v>
      </c>
      <c r="C171" s="93">
        <f t="shared" si="8"/>
        <v>210</v>
      </c>
      <c r="D171" s="93">
        <v>1</v>
      </c>
      <c r="E171" s="93"/>
      <c r="F171" s="93"/>
      <c r="G171" s="94" t="s">
        <v>1936</v>
      </c>
      <c r="H171" s="93" t="s">
        <v>4253</v>
      </c>
      <c r="I171" s="93">
        <v>331</v>
      </c>
      <c r="J171" s="93">
        <v>1111</v>
      </c>
      <c r="K171" s="93" t="s">
        <v>20</v>
      </c>
      <c r="L171" s="93">
        <v>1</v>
      </c>
      <c r="M171" s="127">
        <v>1468604</v>
      </c>
      <c r="N171" s="127">
        <f t="shared" si="6"/>
        <v>1468604</v>
      </c>
      <c r="O171" s="104" t="s">
        <v>21</v>
      </c>
      <c r="P171" s="93">
        <f t="shared" si="9"/>
        <v>135</v>
      </c>
    </row>
    <row r="172" spans="1:16" x14ac:dyDescent="0.25">
      <c r="A172" s="93" t="s">
        <v>2719</v>
      </c>
      <c r="B172" s="71" t="s">
        <v>600</v>
      </c>
      <c r="C172" s="93">
        <f t="shared" si="8"/>
        <v>211</v>
      </c>
      <c r="D172" s="93">
        <v>1</v>
      </c>
      <c r="E172" s="93"/>
      <c r="F172" s="93"/>
      <c r="G172" s="94" t="s">
        <v>119</v>
      </c>
      <c r="H172" s="93" t="s">
        <v>4254</v>
      </c>
      <c r="I172" s="93">
        <v>331</v>
      </c>
      <c r="J172" s="93">
        <v>1111</v>
      </c>
      <c r="K172" s="93" t="s">
        <v>20</v>
      </c>
      <c r="L172" s="93">
        <v>1</v>
      </c>
      <c r="M172" s="127">
        <v>732812</v>
      </c>
      <c r="N172" s="127">
        <f t="shared" si="6"/>
        <v>732812</v>
      </c>
      <c r="O172" s="104" t="s">
        <v>21</v>
      </c>
      <c r="P172" s="93">
        <f t="shared" si="9"/>
        <v>136</v>
      </c>
    </row>
    <row r="173" spans="1:16" x14ac:dyDescent="0.25">
      <c r="A173" s="93" t="s">
        <v>2719</v>
      </c>
      <c r="B173" s="71" t="s">
        <v>600</v>
      </c>
      <c r="C173" s="93">
        <f t="shared" si="8"/>
        <v>212</v>
      </c>
      <c r="D173" s="93">
        <v>1</v>
      </c>
      <c r="E173" s="93"/>
      <c r="F173" s="93"/>
      <c r="G173" s="94" t="s">
        <v>1939</v>
      </c>
      <c r="H173" s="93" t="s">
        <v>4255</v>
      </c>
      <c r="I173" s="93">
        <v>331</v>
      </c>
      <c r="J173" s="93">
        <v>1111</v>
      </c>
      <c r="K173" s="93" t="s">
        <v>20</v>
      </c>
      <c r="L173" s="93">
        <v>1</v>
      </c>
      <c r="M173" s="127">
        <v>969600</v>
      </c>
      <c r="N173" s="127">
        <f t="shared" si="6"/>
        <v>969600</v>
      </c>
      <c r="O173" s="104" t="s">
        <v>21</v>
      </c>
      <c r="P173" s="93">
        <f t="shared" si="9"/>
        <v>137</v>
      </c>
    </row>
    <row r="174" spans="1:16" x14ac:dyDescent="0.25">
      <c r="A174" s="93" t="s">
        <v>2719</v>
      </c>
      <c r="B174" s="71" t="s">
        <v>416</v>
      </c>
      <c r="C174" s="93">
        <f t="shared" si="8"/>
        <v>213</v>
      </c>
      <c r="D174" s="93">
        <v>1</v>
      </c>
      <c r="E174" s="93"/>
      <c r="F174" s="93"/>
      <c r="G174" s="94" t="s">
        <v>53</v>
      </c>
      <c r="H174" s="93" t="s">
        <v>4256</v>
      </c>
      <c r="I174" s="93">
        <v>331</v>
      </c>
      <c r="J174" s="93">
        <v>1111</v>
      </c>
      <c r="K174" s="93" t="s">
        <v>20</v>
      </c>
      <c r="L174" s="93">
        <v>1</v>
      </c>
      <c r="M174" s="127">
        <v>535680</v>
      </c>
      <c r="N174" s="127">
        <f t="shared" si="6"/>
        <v>535680</v>
      </c>
      <c r="O174" s="104" t="s">
        <v>21</v>
      </c>
      <c r="P174" s="93">
        <f t="shared" si="9"/>
        <v>138</v>
      </c>
    </row>
    <row r="175" spans="1:16" x14ac:dyDescent="0.25">
      <c r="A175" s="93" t="s">
        <v>2719</v>
      </c>
      <c r="B175" s="71" t="s">
        <v>471</v>
      </c>
      <c r="C175" s="93">
        <f t="shared" si="8"/>
        <v>214</v>
      </c>
      <c r="D175" s="93">
        <v>1</v>
      </c>
      <c r="E175" s="93"/>
      <c r="F175" s="93"/>
      <c r="G175" s="94" t="s">
        <v>1940</v>
      </c>
      <c r="H175" s="93" t="s">
        <v>4257</v>
      </c>
      <c r="I175" s="93">
        <v>331</v>
      </c>
      <c r="J175" s="93">
        <v>1111</v>
      </c>
      <c r="K175" s="93" t="s">
        <v>20</v>
      </c>
      <c r="L175" s="93">
        <v>1</v>
      </c>
      <c r="M175" s="127">
        <v>1597112</v>
      </c>
      <c r="N175" s="127">
        <f t="shared" si="6"/>
        <v>1597112</v>
      </c>
      <c r="O175" s="104" t="s">
        <v>21</v>
      </c>
      <c r="P175" s="93">
        <f t="shared" si="9"/>
        <v>139</v>
      </c>
    </row>
    <row r="176" spans="1:16" x14ac:dyDescent="0.25">
      <c r="A176" s="93" t="s">
        <v>2719</v>
      </c>
      <c r="B176" s="71" t="s">
        <v>318</v>
      </c>
      <c r="C176" s="93">
        <f t="shared" si="8"/>
        <v>215</v>
      </c>
      <c r="D176" s="93">
        <v>1</v>
      </c>
      <c r="E176" s="93"/>
      <c r="F176" s="93"/>
      <c r="G176" s="94" t="s">
        <v>119</v>
      </c>
      <c r="H176" s="93" t="s">
        <v>4258</v>
      </c>
      <c r="I176" s="93">
        <v>331</v>
      </c>
      <c r="J176" s="93">
        <v>1111</v>
      </c>
      <c r="K176" s="93" t="s">
        <v>20</v>
      </c>
      <c r="L176" s="93">
        <v>1</v>
      </c>
      <c r="M176" s="127">
        <v>800068</v>
      </c>
      <c r="N176" s="127">
        <f t="shared" si="6"/>
        <v>800068</v>
      </c>
      <c r="O176" s="104" t="s">
        <v>21</v>
      </c>
      <c r="P176" s="93">
        <f t="shared" si="9"/>
        <v>140</v>
      </c>
    </row>
    <row r="177" spans="1:16" x14ac:dyDescent="0.25">
      <c r="A177" s="93" t="s">
        <v>2719</v>
      </c>
      <c r="B177" s="71" t="s">
        <v>318</v>
      </c>
      <c r="C177" s="93">
        <f t="shared" si="8"/>
        <v>216</v>
      </c>
      <c r="D177" s="93">
        <v>1</v>
      </c>
      <c r="E177" s="93"/>
      <c r="F177" s="93"/>
      <c r="G177" s="94" t="s">
        <v>1940</v>
      </c>
      <c r="H177" s="93" t="s">
        <v>4259</v>
      </c>
      <c r="I177" s="93">
        <v>331</v>
      </c>
      <c r="J177" s="93">
        <v>1111</v>
      </c>
      <c r="K177" s="93" t="s">
        <v>20</v>
      </c>
      <c r="L177" s="93">
        <v>1</v>
      </c>
      <c r="M177" s="127">
        <v>1071200</v>
      </c>
      <c r="N177" s="127">
        <f t="shared" si="6"/>
        <v>1071200</v>
      </c>
      <c r="O177" s="104" t="s">
        <v>21</v>
      </c>
      <c r="P177" s="93">
        <f t="shared" si="9"/>
        <v>141</v>
      </c>
    </row>
    <row r="178" spans="1:16" x14ac:dyDescent="0.25">
      <c r="A178" s="93" t="s">
        <v>2719</v>
      </c>
      <c r="B178" s="71" t="s">
        <v>452</v>
      </c>
      <c r="C178" s="93">
        <f t="shared" si="8"/>
        <v>217</v>
      </c>
      <c r="D178" s="93">
        <v>1</v>
      </c>
      <c r="E178" s="93"/>
      <c r="F178" s="93"/>
      <c r="G178" s="94" t="s">
        <v>1936</v>
      </c>
      <c r="H178" s="93" t="s">
        <v>4260</v>
      </c>
      <c r="I178" s="93">
        <v>331</v>
      </c>
      <c r="J178" s="93">
        <v>1111</v>
      </c>
      <c r="K178" s="93" t="s">
        <v>20</v>
      </c>
      <c r="L178" s="93">
        <v>1</v>
      </c>
      <c r="M178" s="127">
        <v>945310</v>
      </c>
      <c r="N178" s="127">
        <f t="shared" si="6"/>
        <v>945310</v>
      </c>
      <c r="O178" s="104" t="s">
        <v>21</v>
      </c>
      <c r="P178" s="93">
        <f t="shared" si="9"/>
        <v>142</v>
      </c>
    </row>
    <row r="179" spans="1:16" x14ac:dyDescent="0.25">
      <c r="A179" s="93" t="s">
        <v>2719</v>
      </c>
      <c r="B179" s="71" t="s">
        <v>588</v>
      </c>
      <c r="C179" s="93">
        <f t="shared" si="8"/>
        <v>218</v>
      </c>
      <c r="D179" s="93">
        <v>1</v>
      </c>
      <c r="E179" s="93"/>
      <c r="F179" s="93"/>
      <c r="G179" s="94" t="s">
        <v>37</v>
      </c>
      <c r="H179" s="93" t="s">
        <v>4261</v>
      </c>
      <c r="I179" s="93">
        <v>331</v>
      </c>
      <c r="J179" s="93">
        <v>1111</v>
      </c>
      <c r="K179" s="93" t="s">
        <v>20</v>
      </c>
      <c r="L179" s="93">
        <v>1</v>
      </c>
      <c r="M179" s="127">
        <v>3240000</v>
      </c>
      <c r="N179" s="127">
        <f t="shared" si="6"/>
        <v>3240000</v>
      </c>
      <c r="O179" s="104" t="s">
        <v>21</v>
      </c>
      <c r="P179" s="93">
        <f t="shared" si="9"/>
        <v>143</v>
      </c>
    </row>
    <row r="180" spans="1:16" x14ac:dyDescent="0.25">
      <c r="A180" s="93" t="s">
        <v>2719</v>
      </c>
      <c r="B180" s="71" t="s">
        <v>453</v>
      </c>
      <c r="C180" s="93">
        <f t="shared" si="8"/>
        <v>219</v>
      </c>
      <c r="D180" s="93">
        <v>1</v>
      </c>
      <c r="E180" s="93"/>
      <c r="F180" s="93"/>
      <c r="G180" s="94" t="s">
        <v>1940</v>
      </c>
      <c r="H180" s="93" t="s">
        <v>4262</v>
      </c>
      <c r="I180" s="93">
        <v>331</v>
      </c>
      <c r="J180" s="93">
        <v>1111</v>
      </c>
      <c r="K180" s="93" t="s">
        <v>20</v>
      </c>
      <c r="L180" s="93">
        <v>1</v>
      </c>
      <c r="M180" s="127">
        <v>1359294</v>
      </c>
      <c r="N180" s="127">
        <f t="shared" si="6"/>
        <v>1359294</v>
      </c>
      <c r="O180" s="104" t="s">
        <v>21</v>
      </c>
      <c r="P180" s="93">
        <f t="shared" si="9"/>
        <v>144</v>
      </c>
    </row>
    <row r="181" spans="1:16" x14ac:dyDescent="0.25">
      <c r="A181" s="93" t="s">
        <v>2719</v>
      </c>
      <c r="B181" s="71" t="s">
        <v>523</v>
      </c>
      <c r="C181" s="93">
        <f t="shared" si="8"/>
        <v>220</v>
      </c>
      <c r="D181" s="93">
        <v>1</v>
      </c>
      <c r="E181" s="93"/>
      <c r="F181" s="93"/>
      <c r="G181" s="94" t="s">
        <v>1940</v>
      </c>
      <c r="H181" s="93" t="s">
        <v>4263</v>
      </c>
      <c r="I181" s="93">
        <v>331</v>
      </c>
      <c r="J181" s="93">
        <v>1111</v>
      </c>
      <c r="K181" s="93" t="s">
        <v>20</v>
      </c>
      <c r="L181" s="93">
        <v>1</v>
      </c>
      <c r="M181" s="127">
        <v>691144</v>
      </c>
      <c r="N181" s="127">
        <f t="shared" si="6"/>
        <v>691144</v>
      </c>
      <c r="O181" s="104" t="s">
        <v>21</v>
      </c>
      <c r="P181" s="93">
        <f t="shared" si="9"/>
        <v>145</v>
      </c>
    </row>
    <row r="182" spans="1:16" x14ac:dyDescent="0.25">
      <c r="A182" s="93" t="s">
        <v>2719</v>
      </c>
      <c r="B182" s="71" t="s">
        <v>454</v>
      </c>
      <c r="C182" s="93">
        <f t="shared" si="8"/>
        <v>221</v>
      </c>
      <c r="D182" s="93">
        <v>1</v>
      </c>
      <c r="E182" s="93"/>
      <c r="F182" s="93"/>
      <c r="G182" s="94" t="s">
        <v>1941</v>
      </c>
      <c r="H182" s="93" t="s">
        <v>4264</v>
      </c>
      <c r="I182" s="93">
        <v>331</v>
      </c>
      <c r="J182" s="93">
        <v>1111</v>
      </c>
      <c r="K182" s="93" t="s">
        <v>20</v>
      </c>
      <c r="L182" s="93">
        <v>1</v>
      </c>
      <c r="M182" s="127">
        <v>4039200</v>
      </c>
      <c r="N182" s="127">
        <f t="shared" si="6"/>
        <v>4039200</v>
      </c>
      <c r="O182" s="104" t="s">
        <v>21</v>
      </c>
      <c r="P182" s="93">
        <f t="shared" si="9"/>
        <v>146</v>
      </c>
    </row>
    <row r="183" spans="1:16" x14ac:dyDescent="0.25">
      <c r="A183" s="93" t="s">
        <v>2719</v>
      </c>
      <c r="B183" s="71" t="s">
        <v>455</v>
      </c>
      <c r="C183" s="93">
        <f t="shared" si="8"/>
        <v>222</v>
      </c>
      <c r="D183" s="93">
        <v>1</v>
      </c>
      <c r="E183" s="93"/>
      <c r="F183" s="93"/>
      <c r="G183" s="94" t="s">
        <v>119</v>
      </c>
      <c r="H183" s="93" t="s">
        <v>4265</v>
      </c>
      <c r="I183" s="93">
        <v>331</v>
      </c>
      <c r="J183" s="93">
        <v>1111</v>
      </c>
      <c r="K183" s="93" t="s">
        <v>20</v>
      </c>
      <c r="L183" s="93">
        <v>1</v>
      </c>
      <c r="M183" s="127">
        <v>820008</v>
      </c>
      <c r="N183" s="127">
        <f t="shared" si="6"/>
        <v>820008</v>
      </c>
      <c r="O183" s="104" t="s">
        <v>21</v>
      </c>
      <c r="P183" s="93">
        <f t="shared" si="9"/>
        <v>147</v>
      </c>
    </row>
    <row r="184" spans="1:16" x14ac:dyDescent="0.25">
      <c r="A184" s="93" t="s">
        <v>2719</v>
      </c>
      <c r="B184" s="71" t="s">
        <v>672</v>
      </c>
      <c r="C184" s="93">
        <f t="shared" si="8"/>
        <v>223</v>
      </c>
      <c r="D184" s="93">
        <v>1</v>
      </c>
      <c r="E184" s="93"/>
      <c r="F184" s="93"/>
      <c r="G184" s="94" t="s">
        <v>1936</v>
      </c>
      <c r="H184" s="93" t="s">
        <v>4266</v>
      </c>
      <c r="I184" s="93">
        <v>331</v>
      </c>
      <c r="J184" s="93">
        <v>1111</v>
      </c>
      <c r="K184" s="93" t="s">
        <v>20</v>
      </c>
      <c r="L184" s="93">
        <v>1</v>
      </c>
      <c r="M184" s="127">
        <v>453410</v>
      </c>
      <c r="N184" s="127">
        <f t="shared" si="6"/>
        <v>453410</v>
      </c>
      <c r="O184" s="104" t="s">
        <v>21</v>
      </c>
      <c r="P184" s="93">
        <f t="shared" si="9"/>
        <v>148</v>
      </c>
    </row>
    <row r="185" spans="1:16" x14ac:dyDescent="0.25">
      <c r="A185" s="93" t="s">
        <v>2719</v>
      </c>
      <c r="B185" s="71" t="s">
        <v>527</v>
      </c>
      <c r="C185" s="93">
        <f t="shared" si="8"/>
        <v>224</v>
      </c>
      <c r="D185" s="93">
        <v>1</v>
      </c>
      <c r="E185" s="93"/>
      <c r="F185" s="93"/>
      <c r="G185" s="94" t="s">
        <v>1936</v>
      </c>
      <c r="H185" s="93" t="s">
        <v>4267</v>
      </c>
      <c r="I185" s="93">
        <v>331</v>
      </c>
      <c r="J185" s="93">
        <v>1111</v>
      </c>
      <c r="K185" s="93" t="s">
        <v>20</v>
      </c>
      <c r="L185" s="93">
        <v>1</v>
      </c>
      <c r="M185" s="127">
        <v>229000</v>
      </c>
      <c r="N185" s="127">
        <f t="shared" si="6"/>
        <v>229000</v>
      </c>
      <c r="O185" s="104" t="s">
        <v>21</v>
      </c>
      <c r="P185" s="93">
        <f t="shared" si="9"/>
        <v>149</v>
      </c>
    </row>
    <row r="186" spans="1:16" x14ac:dyDescent="0.25">
      <c r="A186" s="93" t="s">
        <v>2719</v>
      </c>
      <c r="B186" s="71" t="s">
        <v>527</v>
      </c>
      <c r="C186" s="93">
        <f t="shared" si="8"/>
        <v>225</v>
      </c>
      <c r="D186" s="93">
        <v>1</v>
      </c>
      <c r="E186" s="93"/>
      <c r="F186" s="93"/>
      <c r="G186" s="94" t="s">
        <v>1936</v>
      </c>
      <c r="H186" s="93" t="s">
        <v>4268</v>
      </c>
      <c r="I186" s="93">
        <v>331</v>
      </c>
      <c r="J186" s="93">
        <v>1111</v>
      </c>
      <c r="K186" s="93" t="s">
        <v>20</v>
      </c>
      <c r="L186" s="93">
        <v>1</v>
      </c>
      <c r="M186" s="127">
        <v>1857956</v>
      </c>
      <c r="N186" s="127">
        <f t="shared" si="6"/>
        <v>1857956</v>
      </c>
      <c r="O186" s="104" t="s">
        <v>21</v>
      </c>
      <c r="P186" s="93">
        <f t="shared" si="9"/>
        <v>150</v>
      </c>
    </row>
    <row r="187" spans="1:16" x14ac:dyDescent="0.25">
      <c r="A187" s="93" t="s">
        <v>2719</v>
      </c>
      <c r="B187" s="71" t="s">
        <v>457</v>
      </c>
      <c r="C187" s="93">
        <f t="shared" si="8"/>
        <v>226</v>
      </c>
      <c r="D187" s="93">
        <v>1</v>
      </c>
      <c r="E187" s="93"/>
      <c r="F187" s="93"/>
      <c r="G187" s="94" t="s">
        <v>119</v>
      </c>
      <c r="H187" s="93" t="s">
        <v>4269</v>
      </c>
      <c r="I187" s="93">
        <v>331</v>
      </c>
      <c r="J187" s="93">
        <v>1111</v>
      </c>
      <c r="K187" s="93" t="s">
        <v>20</v>
      </c>
      <c r="L187" s="93">
        <v>1</v>
      </c>
      <c r="M187" s="127">
        <v>800060</v>
      </c>
      <c r="N187" s="127">
        <f t="shared" si="6"/>
        <v>800060</v>
      </c>
      <c r="O187" s="104" t="s">
        <v>21</v>
      </c>
      <c r="P187" s="93">
        <f t="shared" si="9"/>
        <v>151</v>
      </c>
    </row>
    <row r="188" spans="1:16" x14ac:dyDescent="0.25">
      <c r="A188" s="93" t="s">
        <v>2719</v>
      </c>
      <c r="B188" s="71" t="s">
        <v>457</v>
      </c>
      <c r="C188" s="93">
        <f t="shared" si="8"/>
        <v>227</v>
      </c>
      <c r="D188" s="93">
        <v>1</v>
      </c>
      <c r="E188" s="93"/>
      <c r="F188" s="93"/>
      <c r="G188" s="94" t="s">
        <v>1936</v>
      </c>
      <c r="H188" s="93" t="s">
        <v>4270</v>
      </c>
      <c r="I188" s="93">
        <v>331</v>
      </c>
      <c r="J188" s="93">
        <v>1111</v>
      </c>
      <c r="K188" s="93" t="s">
        <v>20</v>
      </c>
      <c r="L188" s="93">
        <v>1</v>
      </c>
      <c r="M188" s="127">
        <v>2846902</v>
      </c>
      <c r="N188" s="127">
        <f t="shared" si="6"/>
        <v>2846902</v>
      </c>
      <c r="O188" s="104" t="s">
        <v>21</v>
      </c>
      <c r="P188" s="93">
        <f t="shared" si="9"/>
        <v>152</v>
      </c>
    </row>
    <row r="189" spans="1:16" x14ac:dyDescent="0.25">
      <c r="A189" s="93" t="s">
        <v>2719</v>
      </c>
      <c r="B189" s="71" t="s">
        <v>1930</v>
      </c>
      <c r="C189" s="93">
        <f t="shared" si="8"/>
        <v>228</v>
      </c>
      <c r="D189" s="93">
        <v>1</v>
      </c>
      <c r="E189" s="93"/>
      <c r="F189" s="93"/>
      <c r="G189" s="94" t="s">
        <v>1936</v>
      </c>
      <c r="H189" s="93" t="s">
        <v>4271</v>
      </c>
      <c r="I189" s="93">
        <v>331</v>
      </c>
      <c r="J189" s="93">
        <v>1111</v>
      </c>
      <c r="K189" s="93" t="s">
        <v>20</v>
      </c>
      <c r="L189" s="93">
        <v>1</v>
      </c>
      <c r="M189" s="127">
        <v>848008</v>
      </c>
      <c r="N189" s="127">
        <f t="shared" si="6"/>
        <v>848008</v>
      </c>
      <c r="O189" s="104" t="s">
        <v>21</v>
      </c>
      <c r="P189" s="93">
        <f t="shared" si="9"/>
        <v>153</v>
      </c>
    </row>
    <row r="190" spans="1:16" x14ac:dyDescent="0.25">
      <c r="A190" s="93" t="s">
        <v>2719</v>
      </c>
      <c r="B190" s="71" t="s">
        <v>2504</v>
      </c>
      <c r="C190" s="93">
        <f t="shared" si="8"/>
        <v>229</v>
      </c>
      <c r="D190" s="93">
        <v>1</v>
      </c>
      <c r="E190" s="93"/>
      <c r="F190" s="93"/>
      <c r="G190" s="94" t="s">
        <v>61</v>
      </c>
      <c r="H190" s="93" t="s">
        <v>4272</v>
      </c>
      <c r="I190" s="93">
        <v>331</v>
      </c>
      <c r="J190" s="93">
        <v>1111</v>
      </c>
      <c r="K190" s="93" t="s">
        <v>20</v>
      </c>
      <c r="L190" s="93">
        <v>1</v>
      </c>
      <c r="M190" s="127">
        <v>932256</v>
      </c>
      <c r="N190" s="127">
        <f t="shared" si="6"/>
        <v>932256</v>
      </c>
      <c r="O190" s="104" t="s">
        <v>21</v>
      </c>
      <c r="P190" s="93">
        <f t="shared" si="9"/>
        <v>154</v>
      </c>
    </row>
    <row r="191" spans="1:16" x14ac:dyDescent="0.25">
      <c r="A191" s="93" t="s">
        <v>2719</v>
      </c>
      <c r="B191" s="132">
        <v>45961</v>
      </c>
      <c r="C191" s="93">
        <f t="shared" si="8"/>
        <v>230</v>
      </c>
      <c r="D191" s="93">
        <v>1</v>
      </c>
      <c r="E191" s="93"/>
      <c r="F191" s="93"/>
      <c r="G191" s="94" t="s">
        <v>3011</v>
      </c>
      <c r="H191" s="93" t="s">
        <v>2684</v>
      </c>
      <c r="I191" s="129">
        <v>3383</v>
      </c>
      <c r="J191" s="93">
        <v>1111</v>
      </c>
      <c r="K191" s="93" t="s">
        <v>20</v>
      </c>
      <c r="L191" s="93">
        <v>1</v>
      </c>
      <c r="M191" s="103">
        <v>690300</v>
      </c>
      <c r="N191" s="127">
        <f t="shared" si="6"/>
        <v>690300</v>
      </c>
      <c r="O191" s="104" t="s">
        <v>21</v>
      </c>
      <c r="P191" s="93">
        <f t="shared" si="9"/>
        <v>155</v>
      </c>
    </row>
    <row r="192" spans="1:16" x14ac:dyDescent="0.25">
      <c r="A192" s="93" t="s">
        <v>2719</v>
      </c>
      <c r="B192" s="132">
        <v>45991</v>
      </c>
      <c r="C192" s="93">
        <f t="shared" si="8"/>
        <v>231</v>
      </c>
      <c r="D192" s="93">
        <v>1</v>
      </c>
      <c r="E192" s="93"/>
      <c r="F192" s="93"/>
      <c r="G192" s="94" t="s">
        <v>3011</v>
      </c>
      <c r="H192" s="93" t="s">
        <v>2685</v>
      </c>
      <c r="I192" s="129">
        <v>3383</v>
      </c>
      <c r="J192" s="93">
        <v>1111</v>
      </c>
      <c r="K192" s="93" t="s">
        <v>20</v>
      </c>
      <c r="L192" s="93">
        <v>1</v>
      </c>
      <c r="M192" s="103">
        <v>690300</v>
      </c>
      <c r="N192" s="127">
        <f t="shared" si="6"/>
        <v>690300</v>
      </c>
      <c r="O192" s="104" t="s">
        <v>21</v>
      </c>
      <c r="P192" s="93">
        <f t="shared" si="9"/>
        <v>156</v>
      </c>
    </row>
    <row r="193" spans="1:16" x14ac:dyDescent="0.25">
      <c r="A193" s="93" t="s">
        <v>2719</v>
      </c>
      <c r="B193" s="132">
        <v>45900</v>
      </c>
      <c r="C193" s="93">
        <f t="shared" si="8"/>
        <v>232</v>
      </c>
      <c r="D193" s="93">
        <v>1</v>
      </c>
      <c r="E193" s="93"/>
      <c r="F193" s="93"/>
      <c r="G193" s="94" t="s">
        <v>3011</v>
      </c>
      <c r="H193" s="93" t="s">
        <v>3564</v>
      </c>
      <c r="I193" s="129">
        <v>3383</v>
      </c>
      <c r="J193" s="93">
        <v>1111</v>
      </c>
      <c r="K193" s="93" t="s">
        <v>20</v>
      </c>
      <c r="L193" s="93">
        <v>1</v>
      </c>
      <c r="M193" s="103">
        <v>690300</v>
      </c>
      <c r="N193" s="127">
        <f t="shared" si="6"/>
        <v>690300</v>
      </c>
      <c r="O193" s="104" t="s">
        <v>21</v>
      </c>
      <c r="P193" s="93">
        <f t="shared" si="9"/>
        <v>157</v>
      </c>
    </row>
    <row r="194" spans="1:16" x14ac:dyDescent="0.25">
      <c r="A194" s="129" t="s">
        <v>2679</v>
      </c>
      <c r="B194" s="132">
        <v>45961</v>
      </c>
      <c r="C194" s="93">
        <f t="shared" si="8"/>
        <v>233</v>
      </c>
      <c r="D194" s="93">
        <v>1</v>
      </c>
      <c r="E194" s="93"/>
      <c r="F194" s="93"/>
      <c r="G194" s="94" t="s">
        <v>4273</v>
      </c>
      <c r="H194" s="93" t="s">
        <v>2687</v>
      </c>
      <c r="I194" s="129">
        <v>112111</v>
      </c>
      <c r="J194" s="129">
        <v>5154</v>
      </c>
      <c r="K194" s="93" t="s">
        <v>20</v>
      </c>
      <c r="L194" s="93">
        <v>1</v>
      </c>
      <c r="M194" s="103">
        <v>19084</v>
      </c>
      <c r="N194" s="127">
        <f t="shared" si="6"/>
        <v>19084</v>
      </c>
      <c r="O194" s="104" t="s">
        <v>21</v>
      </c>
      <c r="P194" s="93">
        <f t="shared" si="9"/>
        <v>158</v>
      </c>
    </row>
    <row r="195" spans="1:16" x14ac:dyDescent="0.25">
      <c r="A195" s="129" t="s">
        <v>2679</v>
      </c>
      <c r="B195" s="132">
        <v>46022</v>
      </c>
      <c r="C195" s="93">
        <f t="shared" ref="C195" si="10">C194+D195</f>
        <v>234</v>
      </c>
      <c r="D195" s="93">
        <v>1</v>
      </c>
      <c r="E195" s="93"/>
      <c r="F195" s="93"/>
      <c r="G195" s="94" t="s">
        <v>4273</v>
      </c>
      <c r="H195" s="93" t="s">
        <v>2687</v>
      </c>
      <c r="I195" s="129">
        <v>112111</v>
      </c>
      <c r="J195" s="129">
        <v>5154</v>
      </c>
      <c r="K195" s="93" t="s">
        <v>20</v>
      </c>
      <c r="L195" s="93">
        <v>1</v>
      </c>
      <c r="M195" s="103">
        <v>42142</v>
      </c>
      <c r="N195" s="127">
        <f t="shared" ref="N195:N198" si="11">L195*M195</f>
        <v>42142</v>
      </c>
      <c r="O195" s="104" t="s">
        <v>21</v>
      </c>
      <c r="P195" s="93">
        <f t="shared" ref="P195" si="12">P194+D195</f>
        <v>159</v>
      </c>
    </row>
    <row r="196" spans="1:16" x14ac:dyDescent="0.25">
      <c r="A196" s="129" t="s">
        <v>18</v>
      </c>
      <c r="B196" s="132">
        <v>45981</v>
      </c>
      <c r="C196" s="93">
        <f t="shared" ref="C196" si="13">C195+D196</f>
        <v>235</v>
      </c>
      <c r="D196" s="93">
        <v>1</v>
      </c>
      <c r="E196" s="93"/>
      <c r="F196" s="93"/>
      <c r="G196" s="94" t="s">
        <v>3003</v>
      </c>
      <c r="H196" s="92" t="s">
        <v>3161</v>
      </c>
      <c r="I196" s="129">
        <v>131</v>
      </c>
      <c r="J196" s="129">
        <v>5118</v>
      </c>
      <c r="K196" s="93" t="s">
        <v>20</v>
      </c>
      <c r="L196" s="93">
        <v>1</v>
      </c>
      <c r="M196" s="103">
        <v>494496422</v>
      </c>
      <c r="N196" s="127">
        <f t="shared" si="11"/>
        <v>494496422</v>
      </c>
      <c r="O196" s="104" t="s">
        <v>21</v>
      </c>
      <c r="P196" s="93">
        <f t="shared" ref="P196:P197" si="14">P195+D196</f>
        <v>160</v>
      </c>
    </row>
    <row r="197" spans="1:16" x14ac:dyDescent="0.25">
      <c r="A197" s="129" t="s">
        <v>2679</v>
      </c>
      <c r="B197" s="132">
        <v>45981</v>
      </c>
      <c r="C197" s="93">
        <f t="shared" ref="C197" si="15">C196+D197</f>
        <v>236</v>
      </c>
      <c r="D197" s="93">
        <v>1</v>
      </c>
      <c r="E197" s="93"/>
      <c r="F197" s="93"/>
      <c r="G197" s="94" t="s">
        <v>3003</v>
      </c>
      <c r="H197" s="92" t="s">
        <v>3162</v>
      </c>
      <c r="I197" s="129">
        <v>112111</v>
      </c>
      <c r="J197" s="129">
        <v>131</v>
      </c>
      <c r="K197" s="93" t="s">
        <v>20</v>
      </c>
      <c r="L197" s="93">
        <v>1</v>
      </c>
      <c r="M197" s="103">
        <v>494496422</v>
      </c>
      <c r="N197" s="127">
        <f t="shared" si="11"/>
        <v>494496422</v>
      </c>
      <c r="O197" s="104" t="s">
        <v>21</v>
      </c>
      <c r="P197" s="93">
        <f t="shared" si="14"/>
        <v>161</v>
      </c>
    </row>
    <row r="198" spans="1:16" x14ac:dyDescent="0.25">
      <c r="A198" s="129" t="s">
        <v>2679</v>
      </c>
      <c r="B198" s="132">
        <v>45986</v>
      </c>
      <c r="C198" s="93">
        <f t="shared" ref="C198" si="16">C197+D198</f>
        <v>237</v>
      </c>
      <c r="D198" s="93">
        <v>1</v>
      </c>
      <c r="E198" s="93"/>
      <c r="F198" s="93"/>
      <c r="G198" s="94" t="s">
        <v>4273</v>
      </c>
      <c r="H198" s="93" t="s">
        <v>2687</v>
      </c>
      <c r="I198" s="129">
        <v>112111</v>
      </c>
      <c r="J198" s="129">
        <v>5154</v>
      </c>
      <c r="K198" s="93" t="s">
        <v>20</v>
      </c>
      <c r="L198" s="93">
        <v>1</v>
      </c>
      <c r="M198" s="103">
        <v>46677</v>
      </c>
      <c r="N198" s="103">
        <f t="shared" si="11"/>
        <v>46677</v>
      </c>
      <c r="O198" s="104" t="s">
        <v>21</v>
      </c>
      <c r="P198" s="93">
        <f t="shared" ref="P198" si="17">P197+D198</f>
        <v>162</v>
      </c>
    </row>
    <row r="199" spans="1:16" x14ac:dyDescent="0.25">
      <c r="A199" s="129" t="s">
        <v>2719</v>
      </c>
      <c r="B199" s="132">
        <v>45938</v>
      </c>
      <c r="C199" s="93">
        <f t="shared" ref="C199" si="18">C198+D199</f>
        <v>238</v>
      </c>
      <c r="D199" s="93">
        <v>1</v>
      </c>
      <c r="E199" s="93"/>
      <c r="F199" s="93"/>
      <c r="G199" s="94" t="s">
        <v>1931</v>
      </c>
      <c r="H199" s="93" t="s">
        <v>4207</v>
      </c>
      <c r="I199" s="129">
        <v>331</v>
      </c>
      <c r="J199" s="129">
        <v>1111</v>
      </c>
      <c r="K199" s="93" t="s">
        <v>20</v>
      </c>
      <c r="L199" s="93">
        <v>1</v>
      </c>
      <c r="M199" s="103">
        <v>1540000</v>
      </c>
      <c r="N199" s="103">
        <f t="shared" ref="N199" si="19">L199*M199</f>
        <v>1540000</v>
      </c>
      <c r="O199" s="104" t="s">
        <v>21</v>
      </c>
      <c r="P199" s="93">
        <f t="shared" ref="P199" si="20">P198+D199</f>
        <v>163</v>
      </c>
    </row>
    <row r="200" spans="1:16" x14ac:dyDescent="0.25">
      <c r="A200" s="129"/>
      <c r="B200" s="132"/>
      <c r="C200" s="93"/>
      <c r="D200" s="93"/>
      <c r="E200" s="93"/>
      <c r="F200" s="93"/>
      <c r="G200" s="94"/>
      <c r="H200" s="93"/>
      <c r="I200" s="129"/>
      <c r="J200" s="129"/>
      <c r="K200" s="93"/>
      <c r="L200" s="93"/>
      <c r="M200" s="103"/>
      <c r="N200" s="103"/>
      <c r="O200" s="104"/>
      <c r="P200" s="93"/>
    </row>
    <row r="201" spans="1:16" x14ac:dyDescent="0.25">
      <c r="A201" s="129"/>
      <c r="B201" s="132"/>
      <c r="C201" s="93"/>
      <c r="D201" s="93"/>
      <c r="E201" s="93"/>
      <c r="F201" s="93"/>
      <c r="G201" s="94"/>
      <c r="H201" s="93"/>
      <c r="I201" s="129"/>
      <c r="J201" s="129"/>
      <c r="K201" s="93"/>
      <c r="L201" s="93"/>
      <c r="M201" s="103"/>
      <c r="N201" s="103"/>
      <c r="O201" s="104"/>
      <c r="P201" s="93"/>
    </row>
    <row r="202" spans="1:16" x14ac:dyDescent="0.25">
      <c r="A202" s="129"/>
      <c r="B202" s="132"/>
      <c r="C202" s="93"/>
      <c r="D202" s="93"/>
      <c r="E202" s="93"/>
      <c r="F202" s="93"/>
      <c r="G202" s="94"/>
      <c r="H202" s="93"/>
      <c r="I202" s="129"/>
      <c r="J202" s="129"/>
      <c r="K202" s="93"/>
      <c r="L202" s="93"/>
      <c r="M202" s="103"/>
      <c r="N202" s="103"/>
      <c r="O202" s="104"/>
      <c r="P202" s="93"/>
    </row>
    <row r="203" spans="1:16" x14ac:dyDescent="0.25">
      <c r="A203" s="129"/>
      <c r="B203" s="132"/>
      <c r="C203" s="93"/>
      <c r="D203" s="93"/>
      <c r="E203" s="93"/>
      <c r="F203" s="93"/>
      <c r="G203" s="94"/>
      <c r="H203" s="93"/>
      <c r="I203" s="129"/>
      <c r="J203" s="129"/>
      <c r="K203" s="93"/>
      <c r="L203" s="93"/>
      <c r="M203" s="103"/>
      <c r="N203" s="103"/>
      <c r="O203" s="104"/>
      <c r="P203" s="93"/>
    </row>
    <row r="204" spans="1:16" x14ac:dyDescent="0.25">
      <c r="A204" s="93"/>
      <c r="B204" s="69"/>
      <c r="C204" s="93"/>
      <c r="D204" s="93"/>
      <c r="E204" s="93"/>
      <c r="F204" s="93"/>
      <c r="G204" s="130"/>
      <c r="H204" s="92"/>
      <c r="I204" s="129"/>
      <c r="J204" s="129"/>
      <c r="K204" s="93"/>
      <c r="L204" s="93"/>
      <c r="M204" s="133"/>
      <c r="N204" s="103"/>
      <c r="O204" s="104"/>
      <c r="P204" s="93"/>
    </row>
    <row r="205" spans="1:16" x14ac:dyDescent="0.25">
      <c r="A205" s="93"/>
      <c r="B205" s="69"/>
      <c r="C205" s="93"/>
      <c r="D205" s="93"/>
      <c r="E205" s="93"/>
      <c r="F205" s="93"/>
      <c r="G205" s="130"/>
      <c r="H205" s="92"/>
      <c r="I205" s="129"/>
      <c r="J205" s="129"/>
      <c r="K205" s="93"/>
      <c r="L205" s="93"/>
      <c r="M205" s="133"/>
      <c r="N205" s="103"/>
      <c r="O205" s="104"/>
      <c r="P205" s="93"/>
    </row>
    <row r="206" spans="1:16" x14ac:dyDescent="0.25">
      <c r="A206" s="93"/>
      <c r="B206" s="69"/>
      <c r="C206" s="93"/>
      <c r="D206" s="93"/>
      <c r="E206" s="93"/>
      <c r="F206" s="93"/>
      <c r="G206" s="130"/>
      <c r="H206" s="92"/>
      <c r="I206" s="129"/>
      <c r="J206" s="129"/>
      <c r="K206" s="93"/>
      <c r="L206" s="93"/>
      <c r="M206" s="133"/>
      <c r="N206" s="103"/>
      <c r="O206" s="104"/>
      <c r="P206" s="93"/>
    </row>
    <row r="207" spans="1:16" x14ac:dyDescent="0.25">
      <c r="A207" s="93"/>
      <c r="B207" s="132"/>
      <c r="C207" s="93"/>
      <c r="D207" s="93"/>
      <c r="E207" s="93"/>
      <c r="F207" s="93"/>
      <c r="G207" s="94"/>
      <c r="H207" s="92"/>
      <c r="I207" s="129"/>
      <c r="J207" s="129"/>
      <c r="K207" s="93"/>
      <c r="L207" s="93"/>
      <c r="M207" s="103"/>
      <c r="N207" s="103"/>
      <c r="O207" s="104"/>
      <c r="P207" s="93"/>
    </row>
    <row r="208" spans="1:16" x14ac:dyDescent="0.25">
      <c r="A208" s="93"/>
      <c r="B208" s="132"/>
      <c r="C208" s="93"/>
      <c r="D208" s="93"/>
      <c r="E208" s="93"/>
      <c r="F208" s="93"/>
      <c r="G208" s="94"/>
      <c r="H208" s="92"/>
      <c r="I208" s="129"/>
      <c r="J208" s="129"/>
      <c r="K208" s="93"/>
      <c r="L208" s="93"/>
      <c r="M208" s="103"/>
      <c r="N208" s="103"/>
      <c r="O208" s="104"/>
      <c r="P208" s="93"/>
    </row>
    <row r="209" spans="1:16" x14ac:dyDescent="0.25">
      <c r="A209" s="93"/>
      <c r="B209" s="132"/>
      <c r="C209" s="93"/>
      <c r="D209" s="93"/>
      <c r="E209" s="93"/>
      <c r="F209" s="93"/>
      <c r="G209" s="94"/>
      <c r="H209" s="92"/>
      <c r="I209" s="129"/>
      <c r="J209" s="129"/>
      <c r="K209" s="93"/>
      <c r="L209" s="93"/>
      <c r="M209" s="103"/>
      <c r="N209" s="103"/>
      <c r="O209" s="104"/>
      <c r="P209" s="93"/>
    </row>
    <row r="210" spans="1:16" x14ac:dyDescent="0.25">
      <c r="A210" s="93"/>
      <c r="B210" s="132"/>
      <c r="C210" s="93"/>
      <c r="D210" s="93"/>
      <c r="E210" s="93"/>
      <c r="F210" s="93"/>
      <c r="G210" s="94"/>
      <c r="H210" s="92"/>
      <c r="I210" s="129"/>
      <c r="J210" s="129"/>
      <c r="K210" s="93"/>
      <c r="L210" s="93"/>
      <c r="M210" s="103"/>
      <c r="N210" s="103"/>
      <c r="O210" s="104"/>
      <c r="P210" s="93"/>
    </row>
    <row r="211" spans="1:16" x14ac:dyDescent="0.25">
      <c r="A211" s="93"/>
      <c r="B211" s="132"/>
      <c r="C211" s="93"/>
      <c r="D211" s="93"/>
      <c r="E211" s="93"/>
      <c r="F211" s="93"/>
      <c r="G211" s="94"/>
      <c r="H211" s="92"/>
      <c r="I211" s="129"/>
      <c r="J211" s="129"/>
      <c r="K211" s="93"/>
      <c r="L211" s="93"/>
      <c r="M211" s="103"/>
      <c r="N211" s="103"/>
      <c r="O211" s="104"/>
      <c r="P211" s="93"/>
    </row>
    <row r="212" spans="1:16" x14ac:dyDescent="0.25">
      <c r="A212" s="93"/>
      <c r="B212" s="132"/>
      <c r="C212" s="93"/>
      <c r="D212" s="93"/>
      <c r="E212" s="93"/>
      <c r="F212" s="93"/>
      <c r="G212" s="94"/>
      <c r="H212" s="92"/>
      <c r="I212" s="129"/>
      <c r="J212" s="129"/>
      <c r="K212" s="93"/>
      <c r="L212" s="93"/>
      <c r="M212" s="103"/>
      <c r="N212" s="103"/>
      <c r="O212" s="104"/>
      <c r="P212" s="93"/>
    </row>
    <row r="213" spans="1:16" x14ac:dyDescent="0.25">
      <c r="A213" s="93"/>
      <c r="B213" s="132"/>
      <c r="C213" s="93"/>
      <c r="D213" s="93"/>
      <c r="E213" s="93"/>
      <c r="F213" s="93"/>
      <c r="G213" s="94"/>
      <c r="H213" s="92"/>
      <c r="I213" s="129"/>
      <c r="J213" s="129"/>
      <c r="K213" s="93"/>
      <c r="L213" s="93"/>
      <c r="M213" s="103"/>
      <c r="N213" s="103"/>
      <c r="O213" s="104"/>
      <c r="P213" s="93"/>
    </row>
    <row r="214" spans="1:16" x14ac:dyDescent="0.25">
      <c r="A214" s="93"/>
      <c r="B214" s="132"/>
      <c r="C214" s="93"/>
      <c r="D214" s="93"/>
      <c r="E214" s="93"/>
      <c r="F214" s="93"/>
      <c r="G214" s="94"/>
      <c r="H214" s="92"/>
      <c r="I214" s="129"/>
      <c r="J214" s="129"/>
      <c r="K214" s="93"/>
      <c r="L214" s="93"/>
      <c r="M214" s="103"/>
      <c r="N214" s="103"/>
      <c r="O214" s="104"/>
      <c r="P214" s="93"/>
    </row>
    <row r="215" spans="1:16" x14ac:dyDescent="0.25">
      <c r="A215" s="93"/>
      <c r="B215" s="132"/>
      <c r="C215" s="93"/>
      <c r="D215" s="93"/>
      <c r="E215" s="93"/>
      <c r="F215" s="93"/>
      <c r="G215" s="94"/>
      <c r="H215" s="92"/>
      <c r="I215" s="129"/>
      <c r="J215" s="129"/>
      <c r="K215" s="93"/>
      <c r="L215" s="93"/>
      <c r="M215" s="103"/>
      <c r="N215" s="103"/>
      <c r="O215" s="104"/>
      <c r="P215" s="93"/>
    </row>
    <row r="216" spans="1:16" x14ac:dyDescent="0.25">
      <c r="A216" s="93"/>
      <c r="B216" s="132"/>
      <c r="C216" s="93"/>
      <c r="D216" s="93"/>
      <c r="E216" s="93"/>
      <c r="F216" s="93"/>
      <c r="G216" s="94"/>
      <c r="H216" s="92"/>
      <c r="I216" s="129"/>
      <c r="J216" s="129"/>
      <c r="K216" s="93"/>
      <c r="L216" s="93"/>
      <c r="M216" s="103"/>
      <c r="N216" s="103"/>
      <c r="O216" s="104"/>
      <c r="P216" s="93"/>
    </row>
    <row r="217" spans="1:16" x14ac:dyDescent="0.25">
      <c r="A217" s="93"/>
      <c r="B217" s="132"/>
      <c r="C217" s="93"/>
      <c r="D217" s="93"/>
      <c r="E217" s="93"/>
      <c r="F217" s="93"/>
      <c r="G217" s="94"/>
      <c r="H217" s="92"/>
      <c r="I217" s="129"/>
      <c r="J217" s="129"/>
      <c r="K217" s="93"/>
      <c r="L217" s="93"/>
      <c r="M217" s="103"/>
      <c r="N217" s="103"/>
      <c r="O217" s="104"/>
      <c r="P217" s="93"/>
    </row>
    <row r="218" spans="1:16" x14ac:dyDescent="0.25">
      <c r="A218" s="93"/>
      <c r="B218" s="132"/>
      <c r="C218" s="93"/>
      <c r="D218" s="93"/>
      <c r="E218" s="93"/>
      <c r="F218" s="93"/>
      <c r="G218" s="94"/>
      <c r="H218" s="92"/>
      <c r="I218" s="129"/>
      <c r="J218" s="129"/>
      <c r="K218" s="93"/>
      <c r="L218" s="93"/>
      <c r="M218" s="103"/>
      <c r="N218" s="103"/>
      <c r="O218" s="104"/>
      <c r="P218" s="93"/>
    </row>
    <row r="219" spans="1:16" x14ac:dyDescent="0.25">
      <c r="A219" s="93"/>
      <c r="B219" s="132"/>
      <c r="C219" s="93"/>
      <c r="D219" s="93"/>
      <c r="E219" s="93"/>
      <c r="F219" s="93"/>
      <c r="G219" s="94"/>
      <c r="H219" s="92"/>
      <c r="I219" s="129"/>
      <c r="J219" s="129"/>
      <c r="K219" s="93"/>
      <c r="L219" s="93"/>
      <c r="M219" s="103"/>
      <c r="N219" s="103"/>
      <c r="O219" s="104"/>
      <c r="P219" s="93"/>
    </row>
    <row r="220" spans="1:16" x14ac:dyDescent="0.25">
      <c r="A220" s="93"/>
      <c r="B220" s="132"/>
      <c r="C220" s="93"/>
      <c r="D220" s="93"/>
      <c r="E220" s="93"/>
      <c r="F220" s="93"/>
      <c r="G220" s="94"/>
      <c r="H220" s="92"/>
      <c r="I220" s="129"/>
      <c r="J220" s="129"/>
      <c r="K220" s="93"/>
      <c r="L220" s="93"/>
      <c r="M220" s="103"/>
      <c r="N220" s="103"/>
      <c r="O220" s="104"/>
      <c r="P220" s="93"/>
    </row>
    <row r="221" spans="1:16" x14ac:dyDescent="0.25">
      <c r="A221" s="93"/>
      <c r="B221" s="132"/>
      <c r="C221" s="93"/>
      <c r="D221" s="93"/>
      <c r="E221" s="93"/>
      <c r="F221" s="93"/>
      <c r="G221" s="94"/>
      <c r="H221" s="92"/>
      <c r="I221" s="129"/>
      <c r="J221" s="129"/>
      <c r="K221" s="93"/>
      <c r="L221" s="93"/>
      <c r="M221" s="103"/>
      <c r="N221" s="103"/>
      <c r="O221" s="104"/>
      <c r="P221" s="93"/>
    </row>
    <row r="222" spans="1:16" x14ac:dyDescent="0.25">
      <c r="A222" s="93"/>
      <c r="B222" s="132"/>
      <c r="C222" s="93"/>
      <c r="D222" s="93"/>
      <c r="E222" s="93"/>
      <c r="F222" s="93"/>
      <c r="G222" s="94"/>
      <c r="H222" s="92"/>
      <c r="I222" s="129"/>
      <c r="J222" s="129"/>
      <c r="K222" s="93"/>
      <c r="L222" s="93"/>
      <c r="M222" s="103"/>
      <c r="N222" s="103"/>
      <c r="O222" s="104"/>
      <c r="P222" s="93"/>
    </row>
    <row r="223" spans="1:16" x14ac:dyDescent="0.25">
      <c r="A223" s="93"/>
      <c r="B223" s="132"/>
      <c r="C223" s="93"/>
      <c r="D223" s="93"/>
      <c r="E223" s="93"/>
      <c r="F223" s="93"/>
      <c r="G223" s="94"/>
      <c r="H223" s="92"/>
      <c r="I223" s="129"/>
      <c r="J223" s="129"/>
      <c r="K223" s="93"/>
      <c r="L223" s="93"/>
      <c r="M223" s="103"/>
      <c r="N223" s="103"/>
      <c r="O223" s="104"/>
      <c r="P223" s="93"/>
    </row>
    <row r="224" spans="1:16" x14ac:dyDescent="0.25">
      <c r="A224" s="93"/>
      <c r="B224" s="132"/>
      <c r="C224" s="93"/>
      <c r="D224" s="93"/>
      <c r="E224" s="93"/>
      <c r="F224" s="93"/>
      <c r="G224" s="94"/>
      <c r="H224" s="92"/>
      <c r="I224" s="129"/>
      <c r="J224" s="129"/>
      <c r="K224" s="93"/>
      <c r="L224" s="93"/>
      <c r="M224" s="103"/>
      <c r="N224" s="103"/>
      <c r="O224" s="104"/>
      <c r="P224" s="93"/>
    </row>
    <row r="225" spans="1:16" x14ac:dyDescent="0.25">
      <c r="A225" s="93"/>
      <c r="B225" s="132"/>
      <c r="C225" s="93"/>
      <c r="D225" s="93"/>
      <c r="E225" s="93"/>
      <c r="F225" s="93"/>
      <c r="G225" s="94"/>
      <c r="H225" s="92"/>
      <c r="I225" s="129"/>
      <c r="J225" s="129"/>
      <c r="K225" s="93"/>
      <c r="L225" s="93"/>
      <c r="M225" s="103"/>
      <c r="N225" s="103"/>
      <c r="O225" s="104"/>
      <c r="P225" s="93"/>
    </row>
    <row r="226" spans="1:16" x14ac:dyDescent="0.25">
      <c r="A226" s="93"/>
      <c r="B226" s="132"/>
      <c r="C226" s="93"/>
      <c r="D226" s="93"/>
      <c r="E226" s="93"/>
      <c r="F226" s="93"/>
      <c r="G226" s="94"/>
      <c r="H226" s="92"/>
      <c r="I226" s="129"/>
      <c r="J226" s="129"/>
      <c r="K226" s="93"/>
      <c r="L226" s="93"/>
      <c r="M226" s="103"/>
      <c r="N226" s="103"/>
      <c r="O226" s="104"/>
      <c r="P226" s="93"/>
    </row>
    <row r="227" spans="1:16" x14ac:dyDescent="0.25">
      <c r="A227" s="93"/>
      <c r="B227" s="132"/>
      <c r="C227" s="93"/>
      <c r="D227" s="93"/>
      <c r="E227" s="93"/>
      <c r="F227" s="93"/>
      <c r="G227" s="94"/>
      <c r="H227" s="92"/>
      <c r="I227" s="129"/>
      <c r="J227" s="129"/>
      <c r="K227" s="93"/>
      <c r="L227" s="93"/>
      <c r="M227" s="103"/>
      <c r="N227" s="103"/>
      <c r="O227" s="104"/>
      <c r="P227" s="93"/>
    </row>
    <row r="228" spans="1:16" x14ac:dyDescent="0.25">
      <c r="A228" s="93"/>
      <c r="B228" s="132"/>
      <c r="C228" s="93"/>
      <c r="D228" s="93"/>
      <c r="E228" s="93"/>
      <c r="F228" s="93"/>
      <c r="G228" s="94"/>
      <c r="H228" s="92"/>
      <c r="I228" s="129"/>
      <c r="J228" s="129"/>
      <c r="K228" s="93"/>
      <c r="L228" s="93"/>
      <c r="M228" s="103"/>
      <c r="N228" s="103"/>
      <c r="O228" s="104"/>
      <c r="P228" s="93"/>
    </row>
    <row r="229" spans="1:16" x14ac:dyDescent="0.25">
      <c r="A229" s="93"/>
      <c r="B229" s="132"/>
      <c r="C229" s="93"/>
      <c r="D229" s="93"/>
      <c r="E229" s="93"/>
      <c r="F229" s="93"/>
      <c r="G229" s="94"/>
      <c r="H229" s="92"/>
      <c r="I229" s="129"/>
      <c r="J229" s="129"/>
      <c r="K229" s="93"/>
      <c r="L229" s="93"/>
      <c r="M229" s="103"/>
      <c r="N229" s="103"/>
      <c r="O229" s="104"/>
      <c r="P229" s="93"/>
    </row>
    <row r="230" spans="1:16" x14ac:dyDescent="0.25">
      <c r="A230" s="93"/>
      <c r="B230" s="132"/>
      <c r="C230" s="93"/>
      <c r="D230" s="93"/>
      <c r="E230" s="93"/>
      <c r="F230" s="93"/>
      <c r="G230" s="94"/>
      <c r="H230" s="92"/>
      <c r="I230" s="129"/>
      <c r="J230" s="129"/>
      <c r="K230" s="93"/>
      <c r="L230" s="93"/>
      <c r="M230" s="103"/>
      <c r="N230" s="103"/>
      <c r="O230" s="104"/>
      <c r="P230" s="93"/>
    </row>
    <row r="231" spans="1:16" x14ac:dyDescent="0.25">
      <c r="A231" s="93"/>
      <c r="B231" s="132"/>
      <c r="C231" s="93"/>
      <c r="D231" s="93"/>
      <c r="E231" s="93"/>
      <c r="F231" s="93"/>
      <c r="G231" s="94"/>
      <c r="H231" s="92"/>
      <c r="I231" s="129"/>
      <c r="J231" s="129"/>
      <c r="K231" s="93"/>
      <c r="L231" s="93"/>
      <c r="M231" s="103"/>
      <c r="N231" s="103"/>
      <c r="O231" s="104"/>
      <c r="P231" s="93"/>
    </row>
    <row r="232" spans="1:16" x14ac:dyDescent="0.25">
      <c r="A232" s="93"/>
      <c r="B232" s="132"/>
      <c r="C232" s="93"/>
      <c r="D232" s="93"/>
      <c r="E232" s="93"/>
      <c r="F232" s="93"/>
      <c r="G232" s="94"/>
      <c r="H232" s="92"/>
      <c r="I232" s="129"/>
      <c r="J232" s="129"/>
      <c r="K232" s="93"/>
      <c r="L232" s="93"/>
      <c r="M232" s="103"/>
      <c r="N232" s="103"/>
      <c r="O232" s="104"/>
      <c r="P232" s="93"/>
    </row>
    <row r="233" spans="1:16" x14ac:dyDescent="0.25">
      <c r="A233" s="93"/>
      <c r="B233" s="132"/>
      <c r="C233" s="93"/>
      <c r="D233" s="93"/>
      <c r="E233" s="93"/>
      <c r="F233" s="93"/>
      <c r="G233" s="94"/>
      <c r="H233" s="92"/>
      <c r="I233" s="129"/>
      <c r="J233" s="129"/>
      <c r="K233" s="93"/>
      <c r="L233" s="93"/>
      <c r="M233" s="103"/>
      <c r="N233" s="103"/>
      <c r="O233" s="104"/>
      <c r="P233" s="93"/>
    </row>
    <row r="234" spans="1:16" x14ac:dyDescent="0.25">
      <c r="A234" s="93"/>
      <c r="B234" s="132"/>
      <c r="C234" s="93"/>
      <c r="D234" s="93"/>
      <c r="E234" s="93"/>
      <c r="F234" s="93"/>
      <c r="G234" s="94"/>
      <c r="H234" s="92"/>
      <c r="I234" s="129"/>
      <c r="J234" s="129"/>
      <c r="K234" s="93"/>
      <c r="L234" s="93"/>
      <c r="M234" s="103"/>
      <c r="N234" s="103"/>
      <c r="O234" s="104"/>
      <c r="P234" s="93"/>
    </row>
    <row r="235" spans="1:16" x14ac:dyDescent="0.25">
      <c r="A235" s="93"/>
      <c r="B235" s="132"/>
      <c r="C235" s="93"/>
      <c r="D235" s="93"/>
      <c r="E235" s="93"/>
      <c r="F235" s="93"/>
      <c r="G235" s="94"/>
      <c r="H235" s="92"/>
      <c r="I235" s="129"/>
      <c r="J235" s="129"/>
      <c r="K235" s="93"/>
      <c r="L235" s="93"/>
      <c r="M235" s="103"/>
      <c r="N235" s="103"/>
      <c r="O235" s="104"/>
      <c r="P235" s="93"/>
    </row>
    <row r="236" spans="1:16" x14ac:dyDescent="0.25">
      <c r="A236" s="93"/>
      <c r="B236" s="132"/>
      <c r="C236" s="93"/>
      <c r="D236" s="93"/>
      <c r="E236" s="93"/>
      <c r="F236" s="93"/>
      <c r="G236" s="94"/>
      <c r="H236" s="92"/>
      <c r="I236" s="129"/>
      <c r="J236" s="129"/>
      <c r="K236" s="93"/>
      <c r="L236" s="93"/>
      <c r="M236" s="103"/>
      <c r="N236" s="103"/>
      <c r="O236" s="104"/>
      <c r="P236" s="93"/>
    </row>
    <row r="237" spans="1:16" x14ac:dyDescent="0.25">
      <c r="A237" s="93"/>
      <c r="B237" s="132"/>
      <c r="C237" s="93"/>
      <c r="D237" s="93"/>
      <c r="E237" s="93"/>
      <c r="F237" s="93"/>
      <c r="G237" s="94"/>
      <c r="H237" s="92"/>
      <c r="I237" s="129"/>
      <c r="J237" s="129"/>
      <c r="K237" s="93"/>
      <c r="L237" s="93"/>
      <c r="M237" s="103"/>
      <c r="N237" s="103"/>
      <c r="O237" s="104"/>
      <c r="P237" s="93"/>
    </row>
    <row r="238" spans="1:16" x14ac:dyDescent="0.25">
      <c r="A238" s="93"/>
      <c r="B238" s="132"/>
      <c r="C238" s="93"/>
      <c r="D238" s="93"/>
      <c r="E238" s="93"/>
      <c r="F238" s="93"/>
      <c r="G238" s="94"/>
      <c r="H238" s="92"/>
      <c r="I238" s="129"/>
      <c r="J238" s="129"/>
      <c r="K238" s="93"/>
      <c r="L238" s="93"/>
      <c r="M238" s="103"/>
      <c r="N238" s="103"/>
      <c r="O238" s="104"/>
      <c r="P238" s="93"/>
    </row>
    <row r="239" spans="1:16" x14ac:dyDescent="0.25">
      <c r="A239" s="93"/>
      <c r="B239" s="132"/>
      <c r="C239" s="93"/>
      <c r="D239" s="93"/>
      <c r="E239" s="93"/>
      <c r="F239" s="93"/>
      <c r="G239" s="94"/>
      <c r="H239" s="92"/>
      <c r="I239" s="129"/>
      <c r="J239" s="129"/>
      <c r="K239" s="93"/>
      <c r="L239" s="93"/>
      <c r="M239" s="103"/>
      <c r="N239" s="103"/>
      <c r="O239" s="104"/>
      <c r="P239" s="93"/>
    </row>
    <row r="240" spans="1:16" x14ac:dyDescent="0.25">
      <c r="A240" s="93"/>
      <c r="B240" s="132"/>
      <c r="C240" s="93"/>
      <c r="D240" s="93"/>
      <c r="E240" s="93"/>
      <c r="F240" s="93"/>
      <c r="G240" s="94"/>
      <c r="H240" s="92"/>
      <c r="I240" s="129"/>
      <c r="J240" s="129"/>
      <c r="K240" s="93"/>
      <c r="L240" s="93"/>
      <c r="M240" s="103"/>
      <c r="N240" s="103"/>
      <c r="O240" s="104"/>
      <c r="P240" s="93"/>
    </row>
    <row r="241" spans="1:16" x14ac:dyDescent="0.25">
      <c r="A241" s="93"/>
      <c r="B241" s="132"/>
      <c r="C241" s="93"/>
      <c r="D241" s="93"/>
      <c r="E241" s="93"/>
      <c r="F241" s="93"/>
      <c r="G241" s="94"/>
      <c r="H241" s="92"/>
      <c r="I241" s="129"/>
      <c r="J241" s="129"/>
      <c r="K241" s="93"/>
      <c r="L241" s="93"/>
      <c r="M241" s="103"/>
      <c r="N241" s="103"/>
      <c r="O241" s="104"/>
      <c r="P241" s="93"/>
    </row>
    <row r="242" spans="1:16" x14ac:dyDescent="0.25">
      <c r="A242" s="93"/>
      <c r="B242" s="132"/>
      <c r="C242" s="93"/>
      <c r="D242" s="93"/>
      <c r="E242" s="93"/>
      <c r="F242" s="93"/>
      <c r="G242" s="94"/>
      <c r="H242" s="92"/>
      <c r="I242" s="129"/>
      <c r="J242" s="129"/>
      <c r="K242" s="93"/>
      <c r="L242" s="93"/>
      <c r="M242" s="103"/>
      <c r="N242" s="103"/>
      <c r="O242" s="104"/>
      <c r="P242" s="93"/>
    </row>
    <row r="243" spans="1:16" x14ac:dyDescent="0.25">
      <c r="A243" s="93"/>
      <c r="B243" s="132"/>
      <c r="C243" s="93"/>
      <c r="D243" s="93"/>
      <c r="E243" s="93"/>
      <c r="F243" s="93"/>
      <c r="G243" s="94"/>
      <c r="H243" s="92"/>
      <c r="I243" s="129"/>
      <c r="J243" s="129"/>
      <c r="K243" s="93"/>
      <c r="L243" s="93"/>
      <c r="M243" s="103"/>
      <c r="N243" s="103"/>
      <c r="O243" s="104"/>
      <c r="P243" s="93"/>
    </row>
    <row r="244" spans="1:16" x14ac:dyDescent="0.25">
      <c r="A244" s="93"/>
      <c r="B244" s="132"/>
      <c r="C244" s="93"/>
      <c r="D244" s="93"/>
      <c r="E244" s="93"/>
      <c r="F244" s="93"/>
      <c r="G244" s="94"/>
      <c r="H244" s="92"/>
      <c r="I244" s="129"/>
      <c r="J244" s="129"/>
      <c r="K244" s="93"/>
      <c r="L244" s="93"/>
      <c r="M244" s="103"/>
      <c r="N244" s="103"/>
      <c r="O244" s="104"/>
      <c r="P244" s="93"/>
    </row>
    <row r="245" spans="1:16" x14ac:dyDescent="0.25">
      <c r="A245" s="93"/>
      <c r="B245" s="132"/>
      <c r="C245" s="93"/>
      <c r="D245" s="93"/>
      <c r="E245" s="93"/>
      <c r="F245" s="93"/>
      <c r="G245" s="94"/>
      <c r="H245" s="92"/>
      <c r="I245" s="129"/>
      <c r="J245" s="129"/>
      <c r="K245" s="93"/>
      <c r="L245" s="93"/>
      <c r="M245" s="103"/>
      <c r="N245" s="103"/>
      <c r="O245" s="104"/>
      <c r="P245" s="93"/>
    </row>
    <row r="246" spans="1:16" x14ac:dyDescent="0.25">
      <c r="A246" s="93"/>
      <c r="B246" s="132"/>
      <c r="C246" s="93"/>
      <c r="D246" s="93"/>
      <c r="E246" s="93"/>
      <c r="F246" s="93"/>
      <c r="G246" s="94"/>
      <c r="H246" s="92"/>
      <c r="I246" s="129"/>
      <c r="J246" s="129"/>
      <c r="K246" s="93"/>
      <c r="L246" s="93"/>
      <c r="M246" s="103"/>
      <c r="N246" s="103"/>
      <c r="O246" s="104"/>
      <c r="P246" s="93"/>
    </row>
    <row r="247" spans="1:16" x14ac:dyDescent="0.25">
      <c r="A247" s="93"/>
      <c r="B247" s="132"/>
      <c r="C247" s="93"/>
      <c r="D247" s="93"/>
      <c r="E247" s="93"/>
      <c r="F247" s="93"/>
      <c r="G247" s="94"/>
      <c r="H247" s="92"/>
      <c r="I247" s="129"/>
      <c r="J247" s="129"/>
      <c r="K247" s="93"/>
      <c r="L247" s="93"/>
      <c r="M247" s="103"/>
      <c r="N247" s="103"/>
      <c r="O247" s="104"/>
      <c r="P247" s="93"/>
    </row>
    <row r="248" spans="1:16" x14ac:dyDescent="0.25">
      <c r="A248" s="93"/>
      <c r="B248" s="132"/>
      <c r="C248" s="93"/>
      <c r="D248" s="93"/>
      <c r="E248" s="93"/>
      <c r="F248" s="93"/>
      <c r="G248" s="94"/>
      <c r="H248" s="92"/>
      <c r="I248" s="129"/>
      <c r="J248" s="129"/>
      <c r="K248" s="93"/>
      <c r="L248" s="93"/>
      <c r="M248" s="103"/>
      <c r="N248" s="103"/>
      <c r="O248" s="104"/>
      <c r="P248" s="93"/>
    </row>
    <row r="249" spans="1:16" x14ac:dyDescent="0.25">
      <c r="A249" s="93"/>
      <c r="B249" s="132"/>
      <c r="C249" s="93"/>
      <c r="D249" s="93"/>
      <c r="E249" s="93"/>
      <c r="F249" s="93"/>
      <c r="G249" s="94"/>
      <c r="H249" s="92"/>
      <c r="I249" s="129"/>
      <c r="J249" s="129"/>
      <c r="K249" s="93"/>
      <c r="L249" s="93"/>
      <c r="M249" s="103"/>
      <c r="N249" s="103"/>
      <c r="O249" s="104"/>
      <c r="P249" s="93"/>
    </row>
    <row r="250" spans="1:16" x14ac:dyDescent="0.25">
      <c r="A250" s="93"/>
      <c r="B250" s="132"/>
      <c r="C250" s="93"/>
      <c r="D250" s="93"/>
      <c r="E250" s="93"/>
      <c r="F250" s="93"/>
      <c r="G250" s="94"/>
      <c r="H250" s="92"/>
      <c r="I250" s="129"/>
      <c r="J250" s="129"/>
      <c r="K250" s="93"/>
      <c r="L250" s="93"/>
      <c r="M250" s="103"/>
      <c r="N250" s="103"/>
      <c r="O250" s="104"/>
      <c r="P250" s="93"/>
    </row>
    <row r="251" spans="1:16" x14ac:dyDescent="0.25">
      <c r="A251" s="93"/>
      <c r="B251" s="132"/>
      <c r="C251" s="93"/>
      <c r="D251" s="93"/>
      <c r="E251" s="93"/>
      <c r="F251" s="93"/>
      <c r="G251" s="94"/>
      <c r="H251" s="92"/>
      <c r="I251" s="129"/>
      <c r="J251" s="129"/>
      <c r="K251" s="93"/>
      <c r="L251" s="93"/>
      <c r="M251" s="103"/>
      <c r="N251" s="103"/>
      <c r="O251" s="104"/>
      <c r="P251" s="93"/>
    </row>
    <row r="252" spans="1:16" x14ac:dyDescent="0.25">
      <c r="A252" s="93"/>
      <c r="B252" s="132"/>
      <c r="C252" s="93"/>
      <c r="D252" s="93"/>
      <c r="E252" s="93"/>
      <c r="F252" s="93"/>
      <c r="G252" s="94"/>
      <c r="H252" s="92"/>
      <c r="I252" s="129"/>
      <c r="J252" s="129"/>
      <c r="K252" s="93"/>
      <c r="L252" s="93"/>
      <c r="M252" s="103"/>
      <c r="N252" s="103"/>
      <c r="O252" s="104"/>
      <c r="P252" s="93"/>
    </row>
    <row r="253" spans="1:16" x14ac:dyDescent="0.25">
      <c r="A253" s="93"/>
      <c r="B253" s="132"/>
      <c r="C253" s="93"/>
      <c r="D253" s="93"/>
      <c r="E253" s="93"/>
      <c r="F253" s="93"/>
      <c r="G253" s="94"/>
      <c r="H253" s="92"/>
      <c r="I253" s="129"/>
      <c r="J253" s="129"/>
      <c r="K253" s="93"/>
      <c r="L253" s="93"/>
      <c r="M253" s="103"/>
      <c r="N253" s="103"/>
      <c r="O253" s="104"/>
      <c r="P253" s="93"/>
    </row>
    <row r="254" spans="1:16" x14ac:dyDescent="0.25">
      <c r="A254" s="93"/>
      <c r="B254" s="132"/>
      <c r="C254" s="93"/>
      <c r="D254" s="93"/>
      <c r="E254" s="93"/>
      <c r="F254" s="93"/>
      <c r="G254" s="94"/>
      <c r="H254" s="92"/>
      <c r="I254" s="129"/>
      <c r="J254" s="129"/>
      <c r="K254" s="93"/>
      <c r="L254" s="93"/>
      <c r="M254" s="103"/>
      <c r="N254" s="103"/>
      <c r="O254" s="104"/>
      <c r="P254" s="93"/>
    </row>
    <row r="255" spans="1:16" x14ac:dyDescent="0.25">
      <c r="A255" s="93"/>
      <c r="B255" s="132"/>
      <c r="C255" s="93"/>
      <c r="D255" s="93"/>
      <c r="E255" s="93"/>
      <c r="F255" s="93"/>
      <c r="G255" s="94"/>
      <c r="H255" s="92"/>
      <c r="I255" s="129"/>
      <c r="J255" s="129"/>
      <c r="K255" s="93"/>
      <c r="L255" s="93"/>
      <c r="M255" s="103"/>
      <c r="N255" s="103"/>
      <c r="O255" s="104"/>
      <c r="P255" s="93"/>
    </row>
    <row r="256" spans="1:16" x14ac:dyDescent="0.25">
      <c r="A256" s="93"/>
      <c r="B256" s="132"/>
      <c r="C256" s="93"/>
      <c r="D256" s="93"/>
      <c r="E256" s="93"/>
      <c r="F256" s="93"/>
      <c r="G256" s="94"/>
      <c r="H256" s="92"/>
      <c r="I256" s="129"/>
      <c r="J256" s="129"/>
      <c r="K256" s="93"/>
      <c r="L256" s="93"/>
      <c r="M256" s="103"/>
      <c r="N256" s="103"/>
      <c r="O256" s="104"/>
      <c r="P256" s="93"/>
    </row>
    <row r="257" spans="1:16" x14ac:dyDescent="0.25">
      <c r="A257" s="93"/>
      <c r="B257" s="132"/>
      <c r="C257" s="93"/>
      <c r="D257" s="93"/>
      <c r="E257" s="93"/>
      <c r="F257" s="93"/>
      <c r="G257" s="94"/>
      <c r="H257" s="92"/>
      <c r="I257" s="129"/>
      <c r="J257" s="129"/>
      <c r="K257" s="93"/>
      <c r="L257" s="93"/>
      <c r="M257" s="103"/>
      <c r="N257" s="103"/>
      <c r="O257" s="104"/>
      <c r="P257" s="93"/>
    </row>
    <row r="258" spans="1:16" x14ac:dyDescent="0.25">
      <c r="A258" s="93"/>
      <c r="B258" s="132"/>
      <c r="C258" s="93"/>
      <c r="D258" s="93"/>
      <c r="E258" s="93"/>
      <c r="F258" s="93"/>
      <c r="G258" s="94"/>
      <c r="H258" s="92"/>
      <c r="I258" s="129"/>
      <c r="J258" s="129"/>
      <c r="K258" s="93"/>
      <c r="L258" s="93"/>
      <c r="M258" s="103"/>
      <c r="N258" s="103"/>
      <c r="O258" s="104"/>
      <c r="P258" s="93"/>
    </row>
    <row r="259" spans="1:16" x14ac:dyDescent="0.25">
      <c r="A259" s="93"/>
      <c r="B259" s="132"/>
      <c r="C259" s="93"/>
      <c r="D259" s="93"/>
      <c r="E259" s="93"/>
      <c r="F259" s="93"/>
      <c r="G259" s="94"/>
      <c r="H259" s="92"/>
      <c r="I259" s="129"/>
      <c r="J259" s="129"/>
      <c r="K259" s="93"/>
      <c r="L259" s="93"/>
      <c r="M259" s="103"/>
      <c r="N259" s="103"/>
      <c r="O259" s="104"/>
      <c r="P259" s="93"/>
    </row>
    <row r="260" spans="1:16" x14ac:dyDescent="0.25">
      <c r="A260" s="93"/>
      <c r="B260" s="132"/>
      <c r="C260" s="93"/>
      <c r="D260" s="93"/>
      <c r="E260" s="93"/>
      <c r="F260" s="93"/>
      <c r="G260" s="94"/>
      <c r="H260" s="92"/>
      <c r="I260" s="129"/>
      <c r="J260" s="129"/>
      <c r="K260" s="93"/>
      <c r="L260" s="93"/>
      <c r="M260" s="103"/>
      <c r="N260" s="103"/>
      <c r="O260" s="104"/>
      <c r="P260" s="93"/>
    </row>
    <row r="261" spans="1:16" x14ac:dyDescent="0.25">
      <c r="A261" s="93"/>
      <c r="B261" s="132"/>
      <c r="C261" s="93"/>
      <c r="D261" s="93"/>
      <c r="E261" s="93"/>
      <c r="F261" s="93"/>
      <c r="G261" s="94"/>
      <c r="H261" s="92"/>
      <c r="I261" s="129"/>
      <c r="J261" s="129"/>
      <c r="K261" s="93"/>
      <c r="L261" s="93"/>
      <c r="M261" s="103"/>
      <c r="N261" s="103"/>
      <c r="O261" s="104"/>
      <c r="P261" s="93"/>
    </row>
    <row r="262" spans="1:16" x14ac:dyDescent="0.25">
      <c r="A262" s="93"/>
      <c r="B262" s="132"/>
      <c r="C262" s="93"/>
      <c r="D262" s="93"/>
      <c r="E262" s="93"/>
      <c r="F262" s="93"/>
      <c r="G262" s="94"/>
      <c r="H262" s="92"/>
      <c r="I262" s="129"/>
      <c r="J262" s="129"/>
      <c r="K262" s="93"/>
      <c r="L262" s="93"/>
      <c r="M262" s="103"/>
      <c r="N262" s="103"/>
      <c r="O262" s="104"/>
      <c r="P262" s="93"/>
    </row>
    <row r="263" spans="1:16" x14ac:dyDescent="0.25">
      <c r="A263" s="93"/>
      <c r="B263" s="132"/>
      <c r="C263" s="93"/>
      <c r="D263" s="93"/>
      <c r="E263" s="93"/>
      <c r="F263" s="93"/>
      <c r="G263" s="94"/>
      <c r="H263" s="92"/>
      <c r="I263" s="129"/>
      <c r="J263" s="129"/>
      <c r="K263" s="93"/>
      <c r="L263" s="93"/>
      <c r="M263" s="103"/>
      <c r="N263" s="103"/>
      <c r="O263" s="104"/>
      <c r="P263" s="93"/>
    </row>
    <row r="264" spans="1:16" x14ac:dyDescent="0.25">
      <c r="A264" s="93"/>
      <c r="B264" s="132"/>
      <c r="C264" s="93"/>
      <c r="D264" s="93"/>
      <c r="E264" s="93"/>
      <c r="F264" s="93"/>
      <c r="G264" s="94"/>
      <c r="H264" s="92"/>
      <c r="I264" s="129"/>
      <c r="J264" s="129"/>
      <c r="K264" s="93"/>
      <c r="L264" s="93"/>
      <c r="M264" s="103"/>
      <c r="N264" s="103"/>
      <c r="O264" s="104"/>
      <c r="P264" s="93"/>
    </row>
    <row r="265" spans="1:16" x14ac:dyDescent="0.25">
      <c r="A265" s="93"/>
      <c r="B265" s="132"/>
      <c r="C265" s="93"/>
      <c r="D265" s="93"/>
      <c r="E265" s="93"/>
      <c r="F265" s="93"/>
      <c r="G265" s="94"/>
      <c r="H265" s="92"/>
      <c r="I265" s="129"/>
      <c r="J265" s="129"/>
      <c r="K265" s="93"/>
      <c r="L265" s="93"/>
      <c r="M265" s="103"/>
      <c r="N265" s="103"/>
      <c r="O265" s="104"/>
      <c r="P265" s="93"/>
    </row>
    <row r="266" spans="1:16" x14ac:dyDescent="0.25">
      <c r="A266" s="93"/>
      <c r="B266" s="132"/>
      <c r="C266" s="93"/>
      <c r="D266" s="93"/>
      <c r="E266" s="93"/>
      <c r="F266" s="93"/>
      <c r="G266" s="94"/>
      <c r="H266" s="92"/>
      <c r="I266" s="129"/>
      <c r="J266" s="129"/>
      <c r="K266" s="93"/>
      <c r="L266" s="93"/>
      <c r="M266" s="103"/>
      <c r="N266" s="103"/>
      <c r="O266" s="104"/>
      <c r="P266" s="93"/>
    </row>
    <row r="267" spans="1:16" x14ac:dyDescent="0.25">
      <c r="A267" s="93"/>
      <c r="B267" s="132"/>
      <c r="C267" s="93"/>
      <c r="D267" s="93"/>
      <c r="E267" s="93"/>
      <c r="F267" s="93"/>
      <c r="G267" s="94"/>
      <c r="H267" s="92"/>
      <c r="I267" s="129"/>
      <c r="J267" s="129"/>
      <c r="K267" s="93"/>
      <c r="L267" s="93"/>
      <c r="M267" s="103"/>
      <c r="N267" s="103"/>
      <c r="O267" s="104"/>
      <c r="P267" s="93"/>
    </row>
    <row r="268" spans="1:16" x14ac:dyDescent="0.25">
      <c r="A268" s="93"/>
      <c r="B268" s="132"/>
      <c r="C268" s="93"/>
      <c r="D268" s="93"/>
      <c r="E268" s="93"/>
      <c r="F268" s="93"/>
      <c r="G268" s="94"/>
      <c r="H268" s="92"/>
      <c r="I268" s="129"/>
      <c r="J268" s="129"/>
      <c r="K268" s="93"/>
      <c r="L268" s="93"/>
      <c r="M268" s="103"/>
      <c r="N268" s="103"/>
      <c r="O268" s="104"/>
      <c r="P268" s="93"/>
    </row>
    <row r="269" spans="1:16" x14ac:dyDescent="0.25">
      <c r="A269" s="93"/>
      <c r="B269" s="132"/>
      <c r="C269" s="93"/>
      <c r="D269" s="93"/>
      <c r="E269" s="93"/>
      <c r="F269" s="93"/>
      <c r="G269" s="94"/>
      <c r="H269" s="92"/>
      <c r="I269" s="129"/>
      <c r="J269" s="129"/>
      <c r="K269" s="93"/>
      <c r="L269" s="93"/>
      <c r="M269" s="103"/>
      <c r="N269" s="103"/>
      <c r="O269" s="104"/>
      <c r="P269" s="93"/>
    </row>
    <row r="270" spans="1:16" x14ac:dyDescent="0.25">
      <c r="A270" s="93"/>
      <c r="B270" s="132"/>
      <c r="C270" s="93"/>
      <c r="D270" s="93"/>
      <c r="E270" s="93"/>
      <c r="F270" s="93"/>
      <c r="G270" s="94"/>
      <c r="H270" s="92"/>
      <c r="I270" s="129"/>
      <c r="J270" s="129"/>
      <c r="K270" s="93"/>
      <c r="L270" s="93"/>
      <c r="M270" s="103"/>
      <c r="N270" s="103"/>
      <c r="O270" s="104"/>
      <c r="P270" s="93"/>
    </row>
    <row r="271" spans="1:16" x14ac:dyDescent="0.25">
      <c r="A271" s="93"/>
      <c r="B271" s="132"/>
      <c r="C271" s="93"/>
      <c r="D271" s="93"/>
      <c r="E271" s="93"/>
      <c r="F271" s="93"/>
      <c r="G271" s="94"/>
      <c r="H271" s="92"/>
      <c r="I271" s="129"/>
      <c r="J271" s="129"/>
      <c r="K271" s="93"/>
      <c r="L271" s="93"/>
      <c r="M271" s="103"/>
      <c r="N271" s="103"/>
      <c r="O271" s="104"/>
      <c r="P271" s="93"/>
    </row>
    <row r="272" spans="1:16" x14ac:dyDescent="0.25">
      <c r="A272" s="93"/>
      <c r="B272" s="132"/>
      <c r="C272" s="93"/>
      <c r="D272" s="93"/>
      <c r="E272" s="93"/>
      <c r="F272" s="93"/>
      <c r="G272" s="94"/>
      <c r="H272" s="92"/>
      <c r="I272" s="129"/>
      <c r="J272" s="129"/>
      <c r="K272" s="93"/>
      <c r="L272" s="93"/>
      <c r="M272" s="103"/>
      <c r="N272" s="103"/>
      <c r="O272" s="104"/>
      <c r="P272" s="93"/>
    </row>
    <row r="273" spans="1:16" x14ac:dyDescent="0.25">
      <c r="A273" s="93"/>
      <c r="B273" s="132"/>
      <c r="C273" s="93"/>
      <c r="D273" s="93"/>
      <c r="E273" s="93"/>
      <c r="F273" s="93"/>
      <c r="G273" s="94"/>
      <c r="H273" s="92"/>
      <c r="I273" s="129"/>
      <c r="J273" s="129"/>
      <c r="K273" s="93"/>
      <c r="L273" s="93"/>
      <c r="M273" s="103"/>
      <c r="N273" s="103"/>
      <c r="O273" s="104"/>
      <c r="P273" s="93"/>
    </row>
    <row r="274" spans="1:16" x14ac:dyDescent="0.25">
      <c r="A274" s="93"/>
      <c r="B274" s="132"/>
      <c r="C274" s="93"/>
      <c r="D274" s="93"/>
      <c r="E274" s="93"/>
      <c r="F274" s="93"/>
      <c r="G274" s="94"/>
      <c r="H274" s="92"/>
      <c r="I274" s="129"/>
      <c r="J274" s="129"/>
      <c r="K274" s="93"/>
      <c r="L274" s="93"/>
      <c r="M274" s="103"/>
      <c r="N274" s="103"/>
      <c r="O274" s="104"/>
      <c r="P274" s="93"/>
    </row>
    <row r="275" spans="1:16" x14ac:dyDescent="0.25">
      <c r="A275" s="93"/>
      <c r="B275" s="132"/>
      <c r="C275" s="93"/>
      <c r="D275" s="93"/>
      <c r="E275" s="93"/>
      <c r="F275" s="93"/>
      <c r="G275" s="94"/>
      <c r="H275" s="92"/>
      <c r="I275" s="129"/>
      <c r="J275" s="129"/>
      <c r="K275" s="93"/>
      <c r="L275" s="93"/>
      <c r="M275" s="103"/>
      <c r="N275" s="103"/>
      <c r="O275" s="104"/>
      <c r="P275" s="93"/>
    </row>
    <row r="276" spans="1:16" x14ac:dyDescent="0.25">
      <c r="A276" s="93"/>
      <c r="B276" s="132"/>
      <c r="C276" s="93"/>
      <c r="D276" s="93"/>
      <c r="E276" s="93"/>
      <c r="F276" s="93"/>
      <c r="G276" s="94"/>
      <c r="H276" s="92"/>
      <c r="I276" s="129"/>
      <c r="J276" s="129"/>
      <c r="K276" s="93"/>
      <c r="L276" s="93"/>
      <c r="M276" s="103"/>
      <c r="N276" s="103"/>
      <c r="O276" s="104"/>
      <c r="P276" s="93"/>
    </row>
    <row r="277" spans="1:16" x14ac:dyDescent="0.25">
      <c r="A277" s="93"/>
      <c r="B277" s="132"/>
      <c r="C277" s="93"/>
      <c r="D277" s="93"/>
      <c r="E277" s="93"/>
      <c r="F277" s="93"/>
      <c r="G277" s="94"/>
      <c r="H277" s="92"/>
      <c r="I277" s="129"/>
      <c r="J277" s="129"/>
      <c r="K277" s="93"/>
      <c r="L277" s="93"/>
      <c r="M277" s="103"/>
      <c r="N277" s="103"/>
      <c r="O277" s="104"/>
      <c r="P277" s="93"/>
    </row>
    <row r="278" spans="1:16" x14ac:dyDescent="0.25">
      <c r="A278" s="93"/>
      <c r="B278" s="132"/>
      <c r="C278" s="93"/>
      <c r="D278" s="93"/>
      <c r="E278" s="93"/>
      <c r="F278" s="93"/>
      <c r="G278" s="94"/>
      <c r="H278" s="92"/>
      <c r="I278" s="129"/>
      <c r="J278" s="129"/>
      <c r="K278" s="93"/>
      <c r="L278" s="93"/>
      <c r="M278" s="103"/>
      <c r="N278" s="103"/>
      <c r="O278" s="104"/>
      <c r="P278" s="93"/>
    </row>
    <row r="279" spans="1:16" x14ac:dyDescent="0.25">
      <c r="A279" s="93"/>
      <c r="B279" s="132"/>
      <c r="C279" s="93"/>
      <c r="D279" s="93"/>
      <c r="E279" s="93"/>
      <c r="F279" s="93"/>
      <c r="G279" s="94"/>
      <c r="H279" s="92"/>
      <c r="I279" s="129"/>
      <c r="J279" s="129"/>
      <c r="K279" s="93"/>
      <c r="L279" s="93"/>
      <c r="M279" s="103"/>
      <c r="N279" s="103"/>
      <c r="O279" s="104"/>
      <c r="P279" s="93"/>
    </row>
    <row r="280" spans="1:16" x14ac:dyDescent="0.25">
      <c r="A280" s="93"/>
      <c r="B280" s="132"/>
      <c r="C280" s="93"/>
      <c r="D280" s="93"/>
      <c r="E280" s="93"/>
      <c r="F280" s="93"/>
      <c r="G280" s="94"/>
      <c r="H280" s="92"/>
      <c r="I280" s="129"/>
      <c r="J280" s="129"/>
      <c r="K280" s="93"/>
      <c r="L280" s="93"/>
      <c r="M280" s="103"/>
      <c r="N280" s="103"/>
      <c r="O280" s="104"/>
      <c r="P280" s="93"/>
    </row>
    <row r="281" spans="1:16" x14ac:dyDescent="0.25">
      <c r="A281" s="93"/>
      <c r="B281" s="132"/>
      <c r="C281" s="93"/>
      <c r="D281" s="93"/>
      <c r="E281" s="93"/>
      <c r="F281" s="93"/>
      <c r="G281" s="94"/>
      <c r="H281" s="92"/>
      <c r="I281" s="129"/>
      <c r="J281" s="129"/>
      <c r="K281" s="93"/>
      <c r="L281" s="93"/>
      <c r="M281" s="103"/>
      <c r="N281" s="103"/>
      <c r="O281" s="104"/>
      <c r="P281" s="93"/>
    </row>
    <row r="282" spans="1:16" x14ac:dyDescent="0.25">
      <c r="A282" s="93"/>
      <c r="B282" s="132"/>
      <c r="C282" s="93"/>
      <c r="D282" s="93"/>
      <c r="E282" s="93"/>
      <c r="F282" s="93"/>
      <c r="G282" s="94"/>
      <c r="H282" s="92"/>
      <c r="I282" s="129"/>
      <c r="J282" s="129"/>
      <c r="K282" s="93"/>
      <c r="L282" s="93"/>
      <c r="M282" s="103"/>
      <c r="N282" s="103"/>
      <c r="O282" s="104"/>
      <c r="P282" s="93"/>
    </row>
    <row r="283" spans="1:16" x14ac:dyDescent="0.25">
      <c r="A283" s="93"/>
      <c r="B283" s="132"/>
      <c r="C283" s="93"/>
      <c r="D283" s="93"/>
      <c r="E283" s="93"/>
      <c r="F283" s="93"/>
      <c r="G283" s="94"/>
      <c r="H283" s="92"/>
      <c r="I283" s="129"/>
      <c r="J283" s="129"/>
      <c r="K283" s="93"/>
      <c r="L283" s="93"/>
      <c r="M283" s="103"/>
      <c r="N283" s="103"/>
      <c r="O283" s="104"/>
      <c r="P283" s="93"/>
    </row>
    <row r="284" spans="1:16" x14ac:dyDescent="0.25">
      <c r="A284" s="93"/>
      <c r="B284" s="132"/>
      <c r="C284" s="93"/>
      <c r="D284" s="93"/>
      <c r="E284" s="93"/>
      <c r="F284" s="93"/>
      <c r="G284" s="94"/>
      <c r="H284" s="92"/>
      <c r="I284" s="129"/>
      <c r="J284" s="129"/>
      <c r="K284" s="93"/>
      <c r="L284" s="93"/>
      <c r="M284" s="103"/>
      <c r="N284" s="103"/>
      <c r="O284" s="104"/>
      <c r="P284" s="93"/>
    </row>
    <row r="285" spans="1:16" x14ac:dyDescent="0.25">
      <c r="A285" s="93"/>
      <c r="B285" s="132"/>
      <c r="C285" s="93"/>
      <c r="D285" s="93"/>
      <c r="E285" s="93"/>
      <c r="F285" s="93"/>
      <c r="G285" s="94"/>
      <c r="H285" s="92"/>
      <c r="I285" s="129"/>
      <c r="J285" s="129"/>
      <c r="K285" s="93"/>
      <c r="L285" s="93"/>
      <c r="M285" s="103"/>
      <c r="N285" s="103"/>
      <c r="O285" s="104"/>
      <c r="P285" s="93"/>
    </row>
    <row r="286" spans="1:16" x14ac:dyDescent="0.25">
      <c r="A286" s="93"/>
      <c r="B286" s="132"/>
      <c r="C286" s="93"/>
      <c r="D286" s="93"/>
      <c r="E286" s="93"/>
      <c r="F286" s="93"/>
      <c r="G286" s="94"/>
      <c r="H286" s="92"/>
      <c r="I286" s="129"/>
      <c r="J286" s="129"/>
      <c r="K286" s="93"/>
      <c r="L286" s="93"/>
      <c r="M286" s="103"/>
      <c r="N286" s="103"/>
      <c r="O286" s="104"/>
      <c r="P286" s="93"/>
    </row>
    <row r="287" spans="1:16" x14ac:dyDescent="0.25">
      <c r="A287" s="93"/>
      <c r="B287" s="132"/>
      <c r="C287" s="93"/>
      <c r="D287" s="93"/>
      <c r="E287" s="93"/>
      <c r="F287" s="93"/>
      <c r="G287" s="94"/>
      <c r="H287" s="92"/>
      <c r="I287" s="129"/>
      <c r="J287" s="129"/>
      <c r="K287" s="93"/>
      <c r="L287" s="93"/>
      <c r="M287" s="103"/>
      <c r="N287" s="103"/>
      <c r="O287" s="104"/>
      <c r="P287" s="93"/>
    </row>
    <row r="288" spans="1:16" x14ac:dyDescent="0.25">
      <c r="A288" s="93"/>
      <c r="B288" s="132"/>
      <c r="C288" s="93"/>
      <c r="D288" s="93"/>
      <c r="E288" s="93"/>
      <c r="F288" s="93"/>
      <c r="G288" s="94"/>
      <c r="H288" s="92"/>
      <c r="I288" s="129"/>
      <c r="J288" s="129"/>
      <c r="K288" s="93"/>
      <c r="L288" s="93"/>
      <c r="M288" s="103"/>
      <c r="N288" s="103"/>
      <c r="O288" s="104"/>
      <c r="P288" s="93"/>
    </row>
    <row r="289" spans="1:16" x14ac:dyDescent="0.25">
      <c r="A289" s="93"/>
      <c r="B289" s="132"/>
      <c r="C289" s="93"/>
      <c r="D289" s="93"/>
      <c r="E289" s="93"/>
      <c r="F289" s="93"/>
      <c r="G289" s="94"/>
      <c r="H289" s="92"/>
      <c r="I289" s="129"/>
      <c r="J289" s="129"/>
      <c r="K289" s="93"/>
      <c r="L289" s="93"/>
      <c r="M289" s="103"/>
      <c r="N289" s="103"/>
      <c r="O289" s="104"/>
      <c r="P289" s="93"/>
    </row>
    <row r="290" spans="1:16" x14ac:dyDescent="0.25">
      <c r="A290" s="93"/>
      <c r="B290" s="132"/>
      <c r="C290" s="93"/>
      <c r="D290" s="93"/>
      <c r="E290" s="93"/>
      <c r="F290" s="93"/>
      <c r="G290" s="94"/>
      <c r="H290" s="92"/>
      <c r="I290" s="129"/>
      <c r="J290" s="129"/>
      <c r="K290" s="93"/>
      <c r="L290" s="93"/>
      <c r="M290" s="103"/>
      <c r="N290" s="103"/>
      <c r="O290" s="104"/>
      <c r="P290" s="93"/>
    </row>
    <row r="291" spans="1:16" x14ac:dyDescent="0.25">
      <c r="A291" s="93"/>
      <c r="B291" s="132"/>
      <c r="C291" s="93"/>
      <c r="D291" s="93"/>
      <c r="E291" s="93"/>
      <c r="F291" s="93"/>
      <c r="G291" s="94"/>
      <c r="H291" s="92"/>
      <c r="I291" s="129"/>
      <c r="J291" s="129"/>
      <c r="K291" s="93"/>
      <c r="L291" s="93"/>
      <c r="M291" s="103"/>
      <c r="N291" s="103"/>
      <c r="O291" s="104"/>
      <c r="P291" s="93"/>
    </row>
    <row r="292" spans="1:16" x14ac:dyDescent="0.25">
      <c r="A292" s="93"/>
      <c r="B292" s="132"/>
      <c r="C292" s="93"/>
      <c r="D292" s="93"/>
      <c r="E292" s="93"/>
      <c r="F292" s="93"/>
      <c r="G292" s="94"/>
      <c r="H292" s="92"/>
      <c r="I292" s="129"/>
      <c r="J292" s="129"/>
      <c r="K292" s="93"/>
      <c r="L292" s="93"/>
      <c r="M292" s="103"/>
      <c r="N292" s="103"/>
      <c r="O292" s="104"/>
      <c r="P292" s="93"/>
    </row>
    <row r="293" spans="1:16" x14ac:dyDescent="0.25">
      <c r="A293" s="93"/>
      <c r="B293" s="132"/>
      <c r="C293" s="93"/>
      <c r="D293" s="93"/>
      <c r="E293" s="93"/>
      <c r="F293" s="93"/>
      <c r="G293" s="94"/>
      <c r="H293" s="92"/>
      <c r="I293" s="129"/>
      <c r="J293" s="129"/>
      <c r="K293" s="93"/>
      <c r="L293" s="93"/>
      <c r="M293" s="103"/>
      <c r="N293" s="103"/>
      <c r="O293" s="104"/>
      <c r="P293" s="93"/>
    </row>
    <row r="294" spans="1:16" x14ac:dyDescent="0.25">
      <c r="A294" s="93"/>
      <c r="B294" s="132"/>
      <c r="C294" s="93"/>
      <c r="D294" s="93"/>
      <c r="E294" s="93"/>
      <c r="F294" s="93"/>
      <c r="G294" s="94"/>
      <c r="H294" s="92"/>
      <c r="I294" s="129"/>
      <c r="J294" s="129"/>
      <c r="K294" s="93"/>
      <c r="L294" s="93"/>
      <c r="M294" s="103"/>
      <c r="N294" s="103"/>
      <c r="O294" s="104"/>
      <c r="P294" s="93"/>
    </row>
    <row r="295" spans="1:16" x14ac:dyDescent="0.25">
      <c r="A295" s="93"/>
      <c r="B295" s="132"/>
      <c r="C295" s="93"/>
      <c r="D295" s="93"/>
      <c r="E295" s="93"/>
      <c r="F295" s="93"/>
      <c r="G295" s="94"/>
      <c r="H295" s="92"/>
      <c r="I295" s="129"/>
      <c r="J295" s="129"/>
      <c r="K295" s="93"/>
      <c r="L295" s="93"/>
      <c r="M295" s="103"/>
      <c r="N295" s="103"/>
      <c r="O295" s="104"/>
      <c r="P295" s="93"/>
    </row>
    <row r="296" spans="1:16" x14ac:dyDescent="0.25">
      <c r="A296" s="93"/>
      <c r="B296" s="132"/>
      <c r="C296" s="93"/>
      <c r="D296" s="93"/>
      <c r="E296" s="93"/>
      <c r="F296" s="93"/>
      <c r="G296" s="94"/>
      <c r="H296" s="92"/>
      <c r="I296" s="129"/>
      <c r="J296" s="129"/>
      <c r="K296" s="93"/>
      <c r="L296" s="93"/>
      <c r="M296" s="103"/>
      <c r="N296" s="103"/>
      <c r="O296" s="104"/>
      <c r="P296" s="93"/>
    </row>
    <row r="297" spans="1:16" x14ac:dyDescent="0.25">
      <c r="A297" s="93"/>
      <c r="B297" s="132"/>
      <c r="C297" s="93"/>
      <c r="D297" s="93"/>
      <c r="E297" s="93"/>
      <c r="F297" s="93"/>
      <c r="G297" s="94"/>
      <c r="H297" s="92"/>
      <c r="I297" s="129"/>
      <c r="J297" s="129"/>
      <c r="K297" s="93"/>
      <c r="L297" s="93"/>
      <c r="M297" s="103"/>
      <c r="N297" s="103"/>
      <c r="O297" s="104"/>
      <c r="P297" s="93"/>
    </row>
    <row r="298" spans="1:16" x14ac:dyDescent="0.25">
      <c r="A298" s="93"/>
      <c r="B298" s="132"/>
      <c r="C298" s="93"/>
      <c r="D298" s="93"/>
      <c r="E298" s="93"/>
      <c r="F298" s="93"/>
      <c r="G298" s="94"/>
      <c r="H298" s="92"/>
      <c r="I298" s="129"/>
      <c r="J298" s="129"/>
      <c r="K298" s="93"/>
      <c r="L298" s="93"/>
      <c r="M298" s="103"/>
      <c r="N298" s="103"/>
      <c r="O298" s="104"/>
      <c r="P298" s="93"/>
    </row>
    <row r="299" spans="1:16" x14ac:dyDescent="0.25">
      <c r="A299" s="93"/>
      <c r="B299" s="132"/>
      <c r="C299" s="93"/>
      <c r="D299" s="93"/>
      <c r="E299" s="93"/>
      <c r="F299" s="93"/>
      <c r="G299" s="94"/>
      <c r="H299" s="92"/>
      <c r="I299" s="129"/>
      <c r="J299" s="129"/>
      <c r="K299" s="93"/>
      <c r="L299" s="93"/>
      <c r="M299" s="103"/>
      <c r="N299" s="103"/>
      <c r="O299" s="104"/>
      <c r="P299" s="93"/>
    </row>
    <row r="300" spans="1:16" x14ac:dyDescent="0.25">
      <c r="A300" s="93"/>
      <c r="B300" s="132"/>
      <c r="C300" s="93"/>
      <c r="D300" s="93"/>
      <c r="E300" s="93"/>
      <c r="F300" s="93"/>
      <c r="G300" s="94"/>
      <c r="H300" s="92"/>
      <c r="I300" s="129"/>
      <c r="J300" s="129"/>
      <c r="K300" s="93"/>
      <c r="L300" s="93"/>
      <c r="M300" s="103"/>
      <c r="N300" s="103"/>
      <c r="O300" s="104"/>
      <c r="P300" s="93"/>
    </row>
    <row r="301" spans="1:16" x14ac:dyDescent="0.25">
      <c r="A301" s="93"/>
      <c r="B301" s="132"/>
      <c r="C301" s="93"/>
      <c r="D301" s="93"/>
      <c r="E301" s="93"/>
      <c r="F301" s="93"/>
      <c r="G301" s="94"/>
      <c r="H301" s="92"/>
      <c r="I301" s="129"/>
      <c r="J301" s="129"/>
      <c r="K301" s="93"/>
      <c r="L301" s="93"/>
      <c r="M301" s="103"/>
      <c r="N301" s="103"/>
      <c r="O301" s="104"/>
      <c r="P301" s="93"/>
    </row>
    <row r="302" spans="1:16" x14ac:dyDescent="0.25">
      <c r="A302" s="93"/>
      <c r="B302" s="132"/>
      <c r="C302" s="93"/>
      <c r="D302" s="93"/>
      <c r="E302" s="93"/>
      <c r="F302" s="93"/>
      <c r="G302" s="94"/>
      <c r="H302" s="92"/>
      <c r="I302" s="129"/>
      <c r="J302" s="129"/>
      <c r="K302" s="93"/>
      <c r="L302" s="93"/>
      <c r="M302" s="103"/>
      <c r="N302" s="103"/>
      <c r="O302" s="104"/>
      <c r="P302" s="93"/>
    </row>
    <row r="303" spans="1:16" x14ac:dyDescent="0.25">
      <c r="A303" s="93"/>
      <c r="B303" s="132"/>
      <c r="C303" s="93"/>
      <c r="D303" s="93"/>
      <c r="E303" s="93"/>
      <c r="F303" s="93"/>
      <c r="G303" s="94"/>
      <c r="H303" s="92"/>
      <c r="I303" s="129"/>
      <c r="J303" s="129"/>
      <c r="K303" s="93"/>
      <c r="L303" s="93"/>
      <c r="M303" s="103"/>
      <c r="N303" s="103"/>
      <c r="O303" s="104"/>
      <c r="P303" s="93"/>
    </row>
    <row r="304" spans="1:16" x14ac:dyDescent="0.25">
      <c r="A304" s="93"/>
      <c r="B304" s="132"/>
      <c r="C304" s="93"/>
      <c r="D304" s="93"/>
      <c r="E304" s="93"/>
      <c r="F304" s="93"/>
      <c r="G304" s="94"/>
      <c r="H304" s="92"/>
      <c r="I304" s="129"/>
      <c r="J304" s="129"/>
      <c r="K304" s="93"/>
      <c r="L304" s="93"/>
      <c r="M304" s="103"/>
      <c r="N304" s="103"/>
      <c r="O304" s="104"/>
      <c r="P304" s="93"/>
    </row>
    <row r="305" spans="1:16" x14ac:dyDescent="0.25">
      <c r="A305" s="93"/>
      <c r="B305" s="132"/>
      <c r="C305" s="93"/>
      <c r="D305" s="93"/>
      <c r="E305" s="93"/>
      <c r="F305" s="93"/>
      <c r="G305" s="94"/>
      <c r="H305" s="92"/>
      <c r="I305" s="129"/>
      <c r="J305" s="129"/>
      <c r="K305" s="93"/>
      <c r="L305" s="93"/>
      <c r="M305" s="103"/>
      <c r="N305" s="103"/>
      <c r="O305" s="104"/>
      <c r="P305" s="93"/>
    </row>
    <row r="306" spans="1:16" x14ac:dyDescent="0.25">
      <c r="A306" s="93"/>
      <c r="B306" s="132"/>
      <c r="C306" s="93"/>
      <c r="D306" s="93"/>
      <c r="E306" s="93"/>
      <c r="F306" s="93"/>
      <c r="G306" s="94"/>
      <c r="H306" s="92"/>
      <c r="I306" s="129"/>
      <c r="J306" s="129"/>
      <c r="K306" s="93"/>
      <c r="L306" s="93"/>
      <c r="M306" s="103"/>
      <c r="N306" s="103"/>
      <c r="O306" s="104"/>
      <c r="P306" s="93"/>
    </row>
    <row r="307" spans="1:16" x14ac:dyDescent="0.25">
      <c r="A307" s="93"/>
      <c r="B307" s="132"/>
      <c r="C307" s="93"/>
      <c r="D307" s="93"/>
      <c r="E307" s="93"/>
      <c r="F307" s="93"/>
      <c r="G307" s="94"/>
      <c r="H307" s="92"/>
      <c r="I307" s="129"/>
      <c r="J307" s="129"/>
      <c r="K307" s="93"/>
      <c r="L307" s="93"/>
      <c r="M307" s="103"/>
      <c r="N307" s="103"/>
      <c r="O307" s="104"/>
      <c r="P307" s="93"/>
    </row>
    <row r="308" spans="1:16" x14ac:dyDescent="0.25">
      <c r="A308" s="93"/>
      <c r="B308" s="132"/>
      <c r="C308" s="93"/>
      <c r="D308" s="93"/>
      <c r="E308" s="93"/>
      <c r="F308" s="93"/>
      <c r="G308" s="94"/>
      <c r="H308" s="92"/>
      <c r="I308" s="129"/>
      <c r="J308" s="129"/>
      <c r="K308" s="93"/>
      <c r="L308" s="93"/>
      <c r="M308" s="103"/>
      <c r="N308" s="103"/>
      <c r="O308" s="104"/>
      <c r="P308" s="93"/>
    </row>
    <row r="309" spans="1:16" x14ac:dyDescent="0.25">
      <c r="A309" s="93"/>
      <c r="B309" s="132"/>
      <c r="C309" s="93"/>
      <c r="D309" s="93"/>
      <c r="E309" s="93"/>
      <c r="F309" s="93"/>
      <c r="G309" s="94"/>
      <c r="H309" s="92"/>
      <c r="I309" s="129"/>
      <c r="J309" s="129"/>
      <c r="K309" s="93"/>
      <c r="L309" s="93"/>
      <c r="M309" s="103"/>
      <c r="N309" s="103"/>
      <c r="O309" s="104"/>
      <c r="P309" s="93"/>
    </row>
    <row r="310" spans="1:16" x14ac:dyDescent="0.25">
      <c r="A310" s="93"/>
      <c r="B310" s="132"/>
      <c r="C310" s="93"/>
      <c r="D310" s="93"/>
      <c r="E310" s="93"/>
      <c r="F310" s="93"/>
      <c r="G310" s="94"/>
      <c r="H310" s="92"/>
      <c r="I310" s="129"/>
      <c r="J310" s="129"/>
      <c r="K310" s="93"/>
      <c r="L310" s="93"/>
      <c r="M310" s="103"/>
      <c r="N310" s="103"/>
      <c r="O310" s="104"/>
      <c r="P310" s="93"/>
    </row>
    <row r="311" spans="1:16" x14ac:dyDescent="0.25">
      <c r="A311" s="93"/>
      <c r="B311" s="132"/>
      <c r="C311" s="93"/>
      <c r="D311" s="93"/>
      <c r="E311" s="93"/>
      <c r="F311" s="93"/>
      <c r="G311" s="94"/>
      <c r="H311" s="92"/>
      <c r="I311" s="129"/>
      <c r="J311" s="129"/>
      <c r="K311" s="93"/>
      <c r="L311" s="93"/>
      <c r="M311" s="103"/>
      <c r="N311" s="103"/>
      <c r="O311" s="104"/>
      <c r="P311" s="93"/>
    </row>
    <row r="312" spans="1:16" x14ac:dyDescent="0.25">
      <c r="A312" s="93"/>
      <c r="B312" s="132"/>
      <c r="C312" s="93"/>
      <c r="D312" s="93"/>
      <c r="E312" s="93"/>
      <c r="F312" s="93"/>
      <c r="G312" s="94"/>
      <c r="H312" s="92"/>
      <c r="I312" s="129"/>
      <c r="J312" s="129"/>
      <c r="K312" s="93"/>
      <c r="L312" s="93"/>
      <c r="M312" s="103"/>
      <c r="N312" s="103"/>
      <c r="O312" s="104"/>
      <c r="P312" s="93"/>
    </row>
    <row r="313" spans="1:16" x14ac:dyDescent="0.25">
      <c r="A313" s="93"/>
      <c r="B313" s="132"/>
      <c r="C313" s="93"/>
      <c r="D313" s="93"/>
      <c r="E313" s="93"/>
      <c r="F313" s="93"/>
      <c r="G313" s="94"/>
      <c r="H313" s="92"/>
      <c r="I313" s="129"/>
      <c r="J313" s="129"/>
      <c r="K313" s="93"/>
      <c r="L313" s="93"/>
      <c r="M313" s="103"/>
      <c r="N313" s="103"/>
      <c r="O313" s="104"/>
      <c r="P313" s="93"/>
    </row>
    <row r="314" spans="1:16" x14ac:dyDescent="0.25">
      <c r="A314" s="93"/>
      <c r="B314" s="132"/>
      <c r="C314" s="93"/>
      <c r="D314" s="93"/>
      <c r="E314" s="93"/>
      <c r="F314" s="93"/>
      <c r="G314" s="94"/>
      <c r="H314" s="92"/>
      <c r="I314" s="129"/>
      <c r="J314" s="129"/>
      <c r="K314" s="93"/>
      <c r="L314" s="93"/>
      <c r="M314" s="103"/>
      <c r="N314" s="103"/>
      <c r="O314" s="104"/>
      <c r="P314" s="93"/>
    </row>
    <row r="315" spans="1:16" x14ac:dyDescent="0.25">
      <c r="A315" s="93"/>
      <c r="B315" s="132"/>
      <c r="C315" s="93"/>
      <c r="D315" s="93"/>
      <c r="E315" s="93"/>
      <c r="F315" s="93"/>
      <c r="G315" s="94"/>
      <c r="H315" s="92"/>
      <c r="I315" s="129"/>
      <c r="J315" s="129"/>
      <c r="K315" s="93"/>
      <c r="L315" s="93"/>
      <c r="M315" s="103"/>
      <c r="N315" s="103"/>
      <c r="O315" s="104"/>
      <c r="P315" s="93"/>
    </row>
    <row r="316" spans="1:16" x14ac:dyDescent="0.25">
      <c r="A316" s="93"/>
      <c r="B316" s="132"/>
      <c r="C316" s="93"/>
      <c r="D316" s="93"/>
      <c r="E316" s="93"/>
      <c r="F316" s="93"/>
      <c r="G316" s="94"/>
      <c r="H316" s="92"/>
      <c r="I316" s="129"/>
      <c r="J316" s="129"/>
      <c r="K316" s="93"/>
      <c r="L316" s="93"/>
      <c r="M316" s="103"/>
      <c r="N316" s="103"/>
      <c r="O316" s="104"/>
      <c r="P316" s="93"/>
    </row>
    <row r="317" spans="1:16" x14ac:dyDescent="0.25">
      <c r="A317" s="93"/>
      <c r="B317" s="132"/>
      <c r="C317" s="93"/>
      <c r="D317" s="93"/>
      <c r="E317" s="93"/>
      <c r="F317" s="93"/>
      <c r="G317" s="94"/>
      <c r="H317" s="92"/>
      <c r="I317" s="129"/>
      <c r="J317" s="129"/>
      <c r="K317" s="93"/>
      <c r="L317" s="93"/>
      <c r="M317" s="103"/>
      <c r="N317" s="103"/>
      <c r="O317" s="104"/>
      <c r="P317" s="93"/>
    </row>
    <row r="318" spans="1:16" x14ac:dyDescent="0.25">
      <c r="A318" s="93"/>
      <c r="B318" s="132"/>
      <c r="C318" s="93"/>
      <c r="D318" s="93"/>
      <c r="E318" s="93"/>
      <c r="F318" s="93"/>
      <c r="G318" s="94"/>
      <c r="H318" s="92"/>
      <c r="I318" s="129"/>
      <c r="J318" s="129"/>
      <c r="K318" s="93"/>
      <c r="L318" s="93"/>
      <c r="M318" s="103"/>
      <c r="N318" s="103"/>
      <c r="O318" s="104"/>
      <c r="P318" s="93"/>
    </row>
    <row r="319" spans="1:16" x14ac:dyDescent="0.25">
      <c r="A319" s="93"/>
      <c r="B319" s="132"/>
      <c r="C319" s="93"/>
      <c r="D319" s="93"/>
      <c r="E319" s="93"/>
      <c r="F319" s="93"/>
      <c r="G319" s="94"/>
      <c r="H319" s="92"/>
      <c r="I319" s="129"/>
      <c r="J319" s="129"/>
      <c r="K319" s="93"/>
      <c r="L319" s="93"/>
      <c r="M319" s="103"/>
      <c r="N319" s="103"/>
      <c r="O319" s="104"/>
      <c r="P319" s="93"/>
    </row>
    <row r="320" spans="1:16" x14ac:dyDescent="0.25">
      <c r="A320" s="93"/>
      <c r="B320" s="132"/>
      <c r="C320" s="93"/>
      <c r="D320" s="93"/>
      <c r="E320" s="93"/>
      <c r="F320" s="93"/>
      <c r="G320" s="94"/>
      <c r="H320" s="92"/>
      <c r="I320" s="129"/>
      <c r="J320" s="129"/>
      <c r="K320" s="93"/>
      <c r="L320" s="93"/>
      <c r="M320" s="103"/>
      <c r="N320" s="103"/>
      <c r="O320" s="104"/>
      <c r="P320" s="93"/>
    </row>
    <row r="321" spans="1:16" x14ac:dyDescent="0.25">
      <c r="A321" s="93"/>
      <c r="B321" s="132"/>
      <c r="C321" s="93"/>
      <c r="D321" s="93"/>
      <c r="E321" s="93"/>
      <c r="F321" s="93"/>
      <c r="G321" s="94"/>
      <c r="H321" s="92"/>
      <c r="I321" s="129"/>
      <c r="J321" s="129"/>
      <c r="K321" s="93"/>
      <c r="L321" s="93"/>
      <c r="M321" s="103"/>
      <c r="N321" s="103"/>
      <c r="O321" s="104"/>
      <c r="P321" s="93"/>
    </row>
    <row r="322" spans="1:16" x14ac:dyDescent="0.25">
      <c r="A322" s="93"/>
      <c r="B322" s="132"/>
      <c r="C322" s="93"/>
      <c r="D322" s="93"/>
      <c r="E322" s="93"/>
      <c r="F322" s="93"/>
      <c r="G322" s="94"/>
      <c r="H322" s="92"/>
      <c r="I322" s="129"/>
      <c r="J322" s="129"/>
      <c r="K322" s="93"/>
      <c r="L322" s="93"/>
      <c r="M322" s="103"/>
      <c r="N322" s="103"/>
      <c r="O322" s="104"/>
      <c r="P322" s="93"/>
    </row>
    <row r="323" spans="1:16" x14ac:dyDescent="0.25">
      <c r="A323" s="93"/>
      <c r="B323" s="132"/>
      <c r="C323" s="93"/>
      <c r="D323" s="93"/>
      <c r="E323" s="93"/>
      <c r="F323" s="93"/>
      <c r="G323" s="94"/>
      <c r="H323" s="92"/>
      <c r="I323" s="129"/>
      <c r="J323" s="129"/>
      <c r="K323" s="93"/>
      <c r="L323" s="93"/>
      <c r="M323" s="103"/>
      <c r="N323" s="103"/>
      <c r="O323" s="104"/>
      <c r="P323" s="93"/>
    </row>
    <row r="324" spans="1:16" x14ac:dyDescent="0.25">
      <c r="A324" s="93"/>
      <c r="B324" s="132"/>
      <c r="C324" s="93"/>
      <c r="D324" s="93"/>
      <c r="E324" s="93"/>
      <c r="F324" s="93"/>
      <c r="G324" s="94"/>
      <c r="H324" s="92"/>
      <c r="I324" s="129"/>
      <c r="J324" s="129"/>
      <c r="K324" s="93"/>
      <c r="L324" s="93"/>
      <c r="M324" s="103"/>
      <c r="N324" s="103"/>
      <c r="O324" s="104"/>
      <c r="P324" s="93"/>
    </row>
    <row r="325" spans="1:16" x14ac:dyDescent="0.25">
      <c r="A325" s="93"/>
      <c r="B325" s="132"/>
      <c r="C325" s="93"/>
      <c r="D325" s="93"/>
      <c r="E325" s="93"/>
      <c r="F325" s="93"/>
      <c r="G325" s="94"/>
      <c r="H325" s="92"/>
      <c r="I325" s="129"/>
      <c r="J325" s="129"/>
      <c r="K325" s="93"/>
      <c r="L325" s="93"/>
      <c r="M325" s="103"/>
      <c r="N325" s="103"/>
      <c r="O325" s="104"/>
      <c r="P325" s="93"/>
    </row>
    <row r="326" spans="1:16" x14ac:dyDescent="0.25">
      <c r="A326" s="93"/>
      <c r="B326" s="132"/>
      <c r="C326" s="93"/>
      <c r="D326" s="93"/>
      <c r="E326" s="93"/>
      <c r="F326" s="93"/>
      <c r="G326" s="94"/>
      <c r="H326" s="92"/>
      <c r="I326" s="129"/>
      <c r="J326" s="129"/>
      <c r="K326" s="93"/>
      <c r="L326" s="93"/>
      <c r="M326" s="103"/>
      <c r="N326" s="103"/>
      <c r="O326" s="104"/>
      <c r="P326" s="93"/>
    </row>
    <row r="327" spans="1:16" x14ac:dyDescent="0.25">
      <c r="A327" s="93"/>
      <c r="B327" s="132"/>
      <c r="C327" s="93"/>
      <c r="D327" s="93"/>
      <c r="E327" s="93"/>
      <c r="F327" s="93"/>
      <c r="G327" s="94"/>
      <c r="H327" s="92"/>
      <c r="I327" s="129"/>
      <c r="J327" s="129"/>
      <c r="K327" s="93"/>
      <c r="L327" s="93"/>
      <c r="M327" s="103"/>
      <c r="N327" s="103"/>
      <c r="O327" s="104"/>
      <c r="P327" s="93"/>
    </row>
    <row r="328" spans="1:16" x14ac:dyDescent="0.25">
      <c r="A328" s="93"/>
      <c r="B328" s="132"/>
      <c r="C328" s="93"/>
      <c r="D328" s="93"/>
      <c r="E328" s="93"/>
      <c r="F328" s="93"/>
      <c r="G328" s="94"/>
      <c r="H328" s="92"/>
      <c r="I328" s="129"/>
      <c r="J328" s="129"/>
      <c r="K328" s="93"/>
      <c r="L328" s="93"/>
      <c r="M328" s="103"/>
      <c r="N328" s="103"/>
      <c r="O328" s="104"/>
      <c r="P328" s="93"/>
    </row>
    <row r="329" spans="1:16" x14ac:dyDescent="0.25">
      <c r="A329" s="93"/>
      <c r="B329" s="132"/>
      <c r="C329" s="93"/>
      <c r="D329" s="93"/>
      <c r="E329" s="93"/>
      <c r="F329" s="93"/>
      <c r="G329" s="94"/>
      <c r="H329" s="92"/>
      <c r="I329" s="129"/>
      <c r="J329" s="129"/>
      <c r="K329" s="93"/>
      <c r="L329" s="93"/>
      <c r="M329" s="103"/>
      <c r="N329" s="103"/>
      <c r="O329" s="104"/>
      <c r="P329" s="93"/>
    </row>
    <row r="330" spans="1:16" x14ac:dyDescent="0.25">
      <c r="A330" s="93"/>
      <c r="B330" s="132"/>
      <c r="C330" s="93"/>
      <c r="D330" s="93"/>
      <c r="E330" s="93"/>
      <c r="F330" s="93"/>
      <c r="G330" s="94"/>
      <c r="H330" s="92"/>
      <c r="I330" s="129"/>
      <c r="J330" s="129"/>
      <c r="K330" s="93"/>
      <c r="L330" s="93"/>
      <c r="M330" s="103"/>
      <c r="N330" s="103"/>
      <c r="O330" s="104"/>
      <c r="P330" s="93"/>
    </row>
    <row r="331" spans="1:16" x14ac:dyDescent="0.25">
      <c r="A331" s="93"/>
      <c r="B331" s="132"/>
      <c r="C331" s="93"/>
      <c r="D331" s="93"/>
      <c r="E331" s="93"/>
      <c r="F331" s="93"/>
      <c r="G331" s="94"/>
      <c r="H331" s="92"/>
      <c r="I331" s="129"/>
      <c r="J331" s="129"/>
      <c r="K331" s="93"/>
      <c r="L331" s="93"/>
      <c r="M331" s="103"/>
      <c r="N331" s="103"/>
      <c r="O331" s="104"/>
      <c r="P331" s="93"/>
    </row>
    <row r="332" spans="1:16" x14ac:dyDescent="0.25">
      <c r="A332" s="93"/>
      <c r="B332" s="132"/>
      <c r="C332" s="93"/>
      <c r="D332" s="93"/>
      <c r="E332" s="93"/>
      <c r="F332" s="93"/>
      <c r="G332" s="94"/>
      <c r="H332" s="92"/>
      <c r="I332" s="129"/>
      <c r="J332" s="129"/>
      <c r="K332" s="93"/>
      <c r="L332" s="93"/>
      <c r="M332" s="103"/>
      <c r="N332" s="103"/>
      <c r="O332" s="104"/>
      <c r="P332" s="93"/>
    </row>
    <row r="333" spans="1:16" x14ac:dyDescent="0.25">
      <c r="A333" s="93"/>
      <c r="B333" s="132"/>
      <c r="C333" s="93"/>
      <c r="D333" s="93"/>
      <c r="E333" s="93"/>
      <c r="F333" s="93"/>
      <c r="G333" s="94"/>
      <c r="H333" s="92"/>
      <c r="I333" s="129"/>
      <c r="J333" s="129"/>
      <c r="K333" s="93"/>
      <c r="L333" s="93"/>
      <c r="M333" s="103"/>
      <c r="N333" s="103"/>
      <c r="O333" s="104"/>
      <c r="P333" s="93"/>
    </row>
    <row r="334" spans="1:16" x14ac:dyDescent="0.25">
      <c r="A334" s="93"/>
      <c r="B334" s="132"/>
      <c r="C334" s="93"/>
      <c r="D334" s="93"/>
      <c r="E334" s="93"/>
      <c r="F334" s="93"/>
      <c r="G334" s="94"/>
      <c r="H334" s="92"/>
      <c r="I334" s="129"/>
      <c r="J334" s="129"/>
      <c r="K334" s="93"/>
      <c r="L334" s="93"/>
      <c r="M334" s="103"/>
      <c r="N334" s="103"/>
      <c r="O334" s="104"/>
      <c r="P334" s="93"/>
    </row>
    <row r="335" spans="1:16" x14ac:dyDescent="0.25">
      <c r="A335" s="93"/>
      <c r="B335" s="132"/>
      <c r="C335" s="93"/>
      <c r="D335" s="93"/>
      <c r="E335" s="93"/>
      <c r="F335" s="93"/>
      <c r="G335" s="94"/>
      <c r="H335" s="92"/>
      <c r="I335" s="129"/>
      <c r="J335" s="129"/>
      <c r="K335" s="93"/>
      <c r="L335" s="93"/>
      <c r="M335" s="103"/>
      <c r="N335" s="103"/>
      <c r="O335" s="104"/>
      <c r="P335" s="93"/>
    </row>
    <row r="336" spans="1:16" x14ac:dyDescent="0.25">
      <c r="A336" s="93"/>
      <c r="B336" s="132"/>
      <c r="C336" s="93"/>
      <c r="D336" s="93"/>
      <c r="E336" s="93"/>
      <c r="F336" s="93"/>
      <c r="G336" s="94"/>
      <c r="H336" s="92"/>
      <c r="I336" s="129"/>
      <c r="J336" s="129"/>
      <c r="K336" s="93"/>
      <c r="L336" s="93"/>
      <c r="M336" s="103"/>
      <c r="N336" s="103"/>
      <c r="O336" s="104"/>
      <c r="P336" s="93"/>
    </row>
    <row r="337" spans="1:16" x14ac:dyDescent="0.25">
      <c r="A337" s="93"/>
      <c r="B337" s="132"/>
      <c r="C337" s="93"/>
      <c r="D337" s="93"/>
      <c r="E337" s="93"/>
      <c r="F337" s="93"/>
      <c r="G337" s="94"/>
      <c r="H337" s="92"/>
      <c r="I337" s="129"/>
      <c r="J337" s="129"/>
      <c r="K337" s="93"/>
      <c r="L337" s="93"/>
      <c r="M337" s="103"/>
      <c r="N337" s="103"/>
      <c r="O337" s="104"/>
      <c r="P337" s="93"/>
    </row>
    <row r="338" spans="1:16" x14ac:dyDescent="0.25">
      <c r="A338" s="93"/>
      <c r="B338" s="132"/>
      <c r="C338" s="93"/>
      <c r="D338" s="93"/>
      <c r="E338" s="93"/>
      <c r="F338" s="93"/>
      <c r="G338" s="94"/>
      <c r="H338" s="92"/>
      <c r="I338" s="129"/>
      <c r="J338" s="129"/>
      <c r="K338" s="93"/>
      <c r="L338" s="93"/>
      <c r="M338" s="103"/>
      <c r="N338" s="103"/>
      <c r="O338" s="104"/>
      <c r="P338" s="93"/>
    </row>
    <row r="339" spans="1:16" x14ac:dyDescent="0.25">
      <c r="A339" s="93"/>
      <c r="B339" s="132"/>
      <c r="C339" s="93"/>
      <c r="D339" s="93"/>
      <c r="E339" s="93"/>
      <c r="F339" s="93"/>
      <c r="G339" s="94"/>
      <c r="H339" s="92"/>
      <c r="I339" s="129"/>
      <c r="J339" s="129"/>
      <c r="K339" s="93"/>
      <c r="L339" s="93"/>
      <c r="M339" s="103"/>
      <c r="N339" s="103"/>
      <c r="O339" s="104"/>
      <c r="P339" s="93"/>
    </row>
    <row r="340" spans="1:16" x14ac:dyDescent="0.25">
      <c r="A340" s="93"/>
      <c r="B340" s="132"/>
      <c r="C340" s="93"/>
      <c r="D340" s="93"/>
      <c r="E340" s="93"/>
      <c r="F340" s="93"/>
      <c r="G340" s="94"/>
      <c r="H340" s="92"/>
      <c r="I340" s="129"/>
      <c r="J340" s="129"/>
      <c r="K340" s="93"/>
      <c r="L340" s="93"/>
      <c r="M340" s="103"/>
      <c r="N340" s="103"/>
      <c r="O340" s="104"/>
      <c r="P340" s="93"/>
    </row>
    <row r="341" spans="1:16" x14ac:dyDescent="0.25">
      <c r="A341" s="93"/>
      <c r="B341" s="132"/>
      <c r="C341" s="93"/>
      <c r="D341" s="93"/>
      <c r="E341" s="93"/>
      <c r="F341" s="93"/>
      <c r="G341" s="94"/>
      <c r="H341" s="92"/>
      <c r="I341" s="129"/>
      <c r="J341" s="129"/>
      <c r="K341" s="93"/>
      <c r="L341" s="93"/>
      <c r="M341" s="103"/>
      <c r="N341" s="103"/>
      <c r="O341" s="104"/>
      <c r="P341" s="93"/>
    </row>
    <row r="342" spans="1:16" x14ac:dyDescent="0.25">
      <c r="A342" s="93"/>
      <c r="B342" s="132"/>
      <c r="C342" s="93"/>
      <c r="D342" s="93"/>
      <c r="E342" s="93"/>
      <c r="F342" s="93"/>
      <c r="G342" s="94"/>
      <c r="H342" s="92"/>
      <c r="I342" s="129"/>
      <c r="J342" s="129"/>
      <c r="K342" s="93"/>
      <c r="L342" s="93"/>
      <c r="M342" s="103"/>
      <c r="N342" s="103"/>
      <c r="O342" s="104"/>
      <c r="P342" s="93"/>
    </row>
    <row r="343" spans="1:16" x14ac:dyDescent="0.25">
      <c r="A343" s="93"/>
      <c r="B343" s="132"/>
      <c r="C343" s="93"/>
      <c r="D343" s="93"/>
      <c r="E343" s="93"/>
      <c r="F343" s="93"/>
      <c r="G343" s="94"/>
      <c r="H343" s="92"/>
      <c r="I343" s="129"/>
      <c r="J343" s="129"/>
      <c r="K343" s="93"/>
      <c r="L343" s="93"/>
      <c r="M343" s="103"/>
      <c r="N343" s="103"/>
      <c r="O343" s="104"/>
      <c r="P343" s="93"/>
    </row>
    <row r="344" spans="1:16" x14ac:dyDescent="0.25">
      <c r="A344" s="93"/>
      <c r="B344" s="132"/>
      <c r="C344" s="93"/>
      <c r="D344" s="93"/>
      <c r="E344" s="93"/>
      <c r="F344" s="93"/>
      <c r="G344" s="94"/>
      <c r="H344" s="92"/>
      <c r="I344" s="129"/>
      <c r="J344" s="129"/>
      <c r="K344" s="93"/>
      <c r="L344" s="93"/>
      <c r="M344" s="103"/>
      <c r="N344" s="103"/>
      <c r="O344" s="104"/>
      <c r="P344" s="93"/>
    </row>
    <row r="345" spans="1:16" x14ac:dyDescent="0.25">
      <c r="A345" s="93"/>
      <c r="B345" s="132"/>
      <c r="C345" s="93"/>
      <c r="D345" s="93"/>
      <c r="E345" s="93"/>
      <c r="F345" s="93"/>
      <c r="G345" s="94"/>
      <c r="H345" s="92"/>
      <c r="I345" s="129"/>
      <c r="J345" s="129"/>
      <c r="K345" s="93"/>
      <c r="L345" s="93"/>
      <c r="M345" s="103"/>
      <c r="N345" s="103"/>
      <c r="O345" s="104"/>
      <c r="P345" s="93"/>
    </row>
    <row r="346" spans="1:16" x14ac:dyDescent="0.25">
      <c r="A346" s="93"/>
      <c r="B346" s="132"/>
      <c r="C346" s="93"/>
      <c r="D346" s="93"/>
      <c r="E346" s="93"/>
      <c r="F346" s="93"/>
      <c r="G346" s="94"/>
      <c r="H346" s="92"/>
      <c r="I346" s="129"/>
      <c r="J346" s="129"/>
      <c r="K346" s="93"/>
      <c r="L346" s="93"/>
      <c r="M346" s="103"/>
      <c r="N346" s="103"/>
      <c r="O346" s="104"/>
      <c r="P346" s="93"/>
    </row>
    <row r="347" spans="1:16" x14ac:dyDescent="0.25">
      <c r="A347" s="93"/>
      <c r="B347" s="132"/>
      <c r="C347" s="93"/>
      <c r="D347" s="93"/>
      <c r="E347" s="93"/>
      <c r="F347" s="93"/>
      <c r="G347" s="94"/>
      <c r="H347" s="92"/>
      <c r="I347" s="129"/>
      <c r="J347" s="129"/>
      <c r="K347" s="93"/>
      <c r="L347" s="93"/>
      <c r="M347" s="103"/>
      <c r="N347" s="103"/>
      <c r="O347" s="104"/>
      <c r="P347" s="93"/>
    </row>
    <row r="348" spans="1:16" x14ac:dyDescent="0.25">
      <c r="A348" s="93"/>
      <c r="B348" s="132"/>
      <c r="C348" s="93"/>
      <c r="D348" s="93"/>
      <c r="E348" s="93"/>
      <c r="F348" s="93"/>
      <c r="G348" s="94"/>
      <c r="H348" s="92"/>
      <c r="I348" s="129"/>
      <c r="J348" s="129"/>
      <c r="K348" s="93"/>
      <c r="L348" s="93"/>
      <c r="M348" s="103"/>
      <c r="N348" s="103"/>
      <c r="O348" s="104"/>
      <c r="P348" s="93"/>
    </row>
    <row r="349" spans="1:16" x14ac:dyDescent="0.25">
      <c r="A349" s="93"/>
      <c r="B349" s="132"/>
      <c r="C349" s="93"/>
      <c r="D349" s="93"/>
      <c r="E349" s="93"/>
      <c r="F349" s="93"/>
      <c r="G349" s="94"/>
      <c r="H349" s="92"/>
      <c r="I349" s="129"/>
      <c r="J349" s="129"/>
      <c r="K349" s="93"/>
      <c r="L349" s="93"/>
      <c r="M349" s="103"/>
      <c r="N349" s="103"/>
      <c r="O349" s="104"/>
      <c r="P349" s="93"/>
    </row>
    <row r="350" spans="1:16" x14ac:dyDescent="0.25">
      <c r="A350" s="93"/>
      <c r="B350" s="132"/>
      <c r="C350" s="93"/>
      <c r="D350" s="93"/>
      <c r="E350" s="93"/>
      <c r="F350" s="93"/>
      <c r="G350" s="94"/>
      <c r="H350" s="92"/>
      <c r="I350" s="129"/>
      <c r="J350" s="129"/>
      <c r="K350" s="93"/>
      <c r="L350" s="93"/>
      <c r="M350" s="103"/>
      <c r="N350" s="103"/>
      <c r="O350" s="104"/>
      <c r="P350" s="93"/>
    </row>
    <row r="351" spans="1:16" x14ac:dyDescent="0.25">
      <c r="A351" s="93"/>
      <c r="B351" s="132"/>
      <c r="C351" s="93"/>
      <c r="D351" s="93"/>
      <c r="E351" s="93"/>
      <c r="F351" s="93"/>
      <c r="G351" s="94"/>
      <c r="H351" s="92"/>
      <c r="I351" s="129"/>
      <c r="J351" s="129"/>
      <c r="K351" s="93"/>
      <c r="L351" s="93"/>
      <c r="M351" s="103"/>
      <c r="N351" s="103"/>
      <c r="O351" s="104"/>
      <c r="P351" s="93"/>
    </row>
    <row r="352" spans="1:16" x14ac:dyDescent="0.25">
      <c r="A352" s="93"/>
      <c r="B352" s="132"/>
      <c r="C352" s="93"/>
      <c r="D352" s="93"/>
      <c r="E352" s="93"/>
      <c r="F352" s="93"/>
      <c r="G352" s="94"/>
      <c r="H352" s="92"/>
      <c r="I352" s="129"/>
      <c r="J352" s="129"/>
      <c r="K352" s="93"/>
      <c r="L352" s="93"/>
      <c r="M352" s="103"/>
      <c r="N352" s="103"/>
      <c r="O352" s="104"/>
      <c r="P352" s="93"/>
    </row>
    <row r="353" spans="1:16" x14ac:dyDescent="0.25">
      <c r="A353" s="93"/>
      <c r="B353" s="132"/>
      <c r="C353" s="93"/>
      <c r="D353" s="93"/>
      <c r="E353" s="93"/>
      <c r="F353" s="93"/>
      <c r="G353" s="94"/>
      <c r="H353" s="92"/>
      <c r="I353" s="129"/>
      <c r="J353" s="129"/>
      <c r="K353" s="93"/>
      <c r="L353" s="93"/>
      <c r="M353" s="103"/>
      <c r="N353" s="103"/>
      <c r="O353" s="104"/>
      <c r="P353" s="93"/>
    </row>
    <row r="354" spans="1:16" x14ac:dyDescent="0.25">
      <c r="A354" s="93"/>
      <c r="B354" s="132"/>
      <c r="C354" s="93"/>
      <c r="D354" s="93"/>
      <c r="E354" s="93"/>
      <c r="F354" s="93"/>
      <c r="G354" s="94"/>
      <c r="H354" s="92"/>
      <c r="I354" s="129"/>
      <c r="J354" s="129"/>
      <c r="K354" s="93"/>
      <c r="L354" s="93"/>
      <c r="M354" s="103"/>
      <c r="N354" s="103"/>
      <c r="O354" s="104"/>
      <c r="P354" s="93"/>
    </row>
    <row r="355" spans="1:16" x14ac:dyDescent="0.25">
      <c r="A355" s="93"/>
      <c r="B355" s="132"/>
      <c r="C355" s="93"/>
      <c r="D355" s="93"/>
      <c r="E355" s="93"/>
      <c r="F355" s="93"/>
      <c r="G355" s="94"/>
      <c r="H355" s="92"/>
      <c r="I355" s="129"/>
      <c r="J355" s="129"/>
      <c r="K355" s="93"/>
      <c r="L355" s="93"/>
      <c r="M355" s="103"/>
      <c r="N355" s="103"/>
      <c r="O355" s="104"/>
      <c r="P355" s="93"/>
    </row>
    <row r="356" spans="1:16" x14ac:dyDescent="0.25">
      <c r="A356" s="93"/>
      <c r="B356" s="132"/>
      <c r="C356" s="93"/>
      <c r="D356" s="93"/>
      <c r="E356" s="93"/>
      <c r="F356" s="93"/>
      <c r="G356" s="94"/>
      <c r="H356" s="92"/>
      <c r="I356" s="129"/>
      <c r="J356" s="129"/>
      <c r="K356" s="93"/>
      <c r="L356" s="93"/>
      <c r="M356" s="103"/>
      <c r="N356" s="103"/>
      <c r="O356" s="104"/>
      <c r="P356" s="93"/>
    </row>
    <row r="357" spans="1:16" x14ac:dyDescent="0.25">
      <c r="A357" s="93"/>
      <c r="B357" s="132"/>
      <c r="C357" s="93"/>
      <c r="D357" s="93"/>
      <c r="E357" s="93"/>
      <c r="F357" s="93"/>
      <c r="G357" s="94"/>
      <c r="H357" s="92"/>
      <c r="I357" s="129"/>
      <c r="J357" s="129"/>
      <c r="K357" s="93"/>
      <c r="L357" s="93"/>
      <c r="M357" s="103"/>
      <c r="N357" s="103"/>
      <c r="O357" s="104"/>
      <c r="P357" s="93"/>
    </row>
    <row r="358" spans="1:16" x14ac:dyDescent="0.25">
      <c r="A358" s="93"/>
      <c r="B358" s="132"/>
      <c r="C358" s="93"/>
      <c r="D358" s="93"/>
      <c r="E358" s="93"/>
      <c r="F358" s="93"/>
      <c r="G358" s="94"/>
      <c r="H358" s="92"/>
      <c r="I358" s="129"/>
      <c r="J358" s="129"/>
      <c r="K358" s="93"/>
      <c r="L358" s="93"/>
      <c r="M358" s="103"/>
      <c r="N358" s="103"/>
      <c r="O358" s="104"/>
      <c r="P358" s="93"/>
    </row>
    <row r="359" spans="1:16" x14ac:dyDescent="0.25">
      <c r="A359" s="93"/>
      <c r="B359" s="132"/>
      <c r="C359" s="93"/>
      <c r="D359" s="93"/>
      <c r="E359" s="93"/>
      <c r="F359" s="93"/>
      <c r="G359" s="94"/>
      <c r="H359" s="92"/>
      <c r="I359" s="129"/>
      <c r="J359" s="129"/>
      <c r="K359" s="93"/>
      <c r="L359" s="93"/>
      <c r="M359" s="103"/>
      <c r="N359" s="103"/>
      <c r="O359" s="104"/>
      <c r="P359" s="93"/>
    </row>
    <row r="360" spans="1:16" x14ac:dyDescent="0.25">
      <c r="A360" s="93"/>
      <c r="B360" s="132"/>
      <c r="C360" s="93"/>
      <c r="D360" s="93"/>
      <c r="E360" s="93"/>
      <c r="F360" s="93"/>
      <c r="G360" s="94"/>
      <c r="H360" s="92"/>
      <c r="I360" s="129"/>
      <c r="J360" s="129"/>
      <c r="K360" s="93"/>
      <c r="L360" s="93"/>
      <c r="M360" s="103"/>
      <c r="N360" s="103"/>
      <c r="O360" s="104"/>
      <c r="P360" s="93"/>
    </row>
    <row r="361" spans="1:16" x14ac:dyDescent="0.25">
      <c r="A361" s="93"/>
      <c r="B361" s="132"/>
      <c r="C361" s="93"/>
      <c r="D361" s="93"/>
      <c r="E361" s="93"/>
      <c r="F361" s="93"/>
      <c r="G361" s="94"/>
      <c r="H361" s="92"/>
      <c r="I361" s="129"/>
      <c r="J361" s="129"/>
      <c r="K361" s="93"/>
      <c r="L361" s="93"/>
      <c r="M361" s="103"/>
      <c r="N361" s="103"/>
      <c r="O361" s="104"/>
      <c r="P361" s="93"/>
    </row>
    <row r="362" spans="1:16" x14ac:dyDescent="0.25">
      <c r="A362" s="93"/>
      <c r="B362" s="132"/>
      <c r="C362" s="93"/>
      <c r="D362" s="93"/>
      <c r="E362" s="93"/>
      <c r="F362" s="93"/>
      <c r="G362" s="94"/>
      <c r="H362" s="92"/>
      <c r="I362" s="129"/>
      <c r="J362" s="129"/>
      <c r="K362" s="93"/>
      <c r="L362" s="93"/>
      <c r="M362" s="103"/>
      <c r="N362" s="103"/>
      <c r="O362" s="104"/>
      <c r="P362" s="93"/>
    </row>
    <row r="363" spans="1:16" x14ac:dyDescent="0.25">
      <c r="A363" s="93"/>
      <c r="B363" s="132"/>
      <c r="C363" s="93"/>
      <c r="D363" s="93"/>
      <c r="E363" s="93"/>
      <c r="F363" s="93"/>
      <c r="G363" s="94"/>
      <c r="H363" s="92"/>
      <c r="I363" s="129"/>
      <c r="J363" s="129"/>
      <c r="K363" s="93"/>
      <c r="L363" s="93"/>
      <c r="M363" s="103"/>
      <c r="N363" s="103"/>
      <c r="O363" s="104"/>
      <c r="P363" s="93"/>
    </row>
    <row r="364" spans="1:16" x14ac:dyDescent="0.25">
      <c r="A364" s="93"/>
      <c r="B364" s="132"/>
      <c r="C364" s="93"/>
      <c r="D364" s="93"/>
      <c r="E364" s="93"/>
      <c r="F364" s="93"/>
      <c r="G364" s="94"/>
      <c r="H364" s="92"/>
      <c r="I364" s="129"/>
      <c r="J364" s="129"/>
      <c r="K364" s="93"/>
      <c r="L364" s="93"/>
      <c r="M364" s="103"/>
      <c r="N364" s="103"/>
      <c r="O364" s="104"/>
      <c r="P364" s="93"/>
    </row>
    <row r="365" spans="1:16" x14ac:dyDescent="0.25">
      <c r="A365" s="93"/>
      <c r="B365" s="132"/>
      <c r="C365" s="93"/>
      <c r="D365" s="93"/>
      <c r="E365" s="93"/>
      <c r="F365" s="93"/>
      <c r="G365" s="94"/>
      <c r="H365" s="92"/>
      <c r="I365" s="129"/>
      <c r="J365" s="129"/>
      <c r="K365" s="93"/>
      <c r="L365" s="93"/>
      <c r="M365" s="103"/>
      <c r="N365" s="103"/>
      <c r="O365" s="104"/>
      <c r="P365" s="93"/>
    </row>
    <row r="366" spans="1:16" x14ac:dyDescent="0.25">
      <c r="A366" s="93"/>
      <c r="B366" s="132"/>
      <c r="C366" s="93"/>
      <c r="D366" s="93"/>
      <c r="E366" s="93"/>
      <c r="F366" s="93"/>
      <c r="G366" s="94"/>
      <c r="H366" s="92"/>
      <c r="I366" s="129"/>
      <c r="J366" s="129"/>
      <c r="K366" s="93"/>
      <c r="L366" s="93"/>
      <c r="M366" s="103"/>
      <c r="N366" s="103"/>
      <c r="O366" s="104"/>
      <c r="P366" s="93"/>
    </row>
    <row r="367" spans="1:16" x14ac:dyDescent="0.25">
      <c r="A367" s="93"/>
      <c r="B367" s="132"/>
      <c r="C367" s="93"/>
      <c r="D367" s="93"/>
      <c r="E367" s="93"/>
      <c r="F367" s="93"/>
      <c r="G367" s="94"/>
      <c r="H367" s="92"/>
      <c r="I367" s="129"/>
      <c r="J367" s="129"/>
      <c r="K367" s="93"/>
      <c r="L367" s="93"/>
      <c r="M367" s="103"/>
      <c r="N367" s="103"/>
      <c r="O367" s="104"/>
      <c r="P367" s="93"/>
    </row>
    <row r="368" spans="1:16" x14ac:dyDescent="0.25">
      <c r="A368" s="93"/>
      <c r="B368" s="132"/>
      <c r="C368" s="93"/>
      <c r="D368" s="93"/>
      <c r="E368" s="93"/>
      <c r="F368" s="93"/>
      <c r="G368" s="94"/>
      <c r="H368" s="92"/>
      <c r="I368" s="129"/>
      <c r="J368" s="129"/>
      <c r="K368" s="93"/>
      <c r="L368" s="93"/>
      <c r="M368" s="103"/>
      <c r="N368" s="103"/>
      <c r="O368" s="104"/>
      <c r="P368" s="93"/>
    </row>
    <row r="369" spans="1:16" x14ac:dyDescent="0.25">
      <c r="A369" s="93"/>
      <c r="B369" s="132"/>
      <c r="C369" s="93"/>
      <c r="D369" s="93"/>
      <c r="E369" s="93"/>
      <c r="F369" s="93"/>
      <c r="G369" s="94"/>
      <c r="H369" s="92"/>
      <c r="I369" s="129"/>
      <c r="J369" s="129"/>
      <c r="K369" s="93"/>
      <c r="L369" s="93"/>
      <c r="M369" s="103"/>
      <c r="N369" s="103"/>
      <c r="O369" s="104"/>
      <c r="P369" s="93"/>
    </row>
    <row r="370" spans="1:16" x14ac:dyDescent="0.25">
      <c r="A370" s="93"/>
      <c r="B370" s="132"/>
      <c r="C370" s="93"/>
      <c r="D370" s="93"/>
      <c r="E370" s="93"/>
      <c r="F370" s="93"/>
      <c r="G370" s="94"/>
      <c r="H370" s="93"/>
      <c r="I370" s="93"/>
      <c r="J370" s="93"/>
      <c r="K370" s="93"/>
      <c r="L370" s="93"/>
      <c r="M370" s="103"/>
      <c r="N370" s="103"/>
      <c r="O370" s="104"/>
      <c r="P370" s="93"/>
    </row>
    <row r="371" spans="1:16" x14ac:dyDescent="0.25">
      <c r="A371" s="93"/>
      <c r="B371" s="132"/>
      <c r="C371" s="93"/>
      <c r="D371" s="93"/>
      <c r="E371" s="93"/>
      <c r="F371" s="93"/>
      <c r="G371" s="94"/>
      <c r="H371" s="93"/>
      <c r="I371" s="93"/>
      <c r="J371" s="93"/>
      <c r="K371" s="93"/>
      <c r="L371" s="93"/>
      <c r="M371" s="103"/>
      <c r="N371" s="103"/>
      <c r="O371" s="104"/>
      <c r="P371" s="93"/>
    </row>
    <row r="372" spans="1:16" x14ac:dyDescent="0.25">
      <c r="A372" s="93"/>
      <c r="B372" s="132"/>
      <c r="C372" s="93"/>
      <c r="D372" s="93"/>
      <c r="E372" s="93"/>
      <c r="F372" s="93"/>
      <c r="G372" s="94"/>
      <c r="H372" s="92"/>
      <c r="I372" s="93"/>
      <c r="J372" s="93"/>
      <c r="K372" s="93"/>
      <c r="L372" s="93"/>
      <c r="M372" s="103"/>
      <c r="N372" s="103"/>
      <c r="O372" s="93"/>
      <c r="P372" s="93"/>
    </row>
    <row r="373" spans="1:16" x14ac:dyDescent="0.25">
      <c r="A373" s="93"/>
      <c r="B373" s="132"/>
      <c r="C373" s="93"/>
      <c r="D373" s="93"/>
      <c r="E373" s="93"/>
      <c r="F373" s="93"/>
      <c r="G373" s="94"/>
      <c r="H373" s="93"/>
      <c r="I373" s="93"/>
      <c r="J373" s="93"/>
      <c r="K373" s="93"/>
      <c r="L373" s="93"/>
      <c r="M373" s="103"/>
      <c r="N373" s="103"/>
      <c r="O373" s="93"/>
      <c r="P373" s="93"/>
    </row>
    <row r="374" spans="1:16" x14ac:dyDescent="0.25">
      <c r="A374" s="93"/>
      <c r="B374" s="132"/>
      <c r="C374" s="93"/>
      <c r="D374" s="93"/>
      <c r="E374" s="93"/>
      <c r="F374" s="93"/>
      <c r="G374" s="94"/>
      <c r="H374" s="93"/>
      <c r="I374" s="93"/>
      <c r="J374" s="93"/>
      <c r="K374" s="93"/>
      <c r="L374" s="93"/>
      <c r="M374" s="103"/>
      <c r="N374" s="103"/>
      <c r="O374" s="93"/>
      <c r="P374" s="93"/>
    </row>
    <row r="375" spans="1:16" x14ac:dyDescent="0.25">
      <c r="A375" s="93"/>
      <c r="B375" s="132"/>
      <c r="C375" s="93"/>
      <c r="D375" s="93"/>
      <c r="E375" s="93"/>
      <c r="F375" s="93"/>
      <c r="G375" s="94"/>
      <c r="H375" s="93"/>
      <c r="I375" s="93"/>
      <c r="J375" s="93"/>
      <c r="K375" s="93"/>
      <c r="L375" s="93"/>
      <c r="M375" s="103"/>
      <c r="N375" s="103"/>
      <c r="O375" s="93"/>
      <c r="P375" s="93"/>
    </row>
    <row r="376" spans="1:16" x14ac:dyDescent="0.25">
      <c r="A376" s="93"/>
      <c r="B376" s="132"/>
      <c r="C376" s="93"/>
      <c r="D376" s="93"/>
      <c r="E376" s="93"/>
      <c r="F376" s="93"/>
      <c r="G376" s="94"/>
      <c r="H376" s="92"/>
      <c r="I376" s="93"/>
      <c r="J376" s="93"/>
      <c r="K376" s="93"/>
      <c r="L376" s="93"/>
      <c r="M376" s="103"/>
      <c r="N376" s="103"/>
      <c r="O376" s="93"/>
      <c r="P376" s="93"/>
    </row>
    <row r="377" spans="1:16" x14ac:dyDescent="0.25">
      <c r="A377" s="93"/>
      <c r="B377" s="132"/>
      <c r="C377" s="93"/>
      <c r="D377" s="93"/>
      <c r="E377" s="93"/>
      <c r="F377" s="93"/>
      <c r="G377" s="94"/>
      <c r="H377" s="93"/>
      <c r="I377" s="93"/>
      <c r="J377" s="93"/>
      <c r="K377" s="93"/>
      <c r="L377" s="93"/>
      <c r="M377" s="103"/>
      <c r="N377" s="103"/>
      <c r="O377" s="93"/>
      <c r="P377" s="93"/>
    </row>
    <row r="378" spans="1:16" x14ac:dyDescent="0.25">
      <c r="A378" s="93"/>
      <c r="B378" s="132"/>
      <c r="C378" s="93"/>
      <c r="D378" s="93"/>
      <c r="E378" s="93"/>
      <c r="F378" s="93"/>
      <c r="G378" s="94"/>
      <c r="H378" s="93"/>
      <c r="I378" s="93"/>
      <c r="J378" s="93"/>
      <c r="K378" s="93"/>
      <c r="L378" s="93"/>
      <c r="M378" s="103"/>
      <c r="N378" s="103"/>
      <c r="O378" s="93"/>
      <c r="P378" s="93"/>
    </row>
    <row r="379" spans="1:16" x14ac:dyDescent="0.25">
      <c r="A379" s="93"/>
      <c r="B379" s="132"/>
      <c r="C379" s="93"/>
      <c r="D379" s="93"/>
      <c r="E379" s="93"/>
      <c r="F379" s="93"/>
      <c r="G379" s="94"/>
      <c r="H379" s="92"/>
      <c r="I379" s="93"/>
      <c r="J379" s="93"/>
      <c r="K379" s="93"/>
      <c r="L379" s="93"/>
      <c r="M379" s="103"/>
      <c r="N379" s="103"/>
      <c r="O379" s="93"/>
      <c r="P379" s="93"/>
    </row>
    <row r="380" spans="1:16" x14ac:dyDescent="0.25">
      <c r="A380" s="93"/>
      <c r="B380" s="132"/>
      <c r="C380" s="93"/>
      <c r="D380" s="93"/>
      <c r="E380" s="93"/>
      <c r="F380" s="93"/>
      <c r="G380" s="94"/>
      <c r="H380" s="93"/>
      <c r="I380" s="93"/>
      <c r="J380" s="93"/>
      <c r="K380" s="93"/>
      <c r="L380" s="93"/>
      <c r="M380" s="103"/>
      <c r="N380" s="103"/>
      <c r="O380" s="93"/>
      <c r="P380" s="93"/>
    </row>
    <row r="381" spans="1:16" x14ac:dyDescent="0.25">
      <c r="A381" s="93"/>
      <c r="B381" s="132"/>
      <c r="C381" s="93"/>
      <c r="D381" s="93"/>
      <c r="E381" s="93"/>
      <c r="F381" s="93"/>
      <c r="G381" s="94"/>
      <c r="H381" s="92"/>
      <c r="I381" s="93"/>
      <c r="J381" s="93"/>
      <c r="K381" s="93"/>
      <c r="L381" s="93"/>
      <c r="M381" s="103"/>
      <c r="N381" s="103"/>
      <c r="O381" s="93"/>
      <c r="P381" s="93"/>
    </row>
    <row r="382" spans="1:16" x14ac:dyDescent="0.25">
      <c r="A382" s="93"/>
      <c r="B382" s="132"/>
      <c r="C382" s="93"/>
      <c r="D382" s="93"/>
      <c r="E382" s="93"/>
      <c r="F382" s="93"/>
      <c r="G382" s="94"/>
      <c r="H382" s="93"/>
      <c r="I382" s="93"/>
      <c r="J382" s="93"/>
      <c r="K382" s="93"/>
      <c r="L382" s="93"/>
      <c r="M382" s="103"/>
      <c r="N382" s="103"/>
      <c r="O382" s="93"/>
      <c r="P382" s="93"/>
    </row>
    <row r="383" spans="1:16" x14ac:dyDescent="0.25">
      <c r="A383" s="93"/>
      <c r="B383" s="132"/>
      <c r="C383" s="93"/>
      <c r="D383" s="93"/>
      <c r="E383" s="93"/>
      <c r="F383" s="93"/>
      <c r="G383" s="94"/>
      <c r="H383" s="92"/>
      <c r="I383" s="129"/>
      <c r="J383" s="129"/>
      <c r="K383" s="93"/>
      <c r="L383" s="93"/>
      <c r="M383" s="103"/>
      <c r="N383" s="103"/>
      <c r="O383" s="93"/>
      <c r="P383" s="93"/>
    </row>
    <row r="384" spans="1:16" x14ac:dyDescent="0.25">
      <c r="A384" s="93"/>
      <c r="B384" s="132"/>
      <c r="C384" s="93"/>
      <c r="D384" s="93"/>
      <c r="E384" s="93"/>
      <c r="F384" s="93"/>
      <c r="G384" s="116"/>
      <c r="H384" s="111"/>
      <c r="I384" s="93"/>
      <c r="J384" s="93"/>
      <c r="K384" s="93"/>
      <c r="L384" s="93"/>
      <c r="M384" s="103"/>
      <c r="N384" s="103"/>
      <c r="O384" s="93"/>
      <c r="P384" s="93"/>
    </row>
    <row r="385" spans="1:16" x14ac:dyDescent="0.25">
      <c r="A385" s="93"/>
      <c r="B385" s="132"/>
      <c r="C385" s="93"/>
      <c r="D385" s="93"/>
      <c r="E385" s="93"/>
      <c r="F385" s="93"/>
      <c r="G385" s="116"/>
      <c r="H385" s="111"/>
      <c r="I385" s="93"/>
      <c r="J385" s="93"/>
      <c r="K385" s="93"/>
      <c r="L385" s="93"/>
      <c r="M385" s="103"/>
      <c r="N385" s="103"/>
      <c r="O385" s="93"/>
      <c r="P385" s="93"/>
    </row>
    <row r="386" spans="1:16" x14ac:dyDescent="0.25">
      <c r="A386" s="93"/>
      <c r="B386" s="132"/>
      <c r="C386" s="93"/>
      <c r="D386" s="93"/>
      <c r="E386" s="93"/>
      <c r="F386" s="93"/>
      <c r="G386" s="94"/>
      <c r="H386" s="92"/>
      <c r="I386" s="93"/>
      <c r="J386" s="93"/>
      <c r="K386" s="93"/>
      <c r="L386" s="93"/>
      <c r="M386" s="103"/>
      <c r="N386" s="103"/>
      <c r="O386" s="93"/>
      <c r="P386" s="93"/>
    </row>
    <row r="387" spans="1:16" x14ac:dyDescent="0.25">
      <c r="A387" s="93"/>
      <c r="B387" s="132"/>
      <c r="C387" s="93"/>
      <c r="D387" s="93"/>
      <c r="E387" s="93"/>
      <c r="F387" s="93"/>
      <c r="G387" s="94"/>
      <c r="H387" s="93"/>
      <c r="I387" s="93"/>
      <c r="J387" s="93"/>
      <c r="K387" s="93"/>
      <c r="L387" s="93"/>
      <c r="M387" s="103"/>
      <c r="N387" s="103"/>
      <c r="O387" s="93"/>
      <c r="P387" s="93"/>
    </row>
    <row r="388" spans="1:16" x14ac:dyDescent="0.25">
      <c r="A388" s="93"/>
      <c r="B388" s="132"/>
      <c r="C388" s="93"/>
      <c r="D388" s="93"/>
      <c r="E388" s="93"/>
      <c r="F388" s="93"/>
      <c r="G388" s="94"/>
      <c r="H388" s="92"/>
      <c r="I388" s="93"/>
      <c r="J388" s="93"/>
      <c r="K388" s="93"/>
      <c r="L388" s="93"/>
      <c r="M388" s="103"/>
      <c r="N388" s="103"/>
      <c r="O388" s="93"/>
      <c r="P388" s="93"/>
    </row>
    <row r="389" spans="1:16" x14ac:dyDescent="0.25">
      <c r="A389" s="93"/>
      <c r="B389" s="132"/>
      <c r="C389" s="93"/>
      <c r="D389" s="93"/>
      <c r="E389" s="93"/>
      <c r="F389" s="93"/>
      <c r="G389" s="94"/>
      <c r="H389" s="93"/>
      <c r="I389" s="93"/>
      <c r="J389" s="93"/>
      <c r="K389" s="93"/>
      <c r="L389" s="93"/>
      <c r="M389" s="103"/>
      <c r="N389" s="103"/>
      <c r="O389" s="93"/>
      <c r="P389" s="93"/>
    </row>
    <row r="390" spans="1:16" x14ac:dyDescent="0.25">
      <c r="A390" s="93"/>
      <c r="B390" s="132"/>
      <c r="C390" s="93"/>
      <c r="D390" s="93"/>
      <c r="E390" s="93"/>
      <c r="F390" s="93"/>
      <c r="G390" s="94"/>
      <c r="H390" s="92"/>
      <c r="I390" s="93"/>
      <c r="J390" s="93"/>
      <c r="K390" s="93"/>
      <c r="L390" s="93"/>
      <c r="M390" s="103"/>
      <c r="N390" s="103"/>
      <c r="O390" s="93"/>
      <c r="P390" s="93"/>
    </row>
    <row r="391" spans="1:16" x14ac:dyDescent="0.25">
      <c r="A391" s="93"/>
      <c r="B391" s="132"/>
      <c r="C391" s="93"/>
      <c r="D391" s="93"/>
      <c r="E391" s="93"/>
      <c r="F391" s="93"/>
      <c r="G391" s="94"/>
      <c r="H391" s="93"/>
      <c r="I391" s="93"/>
      <c r="J391" s="93"/>
      <c r="K391" s="93"/>
      <c r="L391" s="93"/>
      <c r="M391" s="103"/>
      <c r="N391" s="103"/>
      <c r="O391" s="93"/>
      <c r="P391" s="93"/>
    </row>
    <row r="392" spans="1:16" x14ac:dyDescent="0.25">
      <c r="A392" s="93"/>
      <c r="B392" s="132"/>
      <c r="C392" s="93"/>
      <c r="D392" s="93"/>
      <c r="E392" s="93"/>
      <c r="F392" s="93"/>
      <c r="G392" s="94"/>
      <c r="H392" s="93"/>
      <c r="I392" s="93"/>
      <c r="J392" s="93"/>
      <c r="K392" s="93"/>
      <c r="L392" s="93"/>
      <c r="M392" s="103"/>
      <c r="N392" s="103"/>
      <c r="O392" s="93"/>
      <c r="P392" s="93"/>
    </row>
    <row r="393" spans="1:16" x14ac:dyDescent="0.25">
      <c r="A393" s="93"/>
      <c r="B393" s="132"/>
      <c r="C393" s="93"/>
      <c r="D393" s="93"/>
      <c r="E393" s="93"/>
      <c r="F393" s="93"/>
      <c r="G393" s="94"/>
      <c r="H393" s="93"/>
      <c r="I393" s="93"/>
      <c r="J393" s="93"/>
      <c r="K393" s="93"/>
      <c r="L393" s="93"/>
      <c r="M393" s="103"/>
      <c r="N393" s="103"/>
      <c r="O393" s="93"/>
      <c r="P393" s="93"/>
    </row>
    <row r="394" spans="1:16" x14ac:dyDescent="0.25">
      <c r="A394" s="93"/>
      <c r="B394" s="132"/>
      <c r="C394" s="93"/>
      <c r="D394" s="93"/>
      <c r="E394" s="93"/>
      <c r="F394" s="93"/>
      <c r="G394" s="94"/>
      <c r="H394" s="92"/>
      <c r="I394" s="93"/>
      <c r="J394" s="93"/>
      <c r="K394" s="93"/>
      <c r="L394" s="93"/>
      <c r="M394" s="103"/>
      <c r="N394" s="103"/>
      <c r="O394" s="93"/>
      <c r="P394" s="93"/>
    </row>
    <row r="395" spans="1:16" x14ac:dyDescent="0.25">
      <c r="A395" s="93"/>
      <c r="B395" s="132"/>
      <c r="C395" s="93"/>
      <c r="D395" s="93"/>
      <c r="E395" s="93"/>
      <c r="F395" s="93"/>
      <c r="G395" s="94"/>
      <c r="H395" s="93"/>
      <c r="I395" s="93"/>
      <c r="J395" s="93"/>
      <c r="K395" s="93"/>
      <c r="L395" s="93"/>
      <c r="M395" s="103"/>
      <c r="N395" s="103"/>
      <c r="O395" s="93"/>
      <c r="P395" s="93"/>
    </row>
    <row r="396" spans="1:16" x14ac:dyDescent="0.25">
      <c r="A396" s="93"/>
      <c r="B396" s="132"/>
      <c r="C396" s="93"/>
      <c r="D396" s="93"/>
      <c r="E396" s="93"/>
      <c r="F396" s="93"/>
      <c r="G396" s="94"/>
      <c r="H396" s="93"/>
      <c r="I396" s="93"/>
      <c r="J396" s="93"/>
      <c r="K396" s="93"/>
      <c r="L396" s="93"/>
      <c r="M396" s="103"/>
      <c r="N396" s="103"/>
      <c r="O396" s="93"/>
      <c r="P396" s="93"/>
    </row>
    <row r="397" spans="1:16" x14ac:dyDescent="0.25">
      <c r="A397" s="93"/>
      <c r="B397" s="132"/>
      <c r="C397" s="93"/>
      <c r="D397" s="93"/>
      <c r="E397" s="93"/>
      <c r="F397" s="93"/>
      <c r="G397" s="94"/>
      <c r="H397" s="93"/>
      <c r="I397" s="93"/>
      <c r="J397" s="93"/>
      <c r="K397" s="93"/>
      <c r="L397" s="93"/>
      <c r="M397" s="103"/>
      <c r="N397" s="103"/>
      <c r="O397" s="93"/>
      <c r="P397" s="93"/>
    </row>
    <row r="398" spans="1:16" x14ac:dyDescent="0.25">
      <c r="A398" s="93"/>
      <c r="B398" s="132"/>
      <c r="C398" s="93"/>
      <c r="D398" s="93"/>
      <c r="E398" s="93"/>
      <c r="F398" s="93"/>
      <c r="G398" s="94"/>
      <c r="H398" s="93"/>
      <c r="I398" s="93"/>
      <c r="J398" s="93"/>
      <c r="K398" s="93"/>
      <c r="L398" s="93"/>
      <c r="M398" s="103"/>
      <c r="N398" s="103"/>
      <c r="O398" s="93"/>
      <c r="P398" s="93"/>
    </row>
    <row r="399" spans="1:16" x14ac:dyDescent="0.25">
      <c r="A399" s="93"/>
      <c r="B399" s="132"/>
      <c r="C399" s="93"/>
      <c r="D399" s="93"/>
      <c r="E399" s="93"/>
      <c r="F399" s="93"/>
      <c r="G399" s="94"/>
      <c r="H399" s="93"/>
      <c r="I399" s="93"/>
      <c r="J399" s="93"/>
      <c r="K399" s="93"/>
      <c r="L399" s="93"/>
      <c r="M399" s="103"/>
      <c r="N399" s="103"/>
      <c r="O399" s="93"/>
      <c r="P399" s="93"/>
    </row>
    <row r="400" spans="1:16" x14ac:dyDescent="0.25">
      <c r="A400" s="93"/>
      <c r="B400" s="132"/>
      <c r="C400" s="93"/>
      <c r="D400" s="93"/>
      <c r="E400" s="93"/>
      <c r="F400" s="93"/>
      <c r="G400" s="94"/>
      <c r="H400" s="93"/>
      <c r="I400" s="93"/>
      <c r="J400" s="93"/>
      <c r="K400" s="93"/>
      <c r="L400" s="93"/>
      <c r="M400" s="103"/>
      <c r="N400" s="103"/>
      <c r="O400" s="93"/>
      <c r="P400" s="93"/>
    </row>
    <row r="401" spans="1:16" x14ac:dyDescent="0.25">
      <c r="A401" s="93"/>
      <c r="B401" s="132"/>
      <c r="C401" s="93"/>
      <c r="D401" s="93"/>
      <c r="E401" s="93"/>
      <c r="F401" s="93"/>
      <c r="G401" s="94"/>
      <c r="H401" s="92"/>
      <c r="I401" s="93"/>
      <c r="J401" s="93"/>
      <c r="K401" s="93"/>
      <c r="L401" s="93"/>
      <c r="M401" s="103"/>
      <c r="N401" s="103"/>
      <c r="O401" s="93"/>
      <c r="P401" s="93"/>
    </row>
    <row r="402" spans="1:16" x14ac:dyDescent="0.25">
      <c r="A402" s="93"/>
      <c r="B402" s="132"/>
      <c r="C402" s="93"/>
      <c r="D402" s="93"/>
      <c r="E402" s="93"/>
      <c r="F402" s="93"/>
      <c r="G402" s="94"/>
      <c r="H402" s="92"/>
      <c r="I402" s="93"/>
      <c r="J402" s="93"/>
      <c r="K402" s="93"/>
      <c r="L402" s="93"/>
      <c r="M402" s="103"/>
      <c r="N402" s="103"/>
      <c r="O402" s="93"/>
      <c r="P402" s="93"/>
    </row>
    <row r="403" spans="1:16" x14ac:dyDescent="0.25">
      <c r="A403" s="93"/>
      <c r="B403" s="132"/>
      <c r="C403" s="93"/>
      <c r="D403" s="93"/>
      <c r="E403" s="93"/>
      <c r="F403" s="93"/>
      <c r="G403" s="94"/>
      <c r="H403" s="93"/>
      <c r="I403" s="93"/>
      <c r="J403" s="93"/>
      <c r="K403" s="93"/>
      <c r="L403" s="93"/>
      <c r="M403" s="103"/>
      <c r="N403" s="103"/>
      <c r="O403" s="93"/>
      <c r="P403" s="93"/>
    </row>
    <row r="404" spans="1:16" x14ac:dyDescent="0.25">
      <c r="A404" s="93"/>
      <c r="B404" s="132"/>
      <c r="C404" s="93"/>
      <c r="D404" s="93"/>
      <c r="E404" s="93"/>
      <c r="F404" s="93"/>
      <c r="G404" s="94"/>
      <c r="H404" s="92"/>
      <c r="I404" s="93"/>
      <c r="J404" s="93"/>
      <c r="K404" s="93"/>
      <c r="L404" s="93"/>
      <c r="M404" s="103"/>
      <c r="N404" s="103"/>
      <c r="O404" s="93"/>
      <c r="P404" s="93"/>
    </row>
    <row r="405" spans="1:16" x14ac:dyDescent="0.25">
      <c r="A405" s="93"/>
      <c r="B405" s="132"/>
      <c r="C405" s="93"/>
      <c r="D405" s="93"/>
      <c r="E405" s="93"/>
      <c r="F405" s="93"/>
      <c r="G405" s="94"/>
      <c r="H405" s="92"/>
      <c r="I405" s="93"/>
      <c r="J405" s="93"/>
      <c r="K405" s="93"/>
      <c r="L405" s="93"/>
      <c r="M405" s="103"/>
      <c r="N405" s="103"/>
      <c r="O405" s="93"/>
      <c r="P405" s="93"/>
    </row>
    <row r="406" spans="1:16" x14ac:dyDescent="0.25">
      <c r="A406" s="93"/>
      <c r="B406" s="132"/>
      <c r="C406" s="93"/>
      <c r="D406" s="93"/>
      <c r="E406" s="93"/>
      <c r="F406" s="93"/>
      <c r="G406" s="94"/>
      <c r="H406" s="92"/>
      <c r="I406" s="93"/>
      <c r="J406" s="93"/>
      <c r="K406" s="93"/>
      <c r="L406" s="93"/>
      <c r="M406" s="103"/>
      <c r="N406" s="103"/>
      <c r="O406" s="93"/>
      <c r="P406" s="93"/>
    </row>
    <row r="407" spans="1:16" x14ac:dyDescent="0.25">
      <c r="A407" s="93"/>
      <c r="B407" s="132"/>
      <c r="C407" s="93"/>
      <c r="D407" s="93"/>
      <c r="E407" s="93"/>
      <c r="F407" s="93"/>
      <c r="G407" s="94"/>
      <c r="H407" s="93"/>
      <c r="I407" s="93"/>
      <c r="J407" s="93"/>
      <c r="K407" s="93"/>
      <c r="L407" s="93"/>
      <c r="M407" s="103"/>
      <c r="N407" s="103"/>
      <c r="O407" s="93"/>
      <c r="P407" s="93"/>
    </row>
    <row r="408" spans="1:16" x14ac:dyDescent="0.25">
      <c r="A408" s="93"/>
      <c r="B408" s="132"/>
      <c r="C408" s="93"/>
      <c r="D408" s="93"/>
      <c r="E408" s="93"/>
      <c r="F408" s="93"/>
      <c r="G408" s="94"/>
      <c r="H408" s="93"/>
      <c r="I408" s="93"/>
      <c r="J408" s="93"/>
      <c r="K408" s="93"/>
      <c r="L408" s="93"/>
      <c r="M408" s="103"/>
      <c r="N408" s="103"/>
      <c r="O408" s="93"/>
      <c r="P408" s="93"/>
    </row>
  </sheetData>
  <autoFilter ref="A3:P199" xr:uid="{00000000-0009-0000-0000-000011000000}">
    <sortState xmlns:xlrd2="http://schemas.microsoft.com/office/spreadsheetml/2017/richdata2" ref="A4:P102">
      <sortCondition ref="P3:P77"/>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Q235"/>
  <sheetViews>
    <sheetView workbookViewId="0">
      <selection activeCell="P1" sqref="P1"/>
    </sheetView>
  </sheetViews>
  <sheetFormatPr defaultRowHeight="15" customHeight="1" x14ac:dyDescent="0.2"/>
  <cols>
    <col min="1" max="1" width="9.140625" style="12"/>
    <col min="2" max="2" width="10.7109375" style="36" bestFit="1" customWidth="1"/>
    <col min="3" max="5" width="9.140625" style="12"/>
    <col min="6" max="6" width="9.140625" style="14"/>
    <col min="7" max="7" width="11" style="14" bestFit="1" customWidth="1"/>
    <col min="8" max="8" width="45.7109375" style="12" customWidth="1"/>
    <col min="9" max="12" width="9.140625" style="12"/>
    <col min="13" max="14" width="11.5703125" style="17" bestFit="1" customWidth="1"/>
    <col min="15" max="15" width="10.5703125" style="12" bestFit="1" customWidth="1"/>
    <col min="16" max="16" width="9.140625" style="12"/>
    <col min="17" max="17" width="15.140625" style="12" bestFit="1" customWidth="1"/>
    <col min="18" max="16384" width="9.140625" style="12"/>
  </cols>
  <sheetData>
    <row r="1" spans="1:17" ht="15" customHeight="1" x14ac:dyDescent="0.2">
      <c r="A1" s="204" t="s">
        <v>0</v>
      </c>
      <c r="B1" s="206" t="s">
        <v>1</v>
      </c>
      <c r="C1" s="204" t="s">
        <v>2</v>
      </c>
      <c r="D1" s="202" t="s">
        <v>3</v>
      </c>
      <c r="E1" s="202" t="s">
        <v>4</v>
      </c>
      <c r="F1" s="245" t="s">
        <v>5</v>
      </c>
      <c r="G1" s="211" t="s">
        <v>6</v>
      </c>
      <c r="H1" s="213" t="s">
        <v>7</v>
      </c>
      <c r="I1" s="215" t="s">
        <v>8</v>
      </c>
      <c r="J1" s="216"/>
      <c r="K1" s="204" t="s">
        <v>9</v>
      </c>
      <c r="L1" s="204" t="s">
        <v>10</v>
      </c>
      <c r="M1" s="209" t="s">
        <v>98</v>
      </c>
      <c r="N1" s="209" t="s">
        <v>99</v>
      </c>
      <c r="O1" s="45" t="s">
        <v>100</v>
      </c>
      <c r="P1" s="152" t="s">
        <v>3991</v>
      </c>
    </row>
    <row r="2" spans="1:17" ht="15" customHeight="1" x14ac:dyDescent="0.2">
      <c r="A2" s="205"/>
      <c r="B2" s="207"/>
      <c r="C2" s="205"/>
      <c r="D2" s="208"/>
      <c r="E2" s="208"/>
      <c r="F2" s="246"/>
      <c r="G2" s="212"/>
      <c r="H2" s="214"/>
      <c r="I2" s="46" t="s">
        <v>13</v>
      </c>
      <c r="J2" s="47" t="s">
        <v>14</v>
      </c>
      <c r="K2" s="205"/>
      <c r="L2" s="205"/>
      <c r="M2" s="210"/>
      <c r="N2" s="210"/>
      <c r="O2" s="38" t="s">
        <v>100</v>
      </c>
      <c r="P2" s="38"/>
    </row>
    <row r="3" spans="1:17" ht="15" customHeight="1" x14ac:dyDescent="0.2">
      <c r="A3" s="48"/>
      <c r="B3" s="54"/>
      <c r="C3" s="48">
        <v>101</v>
      </c>
      <c r="D3" s="49"/>
      <c r="E3" s="49"/>
      <c r="F3" s="50"/>
      <c r="G3" s="51" t="s">
        <v>15</v>
      </c>
      <c r="H3" s="52"/>
      <c r="I3" s="52"/>
      <c r="J3" s="52"/>
      <c r="K3" s="48"/>
      <c r="L3" s="48"/>
      <c r="M3" s="53"/>
      <c r="N3" s="53"/>
      <c r="O3" s="38" t="s">
        <v>16</v>
      </c>
      <c r="P3" s="38" t="s">
        <v>17</v>
      </c>
      <c r="Q3" s="12" t="s">
        <v>3386</v>
      </c>
    </row>
    <row r="4" spans="1:17" ht="15" customHeight="1" x14ac:dyDescent="0.2">
      <c r="A4" s="12" t="s">
        <v>18</v>
      </c>
      <c r="B4" s="36" t="s">
        <v>310</v>
      </c>
      <c r="C4" s="12">
        <f t="shared" ref="C4:C65" si="0">C3+D4</f>
        <v>102</v>
      </c>
      <c r="D4" s="12">
        <v>1</v>
      </c>
      <c r="G4" s="14" t="s">
        <v>37</v>
      </c>
      <c r="H4" s="12" t="s">
        <v>2065</v>
      </c>
      <c r="I4" s="12">
        <v>64277</v>
      </c>
      <c r="J4" s="12">
        <v>331</v>
      </c>
      <c r="K4" s="12" t="s">
        <v>20</v>
      </c>
      <c r="L4" s="12">
        <v>1</v>
      </c>
      <c r="M4" s="17">
        <v>3240000</v>
      </c>
      <c r="N4" s="17">
        <f t="shared" ref="N4:N34" si="1">L4*M4</f>
        <v>3240000</v>
      </c>
      <c r="O4" s="17" t="s">
        <v>21</v>
      </c>
      <c r="P4" s="12">
        <v>1</v>
      </c>
      <c r="Q4" s="12">
        <f>LEN(H4)</f>
        <v>42</v>
      </c>
    </row>
    <row r="5" spans="1:17" ht="15" customHeight="1" x14ac:dyDescent="0.2">
      <c r="A5" s="12" t="s">
        <v>18</v>
      </c>
      <c r="B5" s="36" t="s">
        <v>447</v>
      </c>
      <c r="C5" s="12">
        <f t="shared" si="0"/>
        <v>103</v>
      </c>
      <c r="D5" s="12">
        <v>1</v>
      </c>
      <c r="F5" s="12"/>
      <c r="G5" s="14" t="s">
        <v>75</v>
      </c>
      <c r="H5" s="12" t="s">
        <v>2204</v>
      </c>
      <c r="I5" s="12">
        <v>64276</v>
      </c>
      <c r="J5" s="12">
        <v>331</v>
      </c>
      <c r="K5" s="12" t="s">
        <v>20</v>
      </c>
      <c r="L5" s="12">
        <v>1</v>
      </c>
      <c r="M5" s="17">
        <v>2025000</v>
      </c>
      <c r="N5" s="17">
        <f t="shared" si="1"/>
        <v>2025000</v>
      </c>
      <c r="O5" s="17" t="s">
        <v>21</v>
      </c>
      <c r="P5" s="12">
        <f>P4+D5</f>
        <v>2</v>
      </c>
      <c r="Q5" s="12">
        <f t="shared" ref="Q5:Q68" si="2">LEN(H5)</f>
        <v>37</v>
      </c>
    </row>
    <row r="6" spans="1:17" ht="15" customHeight="1" x14ac:dyDescent="0.2">
      <c r="A6" s="12" t="s">
        <v>18</v>
      </c>
      <c r="B6" s="36" t="s">
        <v>447</v>
      </c>
      <c r="C6" s="12">
        <f t="shared" si="0"/>
        <v>104</v>
      </c>
      <c r="D6" s="12">
        <v>1</v>
      </c>
      <c r="G6" s="14" t="s">
        <v>75</v>
      </c>
      <c r="H6" s="12" t="s">
        <v>2200</v>
      </c>
      <c r="I6" s="12">
        <v>64276</v>
      </c>
      <c r="J6" s="12">
        <v>331</v>
      </c>
      <c r="K6" s="12" t="s">
        <v>20</v>
      </c>
      <c r="L6" s="12">
        <v>1</v>
      </c>
      <c r="M6" s="17">
        <v>600000</v>
      </c>
      <c r="N6" s="17">
        <f t="shared" si="1"/>
        <v>600000</v>
      </c>
      <c r="O6" s="17" t="s">
        <v>21</v>
      </c>
      <c r="P6" s="12">
        <f t="shared" ref="P6:P63" si="3">P5+D6</f>
        <v>3</v>
      </c>
      <c r="Q6" s="12">
        <f t="shared" si="2"/>
        <v>37</v>
      </c>
    </row>
    <row r="7" spans="1:17" ht="15" customHeight="1" x14ac:dyDescent="0.2">
      <c r="A7" s="12" t="s">
        <v>18</v>
      </c>
      <c r="B7" s="36">
        <v>45954</v>
      </c>
      <c r="C7" s="12">
        <f t="shared" si="0"/>
        <v>105</v>
      </c>
      <c r="D7" s="12">
        <v>1</v>
      </c>
      <c r="G7" s="14" t="s">
        <v>3316</v>
      </c>
      <c r="H7" s="12" t="s">
        <v>3317</v>
      </c>
      <c r="I7" s="12">
        <v>64277</v>
      </c>
      <c r="J7" s="12">
        <v>331</v>
      </c>
      <c r="K7" s="12" t="s">
        <v>20</v>
      </c>
      <c r="L7" s="12">
        <v>1</v>
      </c>
      <c r="M7" s="17">
        <v>856900</v>
      </c>
      <c r="N7" s="17">
        <f t="shared" si="1"/>
        <v>856900</v>
      </c>
      <c r="O7" s="17" t="s">
        <v>21</v>
      </c>
      <c r="P7" s="12">
        <f t="shared" si="3"/>
        <v>4</v>
      </c>
      <c r="Q7" s="12">
        <f t="shared" si="2"/>
        <v>40</v>
      </c>
    </row>
    <row r="8" spans="1:17" ht="15" customHeight="1" x14ac:dyDescent="0.2">
      <c r="A8" s="12" t="s">
        <v>18</v>
      </c>
      <c r="B8" s="36" t="s">
        <v>292</v>
      </c>
      <c r="C8" s="12">
        <f t="shared" si="0"/>
        <v>106</v>
      </c>
      <c r="D8" s="12">
        <v>1</v>
      </c>
      <c r="G8" s="14" t="s">
        <v>48</v>
      </c>
      <c r="H8" s="12" t="s">
        <v>2066</v>
      </c>
      <c r="I8" s="12">
        <v>64277</v>
      </c>
      <c r="J8" s="12">
        <v>331</v>
      </c>
      <c r="K8" s="12" t="s">
        <v>20</v>
      </c>
      <c r="L8" s="12">
        <v>1</v>
      </c>
      <c r="M8" s="17">
        <v>288</v>
      </c>
      <c r="N8" s="17">
        <f t="shared" si="1"/>
        <v>288</v>
      </c>
      <c r="O8" s="17" t="s">
        <v>21</v>
      </c>
      <c r="P8" s="12">
        <f t="shared" si="3"/>
        <v>5</v>
      </c>
      <c r="Q8" s="12">
        <f t="shared" si="2"/>
        <v>55</v>
      </c>
    </row>
    <row r="9" spans="1:17" ht="15" customHeight="1" x14ac:dyDescent="0.2">
      <c r="A9" s="12" t="s">
        <v>18</v>
      </c>
      <c r="B9" s="36" t="s">
        <v>292</v>
      </c>
      <c r="C9" s="12">
        <f t="shared" si="0"/>
        <v>107</v>
      </c>
      <c r="D9" s="12">
        <v>1</v>
      </c>
      <c r="G9" s="14" t="s">
        <v>2046</v>
      </c>
      <c r="H9" s="12" t="s">
        <v>2202</v>
      </c>
      <c r="I9" s="12">
        <v>64277</v>
      </c>
      <c r="J9" s="12">
        <v>331</v>
      </c>
      <c r="K9" s="12" t="s">
        <v>20</v>
      </c>
      <c r="L9" s="12">
        <v>1</v>
      </c>
      <c r="M9" s="17">
        <v>1380240</v>
      </c>
      <c r="N9" s="17">
        <f t="shared" si="1"/>
        <v>1380240</v>
      </c>
      <c r="O9" s="17" t="s">
        <v>21</v>
      </c>
      <c r="P9" s="12">
        <f t="shared" si="3"/>
        <v>6</v>
      </c>
      <c r="Q9" s="12">
        <f t="shared" si="2"/>
        <v>42</v>
      </c>
    </row>
    <row r="10" spans="1:17" ht="15" customHeight="1" x14ac:dyDescent="0.2">
      <c r="A10" s="12" t="s">
        <v>18</v>
      </c>
      <c r="B10" s="36" t="s">
        <v>314</v>
      </c>
      <c r="C10" s="12">
        <f t="shared" si="0"/>
        <v>108</v>
      </c>
      <c r="D10" s="12">
        <v>1</v>
      </c>
      <c r="G10" s="14" t="s">
        <v>2047</v>
      </c>
      <c r="H10" s="12" t="s">
        <v>2203</v>
      </c>
      <c r="I10" s="12">
        <v>64276</v>
      </c>
      <c r="J10" s="12">
        <v>331</v>
      </c>
      <c r="K10" s="12" t="s">
        <v>20</v>
      </c>
      <c r="L10" s="12">
        <v>1</v>
      </c>
      <c r="M10" s="17">
        <v>1800000</v>
      </c>
      <c r="N10" s="17">
        <f t="shared" si="1"/>
        <v>1800000</v>
      </c>
      <c r="O10" s="17" t="s">
        <v>21</v>
      </c>
      <c r="P10" s="12">
        <f t="shared" si="3"/>
        <v>7</v>
      </c>
      <c r="Q10" s="12">
        <f t="shared" si="2"/>
        <v>36</v>
      </c>
    </row>
    <row r="11" spans="1:17" ht="15" customHeight="1" x14ac:dyDescent="0.2">
      <c r="A11" s="12" t="s">
        <v>18</v>
      </c>
      <c r="B11" s="36" t="s">
        <v>378</v>
      </c>
      <c r="C11" s="12">
        <f t="shared" si="0"/>
        <v>109</v>
      </c>
      <c r="D11" s="12">
        <v>1</v>
      </c>
      <c r="G11" s="14" t="s">
        <v>28</v>
      </c>
      <c r="H11" s="12" t="s">
        <v>2201</v>
      </c>
      <c r="I11" s="12">
        <v>64277</v>
      </c>
      <c r="J11" s="12">
        <v>331</v>
      </c>
      <c r="K11" s="12" t="s">
        <v>20</v>
      </c>
      <c r="L11" s="12">
        <v>1</v>
      </c>
      <c r="M11" s="17">
        <v>1817640</v>
      </c>
      <c r="N11" s="17">
        <f t="shared" si="1"/>
        <v>1817640</v>
      </c>
      <c r="O11" s="17" t="s">
        <v>21</v>
      </c>
      <c r="P11" s="12">
        <f t="shared" si="3"/>
        <v>8</v>
      </c>
      <c r="Q11" s="12">
        <f t="shared" si="2"/>
        <v>42</v>
      </c>
    </row>
    <row r="12" spans="1:17" ht="15" customHeight="1" x14ac:dyDescent="0.2">
      <c r="A12" s="12" t="s">
        <v>18</v>
      </c>
      <c r="B12" s="36" t="s">
        <v>316</v>
      </c>
      <c r="C12" s="12">
        <f t="shared" si="0"/>
        <v>110</v>
      </c>
      <c r="D12" s="12">
        <v>1</v>
      </c>
      <c r="G12" s="14" t="s">
        <v>37</v>
      </c>
      <c r="H12" s="12" t="s">
        <v>2067</v>
      </c>
      <c r="I12" s="12">
        <v>64277</v>
      </c>
      <c r="J12" s="12">
        <v>331</v>
      </c>
      <c r="K12" s="12" t="s">
        <v>20</v>
      </c>
      <c r="L12" s="12">
        <v>1</v>
      </c>
      <c r="M12" s="17">
        <v>3240000</v>
      </c>
      <c r="N12" s="17">
        <f t="shared" si="1"/>
        <v>3240000</v>
      </c>
      <c r="O12" s="17" t="s">
        <v>21</v>
      </c>
      <c r="P12" s="12">
        <f t="shared" si="3"/>
        <v>9</v>
      </c>
      <c r="Q12" s="12">
        <f t="shared" si="2"/>
        <v>42</v>
      </c>
    </row>
    <row r="13" spans="1:17" ht="15" customHeight="1" x14ac:dyDescent="0.2">
      <c r="A13" s="12" t="s">
        <v>18</v>
      </c>
      <c r="B13" s="36" t="s">
        <v>418</v>
      </c>
      <c r="C13" s="12">
        <f t="shared" si="0"/>
        <v>111</v>
      </c>
      <c r="D13" s="12">
        <v>1</v>
      </c>
      <c r="G13" s="32" t="s">
        <v>2048</v>
      </c>
      <c r="H13" s="32" t="s">
        <v>2188</v>
      </c>
      <c r="I13" s="12">
        <v>64277</v>
      </c>
      <c r="J13" s="12">
        <v>331</v>
      </c>
      <c r="K13" s="12" t="s">
        <v>20</v>
      </c>
      <c r="L13" s="12">
        <v>1</v>
      </c>
      <c r="M13" s="17">
        <v>1062720</v>
      </c>
      <c r="N13" s="17">
        <f t="shared" si="1"/>
        <v>1062720</v>
      </c>
      <c r="O13" s="17" t="s">
        <v>21</v>
      </c>
      <c r="P13" s="12">
        <f t="shared" si="3"/>
        <v>10</v>
      </c>
      <c r="Q13" s="12">
        <f t="shared" si="2"/>
        <v>41</v>
      </c>
    </row>
    <row r="14" spans="1:17" ht="15" customHeight="1" x14ac:dyDescent="0.2">
      <c r="A14" s="12" t="s">
        <v>18</v>
      </c>
      <c r="B14" s="36" t="s">
        <v>513</v>
      </c>
      <c r="C14" s="12">
        <f t="shared" si="0"/>
        <v>112</v>
      </c>
      <c r="D14" s="12">
        <v>1</v>
      </c>
      <c r="G14" s="32" t="s">
        <v>53</v>
      </c>
      <c r="H14" s="32" t="s">
        <v>2189</v>
      </c>
      <c r="I14" s="20">
        <v>64277</v>
      </c>
      <c r="J14" s="12">
        <v>331</v>
      </c>
      <c r="K14" s="12" t="s">
        <v>20</v>
      </c>
      <c r="L14" s="12">
        <v>1</v>
      </c>
      <c r="M14" s="17">
        <v>802440</v>
      </c>
      <c r="N14" s="17">
        <f t="shared" si="1"/>
        <v>802440</v>
      </c>
      <c r="O14" s="17" t="s">
        <v>21</v>
      </c>
      <c r="P14" s="12">
        <f t="shared" si="3"/>
        <v>11</v>
      </c>
      <c r="Q14" s="12">
        <f t="shared" si="2"/>
        <v>41</v>
      </c>
    </row>
    <row r="15" spans="1:17" ht="15" customHeight="1" x14ac:dyDescent="0.2">
      <c r="A15" s="12" t="s">
        <v>18</v>
      </c>
      <c r="B15" s="36" t="s">
        <v>2042</v>
      </c>
      <c r="C15" s="12">
        <f t="shared" si="0"/>
        <v>113</v>
      </c>
      <c r="D15" s="12">
        <v>1</v>
      </c>
      <c r="G15" s="14" t="s">
        <v>111</v>
      </c>
      <c r="H15" s="12" t="s">
        <v>2199</v>
      </c>
      <c r="I15" s="12">
        <v>64276</v>
      </c>
      <c r="J15" s="12">
        <v>331</v>
      </c>
      <c r="K15" s="12" t="s">
        <v>20</v>
      </c>
      <c r="L15" s="12">
        <v>1</v>
      </c>
      <c r="M15" s="17">
        <v>999000</v>
      </c>
      <c r="N15" s="17">
        <f t="shared" si="1"/>
        <v>999000</v>
      </c>
      <c r="O15" s="17" t="s">
        <v>21</v>
      </c>
      <c r="P15" s="12">
        <f t="shared" si="3"/>
        <v>12</v>
      </c>
      <c r="Q15" s="12">
        <f t="shared" si="2"/>
        <v>37</v>
      </c>
    </row>
    <row r="16" spans="1:17" ht="15" customHeight="1" x14ac:dyDescent="0.2">
      <c r="A16" s="12" t="s">
        <v>18</v>
      </c>
      <c r="B16" s="36" t="s">
        <v>602</v>
      </c>
      <c r="C16" s="12">
        <f t="shared" si="0"/>
        <v>114</v>
      </c>
      <c r="D16" s="12">
        <v>1</v>
      </c>
      <c r="G16" s="14" t="s">
        <v>25</v>
      </c>
      <c r="H16" s="12" t="s">
        <v>2190</v>
      </c>
      <c r="I16" s="12">
        <v>64277</v>
      </c>
      <c r="J16" s="12">
        <v>331</v>
      </c>
      <c r="K16" s="12" t="s">
        <v>20</v>
      </c>
      <c r="L16" s="12">
        <v>1</v>
      </c>
      <c r="M16" s="17">
        <v>1697760</v>
      </c>
      <c r="N16" s="17">
        <f t="shared" si="1"/>
        <v>1697760</v>
      </c>
      <c r="O16" s="17" t="s">
        <v>21</v>
      </c>
      <c r="P16" s="12">
        <f t="shared" si="3"/>
        <v>13</v>
      </c>
      <c r="Q16" s="12">
        <f t="shared" si="2"/>
        <v>44</v>
      </c>
    </row>
    <row r="17" spans="1:17" ht="15" customHeight="1" x14ac:dyDescent="0.2">
      <c r="A17" s="12" t="s">
        <v>18</v>
      </c>
      <c r="B17" s="36" t="s">
        <v>379</v>
      </c>
      <c r="C17" s="12">
        <f t="shared" si="0"/>
        <v>115</v>
      </c>
      <c r="D17" s="12">
        <v>1</v>
      </c>
      <c r="G17" s="14" t="s">
        <v>25</v>
      </c>
      <c r="H17" s="12" t="s">
        <v>2191</v>
      </c>
      <c r="I17" s="12">
        <v>64277</v>
      </c>
      <c r="J17" s="12">
        <v>331</v>
      </c>
      <c r="K17" s="12" t="s">
        <v>20</v>
      </c>
      <c r="L17" s="12">
        <v>1</v>
      </c>
      <c r="M17" s="17">
        <v>951480</v>
      </c>
      <c r="N17" s="17">
        <f t="shared" si="1"/>
        <v>951480</v>
      </c>
      <c r="O17" s="17" t="s">
        <v>21</v>
      </c>
      <c r="P17" s="12">
        <f t="shared" si="3"/>
        <v>14</v>
      </c>
      <c r="Q17" s="12">
        <f t="shared" si="2"/>
        <v>44</v>
      </c>
    </row>
    <row r="18" spans="1:17" ht="15" customHeight="1" x14ac:dyDescent="0.2">
      <c r="A18" s="12" t="s">
        <v>18</v>
      </c>
      <c r="B18" s="36" t="s">
        <v>453</v>
      </c>
      <c r="C18" s="12">
        <f t="shared" si="0"/>
        <v>116</v>
      </c>
      <c r="D18" s="12">
        <v>1</v>
      </c>
      <c r="G18" s="14" t="s">
        <v>37</v>
      </c>
      <c r="H18" s="12" t="s">
        <v>2068</v>
      </c>
      <c r="I18" s="12">
        <v>64277</v>
      </c>
      <c r="J18" s="12">
        <v>331</v>
      </c>
      <c r="K18" s="12" t="s">
        <v>20</v>
      </c>
      <c r="L18" s="12">
        <v>1</v>
      </c>
      <c r="M18" s="17">
        <v>3240000</v>
      </c>
      <c r="N18" s="17">
        <f t="shared" si="1"/>
        <v>3240000</v>
      </c>
      <c r="O18" s="17" t="s">
        <v>21</v>
      </c>
      <c r="P18" s="12">
        <f t="shared" si="3"/>
        <v>15</v>
      </c>
      <c r="Q18" s="12">
        <f t="shared" si="2"/>
        <v>42</v>
      </c>
    </row>
    <row r="19" spans="1:17" ht="15" customHeight="1" x14ac:dyDescent="0.2">
      <c r="A19" s="12" t="s">
        <v>18</v>
      </c>
      <c r="B19" s="36" t="s">
        <v>672</v>
      </c>
      <c r="C19" s="12">
        <f t="shared" si="0"/>
        <v>117</v>
      </c>
      <c r="D19" s="12">
        <v>1</v>
      </c>
      <c r="G19" s="14" t="s">
        <v>41</v>
      </c>
      <c r="H19" s="12" t="s">
        <v>2192</v>
      </c>
      <c r="I19" s="12">
        <v>64277</v>
      </c>
      <c r="J19" s="12">
        <v>331</v>
      </c>
      <c r="K19" s="12" t="s">
        <v>20</v>
      </c>
      <c r="L19" s="12">
        <v>1</v>
      </c>
      <c r="M19" s="17">
        <v>1549800</v>
      </c>
      <c r="N19" s="17">
        <f t="shared" si="1"/>
        <v>1549800</v>
      </c>
      <c r="O19" s="17" t="s">
        <v>21</v>
      </c>
      <c r="P19" s="12">
        <f t="shared" si="3"/>
        <v>16</v>
      </c>
      <c r="Q19" s="12">
        <f t="shared" si="2"/>
        <v>44</v>
      </c>
    </row>
    <row r="20" spans="1:17" ht="15" customHeight="1" x14ac:dyDescent="0.2">
      <c r="A20" s="12" t="s">
        <v>18</v>
      </c>
      <c r="B20" s="36" t="s">
        <v>516</v>
      </c>
      <c r="C20" s="12">
        <f t="shared" si="0"/>
        <v>118</v>
      </c>
      <c r="D20" s="12">
        <v>1</v>
      </c>
      <c r="G20" s="14" t="s">
        <v>75</v>
      </c>
      <c r="H20" s="12" t="s">
        <v>2198</v>
      </c>
      <c r="I20" s="12">
        <v>64276</v>
      </c>
      <c r="J20" s="12">
        <v>331</v>
      </c>
      <c r="K20" s="12" t="s">
        <v>20</v>
      </c>
      <c r="L20" s="12">
        <v>1</v>
      </c>
      <c r="M20" s="17">
        <v>4515750</v>
      </c>
      <c r="N20" s="17">
        <f t="shared" si="1"/>
        <v>4515750</v>
      </c>
      <c r="O20" s="17" t="s">
        <v>21</v>
      </c>
      <c r="P20" s="12">
        <f t="shared" si="3"/>
        <v>17</v>
      </c>
      <c r="Q20" s="12">
        <f t="shared" si="2"/>
        <v>36</v>
      </c>
    </row>
    <row r="21" spans="1:17" ht="15" customHeight="1" x14ac:dyDescent="0.2">
      <c r="A21" s="12" t="s">
        <v>18</v>
      </c>
      <c r="B21" s="36" t="s">
        <v>516</v>
      </c>
      <c r="C21" s="12">
        <f t="shared" si="0"/>
        <v>119</v>
      </c>
      <c r="D21" s="12">
        <v>1</v>
      </c>
      <c r="G21" s="14" t="s">
        <v>25</v>
      </c>
      <c r="H21" s="12" t="s">
        <v>2193</v>
      </c>
      <c r="I21" s="12">
        <v>64277</v>
      </c>
      <c r="J21" s="12">
        <v>331</v>
      </c>
      <c r="K21" s="12" t="s">
        <v>20</v>
      </c>
      <c r="L21" s="12">
        <v>1</v>
      </c>
      <c r="M21" s="17">
        <v>1730160</v>
      </c>
      <c r="N21" s="17">
        <f t="shared" si="1"/>
        <v>1730160</v>
      </c>
      <c r="O21" s="17" t="s">
        <v>21</v>
      </c>
      <c r="P21" s="12">
        <f t="shared" si="3"/>
        <v>18</v>
      </c>
      <c r="Q21" s="12">
        <f t="shared" si="2"/>
        <v>44</v>
      </c>
    </row>
    <row r="22" spans="1:17" ht="15" customHeight="1" x14ac:dyDescent="0.2">
      <c r="A22" s="12" t="s">
        <v>18</v>
      </c>
      <c r="B22" s="36" t="s">
        <v>2043</v>
      </c>
      <c r="C22" s="12">
        <f t="shared" si="0"/>
        <v>120</v>
      </c>
      <c r="D22" s="12">
        <v>1</v>
      </c>
      <c r="G22" s="14" t="s">
        <v>2049</v>
      </c>
      <c r="H22" s="12" t="s">
        <v>2194</v>
      </c>
      <c r="I22" s="12">
        <v>64277</v>
      </c>
      <c r="J22" s="12">
        <v>331</v>
      </c>
      <c r="K22" s="12" t="s">
        <v>20</v>
      </c>
      <c r="L22" s="12">
        <v>1</v>
      </c>
      <c r="M22" s="17">
        <v>928000</v>
      </c>
      <c r="N22" s="17">
        <f t="shared" si="1"/>
        <v>928000</v>
      </c>
      <c r="O22" s="17" t="s">
        <v>21</v>
      </c>
      <c r="P22" s="12">
        <f t="shared" si="3"/>
        <v>19</v>
      </c>
      <c r="Q22" s="12">
        <f t="shared" si="2"/>
        <v>41</v>
      </c>
    </row>
    <row r="23" spans="1:17" ht="15" customHeight="1" x14ac:dyDescent="0.2">
      <c r="A23" s="12" t="s">
        <v>18</v>
      </c>
      <c r="B23" s="36" t="s">
        <v>457</v>
      </c>
      <c r="C23" s="12">
        <f t="shared" si="0"/>
        <v>121</v>
      </c>
      <c r="D23" s="12">
        <v>1</v>
      </c>
      <c r="G23" s="14" t="s">
        <v>2050</v>
      </c>
      <c r="H23" s="12" t="s">
        <v>2197</v>
      </c>
      <c r="I23" s="12">
        <v>64276</v>
      </c>
      <c r="J23" s="12">
        <v>331</v>
      </c>
      <c r="K23" s="12" t="s">
        <v>20</v>
      </c>
      <c r="L23" s="12">
        <v>1</v>
      </c>
      <c r="M23" s="17">
        <v>1535000</v>
      </c>
      <c r="N23" s="17">
        <f t="shared" si="1"/>
        <v>1535000</v>
      </c>
      <c r="O23" s="17" t="s">
        <v>21</v>
      </c>
      <c r="P23" s="12">
        <f t="shared" si="3"/>
        <v>20</v>
      </c>
      <c r="Q23" s="12">
        <f t="shared" si="2"/>
        <v>35</v>
      </c>
    </row>
    <row r="24" spans="1:17" ht="15" customHeight="1" x14ac:dyDescent="0.2">
      <c r="A24" s="12" t="s">
        <v>18</v>
      </c>
      <c r="B24" s="36" t="s">
        <v>604</v>
      </c>
      <c r="C24" s="12">
        <f t="shared" si="0"/>
        <v>122</v>
      </c>
      <c r="D24" s="12">
        <v>1</v>
      </c>
      <c r="G24" s="14" t="s">
        <v>30</v>
      </c>
      <c r="H24" s="12" t="s">
        <v>2196</v>
      </c>
      <c r="I24" s="12">
        <v>64276</v>
      </c>
      <c r="J24" s="12">
        <v>331</v>
      </c>
      <c r="K24" s="12" t="s">
        <v>20</v>
      </c>
      <c r="L24" s="12">
        <v>1</v>
      </c>
      <c r="M24" s="17">
        <v>899000</v>
      </c>
      <c r="N24" s="17">
        <f t="shared" si="1"/>
        <v>899000</v>
      </c>
      <c r="O24" s="17" t="s">
        <v>21</v>
      </c>
      <c r="P24" s="12">
        <f t="shared" si="3"/>
        <v>21</v>
      </c>
      <c r="Q24" s="12">
        <f t="shared" si="2"/>
        <v>38</v>
      </c>
    </row>
    <row r="25" spans="1:17" ht="15" customHeight="1" x14ac:dyDescent="0.2">
      <c r="A25" s="12" t="s">
        <v>18</v>
      </c>
      <c r="B25" s="36" t="s">
        <v>604</v>
      </c>
      <c r="C25" s="12">
        <f t="shared" si="0"/>
        <v>123</v>
      </c>
      <c r="D25" s="12">
        <v>1</v>
      </c>
      <c r="G25" s="14" t="s">
        <v>2051</v>
      </c>
      <c r="H25" s="12" t="s">
        <v>2195</v>
      </c>
      <c r="I25" s="12">
        <v>64277</v>
      </c>
      <c r="J25" s="12">
        <v>331</v>
      </c>
      <c r="K25" s="12" t="s">
        <v>20</v>
      </c>
      <c r="L25" s="12">
        <v>1</v>
      </c>
      <c r="M25" s="17">
        <v>961200</v>
      </c>
      <c r="N25" s="17">
        <f t="shared" si="1"/>
        <v>961200</v>
      </c>
      <c r="O25" s="17" t="s">
        <v>21</v>
      </c>
      <c r="P25" s="12">
        <f t="shared" si="3"/>
        <v>22</v>
      </c>
      <c r="Q25" s="12">
        <f t="shared" si="2"/>
        <v>40</v>
      </c>
    </row>
    <row r="26" spans="1:17" ht="15" customHeight="1" x14ac:dyDescent="0.2">
      <c r="A26" s="12" t="s">
        <v>18</v>
      </c>
      <c r="B26" s="36" t="s">
        <v>2513</v>
      </c>
      <c r="C26" s="12">
        <f t="shared" si="0"/>
        <v>124</v>
      </c>
      <c r="D26" s="12">
        <v>1</v>
      </c>
      <c r="G26" s="14" t="s">
        <v>2653</v>
      </c>
      <c r="H26" s="12" t="s">
        <v>2654</v>
      </c>
      <c r="I26" s="12">
        <v>64277</v>
      </c>
      <c r="J26" s="12">
        <v>331</v>
      </c>
      <c r="K26" s="12" t="s">
        <v>20</v>
      </c>
      <c r="L26" s="12">
        <v>1</v>
      </c>
      <c r="M26" s="17">
        <v>604000</v>
      </c>
      <c r="N26" s="17">
        <f t="shared" si="1"/>
        <v>604000</v>
      </c>
      <c r="O26" s="17" t="s">
        <v>21</v>
      </c>
      <c r="P26" s="12">
        <f t="shared" si="3"/>
        <v>23</v>
      </c>
      <c r="Q26" s="12">
        <f t="shared" si="2"/>
        <v>42</v>
      </c>
    </row>
    <row r="27" spans="1:17" ht="15" customHeight="1" x14ac:dyDescent="0.2">
      <c r="A27" s="12" t="s">
        <v>18</v>
      </c>
      <c r="B27" s="36" t="s">
        <v>442</v>
      </c>
      <c r="C27" s="12">
        <f t="shared" si="0"/>
        <v>125</v>
      </c>
      <c r="D27" s="12">
        <v>1</v>
      </c>
      <c r="F27" s="12"/>
      <c r="G27" s="14" t="s">
        <v>2052</v>
      </c>
      <c r="H27" s="12" t="s">
        <v>2069</v>
      </c>
      <c r="I27" s="12">
        <v>131</v>
      </c>
      <c r="J27" s="12">
        <v>5113</v>
      </c>
      <c r="K27" s="12" t="s">
        <v>20</v>
      </c>
      <c r="L27" s="12">
        <v>1</v>
      </c>
      <c r="M27" s="17">
        <v>16129032</v>
      </c>
      <c r="N27" s="17">
        <f t="shared" si="1"/>
        <v>16129032</v>
      </c>
      <c r="O27" s="17" t="s">
        <v>21</v>
      </c>
      <c r="P27" s="12">
        <f t="shared" si="3"/>
        <v>24</v>
      </c>
      <c r="Q27" s="12">
        <f t="shared" si="2"/>
        <v>175</v>
      </c>
    </row>
    <row r="28" spans="1:17" ht="15" customHeight="1" x14ac:dyDescent="0.2">
      <c r="A28" s="12" t="s">
        <v>18</v>
      </c>
      <c r="B28" s="36" t="s">
        <v>442</v>
      </c>
      <c r="C28" s="12">
        <f t="shared" si="0"/>
        <v>125</v>
      </c>
      <c r="D28" s="12">
        <v>0</v>
      </c>
      <c r="F28" s="12"/>
      <c r="G28" s="14" t="s">
        <v>2052</v>
      </c>
      <c r="H28" s="12" t="s">
        <v>2100</v>
      </c>
      <c r="I28" s="12">
        <v>333821</v>
      </c>
      <c r="J28" s="12">
        <v>131</v>
      </c>
      <c r="K28" s="12" t="s">
        <v>20</v>
      </c>
      <c r="L28" s="12">
        <v>1</v>
      </c>
      <c r="M28" s="17">
        <v>161290</v>
      </c>
      <c r="N28" s="17">
        <f t="shared" si="1"/>
        <v>161290</v>
      </c>
      <c r="O28" s="17" t="s">
        <v>21</v>
      </c>
      <c r="P28" s="12">
        <f t="shared" si="3"/>
        <v>24</v>
      </c>
      <c r="Q28" s="12">
        <f t="shared" si="2"/>
        <v>191</v>
      </c>
    </row>
    <row r="29" spans="1:17" ht="15" customHeight="1" x14ac:dyDescent="0.2">
      <c r="A29" s="12" t="s">
        <v>18</v>
      </c>
      <c r="B29" s="36" t="s">
        <v>309</v>
      </c>
      <c r="C29" s="12">
        <f t="shared" si="0"/>
        <v>126</v>
      </c>
      <c r="D29" s="12">
        <v>1</v>
      </c>
      <c r="F29" s="12"/>
      <c r="G29" s="14" t="s">
        <v>2052</v>
      </c>
      <c r="H29" s="12" t="s">
        <v>2070</v>
      </c>
      <c r="I29" s="12">
        <v>131</v>
      </c>
      <c r="J29" s="12">
        <v>5113</v>
      </c>
      <c r="K29" s="12" t="s">
        <v>20</v>
      </c>
      <c r="L29" s="12">
        <v>1</v>
      </c>
      <c r="M29" s="17">
        <v>16129032</v>
      </c>
      <c r="N29" s="17">
        <f t="shared" si="1"/>
        <v>16129032</v>
      </c>
      <c r="O29" s="17" t="s">
        <v>21</v>
      </c>
      <c r="P29" s="12">
        <f t="shared" si="3"/>
        <v>25</v>
      </c>
      <c r="Q29" s="12">
        <f t="shared" si="2"/>
        <v>177</v>
      </c>
    </row>
    <row r="30" spans="1:17" ht="15" customHeight="1" x14ac:dyDescent="0.2">
      <c r="A30" s="12" t="s">
        <v>18</v>
      </c>
      <c r="B30" s="36" t="s">
        <v>309</v>
      </c>
      <c r="C30" s="12">
        <f t="shared" si="0"/>
        <v>126</v>
      </c>
      <c r="D30" s="12">
        <v>0</v>
      </c>
      <c r="G30" s="14" t="s">
        <v>2052</v>
      </c>
      <c r="H30" s="12" t="s">
        <v>2101</v>
      </c>
      <c r="I30" s="12">
        <v>333821</v>
      </c>
      <c r="J30" s="12">
        <v>131</v>
      </c>
      <c r="K30" s="12" t="s">
        <v>20</v>
      </c>
      <c r="L30" s="12">
        <v>1</v>
      </c>
      <c r="M30" s="17">
        <v>161290</v>
      </c>
      <c r="N30" s="17">
        <f t="shared" si="1"/>
        <v>161290</v>
      </c>
      <c r="O30" s="17" t="s">
        <v>21</v>
      </c>
      <c r="P30" s="12">
        <f t="shared" si="3"/>
        <v>25</v>
      </c>
      <c r="Q30" s="12">
        <f t="shared" si="2"/>
        <v>193</v>
      </c>
    </row>
    <row r="31" spans="1:17" ht="15" customHeight="1" x14ac:dyDescent="0.2">
      <c r="A31" s="12" t="s">
        <v>18</v>
      </c>
      <c r="B31" s="36" t="s">
        <v>445</v>
      </c>
      <c r="C31" s="12">
        <f t="shared" si="0"/>
        <v>127</v>
      </c>
      <c r="D31" s="12">
        <v>1</v>
      </c>
      <c r="F31" s="12"/>
      <c r="G31" s="14" t="s">
        <v>81</v>
      </c>
      <c r="H31" s="12" t="s">
        <v>2071</v>
      </c>
      <c r="I31" s="12">
        <v>131</v>
      </c>
      <c r="J31" s="12">
        <v>5113</v>
      </c>
      <c r="K31" s="12" t="s">
        <v>20</v>
      </c>
      <c r="L31" s="12">
        <v>1</v>
      </c>
      <c r="M31" s="17">
        <v>16129032</v>
      </c>
      <c r="N31" s="17">
        <f t="shared" si="1"/>
        <v>16129032</v>
      </c>
      <c r="O31" s="17" t="s">
        <v>21</v>
      </c>
      <c r="P31" s="12">
        <f t="shared" si="3"/>
        <v>26</v>
      </c>
      <c r="Q31" s="12">
        <f t="shared" si="2"/>
        <v>173</v>
      </c>
    </row>
    <row r="32" spans="1:17" ht="15" customHeight="1" x14ac:dyDescent="0.2">
      <c r="A32" s="12" t="s">
        <v>18</v>
      </c>
      <c r="B32" s="36" t="s">
        <v>445</v>
      </c>
      <c r="C32" s="12">
        <f t="shared" si="0"/>
        <v>127</v>
      </c>
      <c r="D32" s="12">
        <v>0</v>
      </c>
      <c r="G32" s="14" t="s">
        <v>81</v>
      </c>
      <c r="H32" s="12" t="s">
        <v>2102</v>
      </c>
      <c r="I32" s="12">
        <v>333821</v>
      </c>
      <c r="J32" s="12">
        <v>131</v>
      </c>
      <c r="K32" s="12" t="s">
        <v>20</v>
      </c>
      <c r="L32" s="12">
        <v>1</v>
      </c>
      <c r="M32" s="17">
        <v>161290</v>
      </c>
      <c r="N32" s="17">
        <f t="shared" si="1"/>
        <v>161290</v>
      </c>
      <c r="O32" s="17" t="s">
        <v>21</v>
      </c>
      <c r="P32" s="12">
        <f t="shared" si="3"/>
        <v>26</v>
      </c>
      <c r="Q32" s="12">
        <f t="shared" si="2"/>
        <v>189</v>
      </c>
    </row>
    <row r="33" spans="1:17" ht="15" customHeight="1" x14ac:dyDescent="0.2">
      <c r="A33" s="12" t="s">
        <v>18</v>
      </c>
      <c r="B33" s="36" t="s">
        <v>374</v>
      </c>
      <c r="C33" s="12">
        <f t="shared" si="0"/>
        <v>128</v>
      </c>
      <c r="D33" s="12">
        <v>1</v>
      </c>
      <c r="F33" s="12"/>
      <c r="G33" s="14" t="s">
        <v>2053</v>
      </c>
      <c r="H33" s="12" t="s">
        <v>2072</v>
      </c>
      <c r="I33" s="12">
        <v>131</v>
      </c>
      <c r="J33" s="12">
        <v>5113</v>
      </c>
      <c r="K33" s="12" t="s">
        <v>20</v>
      </c>
      <c r="L33" s="12">
        <v>1</v>
      </c>
      <c r="M33" s="17">
        <v>37634408</v>
      </c>
      <c r="N33" s="17">
        <f t="shared" si="1"/>
        <v>37634408</v>
      </c>
      <c r="O33" s="17" t="s">
        <v>21</v>
      </c>
      <c r="P33" s="12">
        <f t="shared" si="3"/>
        <v>27</v>
      </c>
      <c r="Q33" s="12">
        <f t="shared" si="2"/>
        <v>118</v>
      </c>
    </row>
    <row r="34" spans="1:17" ht="15" customHeight="1" x14ac:dyDescent="0.2">
      <c r="A34" s="12" t="s">
        <v>18</v>
      </c>
      <c r="B34" s="36" t="s">
        <v>374</v>
      </c>
      <c r="C34" s="12">
        <f t="shared" si="0"/>
        <v>128</v>
      </c>
      <c r="D34" s="12">
        <v>0</v>
      </c>
      <c r="G34" s="14" t="s">
        <v>2053</v>
      </c>
      <c r="H34" s="12" t="s">
        <v>2103</v>
      </c>
      <c r="I34" s="12">
        <v>333821</v>
      </c>
      <c r="J34" s="12">
        <v>131</v>
      </c>
      <c r="K34" s="12" t="s">
        <v>20</v>
      </c>
      <c r="L34" s="12">
        <v>1</v>
      </c>
      <c r="M34" s="17">
        <v>376344</v>
      </c>
      <c r="N34" s="17">
        <f t="shared" si="1"/>
        <v>376344</v>
      </c>
      <c r="O34" s="17" t="s">
        <v>21</v>
      </c>
      <c r="P34" s="12">
        <f t="shared" si="3"/>
        <v>27</v>
      </c>
      <c r="Q34" s="12">
        <f t="shared" si="2"/>
        <v>134</v>
      </c>
    </row>
    <row r="35" spans="1:17" ht="15" customHeight="1" x14ac:dyDescent="0.2">
      <c r="A35" s="12" t="s">
        <v>18</v>
      </c>
      <c r="B35" s="36" t="s">
        <v>375</v>
      </c>
      <c r="C35" s="12">
        <f t="shared" si="0"/>
        <v>129</v>
      </c>
      <c r="D35" s="12">
        <v>1</v>
      </c>
      <c r="F35" s="12"/>
      <c r="G35" s="14" t="s">
        <v>2054</v>
      </c>
      <c r="H35" s="12" t="s">
        <v>2073</v>
      </c>
      <c r="I35" s="12">
        <v>131</v>
      </c>
      <c r="J35" s="12">
        <v>5113</v>
      </c>
      <c r="K35" s="12" t="s">
        <v>20</v>
      </c>
      <c r="L35" s="12">
        <v>1</v>
      </c>
      <c r="M35" s="17">
        <v>16129032</v>
      </c>
      <c r="N35" s="17">
        <f t="shared" ref="N35:N62" si="4">L35*M35</f>
        <v>16129032</v>
      </c>
      <c r="O35" s="17" t="s">
        <v>21</v>
      </c>
      <c r="P35" s="12">
        <f t="shared" si="3"/>
        <v>28</v>
      </c>
      <c r="Q35" s="12">
        <f t="shared" si="2"/>
        <v>150</v>
      </c>
    </row>
    <row r="36" spans="1:17" ht="15" customHeight="1" x14ac:dyDescent="0.2">
      <c r="A36" s="12" t="s">
        <v>18</v>
      </c>
      <c r="B36" s="36" t="s">
        <v>375</v>
      </c>
      <c r="C36" s="12">
        <f t="shared" si="0"/>
        <v>129</v>
      </c>
      <c r="D36" s="12">
        <v>0</v>
      </c>
      <c r="G36" s="14" t="s">
        <v>2054</v>
      </c>
      <c r="H36" s="12" t="s">
        <v>2104</v>
      </c>
      <c r="I36" s="12">
        <v>333821</v>
      </c>
      <c r="J36" s="12">
        <v>131</v>
      </c>
      <c r="K36" s="12" t="s">
        <v>20</v>
      </c>
      <c r="L36" s="12">
        <v>1</v>
      </c>
      <c r="M36" s="17">
        <v>161290</v>
      </c>
      <c r="N36" s="17">
        <f t="shared" si="4"/>
        <v>161290</v>
      </c>
      <c r="O36" s="17" t="s">
        <v>21</v>
      </c>
      <c r="P36" s="12">
        <f t="shared" si="3"/>
        <v>28</v>
      </c>
      <c r="Q36" s="12">
        <f t="shared" si="2"/>
        <v>166</v>
      </c>
    </row>
    <row r="37" spans="1:17" ht="15" customHeight="1" x14ac:dyDescent="0.2">
      <c r="A37" s="12" t="s">
        <v>18</v>
      </c>
      <c r="B37" s="36" t="s">
        <v>375</v>
      </c>
      <c r="C37" s="12">
        <f t="shared" si="0"/>
        <v>130</v>
      </c>
      <c r="D37" s="12">
        <v>1</v>
      </c>
      <c r="F37" s="12"/>
      <c r="G37" s="14" t="s">
        <v>57</v>
      </c>
      <c r="H37" s="12" t="s">
        <v>2074</v>
      </c>
      <c r="I37" s="12">
        <v>131</v>
      </c>
      <c r="J37" s="12">
        <v>5113</v>
      </c>
      <c r="K37" s="12" t="s">
        <v>20</v>
      </c>
      <c r="L37" s="12">
        <v>1</v>
      </c>
      <c r="M37" s="17">
        <v>5376344</v>
      </c>
      <c r="N37" s="17">
        <f t="shared" si="4"/>
        <v>5376344</v>
      </c>
      <c r="O37" s="17" t="s">
        <v>21</v>
      </c>
      <c r="P37" s="12">
        <f t="shared" si="3"/>
        <v>29</v>
      </c>
      <c r="Q37" s="12">
        <f t="shared" si="2"/>
        <v>154</v>
      </c>
    </row>
    <row r="38" spans="1:17" ht="15" customHeight="1" x14ac:dyDescent="0.2">
      <c r="A38" s="12" t="s">
        <v>18</v>
      </c>
      <c r="B38" s="36" t="s">
        <v>375</v>
      </c>
      <c r="C38" s="12">
        <f t="shared" si="0"/>
        <v>130</v>
      </c>
      <c r="D38" s="12">
        <v>0</v>
      </c>
      <c r="G38" s="14" t="s">
        <v>57</v>
      </c>
      <c r="H38" s="12" t="s">
        <v>2105</v>
      </c>
      <c r="I38" s="12">
        <v>333821</v>
      </c>
      <c r="J38" s="12">
        <v>131</v>
      </c>
      <c r="K38" s="12" t="s">
        <v>20</v>
      </c>
      <c r="L38" s="12">
        <v>1</v>
      </c>
      <c r="M38" s="17">
        <v>53763</v>
      </c>
      <c r="N38" s="17">
        <f t="shared" si="4"/>
        <v>53763</v>
      </c>
      <c r="O38" s="17" t="s">
        <v>21</v>
      </c>
      <c r="P38" s="12">
        <f t="shared" si="3"/>
        <v>29</v>
      </c>
      <c r="Q38" s="12">
        <f t="shared" si="2"/>
        <v>170</v>
      </c>
    </row>
    <row r="39" spans="1:17" ht="15" customHeight="1" x14ac:dyDescent="0.2">
      <c r="A39" s="12" t="s">
        <v>18</v>
      </c>
      <c r="B39" s="36" t="s">
        <v>376</v>
      </c>
      <c r="C39" s="12">
        <f t="shared" si="0"/>
        <v>131</v>
      </c>
      <c r="D39" s="12">
        <v>1</v>
      </c>
      <c r="F39" s="12"/>
      <c r="G39" s="14" t="s">
        <v>58</v>
      </c>
      <c r="H39" s="12" t="s">
        <v>2075</v>
      </c>
      <c r="I39" s="12">
        <v>131</v>
      </c>
      <c r="J39" s="12">
        <v>5113</v>
      </c>
      <c r="K39" s="12" t="s">
        <v>20</v>
      </c>
      <c r="L39" s="12">
        <v>1</v>
      </c>
      <c r="M39" s="17">
        <v>6451613</v>
      </c>
      <c r="N39" s="17">
        <f t="shared" si="4"/>
        <v>6451613</v>
      </c>
      <c r="O39" s="17" t="s">
        <v>21</v>
      </c>
      <c r="P39" s="12">
        <f t="shared" si="3"/>
        <v>30</v>
      </c>
      <c r="Q39" s="12">
        <f t="shared" si="2"/>
        <v>142</v>
      </c>
    </row>
    <row r="40" spans="1:17" ht="15" customHeight="1" x14ac:dyDescent="0.2">
      <c r="A40" s="12" t="s">
        <v>18</v>
      </c>
      <c r="B40" s="36" t="s">
        <v>376</v>
      </c>
      <c r="C40" s="12">
        <f t="shared" si="0"/>
        <v>131</v>
      </c>
      <c r="D40" s="12">
        <v>0</v>
      </c>
      <c r="G40" s="14" t="s">
        <v>58</v>
      </c>
      <c r="H40" s="12" t="s">
        <v>2106</v>
      </c>
      <c r="I40" s="12">
        <v>333821</v>
      </c>
      <c r="J40" s="12">
        <v>131</v>
      </c>
      <c r="K40" s="12" t="s">
        <v>20</v>
      </c>
      <c r="L40" s="12">
        <v>1</v>
      </c>
      <c r="M40" s="17">
        <v>64516</v>
      </c>
      <c r="N40" s="17">
        <f t="shared" si="4"/>
        <v>64516</v>
      </c>
      <c r="O40" s="17" t="s">
        <v>21</v>
      </c>
      <c r="P40" s="12">
        <f t="shared" si="3"/>
        <v>30</v>
      </c>
      <c r="Q40" s="12">
        <f t="shared" si="2"/>
        <v>158</v>
      </c>
    </row>
    <row r="41" spans="1:17" ht="15" customHeight="1" x14ac:dyDescent="0.2">
      <c r="A41" s="12" t="s">
        <v>18</v>
      </c>
      <c r="B41" s="36" t="s">
        <v>868</v>
      </c>
      <c r="C41" s="12">
        <f t="shared" si="0"/>
        <v>132</v>
      </c>
      <c r="D41" s="12">
        <v>1</v>
      </c>
      <c r="F41" s="12"/>
      <c r="G41" s="14" t="s">
        <v>103</v>
      </c>
      <c r="H41" s="12" t="s">
        <v>2076</v>
      </c>
      <c r="I41" s="12">
        <v>131</v>
      </c>
      <c r="J41" s="12">
        <v>5113</v>
      </c>
      <c r="K41" s="12" t="s">
        <v>20</v>
      </c>
      <c r="L41" s="12">
        <v>1</v>
      </c>
      <c r="M41" s="17">
        <v>5376344</v>
      </c>
      <c r="N41" s="17">
        <f t="shared" si="4"/>
        <v>5376344</v>
      </c>
      <c r="O41" s="17" t="s">
        <v>21</v>
      </c>
      <c r="P41" s="12">
        <f t="shared" si="3"/>
        <v>31</v>
      </c>
      <c r="Q41" s="12">
        <f t="shared" si="2"/>
        <v>172</v>
      </c>
    </row>
    <row r="42" spans="1:17" ht="15" customHeight="1" x14ac:dyDescent="0.2">
      <c r="A42" s="12" t="s">
        <v>18</v>
      </c>
      <c r="B42" s="36" t="s">
        <v>868</v>
      </c>
      <c r="C42" s="12">
        <f t="shared" si="0"/>
        <v>132</v>
      </c>
      <c r="D42" s="12">
        <v>0</v>
      </c>
      <c r="G42" s="14" t="s">
        <v>103</v>
      </c>
      <c r="H42" s="12" t="s">
        <v>2107</v>
      </c>
      <c r="I42" s="12">
        <v>333821</v>
      </c>
      <c r="J42" s="12">
        <v>131</v>
      </c>
      <c r="K42" s="12" t="s">
        <v>20</v>
      </c>
      <c r="L42" s="12">
        <v>1</v>
      </c>
      <c r="M42" s="17">
        <v>53763</v>
      </c>
      <c r="N42" s="17">
        <f t="shared" si="4"/>
        <v>53763</v>
      </c>
      <c r="O42" s="17" t="s">
        <v>21</v>
      </c>
      <c r="P42" s="12">
        <f t="shared" si="3"/>
        <v>31</v>
      </c>
      <c r="Q42" s="12">
        <f t="shared" si="2"/>
        <v>188</v>
      </c>
    </row>
    <row r="43" spans="1:17" ht="15" customHeight="1" x14ac:dyDescent="0.2">
      <c r="A43" s="12" t="s">
        <v>18</v>
      </c>
      <c r="B43" s="36" t="s">
        <v>468</v>
      </c>
      <c r="C43" s="12">
        <f t="shared" si="0"/>
        <v>133</v>
      </c>
      <c r="D43" s="12">
        <v>1</v>
      </c>
      <c r="F43" s="12"/>
      <c r="G43" s="14" t="s">
        <v>2055</v>
      </c>
      <c r="H43" s="12" t="s">
        <v>2077</v>
      </c>
      <c r="I43" s="12">
        <v>131</v>
      </c>
      <c r="J43" s="12">
        <v>5113</v>
      </c>
      <c r="K43" s="12" t="s">
        <v>20</v>
      </c>
      <c r="L43" s="12">
        <v>1</v>
      </c>
      <c r="M43" s="17">
        <v>16129032</v>
      </c>
      <c r="N43" s="17">
        <f t="shared" si="4"/>
        <v>16129032</v>
      </c>
      <c r="O43" s="17" t="s">
        <v>21</v>
      </c>
      <c r="P43" s="12">
        <f t="shared" si="3"/>
        <v>32</v>
      </c>
      <c r="Q43" s="12">
        <f t="shared" si="2"/>
        <v>148</v>
      </c>
    </row>
    <row r="44" spans="1:17" ht="15" customHeight="1" x14ac:dyDescent="0.2">
      <c r="A44" s="12" t="s">
        <v>18</v>
      </c>
      <c r="B44" s="36" t="s">
        <v>468</v>
      </c>
      <c r="C44" s="12">
        <f t="shared" si="0"/>
        <v>133</v>
      </c>
      <c r="D44" s="12">
        <v>0</v>
      </c>
      <c r="G44" s="14" t="s">
        <v>2055</v>
      </c>
      <c r="H44" s="12" t="s">
        <v>2108</v>
      </c>
      <c r="I44" s="12">
        <v>333821</v>
      </c>
      <c r="J44" s="12">
        <v>131</v>
      </c>
      <c r="K44" s="12" t="s">
        <v>20</v>
      </c>
      <c r="L44" s="12">
        <v>1</v>
      </c>
      <c r="M44" s="17">
        <v>161290</v>
      </c>
      <c r="N44" s="17">
        <f t="shared" si="4"/>
        <v>161290</v>
      </c>
      <c r="O44" s="17" t="s">
        <v>21</v>
      </c>
      <c r="P44" s="12">
        <f t="shared" si="3"/>
        <v>32</v>
      </c>
      <c r="Q44" s="12">
        <f t="shared" si="2"/>
        <v>164</v>
      </c>
    </row>
    <row r="45" spans="1:17" ht="15" customHeight="1" x14ac:dyDescent="0.2">
      <c r="A45" s="12" t="s">
        <v>18</v>
      </c>
      <c r="B45" s="36" t="s">
        <v>468</v>
      </c>
      <c r="C45" s="12">
        <f t="shared" si="0"/>
        <v>134</v>
      </c>
      <c r="D45" s="12">
        <v>1</v>
      </c>
      <c r="F45" s="12"/>
      <c r="G45" s="14" t="s">
        <v>402</v>
      </c>
      <c r="H45" s="12" t="s">
        <v>2078</v>
      </c>
      <c r="I45" s="12">
        <v>131</v>
      </c>
      <c r="J45" s="12">
        <v>5113</v>
      </c>
      <c r="K45" s="12" t="s">
        <v>20</v>
      </c>
      <c r="L45" s="12">
        <v>1</v>
      </c>
      <c r="M45" s="17">
        <v>8870968</v>
      </c>
      <c r="N45" s="17">
        <f t="shared" si="4"/>
        <v>8870968</v>
      </c>
      <c r="O45" s="17" t="s">
        <v>21</v>
      </c>
      <c r="P45" s="12">
        <f t="shared" si="3"/>
        <v>33</v>
      </c>
      <c r="Q45" s="12">
        <f t="shared" si="2"/>
        <v>149</v>
      </c>
    </row>
    <row r="46" spans="1:17" ht="15" customHeight="1" x14ac:dyDescent="0.2">
      <c r="A46" s="12" t="s">
        <v>18</v>
      </c>
      <c r="B46" s="36" t="s">
        <v>468</v>
      </c>
      <c r="C46" s="12">
        <f t="shared" si="0"/>
        <v>134</v>
      </c>
      <c r="D46" s="12">
        <v>0</v>
      </c>
      <c r="G46" s="14" t="s">
        <v>402</v>
      </c>
      <c r="H46" s="12" t="s">
        <v>2109</v>
      </c>
      <c r="I46" s="12">
        <v>333821</v>
      </c>
      <c r="J46" s="12">
        <v>131</v>
      </c>
      <c r="K46" s="12" t="s">
        <v>20</v>
      </c>
      <c r="L46" s="12">
        <v>1</v>
      </c>
      <c r="M46" s="17">
        <v>88710</v>
      </c>
      <c r="N46" s="17">
        <f t="shared" si="4"/>
        <v>88710</v>
      </c>
      <c r="O46" s="17" t="s">
        <v>21</v>
      </c>
      <c r="P46" s="12">
        <f t="shared" si="3"/>
        <v>33</v>
      </c>
      <c r="Q46" s="12">
        <f t="shared" si="2"/>
        <v>165</v>
      </c>
    </row>
    <row r="47" spans="1:17" ht="15" customHeight="1" x14ac:dyDescent="0.2">
      <c r="A47" s="12" t="s">
        <v>18</v>
      </c>
      <c r="B47" s="36" t="s">
        <v>469</v>
      </c>
      <c r="C47" s="12">
        <f t="shared" si="0"/>
        <v>135</v>
      </c>
      <c r="D47" s="12">
        <v>1</v>
      </c>
      <c r="F47" s="12"/>
      <c r="G47" s="14" t="s">
        <v>82</v>
      </c>
      <c r="H47" s="12" t="s">
        <v>2079</v>
      </c>
      <c r="I47" s="12">
        <v>131</v>
      </c>
      <c r="J47" s="12">
        <v>5113</v>
      </c>
      <c r="K47" s="12" t="s">
        <v>20</v>
      </c>
      <c r="L47" s="12">
        <v>1</v>
      </c>
      <c r="M47" s="17">
        <v>21505377</v>
      </c>
      <c r="N47" s="17">
        <f t="shared" si="4"/>
        <v>21505377</v>
      </c>
      <c r="O47" s="17" t="s">
        <v>21</v>
      </c>
      <c r="P47" s="12">
        <f t="shared" si="3"/>
        <v>34</v>
      </c>
      <c r="Q47" s="12">
        <f t="shared" si="2"/>
        <v>159</v>
      </c>
    </row>
    <row r="48" spans="1:17" ht="15" customHeight="1" x14ac:dyDescent="0.2">
      <c r="A48" s="12" t="s">
        <v>18</v>
      </c>
      <c r="B48" s="36" t="s">
        <v>469</v>
      </c>
      <c r="C48" s="12">
        <f t="shared" si="0"/>
        <v>135</v>
      </c>
      <c r="D48" s="12">
        <v>0</v>
      </c>
      <c r="G48" s="14" t="s">
        <v>82</v>
      </c>
      <c r="H48" s="12" t="s">
        <v>2110</v>
      </c>
      <c r="I48" s="12">
        <v>333821</v>
      </c>
      <c r="J48" s="12">
        <v>131</v>
      </c>
      <c r="K48" s="12" t="s">
        <v>20</v>
      </c>
      <c r="L48" s="12">
        <v>1</v>
      </c>
      <c r="M48" s="17">
        <v>215054</v>
      </c>
      <c r="N48" s="17">
        <f t="shared" si="4"/>
        <v>215054</v>
      </c>
      <c r="O48" s="17" t="s">
        <v>21</v>
      </c>
      <c r="P48" s="12">
        <f t="shared" si="3"/>
        <v>34</v>
      </c>
      <c r="Q48" s="12">
        <f t="shared" si="2"/>
        <v>175</v>
      </c>
    </row>
    <row r="49" spans="1:17" ht="15" customHeight="1" x14ac:dyDescent="0.2">
      <c r="A49" s="12" t="s">
        <v>18</v>
      </c>
      <c r="B49" s="36" t="s">
        <v>415</v>
      </c>
      <c r="C49" s="12">
        <f t="shared" si="0"/>
        <v>136</v>
      </c>
      <c r="D49" s="12">
        <v>1</v>
      </c>
      <c r="F49" s="12"/>
      <c r="G49" s="14" t="s">
        <v>2056</v>
      </c>
      <c r="H49" s="12" t="s">
        <v>2080</v>
      </c>
      <c r="I49" s="12">
        <v>131</v>
      </c>
      <c r="J49" s="12">
        <v>5113</v>
      </c>
      <c r="K49" s="12" t="s">
        <v>20</v>
      </c>
      <c r="L49" s="12">
        <v>1</v>
      </c>
      <c r="M49" s="17">
        <v>16129032</v>
      </c>
      <c r="N49" s="17">
        <f t="shared" si="4"/>
        <v>16129032</v>
      </c>
      <c r="O49" s="17" t="s">
        <v>21</v>
      </c>
      <c r="P49" s="12">
        <f t="shared" si="3"/>
        <v>35</v>
      </c>
      <c r="Q49" s="12">
        <f t="shared" si="2"/>
        <v>106</v>
      </c>
    </row>
    <row r="50" spans="1:17" ht="15" customHeight="1" x14ac:dyDescent="0.2">
      <c r="A50" s="12" t="s">
        <v>18</v>
      </c>
      <c r="B50" s="36" t="s">
        <v>415</v>
      </c>
      <c r="C50" s="12">
        <f t="shared" si="0"/>
        <v>136</v>
      </c>
      <c r="D50" s="12">
        <v>0</v>
      </c>
      <c r="G50" s="14" t="s">
        <v>2056</v>
      </c>
      <c r="H50" s="12" t="s">
        <v>2111</v>
      </c>
      <c r="I50" s="12">
        <v>333821</v>
      </c>
      <c r="J50" s="12">
        <v>131</v>
      </c>
      <c r="K50" s="12" t="s">
        <v>20</v>
      </c>
      <c r="L50" s="12">
        <v>1</v>
      </c>
      <c r="M50" s="17">
        <v>161290</v>
      </c>
      <c r="N50" s="17">
        <f t="shared" si="4"/>
        <v>161290</v>
      </c>
      <c r="O50" s="17" t="s">
        <v>21</v>
      </c>
      <c r="P50" s="12">
        <f t="shared" si="3"/>
        <v>35</v>
      </c>
      <c r="Q50" s="12">
        <f t="shared" si="2"/>
        <v>122</v>
      </c>
    </row>
    <row r="51" spans="1:17" ht="15" customHeight="1" x14ac:dyDescent="0.2">
      <c r="A51" s="12" t="s">
        <v>18</v>
      </c>
      <c r="B51" s="36" t="s">
        <v>312</v>
      </c>
      <c r="C51" s="12">
        <f t="shared" si="0"/>
        <v>137</v>
      </c>
      <c r="D51" s="12">
        <v>1</v>
      </c>
      <c r="F51" s="12"/>
      <c r="G51" s="14" t="s">
        <v>2057</v>
      </c>
      <c r="H51" s="12" t="s">
        <v>2081</v>
      </c>
      <c r="I51" s="12">
        <v>131</v>
      </c>
      <c r="J51" s="12">
        <v>5113</v>
      </c>
      <c r="K51" s="12" t="s">
        <v>20</v>
      </c>
      <c r="L51" s="12">
        <v>1</v>
      </c>
      <c r="M51" s="17">
        <v>16129032</v>
      </c>
      <c r="N51" s="17">
        <f t="shared" si="4"/>
        <v>16129032</v>
      </c>
      <c r="O51" s="17" t="s">
        <v>21</v>
      </c>
      <c r="P51" s="12">
        <f t="shared" si="3"/>
        <v>36</v>
      </c>
      <c r="Q51" s="12">
        <f t="shared" si="2"/>
        <v>160</v>
      </c>
    </row>
    <row r="52" spans="1:17" ht="15" customHeight="1" x14ac:dyDescent="0.2">
      <c r="A52" s="12" t="s">
        <v>18</v>
      </c>
      <c r="B52" s="36" t="s">
        <v>312</v>
      </c>
      <c r="C52" s="12">
        <f t="shared" si="0"/>
        <v>137</v>
      </c>
      <c r="D52" s="12">
        <v>0</v>
      </c>
      <c r="G52" s="14" t="s">
        <v>2057</v>
      </c>
      <c r="H52" s="12" t="s">
        <v>2112</v>
      </c>
      <c r="I52" s="12">
        <v>333821</v>
      </c>
      <c r="J52" s="12">
        <v>131</v>
      </c>
      <c r="K52" s="12" t="s">
        <v>20</v>
      </c>
      <c r="L52" s="12">
        <v>1</v>
      </c>
      <c r="M52" s="17">
        <v>161290</v>
      </c>
      <c r="N52" s="17">
        <f t="shared" si="4"/>
        <v>161290</v>
      </c>
      <c r="O52" s="17" t="s">
        <v>21</v>
      </c>
      <c r="P52" s="12">
        <f t="shared" si="3"/>
        <v>36</v>
      </c>
      <c r="Q52" s="12">
        <f t="shared" si="2"/>
        <v>176</v>
      </c>
    </row>
    <row r="53" spans="1:17" ht="15" customHeight="1" x14ac:dyDescent="0.2">
      <c r="A53" s="12" t="s">
        <v>18</v>
      </c>
      <c r="B53" s="36" t="s">
        <v>291</v>
      </c>
      <c r="C53" s="12">
        <f t="shared" si="0"/>
        <v>138</v>
      </c>
      <c r="D53" s="12">
        <v>1</v>
      </c>
      <c r="F53" s="12"/>
      <c r="G53" s="14" t="s">
        <v>2052</v>
      </c>
      <c r="H53" s="12" t="s">
        <v>2082</v>
      </c>
      <c r="I53" s="12">
        <v>131</v>
      </c>
      <c r="J53" s="12">
        <v>5113</v>
      </c>
      <c r="K53" s="12" t="s">
        <v>20</v>
      </c>
      <c r="L53" s="12">
        <v>1</v>
      </c>
      <c r="M53" s="17">
        <v>30107527</v>
      </c>
      <c r="N53" s="17">
        <f t="shared" si="4"/>
        <v>30107527</v>
      </c>
      <c r="O53" s="17" t="s">
        <v>21</v>
      </c>
      <c r="P53" s="12">
        <f t="shared" si="3"/>
        <v>37</v>
      </c>
      <c r="Q53" s="12">
        <f t="shared" si="2"/>
        <v>191</v>
      </c>
    </row>
    <row r="54" spans="1:17" ht="15" customHeight="1" x14ac:dyDescent="0.2">
      <c r="A54" s="12" t="s">
        <v>18</v>
      </c>
      <c r="B54" s="36" t="s">
        <v>291</v>
      </c>
      <c r="C54" s="12">
        <f t="shared" si="0"/>
        <v>138</v>
      </c>
      <c r="D54" s="12">
        <v>0</v>
      </c>
      <c r="G54" s="14" t="s">
        <v>2052</v>
      </c>
      <c r="H54" s="12" t="s">
        <v>3377</v>
      </c>
      <c r="I54" s="12">
        <v>333821</v>
      </c>
      <c r="J54" s="12">
        <v>131</v>
      </c>
      <c r="K54" s="12" t="s">
        <v>20</v>
      </c>
      <c r="L54" s="12">
        <v>1</v>
      </c>
      <c r="M54" s="17">
        <v>301075</v>
      </c>
      <c r="N54" s="17">
        <f t="shared" si="4"/>
        <v>301075</v>
      </c>
      <c r="O54" s="17" t="s">
        <v>21</v>
      </c>
      <c r="P54" s="12">
        <f t="shared" si="3"/>
        <v>37</v>
      </c>
      <c r="Q54" s="12">
        <f t="shared" si="2"/>
        <v>146</v>
      </c>
    </row>
    <row r="55" spans="1:17" ht="15" customHeight="1" x14ac:dyDescent="0.2">
      <c r="A55" s="12" t="s">
        <v>18</v>
      </c>
      <c r="B55" s="36" t="s">
        <v>313</v>
      </c>
      <c r="C55" s="12">
        <f t="shared" si="0"/>
        <v>139</v>
      </c>
      <c r="D55" s="12">
        <v>1</v>
      </c>
      <c r="F55" s="12"/>
      <c r="G55" s="14" t="s">
        <v>32</v>
      </c>
      <c r="H55" s="12" t="s">
        <v>2083</v>
      </c>
      <c r="I55" s="12">
        <v>131</v>
      </c>
      <c r="J55" s="12">
        <v>5113</v>
      </c>
      <c r="K55" s="12" t="s">
        <v>20</v>
      </c>
      <c r="L55" s="12">
        <v>1</v>
      </c>
      <c r="M55" s="17">
        <v>16129032</v>
      </c>
      <c r="N55" s="17">
        <f t="shared" si="4"/>
        <v>16129032</v>
      </c>
      <c r="O55" s="17" t="s">
        <v>21</v>
      </c>
      <c r="P55" s="12">
        <f t="shared" si="3"/>
        <v>38</v>
      </c>
      <c r="Q55" s="12">
        <f t="shared" si="2"/>
        <v>115</v>
      </c>
    </row>
    <row r="56" spans="1:17" ht="15" customHeight="1" x14ac:dyDescent="0.2">
      <c r="A56" s="12" t="s">
        <v>18</v>
      </c>
      <c r="B56" s="36" t="s">
        <v>313</v>
      </c>
      <c r="C56" s="12">
        <f t="shared" si="0"/>
        <v>139</v>
      </c>
      <c r="D56" s="12">
        <v>0</v>
      </c>
      <c r="G56" s="14" t="s">
        <v>32</v>
      </c>
      <c r="H56" s="12" t="s">
        <v>2113</v>
      </c>
      <c r="I56" s="12">
        <v>333821</v>
      </c>
      <c r="J56" s="12">
        <v>131</v>
      </c>
      <c r="K56" s="12" t="s">
        <v>20</v>
      </c>
      <c r="L56" s="12">
        <v>1</v>
      </c>
      <c r="M56" s="17">
        <v>161290</v>
      </c>
      <c r="N56" s="17">
        <f t="shared" si="4"/>
        <v>161290</v>
      </c>
      <c r="O56" s="17" t="s">
        <v>21</v>
      </c>
      <c r="P56" s="12">
        <f t="shared" si="3"/>
        <v>38</v>
      </c>
      <c r="Q56" s="12">
        <f t="shared" si="2"/>
        <v>131</v>
      </c>
    </row>
    <row r="57" spans="1:17" ht="15" customHeight="1" x14ac:dyDescent="0.2">
      <c r="A57" s="12" t="s">
        <v>18</v>
      </c>
      <c r="B57" s="36" t="s">
        <v>314</v>
      </c>
      <c r="C57" s="12">
        <f t="shared" si="0"/>
        <v>140</v>
      </c>
      <c r="D57" s="12">
        <v>1</v>
      </c>
      <c r="F57" s="12"/>
      <c r="G57" s="14" t="s">
        <v>29</v>
      </c>
      <c r="H57" s="12" t="s">
        <v>2084</v>
      </c>
      <c r="I57" s="12">
        <v>131</v>
      </c>
      <c r="J57" s="12">
        <v>5113</v>
      </c>
      <c r="K57" s="12" t="s">
        <v>20</v>
      </c>
      <c r="L57" s="12">
        <v>1</v>
      </c>
      <c r="M57" s="17">
        <v>17204301</v>
      </c>
      <c r="N57" s="17">
        <f t="shared" si="4"/>
        <v>17204301</v>
      </c>
      <c r="O57" s="17" t="s">
        <v>21</v>
      </c>
      <c r="P57" s="12">
        <f t="shared" si="3"/>
        <v>39</v>
      </c>
      <c r="Q57" s="12">
        <f t="shared" si="2"/>
        <v>147</v>
      </c>
    </row>
    <row r="58" spans="1:17" ht="15" customHeight="1" x14ac:dyDescent="0.2">
      <c r="A58" s="12" t="s">
        <v>18</v>
      </c>
      <c r="B58" s="36" t="s">
        <v>314</v>
      </c>
      <c r="C58" s="12">
        <f t="shared" si="0"/>
        <v>140</v>
      </c>
      <c r="D58" s="12">
        <v>0</v>
      </c>
      <c r="G58" s="14" t="s">
        <v>29</v>
      </c>
      <c r="H58" s="12" t="s">
        <v>2114</v>
      </c>
      <c r="I58" s="12">
        <v>333821</v>
      </c>
      <c r="J58" s="12">
        <v>131</v>
      </c>
      <c r="K58" s="12" t="s">
        <v>20</v>
      </c>
      <c r="L58" s="12">
        <v>1</v>
      </c>
      <c r="M58" s="17">
        <v>0</v>
      </c>
      <c r="N58" s="17">
        <f t="shared" si="4"/>
        <v>0</v>
      </c>
      <c r="O58" s="17" t="s">
        <v>21</v>
      </c>
      <c r="P58" s="12">
        <f t="shared" si="3"/>
        <v>39</v>
      </c>
      <c r="Q58" s="12">
        <f t="shared" si="2"/>
        <v>163</v>
      </c>
    </row>
    <row r="59" spans="1:17" ht="15" customHeight="1" x14ac:dyDescent="0.2">
      <c r="A59" s="12" t="s">
        <v>18</v>
      </c>
      <c r="B59" s="36" t="s">
        <v>416</v>
      </c>
      <c r="C59" s="12">
        <f t="shared" si="0"/>
        <v>141</v>
      </c>
      <c r="D59" s="12">
        <v>1</v>
      </c>
      <c r="F59" s="12"/>
      <c r="G59" s="14" t="s">
        <v>85</v>
      </c>
      <c r="H59" s="12" t="s">
        <v>2085</v>
      </c>
      <c r="I59" s="12">
        <v>131</v>
      </c>
      <c r="J59" s="12">
        <v>5113</v>
      </c>
      <c r="K59" s="12" t="s">
        <v>20</v>
      </c>
      <c r="L59" s="12">
        <v>1</v>
      </c>
      <c r="M59" s="17">
        <v>5376344</v>
      </c>
      <c r="N59" s="17">
        <f t="shared" si="4"/>
        <v>5376344</v>
      </c>
      <c r="O59" s="17" t="s">
        <v>21</v>
      </c>
      <c r="P59" s="12">
        <f t="shared" si="3"/>
        <v>40</v>
      </c>
      <c r="Q59" s="12">
        <f t="shared" si="2"/>
        <v>169</v>
      </c>
    </row>
    <row r="60" spans="1:17" ht="15" customHeight="1" x14ac:dyDescent="0.2">
      <c r="A60" s="12" t="s">
        <v>18</v>
      </c>
      <c r="B60" s="36" t="s">
        <v>416</v>
      </c>
      <c r="C60" s="12">
        <f t="shared" si="0"/>
        <v>141</v>
      </c>
      <c r="D60" s="12">
        <v>0</v>
      </c>
      <c r="F60" s="12"/>
      <c r="G60" s="14" t="s">
        <v>85</v>
      </c>
      <c r="H60" s="12" t="s">
        <v>2115</v>
      </c>
      <c r="I60" s="12">
        <v>333821</v>
      </c>
      <c r="J60" s="12">
        <v>131</v>
      </c>
      <c r="K60" s="12" t="s">
        <v>20</v>
      </c>
      <c r="L60" s="12">
        <v>1</v>
      </c>
      <c r="M60" s="17">
        <v>53763</v>
      </c>
      <c r="N60" s="17">
        <f t="shared" si="4"/>
        <v>53763</v>
      </c>
      <c r="O60" s="17" t="s">
        <v>21</v>
      </c>
      <c r="P60" s="12">
        <f t="shared" si="3"/>
        <v>40</v>
      </c>
      <c r="Q60" s="12">
        <f t="shared" si="2"/>
        <v>185</v>
      </c>
    </row>
    <row r="61" spans="1:17" ht="15" customHeight="1" x14ac:dyDescent="0.2">
      <c r="A61" s="12" t="s">
        <v>18</v>
      </c>
      <c r="B61" s="36" t="s">
        <v>416</v>
      </c>
      <c r="C61" s="12">
        <f t="shared" si="0"/>
        <v>142</v>
      </c>
      <c r="D61" s="12">
        <v>1</v>
      </c>
      <c r="F61" s="12"/>
      <c r="G61" s="14" t="s">
        <v>2058</v>
      </c>
      <c r="H61" s="12" t="s">
        <v>2086</v>
      </c>
      <c r="I61" s="12">
        <v>131</v>
      </c>
      <c r="J61" s="12">
        <v>5113</v>
      </c>
      <c r="K61" s="12" t="s">
        <v>20</v>
      </c>
      <c r="L61" s="12">
        <v>1</v>
      </c>
      <c r="M61" s="17">
        <v>16989247</v>
      </c>
      <c r="N61" s="17">
        <f t="shared" si="4"/>
        <v>16989247</v>
      </c>
      <c r="O61" s="17" t="s">
        <v>21</v>
      </c>
      <c r="P61" s="12">
        <f t="shared" si="3"/>
        <v>41</v>
      </c>
      <c r="Q61" s="12">
        <f t="shared" si="2"/>
        <v>161</v>
      </c>
    </row>
    <row r="62" spans="1:17" ht="15" customHeight="1" x14ac:dyDescent="0.2">
      <c r="A62" s="12" t="s">
        <v>18</v>
      </c>
      <c r="B62" s="36" t="s">
        <v>416</v>
      </c>
      <c r="C62" s="12">
        <f t="shared" si="0"/>
        <v>142</v>
      </c>
      <c r="D62" s="12">
        <v>0</v>
      </c>
      <c r="F62" s="12"/>
      <c r="G62" s="14" t="s">
        <v>2058</v>
      </c>
      <c r="H62" s="12" t="s">
        <v>2116</v>
      </c>
      <c r="I62" s="12">
        <v>333821</v>
      </c>
      <c r="J62" s="12">
        <v>131</v>
      </c>
      <c r="K62" s="12" t="s">
        <v>20</v>
      </c>
      <c r="L62" s="12">
        <v>1</v>
      </c>
      <c r="M62" s="17">
        <v>169892</v>
      </c>
      <c r="N62" s="17">
        <f t="shared" si="4"/>
        <v>169892</v>
      </c>
      <c r="O62" s="17" t="s">
        <v>21</v>
      </c>
      <c r="P62" s="12">
        <f t="shared" si="3"/>
        <v>41</v>
      </c>
      <c r="Q62" s="12">
        <f t="shared" si="2"/>
        <v>177</v>
      </c>
    </row>
    <row r="63" spans="1:17" ht="15" customHeight="1" x14ac:dyDescent="0.2">
      <c r="A63" s="12" t="s">
        <v>18</v>
      </c>
      <c r="B63" s="36" t="s">
        <v>416</v>
      </c>
      <c r="C63" s="12">
        <f t="shared" si="0"/>
        <v>143</v>
      </c>
      <c r="D63" s="12">
        <v>1</v>
      </c>
      <c r="F63" s="12"/>
      <c r="G63" s="14" t="s">
        <v>2053</v>
      </c>
      <c r="H63" s="12" t="s">
        <v>2087</v>
      </c>
      <c r="I63" s="12">
        <v>131</v>
      </c>
      <c r="J63" s="12">
        <v>5113</v>
      </c>
      <c r="K63" s="12" t="s">
        <v>20</v>
      </c>
      <c r="L63" s="12">
        <v>1</v>
      </c>
      <c r="M63" s="17">
        <v>37634408</v>
      </c>
      <c r="N63" s="17">
        <f t="shared" ref="N63:N94" si="5">L63*M63</f>
        <v>37634408</v>
      </c>
      <c r="O63" s="17" t="s">
        <v>21</v>
      </c>
      <c r="P63" s="12">
        <f t="shared" si="3"/>
        <v>42</v>
      </c>
      <c r="Q63" s="12">
        <f t="shared" si="2"/>
        <v>160</v>
      </c>
    </row>
    <row r="64" spans="1:17" ht="15" customHeight="1" x14ac:dyDescent="0.2">
      <c r="A64" s="12" t="s">
        <v>18</v>
      </c>
      <c r="B64" s="36" t="s">
        <v>416</v>
      </c>
      <c r="C64" s="12">
        <f t="shared" si="0"/>
        <v>143</v>
      </c>
      <c r="D64" s="12">
        <v>0</v>
      </c>
      <c r="G64" s="14" t="s">
        <v>2053</v>
      </c>
      <c r="H64" s="12" t="s">
        <v>2117</v>
      </c>
      <c r="I64" s="12">
        <v>333821</v>
      </c>
      <c r="J64" s="12">
        <v>131</v>
      </c>
      <c r="K64" s="12" t="s">
        <v>20</v>
      </c>
      <c r="L64" s="12">
        <v>1</v>
      </c>
      <c r="M64" s="17">
        <v>376344</v>
      </c>
      <c r="N64" s="17">
        <f t="shared" si="5"/>
        <v>376344</v>
      </c>
      <c r="O64" s="17" t="s">
        <v>21</v>
      </c>
      <c r="P64" s="12">
        <f t="shared" ref="P64:P128" si="6">P63+D64</f>
        <v>42</v>
      </c>
      <c r="Q64" s="12">
        <f t="shared" si="2"/>
        <v>176</v>
      </c>
    </row>
    <row r="65" spans="1:17" ht="15" customHeight="1" x14ac:dyDescent="0.2">
      <c r="A65" s="12" t="s">
        <v>18</v>
      </c>
      <c r="B65" s="36" t="s">
        <v>317</v>
      </c>
      <c r="C65" s="12">
        <f t="shared" si="0"/>
        <v>144</v>
      </c>
      <c r="D65" s="12">
        <v>1</v>
      </c>
      <c r="F65" s="12"/>
      <c r="G65" s="14" t="s">
        <v>2059</v>
      </c>
      <c r="H65" s="12" t="s">
        <v>2088</v>
      </c>
      <c r="I65" s="12">
        <v>131</v>
      </c>
      <c r="J65" s="12">
        <v>5113</v>
      </c>
      <c r="K65" s="12" t="s">
        <v>20</v>
      </c>
      <c r="L65" s="12">
        <v>1</v>
      </c>
      <c r="M65" s="17">
        <v>16129032</v>
      </c>
      <c r="N65" s="17">
        <f t="shared" si="5"/>
        <v>16129032</v>
      </c>
      <c r="O65" s="17" t="s">
        <v>21</v>
      </c>
      <c r="P65" s="12">
        <f t="shared" si="6"/>
        <v>43</v>
      </c>
      <c r="Q65" s="12">
        <f t="shared" si="2"/>
        <v>171</v>
      </c>
    </row>
    <row r="66" spans="1:17" ht="15" customHeight="1" x14ac:dyDescent="0.2">
      <c r="A66" s="12" t="s">
        <v>18</v>
      </c>
      <c r="B66" s="36" t="s">
        <v>317</v>
      </c>
      <c r="C66" s="12">
        <f t="shared" ref="C66:C129" si="7">C65+D66</f>
        <v>144</v>
      </c>
      <c r="D66" s="12">
        <v>0</v>
      </c>
      <c r="F66" s="12"/>
      <c r="G66" s="14" t="s">
        <v>2059</v>
      </c>
      <c r="H66" s="12" t="s">
        <v>2118</v>
      </c>
      <c r="I66" s="12">
        <v>333821</v>
      </c>
      <c r="J66" s="12">
        <v>131</v>
      </c>
      <c r="K66" s="12" t="s">
        <v>20</v>
      </c>
      <c r="L66" s="12">
        <v>1</v>
      </c>
      <c r="M66" s="17">
        <v>161290</v>
      </c>
      <c r="N66" s="17">
        <f t="shared" si="5"/>
        <v>161290</v>
      </c>
      <c r="O66" s="17" t="s">
        <v>21</v>
      </c>
      <c r="P66" s="12">
        <f t="shared" si="6"/>
        <v>43</v>
      </c>
      <c r="Q66" s="12">
        <f t="shared" si="2"/>
        <v>187</v>
      </c>
    </row>
    <row r="67" spans="1:17" ht="15" customHeight="1" x14ac:dyDescent="0.2">
      <c r="A67" s="12" t="s">
        <v>18</v>
      </c>
      <c r="B67" s="36" t="s">
        <v>601</v>
      </c>
      <c r="C67" s="12">
        <f t="shared" si="7"/>
        <v>145</v>
      </c>
      <c r="D67" s="12">
        <v>1</v>
      </c>
      <c r="F67" s="12"/>
      <c r="G67" s="14" t="s">
        <v>2060</v>
      </c>
      <c r="H67" s="12" t="s">
        <v>2089</v>
      </c>
      <c r="I67" s="12">
        <v>131</v>
      </c>
      <c r="J67" s="12">
        <v>5113</v>
      </c>
      <c r="K67" s="12" t="s">
        <v>20</v>
      </c>
      <c r="L67" s="12">
        <v>1</v>
      </c>
      <c r="M67" s="17">
        <v>19354838</v>
      </c>
      <c r="N67" s="17">
        <f t="shared" si="5"/>
        <v>19354838</v>
      </c>
      <c r="O67" s="17" t="s">
        <v>21</v>
      </c>
      <c r="P67" s="12">
        <f t="shared" si="6"/>
        <v>44</v>
      </c>
      <c r="Q67" s="12">
        <f t="shared" si="2"/>
        <v>173</v>
      </c>
    </row>
    <row r="68" spans="1:17" ht="15" customHeight="1" x14ac:dyDescent="0.2">
      <c r="A68" s="12" t="s">
        <v>18</v>
      </c>
      <c r="B68" s="36" t="s">
        <v>601</v>
      </c>
      <c r="C68" s="12">
        <f t="shared" si="7"/>
        <v>145</v>
      </c>
      <c r="D68" s="12">
        <v>0</v>
      </c>
      <c r="G68" s="14" t="s">
        <v>2060</v>
      </c>
      <c r="H68" s="12" t="s">
        <v>2119</v>
      </c>
      <c r="I68" s="12">
        <v>333821</v>
      </c>
      <c r="J68" s="12">
        <v>131</v>
      </c>
      <c r="K68" s="12" t="s">
        <v>20</v>
      </c>
      <c r="L68" s="12">
        <v>1</v>
      </c>
      <c r="M68" s="17">
        <v>193548</v>
      </c>
      <c r="N68" s="17">
        <f t="shared" si="5"/>
        <v>193548</v>
      </c>
      <c r="O68" s="17" t="s">
        <v>21</v>
      </c>
      <c r="P68" s="12">
        <f t="shared" si="6"/>
        <v>44</v>
      </c>
      <c r="Q68" s="12">
        <f t="shared" si="2"/>
        <v>189</v>
      </c>
    </row>
    <row r="69" spans="1:17" ht="15" customHeight="1" x14ac:dyDescent="0.2">
      <c r="A69" s="12" t="s">
        <v>18</v>
      </c>
      <c r="B69" s="36" t="s">
        <v>523</v>
      </c>
      <c r="C69" s="12">
        <f t="shared" si="7"/>
        <v>146</v>
      </c>
      <c r="D69" s="12">
        <v>1</v>
      </c>
      <c r="F69" s="12"/>
      <c r="G69" s="14" t="s">
        <v>1036</v>
      </c>
      <c r="H69" s="12" t="s">
        <v>2090</v>
      </c>
      <c r="I69" s="12">
        <v>131</v>
      </c>
      <c r="J69" s="12">
        <v>5113</v>
      </c>
      <c r="K69" s="12" t="s">
        <v>20</v>
      </c>
      <c r="L69" s="12">
        <v>1</v>
      </c>
      <c r="M69" s="17">
        <v>16129032</v>
      </c>
      <c r="N69" s="17">
        <f t="shared" si="5"/>
        <v>16129032</v>
      </c>
      <c r="O69" s="17" t="s">
        <v>21</v>
      </c>
      <c r="P69" s="12">
        <f t="shared" si="6"/>
        <v>45</v>
      </c>
      <c r="Q69" s="12">
        <f t="shared" ref="Q69:Q132" si="8">LEN(H69)</f>
        <v>180</v>
      </c>
    </row>
    <row r="70" spans="1:17" ht="15" customHeight="1" x14ac:dyDescent="0.2">
      <c r="A70" s="12" t="s">
        <v>18</v>
      </c>
      <c r="B70" s="36" t="s">
        <v>523</v>
      </c>
      <c r="C70" s="12">
        <f t="shared" si="7"/>
        <v>146</v>
      </c>
      <c r="D70" s="12">
        <v>0</v>
      </c>
      <c r="G70" s="14" t="s">
        <v>1036</v>
      </c>
      <c r="H70" s="12" t="s">
        <v>2120</v>
      </c>
      <c r="I70" s="12">
        <v>333821</v>
      </c>
      <c r="J70" s="12">
        <v>131</v>
      </c>
      <c r="K70" s="12" t="s">
        <v>20</v>
      </c>
      <c r="L70" s="12">
        <v>1</v>
      </c>
      <c r="M70" s="17">
        <v>161290</v>
      </c>
      <c r="N70" s="17">
        <f t="shared" si="5"/>
        <v>161290</v>
      </c>
      <c r="O70" s="17" t="s">
        <v>21</v>
      </c>
      <c r="P70" s="12">
        <f t="shared" si="6"/>
        <v>45</v>
      </c>
      <c r="Q70" s="12">
        <f t="shared" si="8"/>
        <v>196</v>
      </c>
    </row>
    <row r="71" spans="1:17" ht="15" customHeight="1" x14ac:dyDescent="0.2">
      <c r="A71" s="12" t="s">
        <v>18</v>
      </c>
      <c r="B71" s="36" t="s">
        <v>454</v>
      </c>
      <c r="C71" s="12">
        <f t="shared" si="7"/>
        <v>147</v>
      </c>
      <c r="D71" s="12">
        <v>1</v>
      </c>
      <c r="F71" s="12"/>
      <c r="G71" s="14" t="s">
        <v>89</v>
      </c>
      <c r="H71" s="12" t="s">
        <v>2091</v>
      </c>
      <c r="I71" s="12">
        <v>131</v>
      </c>
      <c r="J71" s="12">
        <v>5113</v>
      </c>
      <c r="K71" s="12" t="s">
        <v>20</v>
      </c>
      <c r="L71" s="12">
        <v>1</v>
      </c>
      <c r="M71" s="17">
        <v>16129032</v>
      </c>
      <c r="N71" s="17">
        <f t="shared" si="5"/>
        <v>16129032</v>
      </c>
      <c r="O71" s="17" t="s">
        <v>21</v>
      </c>
      <c r="P71" s="12">
        <f t="shared" si="6"/>
        <v>46</v>
      </c>
      <c r="Q71" s="12">
        <f t="shared" si="8"/>
        <v>125</v>
      </c>
    </row>
    <row r="72" spans="1:17" ht="15" customHeight="1" x14ac:dyDescent="0.2">
      <c r="A72" s="12" t="s">
        <v>18</v>
      </c>
      <c r="B72" s="36" t="s">
        <v>454</v>
      </c>
      <c r="C72" s="12">
        <f t="shared" si="7"/>
        <v>147</v>
      </c>
      <c r="D72" s="12">
        <v>0</v>
      </c>
      <c r="G72" s="14" t="s">
        <v>89</v>
      </c>
      <c r="H72" s="12" t="s">
        <v>2121</v>
      </c>
      <c r="I72" s="12">
        <v>333821</v>
      </c>
      <c r="J72" s="12">
        <v>131</v>
      </c>
      <c r="K72" s="12" t="s">
        <v>20</v>
      </c>
      <c r="L72" s="12">
        <v>1</v>
      </c>
      <c r="M72" s="17">
        <v>161290</v>
      </c>
      <c r="N72" s="17">
        <f t="shared" si="5"/>
        <v>161290</v>
      </c>
      <c r="O72" s="17" t="s">
        <v>21</v>
      </c>
      <c r="P72" s="12">
        <f t="shared" si="6"/>
        <v>46</v>
      </c>
      <c r="Q72" s="12">
        <f t="shared" si="8"/>
        <v>141</v>
      </c>
    </row>
    <row r="73" spans="1:17" ht="15" customHeight="1" x14ac:dyDescent="0.2">
      <c r="A73" s="12" t="s">
        <v>18</v>
      </c>
      <c r="B73" s="36" t="s">
        <v>2044</v>
      </c>
      <c r="C73" s="12">
        <f t="shared" si="7"/>
        <v>148</v>
      </c>
      <c r="D73" s="12">
        <v>1</v>
      </c>
      <c r="F73" s="12"/>
      <c r="G73" s="14" t="s">
        <v>106</v>
      </c>
      <c r="H73" s="12" t="s">
        <v>2092</v>
      </c>
      <c r="I73" s="12">
        <v>131</v>
      </c>
      <c r="J73" s="12">
        <v>5113</v>
      </c>
      <c r="K73" s="12" t="s">
        <v>20</v>
      </c>
      <c r="L73" s="12">
        <v>1</v>
      </c>
      <c r="M73" s="17">
        <v>21505376</v>
      </c>
      <c r="N73" s="17">
        <f t="shared" si="5"/>
        <v>21505376</v>
      </c>
      <c r="O73" s="17" t="s">
        <v>21</v>
      </c>
      <c r="P73" s="12">
        <f t="shared" si="6"/>
        <v>47</v>
      </c>
      <c r="Q73" s="12">
        <f t="shared" si="8"/>
        <v>168</v>
      </c>
    </row>
    <row r="74" spans="1:17" ht="15" customHeight="1" x14ac:dyDescent="0.2">
      <c r="A74" s="12" t="s">
        <v>18</v>
      </c>
      <c r="B74" s="36" t="s">
        <v>2044</v>
      </c>
      <c r="C74" s="12">
        <f t="shared" si="7"/>
        <v>148</v>
      </c>
      <c r="D74" s="12">
        <v>0</v>
      </c>
      <c r="G74" s="14" t="s">
        <v>106</v>
      </c>
      <c r="H74" s="12" t="s">
        <v>2122</v>
      </c>
      <c r="I74" s="12">
        <v>333821</v>
      </c>
      <c r="J74" s="12">
        <v>131</v>
      </c>
      <c r="K74" s="12" t="s">
        <v>20</v>
      </c>
      <c r="L74" s="12">
        <v>1</v>
      </c>
      <c r="M74" s="17">
        <v>215054</v>
      </c>
      <c r="N74" s="17">
        <f t="shared" si="5"/>
        <v>215054</v>
      </c>
      <c r="O74" s="17" t="s">
        <v>21</v>
      </c>
      <c r="P74" s="12">
        <f t="shared" si="6"/>
        <v>47</v>
      </c>
      <c r="Q74" s="12">
        <f t="shared" si="8"/>
        <v>184</v>
      </c>
    </row>
    <row r="75" spans="1:17" ht="15" customHeight="1" x14ac:dyDescent="0.2">
      <c r="A75" s="12" t="s">
        <v>18</v>
      </c>
      <c r="B75" s="36" t="s">
        <v>525</v>
      </c>
      <c r="C75" s="12">
        <f t="shared" si="7"/>
        <v>149</v>
      </c>
      <c r="D75" s="12">
        <v>1</v>
      </c>
      <c r="F75" s="12"/>
      <c r="G75" s="14" t="s">
        <v>2061</v>
      </c>
      <c r="H75" s="12" t="s">
        <v>2093</v>
      </c>
      <c r="I75" s="12">
        <v>131</v>
      </c>
      <c r="J75" s="12">
        <v>5113</v>
      </c>
      <c r="K75" s="12" t="s">
        <v>20</v>
      </c>
      <c r="L75" s="12">
        <v>1</v>
      </c>
      <c r="M75" s="17">
        <v>8064516</v>
      </c>
      <c r="N75" s="17">
        <f t="shared" si="5"/>
        <v>8064516</v>
      </c>
      <c r="O75" s="17" t="s">
        <v>21</v>
      </c>
      <c r="P75" s="12">
        <f t="shared" si="6"/>
        <v>48</v>
      </c>
      <c r="Q75" s="12">
        <f t="shared" si="8"/>
        <v>131</v>
      </c>
    </row>
    <row r="76" spans="1:17" ht="15" customHeight="1" x14ac:dyDescent="0.2">
      <c r="A76" s="12" t="s">
        <v>18</v>
      </c>
      <c r="B76" s="36" t="s">
        <v>525</v>
      </c>
      <c r="C76" s="12">
        <f t="shared" si="7"/>
        <v>149</v>
      </c>
      <c r="D76" s="12">
        <v>0</v>
      </c>
      <c r="G76" s="14" t="s">
        <v>2061</v>
      </c>
      <c r="H76" s="12" t="s">
        <v>2123</v>
      </c>
      <c r="I76" s="12">
        <v>333821</v>
      </c>
      <c r="J76" s="12">
        <v>131</v>
      </c>
      <c r="K76" s="12" t="s">
        <v>20</v>
      </c>
      <c r="L76" s="12">
        <v>1</v>
      </c>
      <c r="M76" s="17">
        <v>80645</v>
      </c>
      <c r="N76" s="17">
        <f t="shared" si="5"/>
        <v>80645</v>
      </c>
      <c r="O76" s="17" t="s">
        <v>21</v>
      </c>
      <c r="P76" s="12">
        <f t="shared" si="6"/>
        <v>48</v>
      </c>
      <c r="Q76" s="12">
        <f t="shared" si="8"/>
        <v>147</v>
      </c>
    </row>
    <row r="77" spans="1:17" ht="15" customHeight="1" x14ac:dyDescent="0.2">
      <c r="A77" s="12" t="s">
        <v>18</v>
      </c>
      <c r="B77" s="36" t="s">
        <v>380</v>
      </c>
      <c r="C77" s="12">
        <f t="shared" si="7"/>
        <v>150</v>
      </c>
      <c r="D77" s="12">
        <v>1</v>
      </c>
      <c r="F77" s="12"/>
      <c r="G77" s="14" t="s">
        <v>2062</v>
      </c>
      <c r="H77" s="12" t="s">
        <v>2094</v>
      </c>
      <c r="I77" s="12">
        <v>131</v>
      </c>
      <c r="J77" s="12">
        <v>5113</v>
      </c>
      <c r="K77" s="12" t="s">
        <v>20</v>
      </c>
      <c r="L77" s="12">
        <v>1</v>
      </c>
      <c r="M77" s="17">
        <v>24731183</v>
      </c>
      <c r="N77" s="17">
        <f t="shared" si="5"/>
        <v>24731183</v>
      </c>
      <c r="O77" s="17" t="s">
        <v>21</v>
      </c>
      <c r="P77" s="12">
        <f t="shared" si="6"/>
        <v>49</v>
      </c>
      <c r="Q77" s="12">
        <f t="shared" si="8"/>
        <v>136</v>
      </c>
    </row>
    <row r="78" spans="1:17" ht="15" customHeight="1" x14ac:dyDescent="0.2">
      <c r="A78" s="12" t="s">
        <v>18</v>
      </c>
      <c r="B78" s="36" t="s">
        <v>380</v>
      </c>
      <c r="C78" s="12">
        <f t="shared" si="7"/>
        <v>150</v>
      </c>
      <c r="D78" s="12">
        <v>0</v>
      </c>
      <c r="G78" s="14" t="s">
        <v>2062</v>
      </c>
      <c r="H78" s="12" t="s">
        <v>2124</v>
      </c>
      <c r="I78" s="12">
        <v>333821</v>
      </c>
      <c r="J78" s="12">
        <v>131</v>
      </c>
      <c r="K78" s="12" t="s">
        <v>20</v>
      </c>
      <c r="L78" s="12">
        <v>1</v>
      </c>
      <c r="M78" s="17">
        <v>247312</v>
      </c>
      <c r="N78" s="17">
        <f t="shared" si="5"/>
        <v>247312</v>
      </c>
      <c r="O78" s="17" t="s">
        <v>21</v>
      </c>
      <c r="P78" s="12">
        <f t="shared" si="6"/>
        <v>49</v>
      </c>
      <c r="Q78" s="12">
        <f t="shared" si="8"/>
        <v>152</v>
      </c>
    </row>
    <row r="79" spans="1:17" ht="15" customHeight="1" x14ac:dyDescent="0.2">
      <c r="A79" s="12" t="s">
        <v>18</v>
      </c>
      <c r="B79" s="36" t="s">
        <v>382</v>
      </c>
      <c r="C79" s="12">
        <f t="shared" si="7"/>
        <v>151</v>
      </c>
      <c r="D79" s="12">
        <v>1</v>
      </c>
      <c r="F79" s="12"/>
      <c r="G79" s="14" t="s">
        <v>89</v>
      </c>
      <c r="H79" s="12" t="s">
        <v>2095</v>
      </c>
      <c r="I79" s="12">
        <v>131</v>
      </c>
      <c r="J79" s="12">
        <v>5113</v>
      </c>
      <c r="K79" s="12" t="s">
        <v>20</v>
      </c>
      <c r="L79" s="12">
        <v>1</v>
      </c>
      <c r="M79" s="17">
        <v>7526882</v>
      </c>
      <c r="N79" s="17">
        <f t="shared" si="5"/>
        <v>7526882</v>
      </c>
      <c r="O79" s="17" t="s">
        <v>21</v>
      </c>
      <c r="P79" s="12">
        <f t="shared" si="6"/>
        <v>50</v>
      </c>
      <c r="Q79" s="12">
        <f t="shared" si="8"/>
        <v>107</v>
      </c>
    </row>
    <row r="80" spans="1:17" ht="15" customHeight="1" x14ac:dyDescent="0.2">
      <c r="A80" s="12" t="s">
        <v>18</v>
      </c>
      <c r="B80" s="36" t="s">
        <v>382</v>
      </c>
      <c r="C80" s="12">
        <f t="shared" si="7"/>
        <v>151</v>
      </c>
      <c r="D80" s="12">
        <v>0</v>
      </c>
      <c r="G80" s="14" t="s">
        <v>89</v>
      </c>
      <c r="H80" s="12" t="s">
        <v>2125</v>
      </c>
      <c r="I80" s="12">
        <v>333821</v>
      </c>
      <c r="J80" s="12">
        <v>131</v>
      </c>
      <c r="K80" s="12" t="s">
        <v>20</v>
      </c>
      <c r="L80" s="12">
        <v>1</v>
      </c>
      <c r="M80" s="17">
        <v>75269</v>
      </c>
      <c r="N80" s="17">
        <f t="shared" si="5"/>
        <v>75269</v>
      </c>
      <c r="O80" s="17" t="s">
        <v>21</v>
      </c>
      <c r="P80" s="12">
        <f t="shared" si="6"/>
        <v>50</v>
      </c>
      <c r="Q80" s="12">
        <f t="shared" si="8"/>
        <v>123</v>
      </c>
    </row>
    <row r="81" spans="1:17" ht="15" customHeight="1" x14ac:dyDescent="0.2">
      <c r="A81" s="12" t="s">
        <v>18</v>
      </c>
      <c r="B81" s="36" t="s">
        <v>382</v>
      </c>
      <c r="C81" s="12">
        <f t="shared" si="7"/>
        <v>152</v>
      </c>
      <c r="D81" s="12">
        <v>1</v>
      </c>
      <c r="F81" s="12"/>
      <c r="G81" s="14" t="s">
        <v>46</v>
      </c>
      <c r="H81" s="12" t="s">
        <v>2096</v>
      </c>
      <c r="I81" s="12">
        <v>131</v>
      </c>
      <c r="J81" s="12">
        <v>5113</v>
      </c>
      <c r="K81" s="12" t="s">
        <v>20</v>
      </c>
      <c r="L81" s="12">
        <v>1</v>
      </c>
      <c r="M81" s="17">
        <v>23655914</v>
      </c>
      <c r="N81" s="17">
        <f t="shared" si="5"/>
        <v>23655914</v>
      </c>
      <c r="O81" s="17" t="s">
        <v>21</v>
      </c>
      <c r="P81" s="12">
        <f t="shared" si="6"/>
        <v>51</v>
      </c>
      <c r="Q81" s="12">
        <f t="shared" si="8"/>
        <v>167</v>
      </c>
    </row>
    <row r="82" spans="1:17" ht="15" customHeight="1" x14ac:dyDescent="0.2">
      <c r="A82" s="12" t="s">
        <v>18</v>
      </c>
      <c r="B82" s="36" t="s">
        <v>382</v>
      </c>
      <c r="C82" s="12">
        <f t="shared" si="7"/>
        <v>152</v>
      </c>
      <c r="D82" s="12">
        <v>0</v>
      </c>
      <c r="G82" s="14" t="s">
        <v>46</v>
      </c>
      <c r="H82" s="12" t="s">
        <v>2126</v>
      </c>
      <c r="I82" s="12">
        <v>333821</v>
      </c>
      <c r="J82" s="12">
        <v>131</v>
      </c>
      <c r="K82" s="12" t="s">
        <v>20</v>
      </c>
      <c r="L82" s="12">
        <v>1</v>
      </c>
      <c r="M82" s="17">
        <v>236559</v>
      </c>
      <c r="N82" s="17">
        <f t="shared" si="5"/>
        <v>236559</v>
      </c>
      <c r="O82" s="17" t="s">
        <v>21</v>
      </c>
      <c r="P82" s="12">
        <f t="shared" si="6"/>
        <v>51</v>
      </c>
      <c r="Q82" s="12">
        <f t="shared" si="8"/>
        <v>183</v>
      </c>
    </row>
    <row r="83" spans="1:17" ht="15" customHeight="1" x14ac:dyDescent="0.2">
      <c r="A83" s="12" t="s">
        <v>18</v>
      </c>
      <c r="B83" s="36" t="s">
        <v>382</v>
      </c>
      <c r="C83" s="12">
        <f t="shared" si="7"/>
        <v>153</v>
      </c>
      <c r="D83" s="12">
        <v>1</v>
      </c>
      <c r="F83" s="12"/>
      <c r="G83" s="14" t="s">
        <v>2063</v>
      </c>
      <c r="H83" s="12" t="s">
        <v>2097</v>
      </c>
      <c r="I83" s="12">
        <v>131</v>
      </c>
      <c r="J83" s="12">
        <v>5113</v>
      </c>
      <c r="K83" s="12" t="s">
        <v>20</v>
      </c>
      <c r="L83" s="12">
        <v>1</v>
      </c>
      <c r="M83" s="17">
        <v>6451613</v>
      </c>
      <c r="N83" s="17">
        <f t="shared" si="5"/>
        <v>6451613</v>
      </c>
      <c r="O83" s="17" t="s">
        <v>21</v>
      </c>
      <c r="P83" s="12">
        <f t="shared" si="6"/>
        <v>52</v>
      </c>
      <c r="Q83" s="12">
        <f t="shared" si="8"/>
        <v>153</v>
      </c>
    </row>
    <row r="84" spans="1:17" ht="15" customHeight="1" x14ac:dyDescent="0.2">
      <c r="A84" s="12" t="s">
        <v>18</v>
      </c>
      <c r="B84" s="36" t="s">
        <v>382</v>
      </c>
      <c r="C84" s="12">
        <f t="shared" si="7"/>
        <v>153</v>
      </c>
      <c r="D84" s="12">
        <v>0</v>
      </c>
      <c r="G84" s="14" t="s">
        <v>2063</v>
      </c>
      <c r="H84" s="12" t="s">
        <v>2127</v>
      </c>
      <c r="I84" s="12">
        <v>333821</v>
      </c>
      <c r="J84" s="12">
        <v>131</v>
      </c>
      <c r="K84" s="12" t="s">
        <v>20</v>
      </c>
      <c r="L84" s="12">
        <v>1</v>
      </c>
      <c r="M84" s="17">
        <v>64516</v>
      </c>
      <c r="N84" s="17">
        <f t="shared" si="5"/>
        <v>64516</v>
      </c>
      <c r="O84" s="17" t="s">
        <v>21</v>
      </c>
      <c r="P84" s="12">
        <f t="shared" si="6"/>
        <v>52</v>
      </c>
      <c r="Q84" s="12">
        <f t="shared" si="8"/>
        <v>169</v>
      </c>
    </row>
    <row r="85" spans="1:17" ht="15" customHeight="1" x14ac:dyDescent="0.2">
      <c r="A85" s="12" t="s">
        <v>18</v>
      </c>
      <c r="B85" s="36" t="s">
        <v>382</v>
      </c>
      <c r="C85" s="12">
        <f t="shared" si="7"/>
        <v>154</v>
      </c>
      <c r="D85" s="12">
        <v>1</v>
      </c>
      <c r="F85" s="12"/>
      <c r="G85" s="14" t="s">
        <v>104</v>
      </c>
      <c r="H85" s="12" t="s">
        <v>2098</v>
      </c>
      <c r="I85" s="12">
        <v>131</v>
      </c>
      <c r="J85" s="12">
        <v>5113</v>
      </c>
      <c r="K85" s="12" t="s">
        <v>20</v>
      </c>
      <c r="L85" s="12">
        <v>1</v>
      </c>
      <c r="M85" s="17">
        <v>25268817</v>
      </c>
      <c r="N85" s="17">
        <f t="shared" si="5"/>
        <v>25268817</v>
      </c>
      <c r="O85" s="17" t="s">
        <v>21</v>
      </c>
      <c r="P85" s="12">
        <f t="shared" si="6"/>
        <v>53</v>
      </c>
      <c r="Q85" s="12">
        <f t="shared" si="8"/>
        <v>154</v>
      </c>
    </row>
    <row r="86" spans="1:17" ht="15" customHeight="1" x14ac:dyDescent="0.2">
      <c r="A86" s="12" t="s">
        <v>18</v>
      </c>
      <c r="B86" s="36" t="s">
        <v>382</v>
      </c>
      <c r="C86" s="12">
        <f t="shared" si="7"/>
        <v>154</v>
      </c>
      <c r="D86" s="12">
        <v>0</v>
      </c>
      <c r="G86" s="14" t="s">
        <v>104</v>
      </c>
      <c r="H86" s="12" t="s">
        <v>2128</v>
      </c>
      <c r="I86" s="12">
        <v>333821</v>
      </c>
      <c r="J86" s="12">
        <v>131</v>
      </c>
      <c r="K86" s="12" t="s">
        <v>20</v>
      </c>
      <c r="L86" s="12">
        <v>1</v>
      </c>
      <c r="M86" s="17">
        <v>252688</v>
      </c>
      <c r="N86" s="17">
        <f t="shared" si="5"/>
        <v>252688</v>
      </c>
      <c r="O86" s="17" t="s">
        <v>21</v>
      </c>
      <c r="P86" s="12">
        <f t="shared" si="6"/>
        <v>53</v>
      </c>
      <c r="Q86" s="12">
        <f t="shared" si="8"/>
        <v>170</v>
      </c>
    </row>
    <row r="87" spans="1:17" ht="15" customHeight="1" x14ac:dyDescent="0.2">
      <c r="A87" s="12" t="s">
        <v>18</v>
      </c>
      <c r="B87" s="36" t="s">
        <v>457</v>
      </c>
      <c r="C87" s="12">
        <f t="shared" si="7"/>
        <v>155</v>
      </c>
      <c r="D87" s="12">
        <v>1</v>
      </c>
      <c r="F87" s="12"/>
      <c r="G87" s="14" t="s">
        <v>2064</v>
      </c>
      <c r="H87" s="12" t="s">
        <v>2099</v>
      </c>
      <c r="I87" s="12">
        <v>131</v>
      </c>
      <c r="J87" s="12">
        <v>5113</v>
      </c>
      <c r="K87" s="12" t="s">
        <v>20</v>
      </c>
      <c r="L87" s="12">
        <v>1</v>
      </c>
      <c r="M87" s="17">
        <v>16129032</v>
      </c>
      <c r="N87" s="17">
        <f t="shared" si="5"/>
        <v>16129032</v>
      </c>
      <c r="O87" s="17" t="s">
        <v>21</v>
      </c>
      <c r="P87" s="12">
        <f t="shared" si="6"/>
        <v>54</v>
      </c>
      <c r="Q87" s="12">
        <f t="shared" si="8"/>
        <v>108</v>
      </c>
    </row>
    <row r="88" spans="1:17" ht="15" customHeight="1" x14ac:dyDescent="0.2">
      <c r="A88" s="12" t="s">
        <v>18</v>
      </c>
      <c r="B88" s="36" t="s">
        <v>457</v>
      </c>
      <c r="C88" s="12">
        <f t="shared" si="7"/>
        <v>155</v>
      </c>
      <c r="D88" s="12">
        <v>0</v>
      </c>
      <c r="G88" s="14" t="s">
        <v>2064</v>
      </c>
      <c r="H88" s="12" t="s">
        <v>2129</v>
      </c>
      <c r="I88" s="12">
        <v>333821</v>
      </c>
      <c r="J88" s="12">
        <v>131</v>
      </c>
      <c r="K88" s="12" t="s">
        <v>20</v>
      </c>
      <c r="L88" s="12">
        <v>1</v>
      </c>
      <c r="M88" s="17">
        <v>161290</v>
      </c>
      <c r="N88" s="17">
        <f t="shared" si="5"/>
        <v>161290</v>
      </c>
      <c r="O88" s="17" t="s">
        <v>21</v>
      </c>
      <c r="P88" s="12">
        <f t="shared" si="6"/>
        <v>54</v>
      </c>
      <c r="Q88" s="12">
        <f t="shared" si="8"/>
        <v>124</v>
      </c>
    </row>
    <row r="89" spans="1:17" ht="15" customHeight="1" x14ac:dyDescent="0.2">
      <c r="A89" s="12" t="s">
        <v>18</v>
      </c>
      <c r="B89" s="36" t="s">
        <v>2045</v>
      </c>
      <c r="C89" s="12">
        <f t="shared" si="7"/>
        <v>156</v>
      </c>
      <c r="D89" s="12">
        <v>1</v>
      </c>
      <c r="F89" s="12"/>
      <c r="G89" s="14" t="s">
        <v>1723</v>
      </c>
      <c r="H89" s="12" t="s">
        <v>3378</v>
      </c>
      <c r="I89" s="12">
        <v>131</v>
      </c>
      <c r="J89" s="12">
        <v>5113</v>
      </c>
      <c r="K89" s="12" t="s">
        <v>20</v>
      </c>
      <c r="L89" s="12">
        <v>1</v>
      </c>
      <c r="M89" s="17">
        <v>16129032</v>
      </c>
      <c r="N89" s="17">
        <f t="shared" si="5"/>
        <v>16129032</v>
      </c>
      <c r="O89" s="17" t="s">
        <v>21</v>
      </c>
      <c r="P89" s="12">
        <f t="shared" si="6"/>
        <v>55</v>
      </c>
      <c r="Q89" s="12">
        <f t="shared" si="8"/>
        <v>145</v>
      </c>
    </row>
    <row r="90" spans="1:17" ht="15" customHeight="1" x14ac:dyDescent="0.2">
      <c r="A90" s="12" t="s">
        <v>18</v>
      </c>
      <c r="B90" s="36" t="s">
        <v>2045</v>
      </c>
      <c r="C90" s="12">
        <f t="shared" si="7"/>
        <v>156</v>
      </c>
      <c r="D90" s="12">
        <v>0</v>
      </c>
      <c r="G90" s="14" t="s">
        <v>1723</v>
      </c>
      <c r="H90" s="12" t="s">
        <v>3379</v>
      </c>
      <c r="I90" s="12">
        <v>333821</v>
      </c>
      <c r="J90" s="12">
        <v>131</v>
      </c>
      <c r="K90" s="12" t="s">
        <v>20</v>
      </c>
      <c r="L90" s="12">
        <v>1</v>
      </c>
      <c r="M90" s="17">
        <v>161290</v>
      </c>
      <c r="N90" s="17">
        <f t="shared" si="5"/>
        <v>161290</v>
      </c>
      <c r="O90" s="17" t="s">
        <v>21</v>
      </c>
      <c r="P90" s="12">
        <f t="shared" si="6"/>
        <v>55</v>
      </c>
      <c r="Q90" s="12">
        <f t="shared" si="8"/>
        <v>161</v>
      </c>
    </row>
    <row r="91" spans="1:17" ht="15" customHeight="1" x14ac:dyDescent="0.2">
      <c r="A91" s="12" t="s">
        <v>18</v>
      </c>
      <c r="B91" s="36">
        <v>45961</v>
      </c>
      <c r="C91" s="12">
        <f t="shared" si="7"/>
        <v>157</v>
      </c>
      <c r="D91" s="12">
        <v>1</v>
      </c>
      <c r="G91" s="14" t="s">
        <v>43</v>
      </c>
      <c r="H91" s="12" t="s">
        <v>371</v>
      </c>
      <c r="I91" s="12">
        <v>64271</v>
      </c>
      <c r="J91" s="12">
        <v>3383</v>
      </c>
      <c r="K91" s="12" t="s">
        <v>20</v>
      </c>
      <c r="L91" s="12">
        <v>1</v>
      </c>
      <c r="M91" s="17">
        <v>690300</v>
      </c>
      <c r="N91" s="17">
        <f t="shared" si="5"/>
        <v>690300</v>
      </c>
      <c r="O91" s="17" t="s">
        <v>21</v>
      </c>
      <c r="P91" s="12">
        <f t="shared" si="6"/>
        <v>56</v>
      </c>
      <c r="Q91" s="12">
        <f t="shared" si="8"/>
        <v>30</v>
      </c>
    </row>
    <row r="92" spans="1:17" ht="15" customHeight="1" x14ac:dyDescent="0.2">
      <c r="A92" s="12" t="s">
        <v>18</v>
      </c>
      <c r="B92" s="36">
        <v>45991</v>
      </c>
      <c r="C92" s="12">
        <f t="shared" si="7"/>
        <v>158</v>
      </c>
      <c r="D92" s="12">
        <v>1</v>
      </c>
      <c r="G92" s="14" t="s">
        <v>43</v>
      </c>
      <c r="H92" s="12" t="s">
        <v>372</v>
      </c>
      <c r="I92" s="12">
        <v>64271</v>
      </c>
      <c r="J92" s="12">
        <v>3383</v>
      </c>
      <c r="K92" s="12" t="s">
        <v>20</v>
      </c>
      <c r="L92" s="12">
        <v>1</v>
      </c>
      <c r="M92" s="17">
        <v>690300</v>
      </c>
      <c r="N92" s="17">
        <f t="shared" si="5"/>
        <v>690300</v>
      </c>
      <c r="O92" s="17" t="s">
        <v>21</v>
      </c>
      <c r="P92" s="12">
        <f t="shared" si="6"/>
        <v>57</v>
      </c>
      <c r="Q92" s="12">
        <f t="shared" si="8"/>
        <v>30</v>
      </c>
    </row>
    <row r="93" spans="1:17" ht="15" customHeight="1" x14ac:dyDescent="0.2">
      <c r="A93" s="12" t="s">
        <v>18</v>
      </c>
      <c r="B93" s="36">
        <v>46022</v>
      </c>
      <c r="C93" s="12">
        <f t="shared" si="7"/>
        <v>159</v>
      </c>
      <c r="D93" s="12">
        <v>1</v>
      </c>
      <c r="G93" s="14" t="s">
        <v>43</v>
      </c>
      <c r="H93" s="12" t="s">
        <v>373</v>
      </c>
      <c r="I93" s="12">
        <v>64271</v>
      </c>
      <c r="J93" s="12">
        <v>3383</v>
      </c>
      <c r="K93" s="12" t="s">
        <v>20</v>
      </c>
      <c r="L93" s="12">
        <v>1</v>
      </c>
      <c r="M93" s="17">
        <v>690300</v>
      </c>
      <c r="N93" s="17">
        <f t="shared" si="5"/>
        <v>690300</v>
      </c>
      <c r="O93" s="17" t="s">
        <v>21</v>
      </c>
      <c r="P93" s="12">
        <f t="shared" si="6"/>
        <v>58</v>
      </c>
      <c r="Q93" s="12">
        <f t="shared" si="8"/>
        <v>30</v>
      </c>
    </row>
    <row r="94" spans="1:17" ht="15" customHeight="1" x14ac:dyDescent="0.2">
      <c r="A94" s="12" t="s">
        <v>18</v>
      </c>
      <c r="B94" s="36" t="s">
        <v>2504</v>
      </c>
      <c r="C94" s="12">
        <f t="shared" si="7"/>
        <v>160</v>
      </c>
      <c r="D94" s="12">
        <v>1</v>
      </c>
      <c r="F94" s="12"/>
      <c r="G94" s="14" t="s">
        <v>42</v>
      </c>
      <c r="H94" s="12" t="s">
        <v>2658</v>
      </c>
      <c r="I94" s="12">
        <v>131</v>
      </c>
      <c r="J94" s="12">
        <v>5113</v>
      </c>
      <c r="K94" s="12" t="s">
        <v>20</v>
      </c>
      <c r="L94" s="12">
        <v>1</v>
      </c>
      <c r="M94" s="17">
        <v>26881720</v>
      </c>
      <c r="N94" s="17">
        <f t="shared" si="5"/>
        <v>26881720</v>
      </c>
      <c r="O94" s="17" t="s">
        <v>21</v>
      </c>
      <c r="P94" s="12">
        <f t="shared" si="6"/>
        <v>59</v>
      </c>
      <c r="Q94" s="12">
        <f t="shared" si="8"/>
        <v>137</v>
      </c>
    </row>
    <row r="95" spans="1:17" ht="15" customHeight="1" x14ac:dyDescent="0.2">
      <c r="A95" s="12" t="s">
        <v>18</v>
      </c>
      <c r="B95" s="36" t="s">
        <v>2504</v>
      </c>
      <c r="C95" s="12">
        <f t="shared" si="7"/>
        <v>160</v>
      </c>
      <c r="D95" s="12">
        <v>0</v>
      </c>
      <c r="G95" s="14" t="s">
        <v>42</v>
      </c>
      <c r="H95" s="12" t="s">
        <v>2664</v>
      </c>
      <c r="I95" s="12">
        <v>333821</v>
      </c>
      <c r="J95" s="12">
        <v>131</v>
      </c>
      <c r="K95" s="12" t="s">
        <v>20</v>
      </c>
      <c r="L95" s="12">
        <v>1</v>
      </c>
      <c r="M95" s="17">
        <v>268817</v>
      </c>
      <c r="N95" s="17">
        <f t="shared" ref="N95:N159" si="9">L95*M95</f>
        <v>268817</v>
      </c>
      <c r="O95" s="17" t="s">
        <v>21</v>
      </c>
      <c r="P95" s="12">
        <f t="shared" si="6"/>
        <v>59</v>
      </c>
      <c r="Q95" s="12">
        <f t="shared" si="8"/>
        <v>153</v>
      </c>
    </row>
    <row r="96" spans="1:17" ht="15" customHeight="1" x14ac:dyDescent="0.2">
      <c r="A96" s="12" t="s">
        <v>18</v>
      </c>
      <c r="B96" s="36" t="s">
        <v>2504</v>
      </c>
      <c r="C96" s="12">
        <f t="shared" si="7"/>
        <v>161</v>
      </c>
      <c r="D96" s="12">
        <v>1</v>
      </c>
      <c r="F96" s="12"/>
      <c r="G96" s="14" t="s">
        <v>2061</v>
      </c>
      <c r="H96" s="12" t="s">
        <v>2659</v>
      </c>
      <c r="I96" s="12">
        <v>131</v>
      </c>
      <c r="J96" s="12">
        <v>5113</v>
      </c>
      <c r="K96" s="12" t="s">
        <v>20</v>
      </c>
      <c r="L96" s="12">
        <v>1</v>
      </c>
      <c r="M96" s="17">
        <v>8064516</v>
      </c>
      <c r="N96" s="17">
        <f t="shared" si="9"/>
        <v>8064516</v>
      </c>
      <c r="O96" s="17" t="s">
        <v>21</v>
      </c>
      <c r="P96" s="12">
        <f t="shared" si="6"/>
        <v>60</v>
      </c>
      <c r="Q96" s="12">
        <f t="shared" si="8"/>
        <v>195</v>
      </c>
    </row>
    <row r="97" spans="1:17" ht="15" customHeight="1" x14ac:dyDescent="0.2">
      <c r="A97" s="12" t="s">
        <v>18</v>
      </c>
      <c r="B97" s="36" t="s">
        <v>2504</v>
      </c>
      <c r="C97" s="12">
        <f t="shared" si="7"/>
        <v>161</v>
      </c>
      <c r="D97" s="12">
        <v>0</v>
      </c>
      <c r="G97" s="14" t="s">
        <v>2061</v>
      </c>
      <c r="H97" s="12" t="s">
        <v>3380</v>
      </c>
      <c r="I97" s="12">
        <v>333821</v>
      </c>
      <c r="J97" s="12">
        <v>131</v>
      </c>
      <c r="K97" s="12" t="s">
        <v>20</v>
      </c>
      <c r="L97" s="12">
        <v>1</v>
      </c>
      <c r="M97" s="17">
        <v>80645</v>
      </c>
      <c r="N97" s="17">
        <f t="shared" si="9"/>
        <v>80645</v>
      </c>
      <c r="O97" s="17" t="s">
        <v>21</v>
      </c>
      <c r="P97" s="12">
        <f t="shared" si="6"/>
        <v>60</v>
      </c>
      <c r="Q97" s="12">
        <f t="shared" si="8"/>
        <v>120</v>
      </c>
    </row>
    <row r="98" spans="1:17" ht="15" customHeight="1" x14ac:dyDescent="0.2">
      <c r="A98" s="12" t="s">
        <v>18</v>
      </c>
      <c r="B98" s="36" t="s">
        <v>2504</v>
      </c>
      <c r="C98" s="12">
        <f t="shared" si="7"/>
        <v>162</v>
      </c>
      <c r="D98" s="12">
        <v>1</v>
      </c>
      <c r="F98" s="12"/>
      <c r="G98" s="14" t="s">
        <v>2052</v>
      </c>
      <c r="H98" s="12" t="s">
        <v>2660</v>
      </c>
      <c r="I98" s="12">
        <v>131</v>
      </c>
      <c r="J98" s="12">
        <v>5113</v>
      </c>
      <c r="K98" s="12" t="s">
        <v>20</v>
      </c>
      <c r="L98" s="12">
        <v>1</v>
      </c>
      <c r="M98" s="17">
        <v>9677419</v>
      </c>
      <c r="N98" s="17">
        <f t="shared" si="9"/>
        <v>9677419</v>
      </c>
      <c r="O98" s="17" t="s">
        <v>21</v>
      </c>
      <c r="P98" s="12">
        <f t="shared" si="6"/>
        <v>61</v>
      </c>
      <c r="Q98" s="12">
        <f t="shared" si="8"/>
        <v>193</v>
      </c>
    </row>
    <row r="99" spans="1:17" ht="15" customHeight="1" x14ac:dyDescent="0.2">
      <c r="A99" s="12" t="s">
        <v>18</v>
      </c>
      <c r="B99" s="36" t="s">
        <v>2504</v>
      </c>
      <c r="C99" s="12">
        <f t="shared" si="7"/>
        <v>162</v>
      </c>
      <c r="D99" s="12">
        <v>0</v>
      </c>
      <c r="G99" s="14" t="s">
        <v>2052</v>
      </c>
      <c r="H99" s="12" t="s">
        <v>3381</v>
      </c>
      <c r="I99" s="12">
        <v>333821</v>
      </c>
      <c r="J99" s="12">
        <v>131</v>
      </c>
      <c r="K99" s="12" t="s">
        <v>20</v>
      </c>
      <c r="L99" s="12">
        <v>1</v>
      </c>
      <c r="M99" s="17">
        <v>96774</v>
      </c>
      <c r="N99" s="17">
        <f t="shared" si="9"/>
        <v>96774</v>
      </c>
      <c r="O99" s="17" t="s">
        <v>21</v>
      </c>
      <c r="P99" s="12">
        <f t="shared" si="6"/>
        <v>61</v>
      </c>
      <c r="Q99" s="12">
        <f t="shared" si="8"/>
        <v>148</v>
      </c>
    </row>
    <row r="100" spans="1:17" ht="15" customHeight="1" x14ac:dyDescent="0.2">
      <c r="A100" s="12" t="s">
        <v>18</v>
      </c>
      <c r="B100" s="36" t="s">
        <v>2513</v>
      </c>
      <c r="C100" s="12">
        <f t="shared" si="7"/>
        <v>163</v>
      </c>
      <c r="D100" s="12">
        <v>1</v>
      </c>
      <c r="F100" s="12"/>
      <c r="G100" s="14" t="s">
        <v>2655</v>
      </c>
      <c r="H100" s="12" t="s">
        <v>2661</v>
      </c>
      <c r="I100" s="12">
        <v>131</v>
      </c>
      <c r="J100" s="12">
        <v>5113</v>
      </c>
      <c r="K100" s="12" t="s">
        <v>20</v>
      </c>
      <c r="L100" s="12">
        <v>1</v>
      </c>
      <c r="M100" s="17">
        <v>22580645</v>
      </c>
      <c r="N100" s="17">
        <f t="shared" si="9"/>
        <v>22580645</v>
      </c>
      <c r="O100" s="17" t="s">
        <v>21</v>
      </c>
      <c r="P100" s="12">
        <f t="shared" si="6"/>
        <v>62</v>
      </c>
      <c r="Q100" s="12">
        <f t="shared" si="8"/>
        <v>171</v>
      </c>
    </row>
    <row r="101" spans="1:17" ht="15" customHeight="1" x14ac:dyDescent="0.2">
      <c r="A101" s="12" t="s">
        <v>18</v>
      </c>
      <c r="B101" s="36" t="s">
        <v>2513</v>
      </c>
      <c r="C101" s="12">
        <f t="shared" si="7"/>
        <v>163</v>
      </c>
      <c r="D101" s="12">
        <v>0</v>
      </c>
      <c r="G101" s="14" t="s">
        <v>2655</v>
      </c>
      <c r="H101" s="12" t="s">
        <v>2665</v>
      </c>
      <c r="I101" s="12">
        <v>333821</v>
      </c>
      <c r="J101" s="12">
        <v>131</v>
      </c>
      <c r="K101" s="12" t="s">
        <v>20</v>
      </c>
      <c r="L101" s="12">
        <v>1</v>
      </c>
      <c r="M101" s="17">
        <v>225806</v>
      </c>
      <c r="N101" s="17">
        <f t="shared" si="9"/>
        <v>225806</v>
      </c>
      <c r="O101" s="17" t="s">
        <v>21</v>
      </c>
      <c r="P101" s="12">
        <f t="shared" si="6"/>
        <v>62</v>
      </c>
      <c r="Q101" s="12">
        <f t="shared" si="8"/>
        <v>187</v>
      </c>
    </row>
    <row r="102" spans="1:17" ht="15" customHeight="1" x14ac:dyDescent="0.2">
      <c r="A102" s="12" t="s">
        <v>18</v>
      </c>
      <c r="B102" s="36" t="s">
        <v>2513</v>
      </c>
      <c r="C102" s="12">
        <f t="shared" si="7"/>
        <v>164</v>
      </c>
      <c r="D102" s="12">
        <v>1</v>
      </c>
      <c r="F102" s="12"/>
      <c r="G102" s="14" t="s">
        <v>2656</v>
      </c>
      <c r="H102" s="12" t="s">
        <v>2662</v>
      </c>
      <c r="I102" s="12">
        <v>131</v>
      </c>
      <c r="J102" s="12">
        <v>5113</v>
      </c>
      <c r="K102" s="12" t="s">
        <v>20</v>
      </c>
      <c r="L102" s="12">
        <v>1</v>
      </c>
      <c r="M102" s="17">
        <v>23655914</v>
      </c>
      <c r="N102" s="17">
        <f t="shared" si="9"/>
        <v>23655914</v>
      </c>
      <c r="O102" s="17" t="s">
        <v>21</v>
      </c>
      <c r="P102" s="12">
        <f t="shared" si="6"/>
        <v>63</v>
      </c>
      <c r="Q102" s="12">
        <f t="shared" si="8"/>
        <v>148</v>
      </c>
    </row>
    <row r="103" spans="1:17" ht="15" customHeight="1" x14ac:dyDescent="0.2">
      <c r="A103" s="12" t="s">
        <v>18</v>
      </c>
      <c r="B103" s="36" t="s">
        <v>2513</v>
      </c>
      <c r="C103" s="12">
        <f t="shared" si="7"/>
        <v>164</v>
      </c>
      <c r="D103" s="12">
        <v>0</v>
      </c>
      <c r="G103" s="14" t="s">
        <v>2656</v>
      </c>
      <c r="H103" s="12" t="s">
        <v>2666</v>
      </c>
      <c r="I103" s="12">
        <v>333821</v>
      </c>
      <c r="J103" s="12">
        <v>131</v>
      </c>
      <c r="K103" s="12" t="s">
        <v>20</v>
      </c>
      <c r="L103" s="12">
        <v>1</v>
      </c>
      <c r="M103" s="17">
        <v>236559</v>
      </c>
      <c r="N103" s="17">
        <f t="shared" si="9"/>
        <v>236559</v>
      </c>
      <c r="O103" s="17" t="s">
        <v>21</v>
      </c>
      <c r="P103" s="12">
        <f t="shared" si="6"/>
        <v>63</v>
      </c>
      <c r="Q103" s="12">
        <f t="shared" si="8"/>
        <v>164</v>
      </c>
    </row>
    <row r="104" spans="1:17" ht="15" customHeight="1" x14ac:dyDescent="0.2">
      <c r="A104" s="12" t="s">
        <v>18</v>
      </c>
      <c r="B104" s="36" t="s">
        <v>2513</v>
      </c>
      <c r="C104" s="12">
        <f t="shared" si="7"/>
        <v>165</v>
      </c>
      <c r="D104" s="12">
        <v>1</v>
      </c>
      <c r="F104" s="12"/>
      <c r="G104" s="14" t="s">
        <v>2657</v>
      </c>
      <c r="H104" s="12" t="s">
        <v>2663</v>
      </c>
      <c r="I104" s="12">
        <v>131</v>
      </c>
      <c r="J104" s="12">
        <v>5113</v>
      </c>
      <c r="K104" s="12" t="s">
        <v>20</v>
      </c>
      <c r="L104" s="12">
        <v>1</v>
      </c>
      <c r="M104" s="17">
        <v>16129032</v>
      </c>
      <c r="N104" s="17">
        <f t="shared" si="9"/>
        <v>16129032</v>
      </c>
      <c r="O104" s="17" t="s">
        <v>21</v>
      </c>
      <c r="P104" s="12">
        <f t="shared" si="6"/>
        <v>64</v>
      </c>
      <c r="Q104" s="12">
        <f t="shared" si="8"/>
        <v>150</v>
      </c>
    </row>
    <row r="105" spans="1:17" ht="15" customHeight="1" x14ac:dyDescent="0.2">
      <c r="A105" s="12" t="s">
        <v>18</v>
      </c>
      <c r="B105" s="36" t="s">
        <v>2513</v>
      </c>
      <c r="C105" s="12">
        <f t="shared" si="7"/>
        <v>165</v>
      </c>
      <c r="D105" s="12">
        <v>0</v>
      </c>
      <c r="G105" s="14" t="s">
        <v>2657</v>
      </c>
      <c r="H105" s="12" t="s">
        <v>2667</v>
      </c>
      <c r="I105" s="12">
        <v>333821</v>
      </c>
      <c r="J105" s="12">
        <v>131</v>
      </c>
      <c r="K105" s="12" t="s">
        <v>20</v>
      </c>
      <c r="L105" s="12">
        <v>1</v>
      </c>
      <c r="M105" s="17">
        <v>161290</v>
      </c>
      <c r="N105" s="17">
        <f t="shared" si="9"/>
        <v>161290</v>
      </c>
      <c r="O105" s="17" t="s">
        <v>21</v>
      </c>
      <c r="P105" s="12">
        <f t="shared" si="6"/>
        <v>64</v>
      </c>
      <c r="Q105" s="12">
        <f t="shared" si="8"/>
        <v>166</v>
      </c>
    </row>
    <row r="106" spans="1:17" ht="15" customHeight="1" x14ac:dyDescent="0.2">
      <c r="A106" s="12" t="s">
        <v>18</v>
      </c>
      <c r="B106" s="36" t="s">
        <v>2513</v>
      </c>
      <c r="C106" s="12">
        <f t="shared" si="7"/>
        <v>166</v>
      </c>
      <c r="D106" s="12">
        <v>1</v>
      </c>
      <c r="F106" s="12"/>
      <c r="G106" s="14" t="s">
        <v>2052</v>
      </c>
      <c r="H106" s="12" t="s">
        <v>3382</v>
      </c>
      <c r="I106" s="12">
        <v>131</v>
      </c>
      <c r="J106" s="12">
        <v>5113</v>
      </c>
      <c r="K106" s="12" t="s">
        <v>20</v>
      </c>
      <c r="L106" s="12">
        <v>1</v>
      </c>
      <c r="M106" s="17">
        <v>33333333</v>
      </c>
      <c r="N106" s="17">
        <f t="shared" si="9"/>
        <v>33333333</v>
      </c>
      <c r="O106" s="17" t="s">
        <v>21</v>
      </c>
      <c r="P106" s="12">
        <f t="shared" si="6"/>
        <v>65</v>
      </c>
      <c r="Q106" s="12">
        <f t="shared" si="8"/>
        <v>144</v>
      </c>
    </row>
    <row r="107" spans="1:17" ht="15" customHeight="1" x14ac:dyDescent="0.2">
      <c r="A107" s="12" t="s">
        <v>18</v>
      </c>
      <c r="B107" s="36" t="s">
        <v>2513</v>
      </c>
      <c r="C107" s="12">
        <f t="shared" si="7"/>
        <v>166</v>
      </c>
      <c r="D107" s="12">
        <v>0</v>
      </c>
      <c r="G107" s="14" t="s">
        <v>2052</v>
      </c>
      <c r="H107" s="12" t="s">
        <v>3383</v>
      </c>
      <c r="I107" s="12">
        <v>333821</v>
      </c>
      <c r="J107" s="12">
        <v>131</v>
      </c>
      <c r="K107" s="12" t="s">
        <v>20</v>
      </c>
      <c r="L107" s="12">
        <v>1</v>
      </c>
      <c r="M107" s="17">
        <v>333333</v>
      </c>
      <c r="N107" s="17">
        <f t="shared" si="9"/>
        <v>333333</v>
      </c>
      <c r="O107" s="17" t="s">
        <v>21</v>
      </c>
      <c r="P107" s="12">
        <f t="shared" si="6"/>
        <v>65</v>
      </c>
      <c r="Q107" s="12">
        <f t="shared" si="8"/>
        <v>160</v>
      </c>
    </row>
    <row r="108" spans="1:17" ht="15" customHeight="1" x14ac:dyDescent="0.2">
      <c r="A108" s="12" t="s">
        <v>18</v>
      </c>
      <c r="B108" s="36" t="s">
        <v>2513</v>
      </c>
      <c r="C108" s="12">
        <f t="shared" si="7"/>
        <v>167</v>
      </c>
      <c r="D108" s="12">
        <v>1</v>
      </c>
      <c r="F108" s="12"/>
      <c r="G108" s="14" t="s">
        <v>2052</v>
      </c>
      <c r="H108" s="12" t="s">
        <v>3384</v>
      </c>
      <c r="I108" s="12">
        <v>131</v>
      </c>
      <c r="J108" s="12">
        <v>5113</v>
      </c>
      <c r="K108" s="12" t="s">
        <v>20</v>
      </c>
      <c r="L108" s="12">
        <v>1</v>
      </c>
      <c r="M108" s="17">
        <v>21698924</v>
      </c>
      <c r="N108" s="17">
        <f t="shared" si="9"/>
        <v>21698924</v>
      </c>
      <c r="O108" s="17" t="s">
        <v>21</v>
      </c>
      <c r="P108" s="12">
        <f t="shared" si="6"/>
        <v>66</v>
      </c>
      <c r="Q108" s="12">
        <f t="shared" si="8"/>
        <v>143</v>
      </c>
    </row>
    <row r="109" spans="1:17" ht="15" customHeight="1" x14ac:dyDescent="0.2">
      <c r="A109" s="12" t="s">
        <v>18</v>
      </c>
      <c r="B109" s="36" t="s">
        <v>2513</v>
      </c>
      <c r="C109" s="12">
        <f t="shared" si="7"/>
        <v>167</v>
      </c>
      <c r="D109" s="12">
        <v>0</v>
      </c>
      <c r="G109" s="14" t="s">
        <v>2052</v>
      </c>
      <c r="H109" s="12" t="s">
        <v>3385</v>
      </c>
      <c r="I109" s="12">
        <v>333821</v>
      </c>
      <c r="J109" s="12">
        <v>131</v>
      </c>
      <c r="K109" s="12" t="s">
        <v>20</v>
      </c>
      <c r="L109" s="12">
        <v>1</v>
      </c>
      <c r="M109" s="17">
        <v>216989</v>
      </c>
      <c r="N109" s="17">
        <f t="shared" si="9"/>
        <v>216989</v>
      </c>
      <c r="O109" s="17" t="s">
        <v>21</v>
      </c>
      <c r="P109" s="12">
        <f t="shared" si="6"/>
        <v>66</v>
      </c>
      <c r="Q109" s="12">
        <f t="shared" si="8"/>
        <v>159</v>
      </c>
    </row>
    <row r="110" spans="1:17" ht="15" customHeight="1" x14ac:dyDescent="0.2">
      <c r="A110" s="12" t="s">
        <v>2679</v>
      </c>
      <c r="B110" s="36" t="s">
        <v>309</v>
      </c>
      <c r="C110" s="12">
        <f t="shared" si="7"/>
        <v>168</v>
      </c>
      <c r="D110" s="12">
        <v>1</v>
      </c>
      <c r="G110" s="14" t="s">
        <v>59</v>
      </c>
      <c r="H110" s="12" t="s">
        <v>3318</v>
      </c>
      <c r="I110" s="12">
        <v>112111</v>
      </c>
      <c r="J110" s="12">
        <v>131</v>
      </c>
      <c r="K110" s="12" t="s">
        <v>20</v>
      </c>
      <c r="L110" s="12">
        <v>1</v>
      </c>
      <c r="M110" s="17">
        <v>5322581</v>
      </c>
      <c r="N110" s="17">
        <f t="shared" si="9"/>
        <v>5322581</v>
      </c>
      <c r="O110" s="17" t="s">
        <v>21</v>
      </c>
      <c r="P110" s="12">
        <f t="shared" si="6"/>
        <v>67</v>
      </c>
      <c r="Q110" s="12">
        <f t="shared" si="8"/>
        <v>169</v>
      </c>
    </row>
    <row r="111" spans="1:17" ht="15" customHeight="1" x14ac:dyDescent="0.2">
      <c r="A111" s="12" t="s">
        <v>2678</v>
      </c>
      <c r="B111" s="36" t="s">
        <v>444</v>
      </c>
      <c r="C111" s="12">
        <f t="shared" si="7"/>
        <v>169</v>
      </c>
      <c r="D111" s="12">
        <v>1</v>
      </c>
      <c r="G111" s="14" t="s">
        <v>112</v>
      </c>
      <c r="H111" s="12" t="s">
        <v>3017</v>
      </c>
      <c r="I111" s="12">
        <v>1111</v>
      </c>
      <c r="J111" s="12">
        <v>112111</v>
      </c>
      <c r="K111" s="12" t="s">
        <v>20</v>
      </c>
      <c r="L111" s="12">
        <v>1</v>
      </c>
      <c r="M111" s="17">
        <v>26810000</v>
      </c>
      <c r="N111" s="17">
        <f t="shared" si="9"/>
        <v>26810000</v>
      </c>
      <c r="O111" s="17" t="s">
        <v>21</v>
      </c>
      <c r="P111" s="12">
        <f t="shared" si="6"/>
        <v>68</v>
      </c>
      <c r="Q111" s="12">
        <f t="shared" si="8"/>
        <v>40</v>
      </c>
    </row>
    <row r="112" spans="1:17" ht="15" customHeight="1" x14ac:dyDescent="0.2">
      <c r="A112" s="12" t="s">
        <v>2678</v>
      </c>
      <c r="B112" s="36" t="s">
        <v>444</v>
      </c>
      <c r="C112" s="12">
        <f t="shared" si="7"/>
        <v>170</v>
      </c>
      <c r="D112" s="12">
        <v>1</v>
      </c>
      <c r="G112" s="14" t="s">
        <v>112</v>
      </c>
      <c r="H112" s="12" t="s">
        <v>3017</v>
      </c>
      <c r="I112" s="12">
        <v>1111</v>
      </c>
      <c r="J112" s="12">
        <v>112111</v>
      </c>
      <c r="K112" s="12" t="s">
        <v>20</v>
      </c>
      <c r="L112" s="12">
        <v>1</v>
      </c>
      <c r="M112" s="17">
        <v>3240000</v>
      </c>
      <c r="N112" s="17">
        <f t="shared" si="9"/>
        <v>3240000</v>
      </c>
      <c r="O112" s="17" t="s">
        <v>21</v>
      </c>
      <c r="P112" s="12">
        <f t="shared" si="6"/>
        <v>69</v>
      </c>
      <c r="Q112" s="12">
        <f t="shared" si="8"/>
        <v>40</v>
      </c>
    </row>
    <row r="113" spans="1:17" ht="15" customHeight="1" x14ac:dyDescent="0.2">
      <c r="A113" s="12" t="s">
        <v>2679</v>
      </c>
      <c r="B113" s="36" t="s">
        <v>445</v>
      </c>
      <c r="C113" s="12">
        <f t="shared" si="7"/>
        <v>171</v>
      </c>
      <c r="D113" s="12">
        <v>1</v>
      </c>
      <c r="G113" s="14" t="s">
        <v>104</v>
      </c>
      <c r="H113" s="12" t="s">
        <v>3319</v>
      </c>
      <c r="I113" s="12">
        <v>112111</v>
      </c>
      <c r="J113" s="12">
        <v>131</v>
      </c>
      <c r="K113" s="12" t="s">
        <v>20</v>
      </c>
      <c r="L113" s="12">
        <v>1</v>
      </c>
      <c r="M113" s="17">
        <v>15967742</v>
      </c>
      <c r="N113" s="17">
        <f t="shared" si="9"/>
        <v>15967742</v>
      </c>
      <c r="O113" s="17" t="s">
        <v>21</v>
      </c>
      <c r="P113" s="12">
        <f t="shared" si="6"/>
        <v>70</v>
      </c>
      <c r="Q113" s="12">
        <f t="shared" si="8"/>
        <v>119</v>
      </c>
    </row>
    <row r="114" spans="1:17" ht="15" customHeight="1" x14ac:dyDescent="0.2">
      <c r="A114" s="12" t="s">
        <v>2678</v>
      </c>
      <c r="B114" s="36" t="s">
        <v>311</v>
      </c>
      <c r="C114" s="12">
        <f t="shared" si="7"/>
        <v>172</v>
      </c>
      <c r="D114" s="12">
        <v>1</v>
      </c>
      <c r="G114" s="14" t="s">
        <v>112</v>
      </c>
      <c r="H114" s="12" t="s">
        <v>3017</v>
      </c>
      <c r="I114" s="12">
        <v>1111</v>
      </c>
      <c r="J114" s="12">
        <v>112111</v>
      </c>
      <c r="K114" s="12" t="s">
        <v>20</v>
      </c>
      <c r="L114" s="12">
        <v>1</v>
      </c>
      <c r="M114" s="17">
        <v>67800000</v>
      </c>
      <c r="N114" s="17">
        <f t="shared" si="9"/>
        <v>67800000</v>
      </c>
      <c r="O114" s="17" t="s">
        <v>21</v>
      </c>
      <c r="P114" s="12">
        <f t="shared" si="6"/>
        <v>71</v>
      </c>
      <c r="Q114" s="12">
        <f t="shared" si="8"/>
        <v>40</v>
      </c>
    </row>
    <row r="115" spans="1:17" ht="15" customHeight="1" x14ac:dyDescent="0.2">
      <c r="A115" s="12" t="s">
        <v>2678</v>
      </c>
      <c r="B115" s="36" t="s">
        <v>311</v>
      </c>
      <c r="C115" s="12">
        <f t="shared" si="7"/>
        <v>173</v>
      </c>
      <c r="D115" s="12">
        <v>1</v>
      </c>
      <c r="G115" s="14" t="s">
        <v>93</v>
      </c>
      <c r="H115" s="12" t="s">
        <v>3376</v>
      </c>
      <c r="I115" s="12">
        <v>3388</v>
      </c>
      <c r="J115" s="12">
        <v>112111</v>
      </c>
      <c r="K115" s="12" t="s">
        <v>20</v>
      </c>
      <c r="L115" s="12">
        <v>1</v>
      </c>
      <c r="M115" s="17">
        <v>199000</v>
      </c>
      <c r="N115" s="17">
        <f t="shared" si="9"/>
        <v>199000</v>
      </c>
      <c r="O115" s="12" t="s">
        <v>21</v>
      </c>
      <c r="P115" s="12">
        <f t="shared" si="6"/>
        <v>72</v>
      </c>
      <c r="Q115" s="12">
        <f t="shared" si="8"/>
        <v>31</v>
      </c>
    </row>
    <row r="116" spans="1:17" ht="15" customHeight="1" x14ac:dyDescent="0.2">
      <c r="A116" s="12" t="s">
        <v>2678</v>
      </c>
      <c r="B116" s="36" t="s">
        <v>311</v>
      </c>
      <c r="C116" s="12">
        <f t="shared" si="7"/>
        <v>174</v>
      </c>
      <c r="D116" s="12">
        <v>1</v>
      </c>
      <c r="G116" s="14" t="s">
        <v>93</v>
      </c>
      <c r="H116" s="12" t="s">
        <v>3376</v>
      </c>
      <c r="I116" s="12">
        <v>3388</v>
      </c>
      <c r="J116" s="12">
        <v>112111</v>
      </c>
      <c r="K116" s="12" t="s">
        <v>20</v>
      </c>
      <c r="L116" s="12">
        <v>1</v>
      </c>
      <c r="M116" s="17">
        <v>2000000</v>
      </c>
      <c r="N116" s="17">
        <f t="shared" si="9"/>
        <v>2000000</v>
      </c>
      <c r="O116" s="12" t="s">
        <v>21</v>
      </c>
      <c r="P116" s="12">
        <f t="shared" si="6"/>
        <v>73</v>
      </c>
      <c r="Q116" s="12">
        <f t="shared" si="8"/>
        <v>31</v>
      </c>
    </row>
    <row r="117" spans="1:17" ht="15" customHeight="1" x14ac:dyDescent="0.2">
      <c r="A117" s="12" t="s">
        <v>2679</v>
      </c>
      <c r="B117" s="36" t="s">
        <v>867</v>
      </c>
      <c r="C117" s="12">
        <f t="shared" si="7"/>
        <v>175</v>
      </c>
      <c r="D117" s="12">
        <v>1</v>
      </c>
      <c r="G117" s="14" t="s">
        <v>3321</v>
      </c>
      <c r="H117" s="12" t="s">
        <v>3320</v>
      </c>
      <c r="I117" s="12">
        <v>112111</v>
      </c>
      <c r="J117" s="12">
        <v>131</v>
      </c>
      <c r="K117" s="12" t="s">
        <v>20</v>
      </c>
      <c r="L117" s="12">
        <v>1</v>
      </c>
      <c r="M117" s="17">
        <v>21290323</v>
      </c>
      <c r="N117" s="17">
        <f t="shared" si="9"/>
        <v>21290323</v>
      </c>
      <c r="O117" s="17" t="s">
        <v>21</v>
      </c>
      <c r="P117" s="12">
        <f t="shared" si="6"/>
        <v>74</v>
      </c>
      <c r="Q117" s="12">
        <f t="shared" si="8"/>
        <v>167</v>
      </c>
    </row>
    <row r="118" spans="1:17" ht="15" customHeight="1" x14ac:dyDescent="0.2">
      <c r="A118" s="12" t="s">
        <v>2679</v>
      </c>
      <c r="B118" s="36" t="s">
        <v>867</v>
      </c>
      <c r="C118" s="12">
        <f t="shared" si="7"/>
        <v>176</v>
      </c>
      <c r="D118" s="12">
        <v>1</v>
      </c>
      <c r="G118" s="14" t="s">
        <v>105</v>
      </c>
      <c r="H118" s="12" t="s">
        <v>3322</v>
      </c>
      <c r="I118" s="12">
        <v>112111</v>
      </c>
      <c r="J118" s="12">
        <v>131</v>
      </c>
      <c r="K118" s="12" t="s">
        <v>20</v>
      </c>
      <c r="L118" s="12">
        <v>1</v>
      </c>
      <c r="M118" s="17">
        <v>19161290</v>
      </c>
      <c r="N118" s="17">
        <f t="shared" si="9"/>
        <v>19161290</v>
      </c>
      <c r="O118" s="17" t="s">
        <v>21</v>
      </c>
      <c r="P118" s="12">
        <f t="shared" si="6"/>
        <v>75</v>
      </c>
      <c r="Q118" s="12">
        <f t="shared" si="8"/>
        <v>160</v>
      </c>
    </row>
    <row r="119" spans="1:17" ht="15" customHeight="1" x14ac:dyDescent="0.2">
      <c r="A119" s="12" t="s">
        <v>2678</v>
      </c>
      <c r="B119" s="36" t="s">
        <v>867</v>
      </c>
      <c r="C119" s="12">
        <f t="shared" si="7"/>
        <v>177</v>
      </c>
      <c r="D119" s="12">
        <v>1</v>
      </c>
      <c r="G119" s="14" t="s">
        <v>112</v>
      </c>
      <c r="H119" s="12" t="s">
        <v>3017</v>
      </c>
      <c r="I119" s="12">
        <v>1111</v>
      </c>
      <c r="J119" s="12">
        <v>112111</v>
      </c>
      <c r="K119" s="12" t="s">
        <v>20</v>
      </c>
      <c r="L119" s="12">
        <v>1</v>
      </c>
      <c r="M119" s="17">
        <v>10000000</v>
      </c>
      <c r="N119" s="17">
        <f t="shared" si="9"/>
        <v>10000000</v>
      </c>
      <c r="O119" s="17" t="s">
        <v>21</v>
      </c>
      <c r="P119" s="12">
        <f t="shared" si="6"/>
        <v>76</v>
      </c>
      <c r="Q119" s="12">
        <f t="shared" si="8"/>
        <v>40</v>
      </c>
    </row>
    <row r="120" spans="1:17" ht="15" customHeight="1" x14ac:dyDescent="0.2">
      <c r="A120" s="12" t="s">
        <v>2679</v>
      </c>
      <c r="B120" s="36" t="s">
        <v>290</v>
      </c>
      <c r="C120" s="12">
        <f t="shared" si="7"/>
        <v>178</v>
      </c>
      <c r="D120" s="12">
        <v>1</v>
      </c>
      <c r="G120" s="14" t="s">
        <v>3003</v>
      </c>
      <c r="H120" s="12" t="s">
        <v>3005</v>
      </c>
      <c r="I120" s="12">
        <v>112111</v>
      </c>
      <c r="J120" s="12">
        <v>131</v>
      </c>
      <c r="K120" s="12" t="s">
        <v>20</v>
      </c>
      <c r="L120" s="12">
        <v>1</v>
      </c>
      <c r="M120" s="17">
        <v>16205788</v>
      </c>
      <c r="N120" s="17">
        <f t="shared" si="9"/>
        <v>16205788</v>
      </c>
      <c r="O120" s="17" t="s">
        <v>21</v>
      </c>
      <c r="P120" s="12">
        <f t="shared" si="6"/>
        <v>77</v>
      </c>
      <c r="Q120" s="12">
        <f t="shared" si="8"/>
        <v>48</v>
      </c>
    </row>
    <row r="121" spans="1:17" ht="15" customHeight="1" x14ac:dyDescent="0.2">
      <c r="A121" s="12" t="s">
        <v>18</v>
      </c>
      <c r="B121" s="36" t="s">
        <v>290</v>
      </c>
      <c r="C121" s="12">
        <f t="shared" si="7"/>
        <v>179</v>
      </c>
      <c r="D121" s="12">
        <v>1</v>
      </c>
      <c r="G121" s="14" t="s">
        <v>3003</v>
      </c>
      <c r="H121" s="12" t="s">
        <v>3004</v>
      </c>
      <c r="I121" s="12">
        <v>131</v>
      </c>
      <c r="J121" s="12">
        <v>5118</v>
      </c>
      <c r="K121" s="12" t="s">
        <v>20</v>
      </c>
      <c r="L121" s="12">
        <v>1</v>
      </c>
      <c r="M121" s="17">
        <v>16205788</v>
      </c>
      <c r="N121" s="17">
        <f t="shared" ref="N121" si="10">L121*M121</f>
        <v>16205788</v>
      </c>
      <c r="O121" s="17" t="s">
        <v>21</v>
      </c>
      <c r="P121" s="12">
        <f t="shared" si="6"/>
        <v>78</v>
      </c>
      <c r="Q121" s="12">
        <f t="shared" si="8"/>
        <v>43</v>
      </c>
    </row>
    <row r="122" spans="1:17" ht="15" customHeight="1" x14ac:dyDescent="0.2">
      <c r="A122" s="12" t="s">
        <v>2678</v>
      </c>
      <c r="B122" s="36" t="s">
        <v>413</v>
      </c>
      <c r="C122" s="12">
        <f t="shared" si="7"/>
        <v>180</v>
      </c>
      <c r="D122" s="12">
        <v>1</v>
      </c>
      <c r="G122" s="14" t="s">
        <v>112</v>
      </c>
      <c r="H122" s="12" t="s">
        <v>3017</v>
      </c>
      <c r="I122" s="12">
        <v>1111</v>
      </c>
      <c r="J122" s="12">
        <v>112111</v>
      </c>
      <c r="K122" s="12" t="s">
        <v>20</v>
      </c>
      <c r="L122" s="12">
        <v>1</v>
      </c>
      <c r="M122" s="17">
        <v>18000000</v>
      </c>
      <c r="N122" s="17">
        <f t="shared" si="9"/>
        <v>18000000</v>
      </c>
      <c r="O122" s="17" t="s">
        <v>21</v>
      </c>
      <c r="P122" s="12">
        <f t="shared" si="6"/>
        <v>79</v>
      </c>
      <c r="Q122" s="12">
        <f t="shared" si="8"/>
        <v>40</v>
      </c>
    </row>
    <row r="123" spans="1:17" ht="15" customHeight="1" x14ac:dyDescent="0.2">
      <c r="A123" s="12" t="s">
        <v>2678</v>
      </c>
      <c r="B123" s="36" t="s">
        <v>868</v>
      </c>
      <c r="C123" s="12">
        <f t="shared" si="7"/>
        <v>181</v>
      </c>
      <c r="D123" s="12">
        <v>1</v>
      </c>
      <c r="G123" s="14" t="s">
        <v>112</v>
      </c>
      <c r="H123" s="12" t="s">
        <v>3017</v>
      </c>
      <c r="I123" s="12">
        <v>1111</v>
      </c>
      <c r="J123" s="12">
        <v>112111</v>
      </c>
      <c r="K123" s="12" t="s">
        <v>20</v>
      </c>
      <c r="L123" s="12">
        <v>1</v>
      </c>
      <c r="M123" s="17">
        <v>5400000</v>
      </c>
      <c r="N123" s="17">
        <f t="shared" si="9"/>
        <v>5400000</v>
      </c>
      <c r="O123" s="17" t="s">
        <v>21</v>
      </c>
      <c r="P123" s="12">
        <f t="shared" si="6"/>
        <v>80</v>
      </c>
      <c r="Q123" s="12">
        <f t="shared" si="8"/>
        <v>40</v>
      </c>
    </row>
    <row r="124" spans="1:17" ht="15" customHeight="1" x14ac:dyDescent="0.2">
      <c r="A124" s="12" t="s">
        <v>2678</v>
      </c>
      <c r="B124" s="36" t="s">
        <v>414</v>
      </c>
      <c r="C124" s="12">
        <f t="shared" si="7"/>
        <v>182</v>
      </c>
      <c r="D124" s="12">
        <v>1</v>
      </c>
      <c r="G124" s="14" t="s">
        <v>112</v>
      </c>
      <c r="H124" s="12" t="s">
        <v>3017</v>
      </c>
      <c r="I124" s="12">
        <v>1111</v>
      </c>
      <c r="J124" s="12">
        <v>112111</v>
      </c>
      <c r="K124" s="12" t="s">
        <v>20</v>
      </c>
      <c r="L124" s="12">
        <v>1</v>
      </c>
      <c r="M124" s="17">
        <v>22950000</v>
      </c>
      <c r="N124" s="17">
        <f t="shared" si="9"/>
        <v>22950000</v>
      </c>
      <c r="O124" s="17" t="s">
        <v>21</v>
      </c>
      <c r="P124" s="12">
        <f t="shared" si="6"/>
        <v>81</v>
      </c>
      <c r="Q124" s="12">
        <f t="shared" si="8"/>
        <v>40</v>
      </c>
    </row>
    <row r="125" spans="1:17" ht="15" customHeight="1" x14ac:dyDescent="0.2">
      <c r="A125" s="12" t="s">
        <v>2679</v>
      </c>
      <c r="B125" s="36" t="s">
        <v>599</v>
      </c>
      <c r="C125" s="12">
        <f t="shared" si="7"/>
        <v>183</v>
      </c>
      <c r="D125" s="12">
        <v>1</v>
      </c>
      <c r="G125" s="14" t="s">
        <v>110</v>
      </c>
      <c r="H125" s="12" t="s">
        <v>3387</v>
      </c>
      <c r="I125" s="12">
        <v>112111</v>
      </c>
      <c r="J125" s="12">
        <v>131</v>
      </c>
      <c r="K125" s="12" t="s">
        <v>20</v>
      </c>
      <c r="L125" s="12">
        <v>1</v>
      </c>
      <c r="M125" s="17">
        <v>21290322</v>
      </c>
      <c r="N125" s="17">
        <f t="shared" si="9"/>
        <v>21290322</v>
      </c>
      <c r="O125" s="12" t="s">
        <v>21</v>
      </c>
      <c r="P125" s="12">
        <f t="shared" si="6"/>
        <v>82</v>
      </c>
      <c r="Q125" s="12">
        <f t="shared" si="8"/>
        <v>161</v>
      </c>
    </row>
    <row r="126" spans="1:17" ht="15" customHeight="1" x14ac:dyDescent="0.2">
      <c r="A126" s="12" t="s">
        <v>2678</v>
      </c>
      <c r="B126" s="36" t="s">
        <v>469</v>
      </c>
      <c r="C126" s="12">
        <f t="shared" si="7"/>
        <v>184</v>
      </c>
      <c r="D126" s="12">
        <v>1</v>
      </c>
      <c r="G126" s="14" t="s">
        <v>112</v>
      </c>
      <c r="H126" s="12" t="s">
        <v>3017</v>
      </c>
      <c r="I126" s="12">
        <v>1111</v>
      </c>
      <c r="J126" s="12">
        <v>112111</v>
      </c>
      <c r="K126" s="12" t="s">
        <v>20</v>
      </c>
      <c r="L126" s="12">
        <v>1</v>
      </c>
      <c r="M126" s="17">
        <v>29830000</v>
      </c>
      <c r="N126" s="17">
        <f t="shared" si="9"/>
        <v>29830000</v>
      </c>
      <c r="O126" s="17" t="s">
        <v>21</v>
      </c>
      <c r="P126" s="12">
        <f t="shared" si="6"/>
        <v>83</v>
      </c>
      <c r="Q126" s="12">
        <f t="shared" si="8"/>
        <v>40</v>
      </c>
    </row>
    <row r="127" spans="1:17" ht="15" customHeight="1" x14ac:dyDescent="0.2">
      <c r="A127" s="12" t="s">
        <v>2679</v>
      </c>
      <c r="B127" s="36" t="s">
        <v>415</v>
      </c>
      <c r="C127" s="12">
        <f t="shared" si="7"/>
        <v>185</v>
      </c>
      <c r="D127" s="12">
        <v>1</v>
      </c>
      <c r="G127" s="14" t="s">
        <v>58</v>
      </c>
      <c r="H127" s="12" t="s">
        <v>3323</v>
      </c>
      <c r="I127" s="12">
        <v>112111</v>
      </c>
      <c r="J127" s="12">
        <v>131</v>
      </c>
      <c r="K127" s="12" t="s">
        <v>20</v>
      </c>
      <c r="L127" s="12">
        <v>1</v>
      </c>
      <c r="M127" s="17">
        <v>6387097</v>
      </c>
      <c r="N127" s="17">
        <f t="shared" si="9"/>
        <v>6387097</v>
      </c>
      <c r="O127" s="17" t="s">
        <v>21</v>
      </c>
      <c r="P127" s="12">
        <f t="shared" si="6"/>
        <v>84</v>
      </c>
      <c r="Q127" s="12">
        <f t="shared" si="8"/>
        <v>147</v>
      </c>
    </row>
    <row r="128" spans="1:17" ht="15" customHeight="1" x14ac:dyDescent="0.2">
      <c r="A128" s="12" t="s">
        <v>2679</v>
      </c>
      <c r="B128" s="36" t="s">
        <v>415</v>
      </c>
      <c r="C128" s="12">
        <f t="shared" si="7"/>
        <v>186</v>
      </c>
      <c r="D128" s="12">
        <v>1</v>
      </c>
      <c r="G128" s="14" t="s">
        <v>2056</v>
      </c>
      <c r="H128" s="12" t="s">
        <v>3324</v>
      </c>
      <c r="I128" s="12">
        <v>112111</v>
      </c>
      <c r="J128" s="12">
        <v>131</v>
      </c>
      <c r="K128" s="12" t="s">
        <v>20</v>
      </c>
      <c r="L128" s="12">
        <v>1</v>
      </c>
      <c r="M128" s="17">
        <v>15967742</v>
      </c>
      <c r="N128" s="17">
        <f t="shared" si="9"/>
        <v>15967742</v>
      </c>
      <c r="O128" s="17" t="s">
        <v>21</v>
      </c>
      <c r="P128" s="12">
        <f t="shared" si="6"/>
        <v>85</v>
      </c>
      <c r="Q128" s="12">
        <f t="shared" si="8"/>
        <v>111</v>
      </c>
    </row>
    <row r="129" spans="1:17" ht="15" customHeight="1" x14ac:dyDescent="0.2">
      <c r="A129" s="12" t="s">
        <v>2678</v>
      </c>
      <c r="B129" s="36" t="s">
        <v>415</v>
      </c>
      <c r="C129" s="12">
        <f t="shared" si="7"/>
        <v>187</v>
      </c>
      <c r="D129" s="12">
        <v>1</v>
      </c>
      <c r="G129" s="14" t="s">
        <v>112</v>
      </c>
      <c r="H129" s="12" t="s">
        <v>3017</v>
      </c>
      <c r="I129" s="12">
        <v>1111</v>
      </c>
      <c r="J129" s="12">
        <v>112111</v>
      </c>
      <c r="K129" s="12" t="s">
        <v>20</v>
      </c>
      <c r="L129" s="12">
        <v>1</v>
      </c>
      <c r="M129" s="17">
        <v>5000000</v>
      </c>
      <c r="N129" s="17">
        <f t="shared" si="9"/>
        <v>5000000</v>
      </c>
      <c r="O129" s="17" t="s">
        <v>21</v>
      </c>
      <c r="P129" s="12">
        <f t="shared" ref="P129:P193" si="11">P128+D129</f>
        <v>86</v>
      </c>
      <c r="Q129" s="12">
        <f t="shared" si="8"/>
        <v>40</v>
      </c>
    </row>
    <row r="130" spans="1:17" ht="15" customHeight="1" x14ac:dyDescent="0.2">
      <c r="A130" s="12" t="s">
        <v>2678</v>
      </c>
      <c r="B130" s="36" t="s">
        <v>512</v>
      </c>
      <c r="C130" s="12">
        <f t="shared" ref="C130:C193" si="12">C129+D130</f>
        <v>188</v>
      </c>
      <c r="D130" s="12">
        <v>1</v>
      </c>
      <c r="G130" s="14" t="s">
        <v>112</v>
      </c>
      <c r="H130" s="12" t="s">
        <v>3017</v>
      </c>
      <c r="I130" s="12">
        <v>1111</v>
      </c>
      <c r="J130" s="12">
        <v>112111</v>
      </c>
      <c r="K130" s="12" t="s">
        <v>20</v>
      </c>
      <c r="L130" s="12">
        <v>1</v>
      </c>
      <c r="M130" s="17">
        <v>1500000</v>
      </c>
      <c r="N130" s="17">
        <f t="shared" si="9"/>
        <v>1500000</v>
      </c>
      <c r="O130" s="17" t="s">
        <v>21</v>
      </c>
      <c r="P130" s="12">
        <f t="shared" si="11"/>
        <v>87</v>
      </c>
      <c r="Q130" s="12">
        <f t="shared" si="8"/>
        <v>40</v>
      </c>
    </row>
    <row r="131" spans="1:17" ht="15" customHeight="1" x14ac:dyDescent="0.2">
      <c r="A131" s="12" t="s">
        <v>2678</v>
      </c>
      <c r="B131" s="36" t="s">
        <v>512</v>
      </c>
      <c r="C131" s="12">
        <f t="shared" si="12"/>
        <v>189</v>
      </c>
      <c r="D131" s="12">
        <v>1</v>
      </c>
      <c r="G131" s="14" t="s">
        <v>112</v>
      </c>
      <c r="H131" s="12" t="s">
        <v>3017</v>
      </c>
      <c r="I131" s="12">
        <v>1111</v>
      </c>
      <c r="J131" s="12">
        <v>112111</v>
      </c>
      <c r="K131" s="12" t="s">
        <v>20</v>
      </c>
      <c r="L131" s="12">
        <v>1</v>
      </c>
      <c r="M131" s="17">
        <v>1000000</v>
      </c>
      <c r="N131" s="17">
        <f t="shared" si="9"/>
        <v>1000000</v>
      </c>
      <c r="O131" s="17" t="s">
        <v>21</v>
      </c>
      <c r="P131" s="12">
        <f t="shared" si="11"/>
        <v>88</v>
      </c>
      <c r="Q131" s="12">
        <f t="shared" si="8"/>
        <v>40</v>
      </c>
    </row>
    <row r="132" spans="1:17" ht="15" customHeight="1" x14ac:dyDescent="0.2">
      <c r="A132" s="12" t="s">
        <v>2679</v>
      </c>
      <c r="B132" s="36" t="s">
        <v>312</v>
      </c>
      <c r="C132" s="12">
        <f t="shared" si="12"/>
        <v>190</v>
      </c>
      <c r="D132" s="12">
        <v>1</v>
      </c>
      <c r="G132" s="14" t="s">
        <v>103</v>
      </c>
      <c r="H132" s="12" t="s">
        <v>3325</v>
      </c>
      <c r="I132" s="12">
        <v>112111</v>
      </c>
      <c r="J132" s="12">
        <v>131</v>
      </c>
      <c r="K132" s="12" t="s">
        <v>20</v>
      </c>
      <c r="L132" s="12">
        <v>1</v>
      </c>
      <c r="M132" s="17">
        <v>5322581</v>
      </c>
      <c r="N132" s="17">
        <f t="shared" si="9"/>
        <v>5322581</v>
      </c>
      <c r="O132" s="17" t="s">
        <v>21</v>
      </c>
      <c r="P132" s="12">
        <f t="shared" si="11"/>
        <v>89</v>
      </c>
      <c r="Q132" s="12">
        <f t="shared" si="8"/>
        <v>177</v>
      </c>
    </row>
    <row r="133" spans="1:17" ht="15" customHeight="1" x14ac:dyDescent="0.2">
      <c r="A133" s="12" t="s">
        <v>2679</v>
      </c>
      <c r="B133" s="36" t="s">
        <v>312</v>
      </c>
      <c r="C133" s="12">
        <f t="shared" si="12"/>
        <v>191</v>
      </c>
      <c r="D133" s="12">
        <v>1</v>
      </c>
      <c r="G133" s="14" t="s">
        <v>2052</v>
      </c>
      <c r="H133" s="12" t="s">
        <v>3326</v>
      </c>
      <c r="I133" s="12">
        <v>112111</v>
      </c>
      <c r="J133" s="12">
        <v>131</v>
      </c>
      <c r="K133" s="12" t="s">
        <v>20</v>
      </c>
      <c r="L133" s="12">
        <v>1</v>
      </c>
      <c r="M133" s="17">
        <v>14903226</v>
      </c>
      <c r="N133" s="17">
        <f t="shared" si="9"/>
        <v>14903226</v>
      </c>
      <c r="O133" s="17" t="s">
        <v>21</v>
      </c>
      <c r="P133" s="12">
        <f t="shared" si="11"/>
        <v>90</v>
      </c>
      <c r="Q133" s="12">
        <f t="shared" ref="Q133:Q196" si="13">LEN(H133)</f>
        <v>196</v>
      </c>
    </row>
    <row r="134" spans="1:17" ht="15" customHeight="1" x14ac:dyDescent="0.2">
      <c r="A134" s="12" t="s">
        <v>2679</v>
      </c>
      <c r="B134" s="36" t="s">
        <v>312</v>
      </c>
      <c r="C134" s="12">
        <f t="shared" si="12"/>
        <v>192</v>
      </c>
      <c r="D134" s="12">
        <v>1</v>
      </c>
      <c r="G134" s="14" t="s">
        <v>3328</v>
      </c>
      <c r="H134" s="12" t="s">
        <v>3327</v>
      </c>
      <c r="I134" s="12">
        <v>112111</v>
      </c>
      <c r="J134" s="12">
        <v>131</v>
      </c>
      <c r="K134" s="12" t="s">
        <v>20</v>
      </c>
      <c r="L134" s="12">
        <v>1</v>
      </c>
      <c r="M134" s="17">
        <v>24483871</v>
      </c>
      <c r="N134" s="17">
        <f t="shared" si="9"/>
        <v>24483871</v>
      </c>
      <c r="O134" s="17" t="s">
        <v>21</v>
      </c>
      <c r="P134" s="12">
        <f t="shared" si="11"/>
        <v>91</v>
      </c>
      <c r="Q134" s="12">
        <f t="shared" si="13"/>
        <v>154</v>
      </c>
    </row>
    <row r="135" spans="1:17" ht="15" customHeight="1" x14ac:dyDescent="0.2">
      <c r="A135" s="12" t="s">
        <v>2678</v>
      </c>
      <c r="B135" s="36" t="s">
        <v>652</v>
      </c>
      <c r="C135" s="12">
        <f t="shared" si="12"/>
        <v>193</v>
      </c>
      <c r="D135" s="12">
        <v>1</v>
      </c>
      <c r="G135" s="14" t="s">
        <v>112</v>
      </c>
      <c r="H135" s="12" t="s">
        <v>3017</v>
      </c>
      <c r="I135" s="12">
        <v>1111</v>
      </c>
      <c r="J135" s="12">
        <v>112111</v>
      </c>
      <c r="K135" s="12" t="s">
        <v>20</v>
      </c>
      <c r="L135" s="12">
        <v>1</v>
      </c>
      <c r="M135" s="17">
        <v>28480000</v>
      </c>
      <c r="N135" s="17">
        <f t="shared" si="9"/>
        <v>28480000</v>
      </c>
      <c r="O135" s="17" t="s">
        <v>21</v>
      </c>
      <c r="P135" s="12">
        <f t="shared" si="11"/>
        <v>92</v>
      </c>
      <c r="Q135" s="12">
        <f t="shared" si="13"/>
        <v>40</v>
      </c>
    </row>
    <row r="136" spans="1:17" ht="15" customHeight="1" x14ac:dyDescent="0.2">
      <c r="A136" s="12" t="s">
        <v>2679</v>
      </c>
      <c r="B136" s="36" t="s">
        <v>652</v>
      </c>
      <c r="C136" s="12">
        <f t="shared" si="12"/>
        <v>194</v>
      </c>
      <c r="D136" s="12">
        <v>1</v>
      </c>
      <c r="G136" s="14" t="s">
        <v>2053</v>
      </c>
      <c r="H136" s="12" t="s">
        <v>3329</v>
      </c>
      <c r="I136" s="12">
        <v>112111</v>
      </c>
      <c r="J136" s="12">
        <v>131</v>
      </c>
      <c r="K136" s="12" t="s">
        <v>20</v>
      </c>
      <c r="L136" s="12">
        <v>1</v>
      </c>
      <c r="M136" s="17">
        <v>37258064</v>
      </c>
      <c r="N136" s="17">
        <f t="shared" si="9"/>
        <v>37258064</v>
      </c>
      <c r="O136" s="17" t="s">
        <v>21</v>
      </c>
      <c r="P136" s="12">
        <f t="shared" si="11"/>
        <v>93</v>
      </c>
      <c r="Q136" s="12">
        <f t="shared" si="13"/>
        <v>123</v>
      </c>
    </row>
    <row r="137" spans="1:17" ht="15" customHeight="1" x14ac:dyDescent="0.2">
      <c r="A137" s="12" t="s">
        <v>2678</v>
      </c>
      <c r="B137" s="36" t="s">
        <v>652</v>
      </c>
      <c r="C137" s="12">
        <f t="shared" si="12"/>
        <v>195</v>
      </c>
      <c r="D137" s="12">
        <v>1</v>
      </c>
      <c r="G137" s="14" t="s">
        <v>112</v>
      </c>
      <c r="H137" s="12" t="s">
        <v>3017</v>
      </c>
      <c r="I137" s="12">
        <v>1111</v>
      </c>
      <c r="J137" s="12">
        <v>112111</v>
      </c>
      <c r="K137" s="12" t="s">
        <v>20</v>
      </c>
      <c r="L137" s="12">
        <v>1</v>
      </c>
      <c r="M137" s="17">
        <v>1000000</v>
      </c>
      <c r="N137" s="17">
        <f t="shared" si="9"/>
        <v>1000000</v>
      </c>
      <c r="O137" s="12" t="s">
        <v>21</v>
      </c>
      <c r="P137" s="12">
        <f t="shared" si="11"/>
        <v>94</v>
      </c>
      <c r="Q137" s="12">
        <f t="shared" si="13"/>
        <v>40</v>
      </c>
    </row>
    <row r="138" spans="1:17" ht="15" customHeight="1" x14ac:dyDescent="0.2">
      <c r="A138" s="12" t="s">
        <v>2679</v>
      </c>
      <c r="B138" s="36" t="s">
        <v>869</v>
      </c>
      <c r="C138" s="12">
        <f t="shared" si="12"/>
        <v>196</v>
      </c>
      <c r="D138" s="12">
        <v>1</v>
      </c>
      <c r="G138" s="14" t="s">
        <v>2054</v>
      </c>
      <c r="H138" s="12" t="s">
        <v>3330</v>
      </c>
      <c r="I138" s="12">
        <v>112111</v>
      </c>
      <c r="J138" s="12">
        <v>131</v>
      </c>
      <c r="K138" s="12" t="s">
        <v>20</v>
      </c>
      <c r="L138" s="12">
        <v>1</v>
      </c>
      <c r="M138" s="17">
        <v>15967742</v>
      </c>
      <c r="N138" s="17">
        <f t="shared" si="9"/>
        <v>15967742</v>
      </c>
      <c r="O138" s="17" t="s">
        <v>21</v>
      </c>
      <c r="P138" s="12">
        <f t="shared" si="11"/>
        <v>95</v>
      </c>
      <c r="Q138" s="12">
        <f t="shared" si="13"/>
        <v>155</v>
      </c>
    </row>
    <row r="139" spans="1:17" ht="15" customHeight="1" x14ac:dyDescent="0.2">
      <c r="A139" s="12" t="s">
        <v>2678</v>
      </c>
      <c r="B139" s="36" t="s">
        <v>869</v>
      </c>
      <c r="C139" s="12">
        <f t="shared" si="12"/>
        <v>197</v>
      </c>
      <c r="D139" s="12">
        <v>1</v>
      </c>
      <c r="G139" s="14" t="s">
        <v>112</v>
      </c>
      <c r="H139" s="12" t="s">
        <v>3017</v>
      </c>
      <c r="I139" s="12">
        <v>1111</v>
      </c>
      <c r="J139" s="12">
        <v>112111</v>
      </c>
      <c r="K139" s="12" t="s">
        <v>20</v>
      </c>
      <c r="L139" s="12">
        <v>1</v>
      </c>
      <c r="M139" s="17">
        <v>45000000</v>
      </c>
      <c r="N139" s="17">
        <f t="shared" si="9"/>
        <v>45000000</v>
      </c>
      <c r="O139" s="17" t="s">
        <v>21</v>
      </c>
      <c r="P139" s="12">
        <f t="shared" si="11"/>
        <v>96</v>
      </c>
      <c r="Q139" s="12">
        <f t="shared" si="13"/>
        <v>40</v>
      </c>
    </row>
    <row r="140" spans="1:17" ht="15" customHeight="1" x14ac:dyDescent="0.2">
      <c r="A140" s="12" t="s">
        <v>2679</v>
      </c>
      <c r="B140" s="36" t="s">
        <v>377</v>
      </c>
      <c r="C140" s="12">
        <f t="shared" si="12"/>
        <v>198</v>
      </c>
      <c r="D140" s="12">
        <v>1</v>
      </c>
      <c r="G140" s="14" t="s">
        <v>2052</v>
      </c>
      <c r="H140" s="12" t="s">
        <v>3331</v>
      </c>
      <c r="I140" s="12">
        <v>112111</v>
      </c>
      <c r="J140" s="12">
        <v>131</v>
      </c>
      <c r="K140" s="12" t="s">
        <v>20</v>
      </c>
      <c r="L140" s="12">
        <v>1</v>
      </c>
      <c r="M140" s="17">
        <v>15967742</v>
      </c>
      <c r="N140" s="17">
        <f t="shared" si="9"/>
        <v>15967742</v>
      </c>
      <c r="O140" s="17" t="s">
        <v>21</v>
      </c>
      <c r="P140" s="12">
        <f t="shared" si="11"/>
        <v>97</v>
      </c>
      <c r="Q140" s="12">
        <f t="shared" si="13"/>
        <v>180</v>
      </c>
    </row>
    <row r="141" spans="1:17" ht="15" customHeight="1" x14ac:dyDescent="0.2">
      <c r="A141" s="12" t="s">
        <v>2678</v>
      </c>
      <c r="B141" s="36" t="s">
        <v>377</v>
      </c>
      <c r="C141" s="12">
        <f t="shared" si="12"/>
        <v>199</v>
      </c>
      <c r="D141" s="12">
        <v>1</v>
      </c>
      <c r="G141" s="14" t="s">
        <v>112</v>
      </c>
      <c r="H141" s="12" t="s">
        <v>3017</v>
      </c>
      <c r="I141" s="12">
        <v>1111</v>
      </c>
      <c r="J141" s="12">
        <v>112111</v>
      </c>
      <c r="K141" s="12" t="s">
        <v>20</v>
      </c>
      <c r="L141" s="12">
        <v>1</v>
      </c>
      <c r="M141" s="17">
        <v>15300000</v>
      </c>
      <c r="N141" s="17">
        <f t="shared" si="9"/>
        <v>15300000</v>
      </c>
      <c r="O141" s="17" t="s">
        <v>21</v>
      </c>
      <c r="P141" s="12">
        <f t="shared" si="11"/>
        <v>98</v>
      </c>
      <c r="Q141" s="12">
        <f t="shared" si="13"/>
        <v>40</v>
      </c>
    </row>
    <row r="142" spans="1:17" ht="15" customHeight="1" x14ac:dyDescent="0.2">
      <c r="A142" s="12" t="s">
        <v>2679</v>
      </c>
      <c r="B142" s="36" t="s">
        <v>291</v>
      </c>
      <c r="C142" s="12">
        <f t="shared" si="12"/>
        <v>200</v>
      </c>
      <c r="D142" s="12">
        <v>1</v>
      </c>
      <c r="G142" s="14" t="s">
        <v>112</v>
      </c>
      <c r="H142" s="12" t="s">
        <v>3095</v>
      </c>
      <c r="I142" s="12">
        <v>112111</v>
      </c>
      <c r="J142" s="12">
        <v>5154</v>
      </c>
      <c r="K142" s="12" t="s">
        <v>20</v>
      </c>
      <c r="L142" s="12">
        <v>1</v>
      </c>
      <c r="M142" s="17">
        <v>6548</v>
      </c>
      <c r="N142" s="17">
        <f t="shared" si="9"/>
        <v>6548</v>
      </c>
      <c r="O142" s="17" t="s">
        <v>21</v>
      </c>
      <c r="P142" s="12">
        <f t="shared" si="11"/>
        <v>99</v>
      </c>
      <c r="Q142" s="12">
        <f t="shared" si="13"/>
        <v>13</v>
      </c>
    </row>
    <row r="143" spans="1:17" ht="15" customHeight="1" x14ac:dyDescent="0.2">
      <c r="A143" s="12" t="s">
        <v>2678</v>
      </c>
      <c r="B143" s="36" t="s">
        <v>291</v>
      </c>
      <c r="C143" s="12">
        <f t="shared" si="12"/>
        <v>201</v>
      </c>
      <c r="D143" s="12">
        <v>1</v>
      </c>
      <c r="G143" s="14" t="s">
        <v>112</v>
      </c>
      <c r="H143" s="12" t="s">
        <v>3017</v>
      </c>
      <c r="I143" s="12">
        <v>1111</v>
      </c>
      <c r="J143" s="12">
        <v>112111</v>
      </c>
      <c r="K143" s="12" t="s">
        <v>20</v>
      </c>
      <c r="L143" s="12">
        <v>1</v>
      </c>
      <c r="M143" s="17">
        <v>1000000</v>
      </c>
      <c r="N143" s="17">
        <f t="shared" si="9"/>
        <v>1000000</v>
      </c>
      <c r="O143" s="17" t="s">
        <v>21</v>
      </c>
      <c r="P143" s="12">
        <f t="shared" si="11"/>
        <v>100</v>
      </c>
      <c r="Q143" s="12">
        <f t="shared" si="13"/>
        <v>40</v>
      </c>
    </row>
    <row r="144" spans="1:17" ht="15" customHeight="1" x14ac:dyDescent="0.2">
      <c r="A144" s="12" t="s">
        <v>2678</v>
      </c>
      <c r="B144" s="36" t="s">
        <v>291</v>
      </c>
      <c r="C144" s="12">
        <f t="shared" si="12"/>
        <v>202</v>
      </c>
      <c r="D144" s="12">
        <v>1</v>
      </c>
      <c r="G144" s="14" t="s">
        <v>112</v>
      </c>
      <c r="H144" s="12" t="s">
        <v>3017</v>
      </c>
      <c r="I144" s="12">
        <v>1111</v>
      </c>
      <c r="J144" s="12">
        <v>112111</v>
      </c>
      <c r="K144" s="12" t="s">
        <v>20</v>
      </c>
      <c r="L144" s="12">
        <v>1</v>
      </c>
      <c r="M144" s="17">
        <v>2250000</v>
      </c>
      <c r="N144" s="17">
        <f t="shared" si="9"/>
        <v>2250000</v>
      </c>
      <c r="O144" s="17" t="s">
        <v>21</v>
      </c>
      <c r="P144" s="12">
        <f t="shared" si="11"/>
        <v>101</v>
      </c>
      <c r="Q144" s="12">
        <f t="shared" si="13"/>
        <v>40</v>
      </c>
    </row>
    <row r="145" spans="1:17" ht="15" customHeight="1" x14ac:dyDescent="0.2">
      <c r="A145" s="12" t="s">
        <v>2679</v>
      </c>
      <c r="B145" s="36" t="s">
        <v>291</v>
      </c>
      <c r="C145" s="12">
        <f t="shared" si="12"/>
        <v>203</v>
      </c>
      <c r="D145" s="12">
        <v>1</v>
      </c>
      <c r="G145" s="14" t="s">
        <v>2057</v>
      </c>
      <c r="H145" s="12" t="s">
        <v>3332</v>
      </c>
      <c r="I145" s="12">
        <v>112111</v>
      </c>
      <c r="J145" s="12">
        <v>131</v>
      </c>
      <c r="K145" s="12" t="s">
        <v>20</v>
      </c>
      <c r="L145" s="12">
        <v>1</v>
      </c>
      <c r="M145" s="17">
        <v>15967742</v>
      </c>
      <c r="N145" s="17">
        <f t="shared" si="9"/>
        <v>15967742</v>
      </c>
      <c r="O145" s="17" t="s">
        <v>21</v>
      </c>
      <c r="P145" s="12">
        <f t="shared" si="11"/>
        <v>102</v>
      </c>
      <c r="Q145" s="12">
        <f t="shared" si="13"/>
        <v>165</v>
      </c>
    </row>
    <row r="146" spans="1:17" ht="15" customHeight="1" x14ac:dyDescent="0.2">
      <c r="A146" s="12" t="s">
        <v>2679</v>
      </c>
      <c r="B146" s="36" t="s">
        <v>291</v>
      </c>
      <c r="C146" s="12">
        <f t="shared" si="12"/>
        <v>204</v>
      </c>
      <c r="D146" s="12">
        <v>1</v>
      </c>
      <c r="G146" s="14" t="s">
        <v>81</v>
      </c>
      <c r="H146" s="12" t="s">
        <v>3333</v>
      </c>
      <c r="I146" s="12">
        <v>112111</v>
      </c>
      <c r="J146" s="12">
        <v>131</v>
      </c>
      <c r="K146" s="12" t="s">
        <v>20</v>
      </c>
      <c r="L146" s="12">
        <v>1</v>
      </c>
      <c r="M146" s="17">
        <v>15000000</v>
      </c>
      <c r="N146" s="17">
        <f t="shared" si="9"/>
        <v>15000000</v>
      </c>
      <c r="O146" s="17" t="s">
        <v>21</v>
      </c>
      <c r="P146" s="12">
        <f t="shared" si="11"/>
        <v>103</v>
      </c>
      <c r="Q146" s="12">
        <f t="shared" si="13"/>
        <v>178</v>
      </c>
    </row>
    <row r="147" spans="1:17" ht="15" customHeight="1" x14ac:dyDescent="0.2">
      <c r="A147" s="12" t="s">
        <v>2679</v>
      </c>
      <c r="B147" s="36" t="s">
        <v>291</v>
      </c>
      <c r="C147" s="12">
        <f t="shared" si="12"/>
        <v>205</v>
      </c>
      <c r="D147" s="12">
        <v>1</v>
      </c>
      <c r="G147" s="14" t="s">
        <v>81</v>
      </c>
      <c r="H147" s="12" t="s">
        <v>3333</v>
      </c>
      <c r="I147" s="12">
        <v>112111</v>
      </c>
      <c r="J147" s="12">
        <v>131</v>
      </c>
      <c r="K147" s="12" t="s">
        <v>20</v>
      </c>
      <c r="L147" s="12">
        <v>1</v>
      </c>
      <c r="M147" s="17">
        <v>967742</v>
      </c>
      <c r="N147" s="17">
        <f t="shared" si="9"/>
        <v>967742</v>
      </c>
      <c r="O147" s="17" t="s">
        <v>21</v>
      </c>
      <c r="P147" s="12">
        <f t="shared" si="11"/>
        <v>104</v>
      </c>
      <c r="Q147" s="12">
        <f t="shared" si="13"/>
        <v>178</v>
      </c>
    </row>
    <row r="148" spans="1:17" ht="15" customHeight="1" x14ac:dyDescent="0.2">
      <c r="A148" s="12" t="s">
        <v>2678</v>
      </c>
      <c r="B148" s="36" t="s">
        <v>291</v>
      </c>
      <c r="C148" s="12">
        <f t="shared" si="12"/>
        <v>206</v>
      </c>
      <c r="D148" s="12">
        <v>1</v>
      </c>
      <c r="G148" s="14" t="s">
        <v>112</v>
      </c>
      <c r="H148" s="12" t="s">
        <v>3017</v>
      </c>
      <c r="I148" s="12">
        <v>1111</v>
      </c>
      <c r="J148" s="12">
        <v>112111</v>
      </c>
      <c r="K148" s="12" t="s">
        <v>20</v>
      </c>
      <c r="L148" s="12">
        <v>1</v>
      </c>
      <c r="M148" s="17">
        <v>1500000</v>
      </c>
      <c r="N148" s="17">
        <f t="shared" si="9"/>
        <v>1500000</v>
      </c>
      <c r="O148" s="17" t="s">
        <v>21</v>
      </c>
      <c r="P148" s="12">
        <f t="shared" si="11"/>
        <v>105</v>
      </c>
      <c r="Q148" s="12">
        <f t="shared" si="13"/>
        <v>40</v>
      </c>
    </row>
    <row r="149" spans="1:17" ht="15" customHeight="1" x14ac:dyDescent="0.2">
      <c r="A149" s="12" t="s">
        <v>2678</v>
      </c>
      <c r="B149" s="36" t="s">
        <v>450</v>
      </c>
      <c r="C149" s="12">
        <f t="shared" si="12"/>
        <v>207</v>
      </c>
      <c r="D149" s="12">
        <v>1</v>
      </c>
      <c r="G149" s="14" t="s">
        <v>112</v>
      </c>
      <c r="H149" s="12" t="s">
        <v>3017</v>
      </c>
      <c r="I149" s="12">
        <v>1111</v>
      </c>
      <c r="J149" s="12">
        <v>112111</v>
      </c>
      <c r="K149" s="12" t="s">
        <v>20</v>
      </c>
      <c r="L149" s="12">
        <v>1</v>
      </c>
      <c r="M149" s="17">
        <v>2500000</v>
      </c>
      <c r="N149" s="17">
        <f t="shared" si="9"/>
        <v>2500000</v>
      </c>
      <c r="O149" s="17" t="s">
        <v>21</v>
      </c>
      <c r="P149" s="12">
        <f t="shared" si="11"/>
        <v>106</v>
      </c>
      <c r="Q149" s="12">
        <f t="shared" si="13"/>
        <v>40</v>
      </c>
    </row>
    <row r="150" spans="1:17" ht="15" customHeight="1" x14ac:dyDescent="0.2">
      <c r="A150" s="12" t="s">
        <v>2679</v>
      </c>
      <c r="B150" s="36" t="s">
        <v>292</v>
      </c>
      <c r="C150" s="12">
        <f t="shared" si="12"/>
        <v>208</v>
      </c>
      <c r="D150" s="12">
        <v>1</v>
      </c>
      <c r="G150" s="14" t="s">
        <v>2052</v>
      </c>
      <c r="H150" s="12" t="s">
        <v>3334</v>
      </c>
      <c r="I150" s="12">
        <v>112111</v>
      </c>
      <c r="J150" s="12">
        <v>131</v>
      </c>
      <c r="K150" s="12" t="s">
        <v>20</v>
      </c>
      <c r="L150" s="12">
        <v>1</v>
      </c>
      <c r="M150" s="17">
        <v>15967742</v>
      </c>
      <c r="N150" s="17">
        <f t="shared" si="9"/>
        <v>15967742</v>
      </c>
      <c r="O150" s="17" t="s">
        <v>21</v>
      </c>
      <c r="P150" s="12">
        <f t="shared" si="11"/>
        <v>107</v>
      </c>
      <c r="Q150" s="12">
        <f t="shared" si="13"/>
        <v>182</v>
      </c>
    </row>
    <row r="151" spans="1:17" ht="15" customHeight="1" x14ac:dyDescent="0.2">
      <c r="A151" s="12" t="s">
        <v>2679</v>
      </c>
      <c r="B151" s="36" t="s">
        <v>292</v>
      </c>
      <c r="C151" s="12">
        <f t="shared" si="12"/>
        <v>209</v>
      </c>
      <c r="D151" s="12">
        <v>1</v>
      </c>
      <c r="G151" s="14" t="s">
        <v>57</v>
      </c>
      <c r="H151" s="12" t="s">
        <v>3335</v>
      </c>
      <c r="I151" s="12">
        <v>112111</v>
      </c>
      <c r="J151" s="12">
        <v>131</v>
      </c>
      <c r="K151" s="12" t="s">
        <v>20</v>
      </c>
      <c r="L151" s="12">
        <v>1</v>
      </c>
      <c r="M151" s="17">
        <v>5322581</v>
      </c>
      <c r="N151" s="17">
        <f t="shared" si="9"/>
        <v>5322581</v>
      </c>
      <c r="O151" s="17" t="s">
        <v>21</v>
      </c>
      <c r="P151" s="12">
        <f t="shared" si="11"/>
        <v>108</v>
      </c>
      <c r="Q151" s="12">
        <f t="shared" si="13"/>
        <v>159</v>
      </c>
    </row>
    <row r="152" spans="1:17" ht="15" customHeight="1" x14ac:dyDescent="0.2">
      <c r="A152" s="12" t="s">
        <v>2678</v>
      </c>
      <c r="B152" s="36" t="s">
        <v>292</v>
      </c>
      <c r="C152" s="12">
        <f t="shared" si="12"/>
        <v>210</v>
      </c>
      <c r="D152" s="12">
        <v>1</v>
      </c>
      <c r="G152" s="14" t="s">
        <v>112</v>
      </c>
      <c r="H152" s="12" t="s">
        <v>3017</v>
      </c>
      <c r="I152" s="12">
        <v>1111</v>
      </c>
      <c r="J152" s="12">
        <v>112111</v>
      </c>
      <c r="K152" s="12" t="s">
        <v>20</v>
      </c>
      <c r="L152" s="12">
        <v>1</v>
      </c>
      <c r="M152" s="17">
        <v>500000</v>
      </c>
      <c r="N152" s="17">
        <f t="shared" si="9"/>
        <v>500000</v>
      </c>
      <c r="O152" s="17" t="s">
        <v>21</v>
      </c>
      <c r="P152" s="12">
        <f t="shared" si="11"/>
        <v>109</v>
      </c>
      <c r="Q152" s="12">
        <f t="shared" si="13"/>
        <v>40</v>
      </c>
    </row>
    <row r="153" spans="1:17" ht="15" customHeight="1" x14ac:dyDescent="0.2">
      <c r="A153" s="12" t="s">
        <v>2678</v>
      </c>
      <c r="B153" s="36" t="s">
        <v>292</v>
      </c>
      <c r="C153" s="12">
        <f t="shared" si="12"/>
        <v>211</v>
      </c>
      <c r="D153" s="12">
        <v>1</v>
      </c>
      <c r="G153" s="14" t="s">
        <v>112</v>
      </c>
      <c r="H153" s="12" t="s">
        <v>3017</v>
      </c>
      <c r="I153" s="12">
        <v>1111</v>
      </c>
      <c r="J153" s="12">
        <v>112111</v>
      </c>
      <c r="K153" s="12" t="s">
        <v>20</v>
      </c>
      <c r="L153" s="12">
        <v>1</v>
      </c>
      <c r="M153" s="17">
        <v>1000000</v>
      </c>
      <c r="N153" s="17">
        <f t="shared" si="9"/>
        <v>1000000</v>
      </c>
      <c r="O153" s="17" t="s">
        <v>21</v>
      </c>
      <c r="P153" s="12">
        <f t="shared" si="11"/>
        <v>110</v>
      </c>
      <c r="Q153" s="12">
        <f t="shared" si="13"/>
        <v>40</v>
      </c>
    </row>
    <row r="154" spans="1:17" ht="15" customHeight="1" x14ac:dyDescent="0.2">
      <c r="A154" s="12" t="s">
        <v>2678</v>
      </c>
      <c r="B154" s="36" t="s">
        <v>313</v>
      </c>
      <c r="C154" s="12">
        <f t="shared" si="12"/>
        <v>212</v>
      </c>
      <c r="D154" s="12">
        <v>1</v>
      </c>
      <c r="G154" s="14" t="s">
        <v>112</v>
      </c>
      <c r="H154" s="12" t="s">
        <v>3017</v>
      </c>
      <c r="I154" s="12">
        <v>1111</v>
      </c>
      <c r="J154" s="12">
        <v>112111</v>
      </c>
      <c r="K154" s="12" t="s">
        <v>20</v>
      </c>
      <c r="L154" s="12">
        <v>1</v>
      </c>
      <c r="M154" s="17">
        <v>13900000</v>
      </c>
      <c r="N154" s="17">
        <f t="shared" si="9"/>
        <v>13900000</v>
      </c>
      <c r="O154" s="17" t="s">
        <v>21</v>
      </c>
      <c r="P154" s="12">
        <f t="shared" si="11"/>
        <v>111</v>
      </c>
      <c r="Q154" s="12">
        <f t="shared" si="13"/>
        <v>40</v>
      </c>
    </row>
    <row r="155" spans="1:17" ht="15" customHeight="1" x14ac:dyDescent="0.2">
      <c r="A155" s="12" t="s">
        <v>2678</v>
      </c>
      <c r="B155" s="36" t="s">
        <v>314</v>
      </c>
      <c r="C155" s="12">
        <f t="shared" si="12"/>
        <v>213</v>
      </c>
      <c r="D155" s="12">
        <v>1</v>
      </c>
      <c r="G155" s="14" t="s">
        <v>112</v>
      </c>
      <c r="H155" s="12" t="s">
        <v>3017</v>
      </c>
      <c r="I155" s="12">
        <v>1111</v>
      </c>
      <c r="J155" s="12">
        <v>112111</v>
      </c>
      <c r="K155" s="12" t="s">
        <v>20</v>
      </c>
      <c r="L155" s="12">
        <v>1</v>
      </c>
      <c r="M155" s="17">
        <v>2000000</v>
      </c>
      <c r="N155" s="17">
        <f t="shared" si="9"/>
        <v>2000000</v>
      </c>
      <c r="O155" s="17" t="s">
        <v>21</v>
      </c>
      <c r="P155" s="12">
        <f t="shared" si="11"/>
        <v>112</v>
      </c>
      <c r="Q155" s="12">
        <f t="shared" si="13"/>
        <v>40</v>
      </c>
    </row>
    <row r="156" spans="1:17" ht="15" customHeight="1" x14ac:dyDescent="0.2">
      <c r="A156" s="12" t="s">
        <v>2678</v>
      </c>
      <c r="B156" s="36" t="s">
        <v>314</v>
      </c>
      <c r="C156" s="12">
        <f t="shared" si="12"/>
        <v>214</v>
      </c>
      <c r="D156" s="12">
        <v>1</v>
      </c>
      <c r="G156" s="14" t="s">
        <v>112</v>
      </c>
      <c r="H156" s="12" t="s">
        <v>3017</v>
      </c>
      <c r="I156" s="12">
        <v>1111</v>
      </c>
      <c r="J156" s="12">
        <v>112111</v>
      </c>
      <c r="K156" s="12" t="s">
        <v>20</v>
      </c>
      <c r="L156" s="12">
        <v>1</v>
      </c>
      <c r="M156" s="17">
        <v>4000000</v>
      </c>
      <c r="N156" s="17">
        <f t="shared" si="9"/>
        <v>4000000</v>
      </c>
      <c r="O156" s="17" t="s">
        <v>21</v>
      </c>
      <c r="P156" s="12">
        <f t="shared" si="11"/>
        <v>113</v>
      </c>
      <c r="Q156" s="12">
        <f t="shared" si="13"/>
        <v>40</v>
      </c>
    </row>
    <row r="157" spans="1:17" ht="15" customHeight="1" x14ac:dyDescent="0.2">
      <c r="A157" s="12" t="s">
        <v>2678</v>
      </c>
      <c r="B157" s="36" t="s">
        <v>314</v>
      </c>
      <c r="C157" s="12">
        <f t="shared" si="12"/>
        <v>215</v>
      </c>
      <c r="D157" s="12">
        <v>1</v>
      </c>
      <c r="G157" s="14" t="s">
        <v>112</v>
      </c>
      <c r="H157" s="12" t="s">
        <v>3017</v>
      </c>
      <c r="I157" s="12">
        <v>1111</v>
      </c>
      <c r="J157" s="12">
        <v>112111</v>
      </c>
      <c r="K157" s="12" t="s">
        <v>20</v>
      </c>
      <c r="L157" s="12">
        <v>1</v>
      </c>
      <c r="M157" s="17">
        <v>20000000</v>
      </c>
      <c r="N157" s="17">
        <f t="shared" si="9"/>
        <v>20000000</v>
      </c>
      <c r="O157" s="17" t="s">
        <v>21</v>
      </c>
      <c r="P157" s="12">
        <f t="shared" si="11"/>
        <v>114</v>
      </c>
      <c r="Q157" s="12">
        <f t="shared" si="13"/>
        <v>40</v>
      </c>
    </row>
    <row r="158" spans="1:17" ht="15" customHeight="1" x14ac:dyDescent="0.2">
      <c r="A158" s="12" t="s">
        <v>2678</v>
      </c>
      <c r="B158" s="36" t="s">
        <v>315</v>
      </c>
      <c r="C158" s="12">
        <f t="shared" si="12"/>
        <v>216</v>
      </c>
      <c r="D158" s="12">
        <v>1</v>
      </c>
      <c r="G158" s="14" t="s">
        <v>112</v>
      </c>
      <c r="H158" s="12" t="s">
        <v>3017</v>
      </c>
      <c r="I158" s="12">
        <v>1111</v>
      </c>
      <c r="J158" s="12">
        <v>112111</v>
      </c>
      <c r="K158" s="12" t="s">
        <v>20</v>
      </c>
      <c r="L158" s="12">
        <v>1</v>
      </c>
      <c r="M158" s="17">
        <v>5000000</v>
      </c>
      <c r="N158" s="17">
        <f t="shared" si="9"/>
        <v>5000000</v>
      </c>
      <c r="O158" s="17" t="s">
        <v>21</v>
      </c>
      <c r="P158" s="12">
        <f t="shared" si="11"/>
        <v>115</v>
      </c>
      <c r="Q158" s="12">
        <f t="shared" si="13"/>
        <v>40</v>
      </c>
    </row>
    <row r="159" spans="1:17" ht="15" customHeight="1" x14ac:dyDescent="0.2">
      <c r="A159" s="12" t="s">
        <v>2678</v>
      </c>
      <c r="B159" s="36" t="s">
        <v>470</v>
      </c>
      <c r="C159" s="12">
        <f t="shared" si="12"/>
        <v>217</v>
      </c>
      <c r="D159" s="12">
        <v>1</v>
      </c>
      <c r="G159" s="14" t="s">
        <v>112</v>
      </c>
      <c r="H159" s="12" t="s">
        <v>3017</v>
      </c>
      <c r="I159" s="12">
        <v>1111</v>
      </c>
      <c r="J159" s="12">
        <v>112111</v>
      </c>
      <c r="K159" s="12" t="s">
        <v>20</v>
      </c>
      <c r="L159" s="12">
        <v>1</v>
      </c>
      <c r="M159" s="17">
        <v>15000000</v>
      </c>
      <c r="N159" s="17">
        <f t="shared" si="9"/>
        <v>15000000</v>
      </c>
      <c r="O159" s="17" t="s">
        <v>21</v>
      </c>
      <c r="P159" s="12">
        <f t="shared" si="11"/>
        <v>116</v>
      </c>
      <c r="Q159" s="12">
        <f t="shared" si="13"/>
        <v>40</v>
      </c>
    </row>
    <row r="160" spans="1:17" ht="15" customHeight="1" x14ac:dyDescent="0.2">
      <c r="A160" s="12" t="s">
        <v>2678</v>
      </c>
      <c r="B160" s="36" t="s">
        <v>600</v>
      </c>
      <c r="C160" s="12">
        <f t="shared" si="12"/>
        <v>218</v>
      </c>
      <c r="D160" s="12">
        <v>1</v>
      </c>
      <c r="G160" s="14" t="s">
        <v>112</v>
      </c>
      <c r="H160" s="12" t="s">
        <v>3017</v>
      </c>
      <c r="I160" s="12">
        <v>1111</v>
      </c>
      <c r="J160" s="12">
        <v>112111</v>
      </c>
      <c r="K160" s="12" t="s">
        <v>20</v>
      </c>
      <c r="L160" s="12">
        <v>1</v>
      </c>
      <c r="M160" s="17">
        <v>10000000</v>
      </c>
      <c r="N160" s="17">
        <f t="shared" ref="N160:N224" si="14">L160*M160</f>
        <v>10000000</v>
      </c>
      <c r="O160" s="17" t="s">
        <v>21</v>
      </c>
      <c r="P160" s="12">
        <f t="shared" si="11"/>
        <v>117</v>
      </c>
      <c r="Q160" s="12">
        <f t="shared" si="13"/>
        <v>40</v>
      </c>
    </row>
    <row r="161" spans="1:17" ht="15" customHeight="1" x14ac:dyDescent="0.2">
      <c r="A161" s="12" t="s">
        <v>2678</v>
      </c>
      <c r="B161" s="36" t="s">
        <v>600</v>
      </c>
      <c r="C161" s="12">
        <f t="shared" si="12"/>
        <v>219</v>
      </c>
      <c r="D161" s="12">
        <v>1</v>
      </c>
      <c r="G161" s="14" t="s">
        <v>112</v>
      </c>
      <c r="H161" s="12" t="s">
        <v>3017</v>
      </c>
      <c r="I161" s="12">
        <v>1111</v>
      </c>
      <c r="J161" s="12">
        <v>112111</v>
      </c>
      <c r="K161" s="12" t="s">
        <v>20</v>
      </c>
      <c r="L161" s="12">
        <v>1</v>
      </c>
      <c r="M161" s="17">
        <v>2000000</v>
      </c>
      <c r="N161" s="17">
        <f t="shared" si="14"/>
        <v>2000000</v>
      </c>
      <c r="O161" s="17" t="s">
        <v>21</v>
      </c>
      <c r="P161" s="12">
        <f t="shared" si="11"/>
        <v>118</v>
      </c>
      <c r="Q161" s="12">
        <f t="shared" si="13"/>
        <v>40</v>
      </c>
    </row>
    <row r="162" spans="1:17" ht="15" customHeight="1" x14ac:dyDescent="0.2">
      <c r="A162" s="12" t="s">
        <v>2678</v>
      </c>
      <c r="B162" s="36" t="s">
        <v>378</v>
      </c>
      <c r="C162" s="12">
        <f t="shared" si="12"/>
        <v>220</v>
      </c>
      <c r="D162" s="12">
        <v>1</v>
      </c>
      <c r="G162" s="14" t="s">
        <v>112</v>
      </c>
      <c r="H162" s="12" t="s">
        <v>3017</v>
      </c>
      <c r="I162" s="12">
        <v>1111</v>
      </c>
      <c r="J162" s="12">
        <v>112111</v>
      </c>
      <c r="K162" s="12" t="s">
        <v>20</v>
      </c>
      <c r="L162" s="12">
        <v>1</v>
      </c>
      <c r="M162" s="17">
        <v>2000000</v>
      </c>
      <c r="N162" s="17">
        <f t="shared" si="14"/>
        <v>2000000</v>
      </c>
      <c r="O162" s="12" t="s">
        <v>21</v>
      </c>
      <c r="P162" s="12">
        <f t="shared" si="11"/>
        <v>119</v>
      </c>
      <c r="Q162" s="12">
        <f t="shared" si="13"/>
        <v>40</v>
      </c>
    </row>
    <row r="163" spans="1:17" ht="15" customHeight="1" x14ac:dyDescent="0.2">
      <c r="A163" s="12" t="s">
        <v>2678</v>
      </c>
      <c r="B163" s="36" t="s">
        <v>317</v>
      </c>
      <c r="C163" s="12">
        <f t="shared" si="12"/>
        <v>221</v>
      </c>
      <c r="D163" s="12">
        <v>1</v>
      </c>
      <c r="G163" s="14" t="s">
        <v>112</v>
      </c>
      <c r="H163" s="12" t="s">
        <v>3017</v>
      </c>
      <c r="I163" s="12">
        <v>1111</v>
      </c>
      <c r="J163" s="12">
        <v>112111</v>
      </c>
      <c r="K163" s="12" t="s">
        <v>20</v>
      </c>
      <c r="L163" s="12">
        <v>1</v>
      </c>
      <c r="M163" s="17">
        <v>10000000</v>
      </c>
      <c r="N163" s="17">
        <f t="shared" si="14"/>
        <v>10000000</v>
      </c>
      <c r="O163" s="17" t="s">
        <v>21</v>
      </c>
      <c r="P163" s="12">
        <f t="shared" si="11"/>
        <v>120</v>
      </c>
      <c r="Q163" s="12">
        <f t="shared" si="13"/>
        <v>40</v>
      </c>
    </row>
    <row r="164" spans="1:17" ht="15" customHeight="1" x14ac:dyDescent="0.2">
      <c r="A164" s="12" t="s">
        <v>2679</v>
      </c>
      <c r="B164" s="36" t="s">
        <v>317</v>
      </c>
      <c r="C164" s="12">
        <f t="shared" si="12"/>
        <v>222</v>
      </c>
      <c r="D164" s="12">
        <v>1</v>
      </c>
      <c r="G164" s="14" t="s">
        <v>2059</v>
      </c>
      <c r="H164" s="12" t="s">
        <v>3336</v>
      </c>
      <c r="I164" s="12">
        <v>112111</v>
      </c>
      <c r="J164" s="12">
        <v>131</v>
      </c>
      <c r="K164" s="12" t="s">
        <v>20</v>
      </c>
      <c r="L164" s="12">
        <v>1</v>
      </c>
      <c r="M164" s="17">
        <v>15967742</v>
      </c>
      <c r="N164" s="17">
        <f t="shared" si="14"/>
        <v>15967742</v>
      </c>
      <c r="O164" s="17" t="s">
        <v>21</v>
      </c>
      <c r="P164" s="12">
        <f t="shared" si="11"/>
        <v>121</v>
      </c>
      <c r="Q164" s="12">
        <f t="shared" si="13"/>
        <v>176</v>
      </c>
    </row>
    <row r="165" spans="1:17" ht="15" customHeight="1" x14ac:dyDescent="0.2">
      <c r="A165" s="12" t="s">
        <v>2678</v>
      </c>
      <c r="B165" s="36" t="s">
        <v>451</v>
      </c>
      <c r="C165" s="12">
        <f t="shared" si="12"/>
        <v>223</v>
      </c>
      <c r="D165" s="12">
        <v>1</v>
      </c>
      <c r="G165" s="14" t="s">
        <v>112</v>
      </c>
      <c r="H165" s="12" t="s">
        <v>3017</v>
      </c>
      <c r="I165" s="12">
        <v>1111</v>
      </c>
      <c r="J165" s="12">
        <v>112111</v>
      </c>
      <c r="K165" s="12" t="s">
        <v>20</v>
      </c>
      <c r="L165" s="12">
        <v>1</v>
      </c>
      <c r="M165" s="17">
        <v>18000000</v>
      </c>
      <c r="N165" s="17">
        <f t="shared" si="14"/>
        <v>18000000</v>
      </c>
      <c r="O165" s="17" t="s">
        <v>21</v>
      </c>
      <c r="P165" s="12">
        <f t="shared" si="11"/>
        <v>122</v>
      </c>
      <c r="Q165" s="12">
        <f t="shared" si="13"/>
        <v>40</v>
      </c>
    </row>
    <row r="166" spans="1:17" ht="15" customHeight="1" x14ac:dyDescent="0.2">
      <c r="A166" s="12" t="s">
        <v>2679</v>
      </c>
      <c r="B166" s="36" t="s">
        <v>318</v>
      </c>
      <c r="C166" s="12">
        <f t="shared" si="12"/>
        <v>224</v>
      </c>
      <c r="D166" s="12">
        <v>1</v>
      </c>
      <c r="G166" s="14" t="s">
        <v>85</v>
      </c>
      <c r="H166" s="12" t="s">
        <v>3337</v>
      </c>
      <c r="I166" s="12">
        <v>112111</v>
      </c>
      <c r="J166" s="12">
        <v>131</v>
      </c>
      <c r="K166" s="12" t="s">
        <v>20</v>
      </c>
      <c r="L166" s="12">
        <v>1</v>
      </c>
      <c r="M166" s="17">
        <v>5322581</v>
      </c>
      <c r="N166" s="17">
        <f t="shared" si="14"/>
        <v>5322581</v>
      </c>
      <c r="O166" s="17" t="s">
        <v>21</v>
      </c>
      <c r="P166" s="12">
        <f t="shared" si="11"/>
        <v>123</v>
      </c>
      <c r="Q166" s="12">
        <f t="shared" si="13"/>
        <v>159</v>
      </c>
    </row>
    <row r="167" spans="1:17" ht="15" customHeight="1" x14ac:dyDescent="0.2">
      <c r="A167" s="12" t="s">
        <v>2679</v>
      </c>
      <c r="B167" s="36" t="s">
        <v>318</v>
      </c>
      <c r="C167" s="12">
        <f t="shared" si="12"/>
        <v>225</v>
      </c>
      <c r="D167" s="12">
        <v>1</v>
      </c>
      <c r="G167" s="14" t="s">
        <v>2058</v>
      </c>
      <c r="H167" s="12" t="s">
        <v>3338</v>
      </c>
      <c r="I167" s="12">
        <v>112111</v>
      </c>
      <c r="J167" s="12">
        <v>131</v>
      </c>
      <c r="K167" s="12" t="s">
        <v>20</v>
      </c>
      <c r="L167" s="12">
        <v>1</v>
      </c>
      <c r="M167" s="17">
        <v>16819355</v>
      </c>
      <c r="N167" s="17">
        <f t="shared" si="14"/>
        <v>16819355</v>
      </c>
      <c r="O167" s="17" t="s">
        <v>21</v>
      </c>
      <c r="P167" s="12">
        <f t="shared" si="11"/>
        <v>124</v>
      </c>
      <c r="Q167" s="12">
        <f t="shared" si="13"/>
        <v>166</v>
      </c>
    </row>
    <row r="168" spans="1:17" ht="15" customHeight="1" x14ac:dyDescent="0.2">
      <c r="A168" s="12" t="s">
        <v>2678</v>
      </c>
      <c r="B168" s="36" t="s">
        <v>418</v>
      </c>
      <c r="C168" s="12">
        <f t="shared" si="12"/>
        <v>226</v>
      </c>
      <c r="D168" s="12">
        <v>1</v>
      </c>
      <c r="G168" s="14" t="s">
        <v>112</v>
      </c>
      <c r="H168" s="12" t="s">
        <v>3017</v>
      </c>
      <c r="I168" s="12">
        <v>1111</v>
      </c>
      <c r="J168" s="12">
        <v>112111</v>
      </c>
      <c r="K168" s="12" t="s">
        <v>20</v>
      </c>
      <c r="L168" s="12">
        <v>1</v>
      </c>
      <c r="M168" s="17">
        <v>900000</v>
      </c>
      <c r="N168" s="17">
        <f t="shared" si="14"/>
        <v>900000</v>
      </c>
      <c r="O168" s="17" t="s">
        <v>21</v>
      </c>
      <c r="P168" s="12">
        <f t="shared" si="11"/>
        <v>125</v>
      </c>
      <c r="Q168" s="12">
        <f t="shared" si="13"/>
        <v>40</v>
      </c>
    </row>
    <row r="169" spans="1:17" ht="15" customHeight="1" x14ac:dyDescent="0.2">
      <c r="A169" s="12" t="s">
        <v>2678</v>
      </c>
      <c r="B169" s="36" t="s">
        <v>418</v>
      </c>
      <c r="C169" s="12">
        <f t="shared" si="12"/>
        <v>227</v>
      </c>
      <c r="D169" s="12">
        <v>1</v>
      </c>
      <c r="G169" s="14" t="s">
        <v>112</v>
      </c>
      <c r="H169" s="12" t="s">
        <v>3017</v>
      </c>
      <c r="I169" s="12">
        <v>1111</v>
      </c>
      <c r="J169" s="12">
        <v>112111</v>
      </c>
      <c r="K169" s="12" t="s">
        <v>20</v>
      </c>
      <c r="L169" s="12">
        <v>1</v>
      </c>
      <c r="M169" s="17">
        <v>4500000</v>
      </c>
      <c r="N169" s="17">
        <f t="shared" si="14"/>
        <v>4500000</v>
      </c>
      <c r="O169" s="17" t="s">
        <v>21</v>
      </c>
      <c r="P169" s="12">
        <f t="shared" si="11"/>
        <v>126</v>
      </c>
      <c r="Q169" s="12">
        <f t="shared" si="13"/>
        <v>40</v>
      </c>
    </row>
    <row r="170" spans="1:17" ht="15" customHeight="1" x14ac:dyDescent="0.2">
      <c r="A170" s="12" t="s">
        <v>2679</v>
      </c>
      <c r="B170" s="36" t="s">
        <v>601</v>
      </c>
      <c r="C170" s="12">
        <f t="shared" si="12"/>
        <v>228</v>
      </c>
      <c r="D170" s="12">
        <v>1</v>
      </c>
      <c r="G170" s="14" t="s">
        <v>2052</v>
      </c>
      <c r="H170" s="12" t="s">
        <v>3326</v>
      </c>
      <c r="I170" s="12">
        <v>112111</v>
      </c>
      <c r="J170" s="12">
        <v>131</v>
      </c>
      <c r="K170" s="12" t="s">
        <v>20</v>
      </c>
      <c r="L170" s="12">
        <v>1</v>
      </c>
      <c r="M170" s="17">
        <v>14903226</v>
      </c>
      <c r="N170" s="17">
        <f t="shared" si="14"/>
        <v>14903226</v>
      </c>
      <c r="O170" s="17" t="s">
        <v>21</v>
      </c>
      <c r="P170" s="12">
        <f t="shared" si="11"/>
        <v>127</v>
      </c>
      <c r="Q170" s="12">
        <f t="shared" si="13"/>
        <v>196</v>
      </c>
    </row>
    <row r="171" spans="1:17" ht="15" customHeight="1" x14ac:dyDescent="0.2">
      <c r="A171" s="12" t="s">
        <v>2679</v>
      </c>
      <c r="B171" s="36" t="s">
        <v>513</v>
      </c>
      <c r="C171" s="12">
        <f t="shared" si="12"/>
        <v>229</v>
      </c>
      <c r="D171" s="12">
        <v>1</v>
      </c>
      <c r="G171" s="14" t="s">
        <v>3003</v>
      </c>
      <c r="H171" s="12" t="s">
        <v>3005</v>
      </c>
      <c r="I171" s="12">
        <v>112111</v>
      </c>
      <c r="J171" s="12">
        <v>131</v>
      </c>
      <c r="K171" s="12" t="s">
        <v>20</v>
      </c>
      <c r="L171" s="12">
        <v>1</v>
      </c>
      <c r="M171" s="17">
        <v>3092669</v>
      </c>
      <c r="N171" s="17">
        <f t="shared" si="14"/>
        <v>3092669</v>
      </c>
      <c r="O171" s="17" t="s">
        <v>21</v>
      </c>
      <c r="P171" s="12">
        <f t="shared" si="11"/>
        <v>128</v>
      </c>
      <c r="Q171" s="12">
        <f t="shared" si="13"/>
        <v>48</v>
      </c>
    </row>
    <row r="172" spans="1:17" ht="15" customHeight="1" x14ac:dyDescent="0.2">
      <c r="A172" s="12" t="s">
        <v>18</v>
      </c>
      <c r="B172" s="36" t="s">
        <v>513</v>
      </c>
      <c r="C172" s="12">
        <f t="shared" si="12"/>
        <v>230</v>
      </c>
      <c r="D172" s="12">
        <v>1</v>
      </c>
      <c r="G172" s="14" t="s">
        <v>3003</v>
      </c>
      <c r="H172" s="12" t="s">
        <v>3004</v>
      </c>
      <c r="I172" s="12">
        <v>131</v>
      </c>
      <c r="J172" s="12">
        <v>5118</v>
      </c>
      <c r="K172" s="12" t="s">
        <v>20</v>
      </c>
      <c r="L172" s="12">
        <v>1</v>
      </c>
      <c r="M172" s="17">
        <v>3092669</v>
      </c>
      <c r="N172" s="17">
        <f t="shared" ref="N172" si="15">L172*M172</f>
        <v>3092669</v>
      </c>
      <c r="O172" s="17" t="s">
        <v>21</v>
      </c>
      <c r="P172" s="12">
        <f t="shared" si="11"/>
        <v>129</v>
      </c>
      <c r="Q172" s="12">
        <f t="shared" si="13"/>
        <v>43</v>
      </c>
    </row>
    <row r="173" spans="1:17" ht="15" customHeight="1" x14ac:dyDescent="0.2">
      <c r="A173" s="12" t="s">
        <v>2678</v>
      </c>
      <c r="B173" s="36" t="s">
        <v>513</v>
      </c>
      <c r="C173" s="12">
        <f t="shared" si="12"/>
        <v>231</v>
      </c>
      <c r="D173" s="12">
        <v>1</v>
      </c>
      <c r="G173" s="14" t="s">
        <v>112</v>
      </c>
      <c r="H173" s="12" t="s">
        <v>3017</v>
      </c>
      <c r="I173" s="12">
        <v>1111</v>
      </c>
      <c r="J173" s="12">
        <v>112111</v>
      </c>
      <c r="K173" s="12" t="s">
        <v>20</v>
      </c>
      <c r="L173" s="12">
        <v>1</v>
      </c>
      <c r="M173" s="17">
        <v>3000000</v>
      </c>
      <c r="N173" s="17">
        <f t="shared" si="14"/>
        <v>3000000</v>
      </c>
      <c r="O173" s="17" t="s">
        <v>21</v>
      </c>
      <c r="P173" s="12">
        <f t="shared" si="11"/>
        <v>130</v>
      </c>
      <c r="Q173" s="12">
        <f t="shared" si="13"/>
        <v>40</v>
      </c>
    </row>
    <row r="174" spans="1:17" ht="15" customHeight="1" x14ac:dyDescent="0.2">
      <c r="A174" s="12" t="s">
        <v>2679</v>
      </c>
      <c r="B174" s="36" t="s">
        <v>713</v>
      </c>
      <c r="C174" s="12">
        <f t="shared" si="12"/>
        <v>232</v>
      </c>
      <c r="D174" s="12">
        <v>1</v>
      </c>
      <c r="G174" s="14" t="s">
        <v>2055</v>
      </c>
      <c r="H174" s="12" t="s">
        <v>3339</v>
      </c>
      <c r="I174" s="12">
        <v>112111</v>
      </c>
      <c r="J174" s="12">
        <v>131</v>
      </c>
      <c r="K174" s="12" t="s">
        <v>20</v>
      </c>
      <c r="L174" s="12">
        <v>1</v>
      </c>
      <c r="M174" s="17">
        <v>15967742</v>
      </c>
      <c r="N174" s="17">
        <f t="shared" si="14"/>
        <v>15967742</v>
      </c>
      <c r="O174" s="17" t="s">
        <v>21</v>
      </c>
      <c r="P174" s="12">
        <f t="shared" si="11"/>
        <v>131</v>
      </c>
      <c r="Q174" s="12">
        <f t="shared" si="13"/>
        <v>153</v>
      </c>
    </row>
    <row r="175" spans="1:17" ht="15" customHeight="1" x14ac:dyDescent="0.2">
      <c r="A175" s="12" t="s">
        <v>2678</v>
      </c>
      <c r="B175" s="36" t="s">
        <v>514</v>
      </c>
      <c r="C175" s="12">
        <f t="shared" si="12"/>
        <v>233</v>
      </c>
      <c r="D175" s="12">
        <v>1</v>
      </c>
      <c r="G175" s="14" t="s">
        <v>112</v>
      </c>
      <c r="H175" s="12" t="s">
        <v>3017</v>
      </c>
      <c r="I175" s="12">
        <v>1111</v>
      </c>
      <c r="J175" s="12">
        <v>112111</v>
      </c>
      <c r="K175" s="12" t="s">
        <v>20</v>
      </c>
      <c r="L175" s="12">
        <v>1</v>
      </c>
      <c r="M175" s="17">
        <v>10000000</v>
      </c>
      <c r="N175" s="17">
        <f t="shared" si="14"/>
        <v>10000000</v>
      </c>
      <c r="O175" s="17" t="s">
        <v>21</v>
      </c>
      <c r="P175" s="12">
        <f t="shared" si="11"/>
        <v>132</v>
      </c>
      <c r="Q175" s="12">
        <f t="shared" si="13"/>
        <v>40</v>
      </c>
    </row>
    <row r="176" spans="1:17" ht="15" customHeight="1" x14ac:dyDescent="0.2">
      <c r="A176" s="12" t="s">
        <v>2679</v>
      </c>
      <c r="B176" s="36" t="s">
        <v>452</v>
      </c>
      <c r="C176" s="12">
        <f t="shared" si="12"/>
        <v>234</v>
      </c>
      <c r="D176" s="12">
        <v>1</v>
      </c>
      <c r="G176" s="14" t="s">
        <v>402</v>
      </c>
      <c r="H176" s="12" t="s">
        <v>3340</v>
      </c>
      <c r="I176" s="12">
        <v>112111</v>
      </c>
      <c r="J176" s="12">
        <v>131</v>
      </c>
      <c r="K176" s="12" t="s">
        <v>20</v>
      </c>
      <c r="L176" s="12">
        <v>1</v>
      </c>
      <c r="M176" s="17">
        <v>8782258</v>
      </c>
      <c r="N176" s="17">
        <f t="shared" si="14"/>
        <v>8782258</v>
      </c>
      <c r="O176" s="17" t="s">
        <v>21</v>
      </c>
      <c r="P176" s="12">
        <f t="shared" si="11"/>
        <v>133</v>
      </c>
      <c r="Q176" s="12">
        <f t="shared" si="13"/>
        <v>154</v>
      </c>
    </row>
    <row r="177" spans="1:17" ht="15" customHeight="1" x14ac:dyDescent="0.2">
      <c r="A177" s="12" t="s">
        <v>2678</v>
      </c>
      <c r="B177" s="36" t="s">
        <v>452</v>
      </c>
      <c r="C177" s="12">
        <f t="shared" si="12"/>
        <v>235</v>
      </c>
      <c r="D177" s="12">
        <v>1</v>
      </c>
      <c r="G177" s="14" t="s">
        <v>112</v>
      </c>
      <c r="H177" s="12" t="s">
        <v>3017</v>
      </c>
      <c r="I177" s="12">
        <v>1111</v>
      </c>
      <c r="J177" s="12">
        <v>112111</v>
      </c>
      <c r="K177" s="12" t="s">
        <v>20</v>
      </c>
      <c r="L177" s="12">
        <v>1</v>
      </c>
      <c r="M177" s="17">
        <v>5000000</v>
      </c>
      <c r="N177" s="17">
        <f t="shared" si="14"/>
        <v>5000000</v>
      </c>
      <c r="O177" s="17" t="s">
        <v>21</v>
      </c>
      <c r="P177" s="12">
        <f t="shared" si="11"/>
        <v>134</v>
      </c>
      <c r="Q177" s="12">
        <f t="shared" si="13"/>
        <v>40</v>
      </c>
    </row>
    <row r="178" spans="1:17" ht="15" customHeight="1" x14ac:dyDescent="0.2">
      <c r="A178" s="12" t="s">
        <v>2678</v>
      </c>
      <c r="B178" s="36" t="s">
        <v>452</v>
      </c>
      <c r="C178" s="12">
        <f t="shared" si="12"/>
        <v>236</v>
      </c>
      <c r="D178" s="12">
        <v>1</v>
      </c>
      <c r="G178" s="14" t="s">
        <v>112</v>
      </c>
      <c r="H178" s="12" t="s">
        <v>3017</v>
      </c>
      <c r="I178" s="12">
        <v>1111</v>
      </c>
      <c r="J178" s="12">
        <v>112111</v>
      </c>
      <c r="K178" s="12" t="s">
        <v>20</v>
      </c>
      <c r="L178" s="12">
        <v>1</v>
      </c>
      <c r="M178" s="17">
        <v>8000000</v>
      </c>
      <c r="N178" s="17">
        <f t="shared" si="14"/>
        <v>8000000</v>
      </c>
      <c r="O178" s="17" t="s">
        <v>21</v>
      </c>
      <c r="P178" s="12">
        <f t="shared" si="11"/>
        <v>135</v>
      </c>
      <c r="Q178" s="12">
        <f t="shared" si="13"/>
        <v>40</v>
      </c>
    </row>
    <row r="179" spans="1:17" ht="15" customHeight="1" x14ac:dyDescent="0.2">
      <c r="A179" s="12" t="s">
        <v>2678</v>
      </c>
      <c r="B179" s="36" t="s">
        <v>588</v>
      </c>
      <c r="C179" s="12">
        <f t="shared" si="12"/>
        <v>237</v>
      </c>
      <c r="D179" s="12">
        <v>1</v>
      </c>
      <c r="G179" s="14" t="s">
        <v>112</v>
      </c>
      <c r="H179" s="12" t="s">
        <v>3017</v>
      </c>
      <c r="I179" s="12">
        <v>1111</v>
      </c>
      <c r="J179" s="12">
        <v>112111</v>
      </c>
      <c r="K179" s="12" t="s">
        <v>20</v>
      </c>
      <c r="L179" s="12">
        <v>1</v>
      </c>
      <c r="M179" s="17">
        <v>3000000</v>
      </c>
      <c r="N179" s="17">
        <f t="shared" si="14"/>
        <v>3000000</v>
      </c>
      <c r="O179" s="17" t="s">
        <v>21</v>
      </c>
      <c r="P179" s="12">
        <f t="shared" si="11"/>
        <v>136</v>
      </c>
      <c r="Q179" s="12">
        <f t="shared" si="13"/>
        <v>40</v>
      </c>
    </row>
    <row r="180" spans="1:17" ht="15" customHeight="1" x14ac:dyDescent="0.2">
      <c r="A180" s="12" t="s">
        <v>2679</v>
      </c>
      <c r="B180" s="36" t="s">
        <v>379</v>
      </c>
      <c r="C180" s="12">
        <f t="shared" si="12"/>
        <v>238</v>
      </c>
      <c r="D180" s="12">
        <v>1</v>
      </c>
      <c r="G180" s="14" t="s">
        <v>112</v>
      </c>
      <c r="H180" s="12" t="s">
        <v>3095</v>
      </c>
      <c r="I180" s="12">
        <v>112111</v>
      </c>
      <c r="J180" s="12">
        <v>5154</v>
      </c>
      <c r="K180" s="12" t="s">
        <v>20</v>
      </c>
      <c r="L180" s="12">
        <v>1</v>
      </c>
      <c r="M180" s="17">
        <v>4963</v>
      </c>
      <c r="N180" s="17">
        <f t="shared" si="14"/>
        <v>4963</v>
      </c>
      <c r="O180" s="17" t="s">
        <v>21</v>
      </c>
      <c r="P180" s="12">
        <f t="shared" si="11"/>
        <v>137</v>
      </c>
      <c r="Q180" s="12">
        <f t="shared" si="13"/>
        <v>13</v>
      </c>
    </row>
    <row r="181" spans="1:17" ht="15" customHeight="1" x14ac:dyDescent="0.2">
      <c r="A181" s="12" t="s">
        <v>2678</v>
      </c>
      <c r="B181" s="36" t="s">
        <v>453</v>
      </c>
      <c r="C181" s="12">
        <f t="shared" si="12"/>
        <v>239</v>
      </c>
      <c r="D181" s="12">
        <v>1</v>
      </c>
      <c r="G181" s="14" t="s">
        <v>112</v>
      </c>
      <c r="H181" s="12" t="s">
        <v>3017</v>
      </c>
      <c r="I181" s="12">
        <v>1111</v>
      </c>
      <c r="J181" s="12">
        <v>112111</v>
      </c>
      <c r="K181" s="12" t="s">
        <v>20</v>
      </c>
      <c r="L181" s="12">
        <v>1</v>
      </c>
      <c r="M181" s="17">
        <v>10000000</v>
      </c>
      <c r="N181" s="17">
        <f t="shared" si="14"/>
        <v>10000000</v>
      </c>
      <c r="O181" s="17" t="s">
        <v>21</v>
      </c>
      <c r="P181" s="12">
        <f t="shared" si="11"/>
        <v>138</v>
      </c>
      <c r="Q181" s="12">
        <f t="shared" si="13"/>
        <v>40</v>
      </c>
    </row>
    <row r="182" spans="1:17" ht="15" customHeight="1" x14ac:dyDescent="0.2">
      <c r="A182" s="12" t="s">
        <v>2679</v>
      </c>
      <c r="B182" s="36" t="s">
        <v>523</v>
      </c>
      <c r="C182" s="12">
        <f t="shared" si="12"/>
        <v>240</v>
      </c>
      <c r="D182" s="12">
        <v>1</v>
      </c>
      <c r="G182" s="14" t="s">
        <v>29</v>
      </c>
      <c r="H182" s="12" t="s">
        <v>3341</v>
      </c>
      <c r="I182" s="12">
        <v>112111</v>
      </c>
      <c r="J182" s="12">
        <v>131</v>
      </c>
      <c r="K182" s="12" t="s">
        <v>20</v>
      </c>
      <c r="L182" s="12">
        <v>1</v>
      </c>
      <c r="M182" s="17">
        <v>17204301</v>
      </c>
      <c r="N182" s="17">
        <f t="shared" si="14"/>
        <v>17204301</v>
      </c>
      <c r="O182" s="17" t="s">
        <v>21</v>
      </c>
      <c r="P182" s="12">
        <f t="shared" si="11"/>
        <v>139</v>
      </c>
      <c r="Q182" s="12">
        <f t="shared" si="13"/>
        <v>152</v>
      </c>
    </row>
    <row r="183" spans="1:17" ht="15" customHeight="1" x14ac:dyDescent="0.2">
      <c r="A183" s="12" t="s">
        <v>2678</v>
      </c>
      <c r="B183" s="36" t="s">
        <v>524</v>
      </c>
      <c r="C183" s="12">
        <f t="shared" si="12"/>
        <v>241</v>
      </c>
      <c r="D183" s="12">
        <v>1</v>
      </c>
      <c r="G183" s="14" t="s">
        <v>112</v>
      </c>
      <c r="H183" s="12" t="s">
        <v>3017</v>
      </c>
      <c r="I183" s="12">
        <v>1111</v>
      </c>
      <c r="J183" s="12">
        <v>112111</v>
      </c>
      <c r="K183" s="12" t="s">
        <v>20</v>
      </c>
      <c r="L183" s="12">
        <v>1</v>
      </c>
      <c r="M183" s="17">
        <v>2000000</v>
      </c>
      <c r="N183" s="17">
        <f t="shared" si="14"/>
        <v>2000000</v>
      </c>
      <c r="O183" s="17" t="s">
        <v>21</v>
      </c>
      <c r="P183" s="12">
        <f t="shared" si="11"/>
        <v>140</v>
      </c>
      <c r="Q183" s="12">
        <f t="shared" si="13"/>
        <v>40</v>
      </c>
    </row>
    <row r="184" spans="1:17" ht="15" customHeight="1" x14ac:dyDescent="0.2">
      <c r="A184" s="12" t="s">
        <v>2678</v>
      </c>
      <c r="B184" s="36" t="s">
        <v>524</v>
      </c>
      <c r="C184" s="12">
        <f t="shared" si="12"/>
        <v>242</v>
      </c>
      <c r="D184" s="12">
        <v>1</v>
      </c>
      <c r="G184" s="14" t="s">
        <v>112</v>
      </c>
      <c r="H184" s="12" t="s">
        <v>3017</v>
      </c>
      <c r="I184" s="12">
        <v>1111</v>
      </c>
      <c r="J184" s="12">
        <v>112111</v>
      </c>
      <c r="K184" s="12" t="s">
        <v>20</v>
      </c>
      <c r="L184" s="12">
        <v>1</v>
      </c>
      <c r="M184" s="17">
        <v>3000000</v>
      </c>
      <c r="N184" s="17">
        <f t="shared" si="14"/>
        <v>3000000</v>
      </c>
      <c r="O184" s="17" t="s">
        <v>21</v>
      </c>
      <c r="P184" s="12">
        <f t="shared" si="11"/>
        <v>141</v>
      </c>
      <c r="Q184" s="12">
        <f t="shared" si="13"/>
        <v>40</v>
      </c>
    </row>
    <row r="185" spans="1:17" ht="15" customHeight="1" x14ac:dyDescent="0.2">
      <c r="A185" s="12" t="s">
        <v>2679</v>
      </c>
      <c r="B185" s="36" t="s">
        <v>454</v>
      </c>
      <c r="C185" s="12">
        <f t="shared" si="12"/>
        <v>243</v>
      </c>
      <c r="D185" s="12">
        <v>1</v>
      </c>
      <c r="G185" s="14" t="s">
        <v>32</v>
      </c>
      <c r="H185" s="12" t="s">
        <v>3342</v>
      </c>
      <c r="I185" s="12">
        <v>112111</v>
      </c>
      <c r="J185" s="12">
        <v>131</v>
      </c>
      <c r="K185" s="12" t="s">
        <v>20</v>
      </c>
      <c r="L185" s="12">
        <v>1</v>
      </c>
      <c r="M185" s="17">
        <v>15967742</v>
      </c>
      <c r="N185" s="17">
        <f t="shared" si="14"/>
        <v>15967742</v>
      </c>
      <c r="O185" s="17" t="s">
        <v>21</v>
      </c>
      <c r="P185" s="12">
        <f t="shared" si="11"/>
        <v>142</v>
      </c>
      <c r="Q185" s="12">
        <f t="shared" si="13"/>
        <v>120</v>
      </c>
    </row>
    <row r="186" spans="1:17" ht="15" customHeight="1" x14ac:dyDescent="0.2">
      <c r="A186" s="12" t="s">
        <v>2678</v>
      </c>
      <c r="B186" s="36" t="s">
        <v>455</v>
      </c>
      <c r="C186" s="12">
        <f t="shared" si="12"/>
        <v>244</v>
      </c>
      <c r="D186" s="12">
        <v>1</v>
      </c>
      <c r="G186" s="14" t="s">
        <v>112</v>
      </c>
      <c r="H186" s="12" t="s">
        <v>3017</v>
      </c>
      <c r="I186" s="12">
        <v>1111</v>
      </c>
      <c r="J186" s="12">
        <v>112111</v>
      </c>
      <c r="K186" s="12" t="s">
        <v>20</v>
      </c>
      <c r="L186" s="12">
        <v>1</v>
      </c>
      <c r="M186" s="17">
        <v>17000000</v>
      </c>
      <c r="N186" s="17">
        <f t="shared" si="14"/>
        <v>17000000</v>
      </c>
      <c r="O186" s="17" t="s">
        <v>21</v>
      </c>
      <c r="P186" s="12">
        <f t="shared" si="11"/>
        <v>143</v>
      </c>
      <c r="Q186" s="12">
        <f t="shared" si="13"/>
        <v>40</v>
      </c>
    </row>
    <row r="187" spans="1:17" ht="15" customHeight="1" x14ac:dyDescent="0.2">
      <c r="A187" s="12" t="s">
        <v>2678</v>
      </c>
      <c r="B187" s="36" t="s">
        <v>455</v>
      </c>
      <c r="C187" s="12">
        <f t="shared" si="12"/>
        <v>245</v>
      </c>
      <c r="D187" s="12">
        <v>1</v>
      </c>
      <c r="G187" s="14" t="s">
        <v>43</v>
      </c>
      <c r="H187" s="12" t="s">
        <v>3343</v>
      </c>
      <c r="I187" s="12">
        <v>3383</v>
      </c>
      <c r="J187" s="12">
        <v>112111</v>
      </c>
      <c r="K187" s="12" t="s">
        <v>20</v>
      </c>
      <c r="L187" s="12">
        <v>1</v>
      </c>
      <c r="M187" s="17">
        <v>3451500</v>
      </c>
      <c r="N187" s="17">
        <f t="shared" si="14"/>
        <v>3451500</v>
      </c>
      <c r="O187" s="17" t="s">
        <v>21</v>
      </c>
      <c r="P187" s="12">
        <f t="shared" si="11"/>
        <v>144</v>
      </c>
      <c r="Q187" s="12">
        <f t="shared" si="13"/>
        <v>20</v>
      </c>
    </row>
    <row r="188" spans="1:17" ht="15" customHeight="1" x14ac:dyDescent="0.2">
      <c r="A188" s="12" t="s">
        <v>2678</v>
      </c>
      <c r="B188" s="36" t="s">
        <v>455</v>
      </c>
      <c r="C188" s="12">
        <f t="shared" si="12"/>
        <v>246</v>
      </c>
      <c r="D188" s="12">
        <v>1</v>
      </c>
      <c r="G188" s="14" t="s">
        <v>112</v>
      </c>
      <c r="H188" s="12" t="s">
        <v>3017</v>
      </c>
      <c r="I188" s="12">
        <v>1111</v>
      </c>
      <c r="J188" s="12">
        <v>112111</v>
      </c>
      <c r="K188" s="12" t="s">
        <v>20</v>
      </c>
      <c r="L188" s="12">
        <v>1</v>
      </c>
      <c r="M188" s="17">
        <v>3000000</v>
      </c>
      <c r="N188" s="17">
        <f t="shared" si="14"/>
        <v>3000000</v>
      </c>
      <c r="O188" s="17" t="s">
        <v>21</v>
      </c>
      <c r="P188" s="12">
        <f t="shared" si="11"/>
        <v>145</v>
      </c>
      <c r="Q188" s="12">
        <f t="shared" si="13"/>
        <v>40</v>
      </c>
    </row>
    <row r="189" spans="1:17" ht="15" customHeight="1" x14ac:dyDescent="0.2">
      <c r="A189" s="12" t="s">
        <v>2678</v>
      </c>
      <c r="B189" s="36" t="s">
        <v>672</v>
      </c>
      <c r="C189" s="12">
        <f t="shared" si="12"/>
        <v>247</v>
      </c>
      <c r="D189" s="12">
        <v>1</v>
      </c>
      <c r="G189" s="14" t="s">
        <v>112</v>
      </c>
      <c r="H189" s="12" t="s">
        <v>3017</v>
      </c>
      <c r="I189" s="12">
        <v>1111</v>
      </c>
      <c r="J189" s="12">
        <v>112111</v>
      </c>
      <c r="K189" s="12" t="s">
        <v>20</v>
      </c>
      <c r="L189" s="12">
        <v>1</v>
      </c>
      <c r="M189" s="17">
        <v>2000000</v>
      </c>
      <c r="N189" s="17">
        <f t="shared" si="14"/>
        <v>2000000</v>
      </c>
      <c r="O189" s="17" t="s">
        <v>21</v>
      </c>
      <c r="P189" s="12">
        <f t="shared" si="11"/>
        <v>146</v>
      </c>
      <c r="Q189" s="12">
        <f t="shared" si="13"/>
        <v>40</v>
      </c>
    </row>
    <row r="190" spans="1:17" ht="15" customHeight="1" x14ac:dyDescent="0.2">
      <c r="A190" s="12" t="s">
        <v>2679</v>
      </c>
      <c r="B190" s="36" t="s">
        <v>515</v>
      </c>
      <c r="C190" s="12">
        <f t="shared" si="12"/>
        <v>248</v>
      </c>
      <c r="D190" s="12">
        <v>1</v>
      </c>
      <c r="G190" s="14" t="s">
        <v>82</v>
      </c>
      <c r="H190" s="12" t="s">
        <v>3344</v>
      </c>
      <c r="I190" s="12">
        <v>112111</v>
      </c>
      <c r="J190" s="12">
        <v>131</v>
      </c>
      <c r="K190" s="12" t="s">
        <v>20</v>
      </c>
      <c r="L190" s="12">
        <v>1</v>
      </c>
      <c r="M190" s="17">
        <v>21290323</v>
      </c>
      <c r="N190" s="17">
        <f t="shared" si="14"/>
        <v>21290323</v>
      </c>
      <c r="O190" s="17" t="s">
        <v>21</v>
      </c>
      <c r="P190" s="12">
        <f t="shared" si="11"/>
        <v>147</v>
      </c>
      <c r="Q190" s="12">
        <f t="shared" si="13"/>
        <v>164</v>
      </c>
    </row>
    <row r="191" spans="1:17" ht="15" customHeight="1" x14ac:dyDescent="0.2">
      <c r="A191" s="12" t="s">
        <v>2678</v>
      </c>
      <c r="B191" s="36" t="s">
        <v>456</v>
      </c>
      <c r="C191" s="12">
        <f t="shared" si="12"/>
        <v>249</v>
      </c>
      <c r="D191" s="12">
        <v>1</v>
      </c>
      <c r="G191" s="14" t="s">
        <v>112</v>
      </c>
      <c r="H191" s="12" t="s">
        <v>3017</v>
      </c>
      <c r="I191" s="12">
        <v>1111</v>
      </c>
      <c r="J191" s="12">
        <v>112111</v>
      </c>
      <c r="K191" s="12" t="s">
        <v>20</v>
      </c>
      <c r="L191" s="12">
        <v>1</v>
      </c>
      <c r="M191" s="17">
        <v>1000000</v>
      </c>
      <c r="N191" s="17">
        <f t="shared" si="14"/>
        <v>1000000</v>
      </c>
      <c r="O191" s="17" t="s">
        <v>21</v>
      </c>
      <c r="P191" s="12">
        <f t="shared" si="11"/>
        <v>148</v>
      </c>
      <c r="Q191" s="12">
        <f t="shared" si="13"/>
        <v>40</v>
      </c>
    </row>
    <row r="192" spans="1:17" ht="15" customHeight="1" x14ac:dyDescent="0.2">
      <c r="A192" s="12" t="s">
        <v>2678</v>
      </c>
      <c r="B192" s="36" t="s">
        <v>456</v>
      </c>
      <c r="C192" s="12">
        <f t="shared" si="12"/>
        <v>250</v>
      </c>
      <c r="D192" s="12">
        <v>1</v>
      </c>
      <c r="G192" s="14" t="s">
        <v>112</v>
      </c>
      <c r="H192" s="12" t="s">
        <v>3017</v>
      </c>
      <c r="I192" s="12">
        <v>1111</v>
      </c>
      <c r="J192" s="12">
        <v>112111</v>
      </c>
      <c r="K192" s="12" t="s">
        <v>20</v>
      </c>
      <c r="L192" s="12">
        <v>1</v>
      </c>
      <c r="M192" s="17">
        <v>2000000</v>
      </c>
      <c r="N192" s="17">
        <f t="shared" si="14"/>
        <v>2000000</v>
      </c>
      <c r="O192" s="17" t="s">
        <v>21</v>
      </c>
      <c r="P192" s="12">
        <f t="shared" si="11"/>
        <v>149</v>
      </c>
      <c r="Q192" s="12">
        <f t="shared" si="13"/>
        <v>40</v>
      </c>
    </row>
    <row r="193" spans="1:17" ht="15" customHeight="1" x14ac:dyDescent="0.2">
      <c r="A193" s="12" t="s">
        <v>2679</v>
      </c>
      <c r="B193" s="36" t="s">
        <v>589</v>
      </c>
      <c r="C193" s="12">
        <f t="shared" si="12"/>
        <v>251</v>
      </c>
      <c r="D193" s="12">
        <v>1</v>
      </c>
      <c r="G193" s="14" t="s">
        <v>89</v>
      </c>
      <c r="H193" s="12" t="s">
        <v>3345</v>
      </c>
      <c r="I193" s="12">
        <v>112111</v>
      </c>
      <c r="J193" s="12">
        <v>131</v>
      </c>
      <c r="K193" s="12" t="s">
        <v>20</v>
      </c>
      <c r="L193" s="12">
        <v>1</v>
      </c>
      <c r="M193" s="17">
        <v>15967742</v>
      </c>
      <c r="N193" s="17">
        <f t="shared" si="14"/>
        <v>15967742</v>
      </c>
      <c r="O193" s="17" t="s">
        <v>21</v>
      </c>
      <c r="P193" s="12">
        <f t="shared" si="11"/>
        <v>150</v>
      </c>
      <c r="Q193" s="12">
        <f t="shared" si="13"/>
        <v>130</v>
      </c>
    </row>
    <row r="194" spans="1:17" ht="15" customHeight="1" x14ac:dyDescent="0.2">
      <c r="A194" s="12" t="s">
        <v>2679</v>
      </c>
      <c r="B194" s="36" t="s">
        <v>589</v>
      </c>
      <c r="C194" s="12">
        <f t="shared" ref="C194:C235" si="16">C193+D194</f>
        <v>252</v>
      </c>
      <c r="D194" s="12">
        <v>1</v>
      </c>
      <c r="G194" s="14" t="s">
        <v>2061</v>
      </c>
      <c r="H194" s="12" t="s">
        <v>3346</v>
      </c>
      <c r="I194" s="12">
        <v>112111</v>
      </c>
      <c r="J194" s="12">
        <v>131</v>
      </c>
      <c r="K194" s="12" t="s">
        <v>20</v>
      </c>
      <c r="L194" s="12">
        <v>1</v>
      </c>
      <c r="M194" s="17">
        <v>7983871</v>
      </c>
      <c r="N194" s="17">
        <f t="shared" si="14"/>
        <v>7983871</v>
      </c>
      <c r="O194" s="17" t="s">
        <v>21</v>
      </c>
      <c r="P194" s="12">
        <f t="shared" ref="P194:P235" si="17">P193+D194</f>
        <v>151</v>
      </c>
      <c r="Q194" s="12">
        <f t="shared" si="13"/>
        <v>136</v>
      </c>
    </row>
    <row r="195" spans="1:17" ht="15" customHeight="1" x14ac:dyDescent="0.2">
      <c r="A195" s="12" t="s">
        <v>2678</v>
      </c>
      <c r="B195" s="36" t="s">
        <v>589</v>
      </c>
      <c r="C195" s="12">
        <f t="shared" si="16"/>
        <v>253</v>
      </c>
      <c r="D195" s="12">
        <v>1</v>
      </c>
      <c r="G195" s="14" t="s">
        <v>112</v>
      </c>
      <c r="H195" s="12" t="s">
        <v>3017</v>
      </c>
      <c r="I195" s="12">
        <v>1111</v>
      </c>
      <c r="J195" s="12">
        <v>112111</v>
      </c>
      <c r="K195" s="12" t="s">
        <v>20</v>
      </c>
      <c r="L195" s="12">
        <v>1</v>
      </c>
      <c r="M195" s="17">
        <v>28620000</v>
      </c>
      <c r="N195" s="17">
        <f t="shared" si="14"/>
        <v>28620000</v>
      </c>
      <c r="O195" s="17" t="s">
        <v>21</v>
      </c>
      <c r="P195" s="12">
        <f t="shared" si="17"/>
        <v>152</v>
      </c>
      <c r="Q195" s="12">
        <f t="shared" si="13"/>
        <v>40</v>
      </c>
    </row>
    <row r="196" spans="1:17" ht="15" customHeight="1" x14ac:dyDescent="0.2">
      <c r="A196" s="12" t="s">
        <v>2678</v>
      </c>
      <c r="B196" s="36" t="s">
        <v>589</v>
      </c>
      <c r="C196" s="12">
        <f t="shared" si="16"/>
        <v>254</v>
      </c>
      <c r="D196" s="12">
        <v>1</v>
      </c>
      <c r="G196" s="14" t="s">
        <v>112</v>
      </c>
      <c r="H196" s="12" t="s">
        <v>3017</v>
      </c>
      <c r="I196" s="12">
        <v>1111</v>
      </c>
      <c r="J196" s="12">
        <v>112111</v>
      </c>
      <c r="K196" s="12" t="s">
        <v>20</v>
      </c>
      <c r="L196" s="12">
        <v>1</v>
      </c>
      <c r="M196" s="17">
        <v>1000000</v>
      </c>
      <c r="N196" s="17">
        <f t="shared" si="14"/>
        <v>1000000</v>
      </c>
      <c r="O196" s="17" t="s">
        <v>21</v>
      </c>
      <c r="P196" s="12">
        <f t="shared" si="17"/>
        <v>153</v>
      </c>
      <c r="Q196" s="12">
        <f t="shared" si="13"/>
        <v>40</v>
      </c>
    </row>
    <row r="197" spans="1:17" ht="15" customHeight="1" x14ac:dyDescent="0.2">
      <c r="A197" s="12" t="s">
        <v>2678</v>
      </c>
      <c r="B197" s="36" t="s">
        <v>526</v>
      </c>
      <c r="C197" s="12">
        <f t="shared" si="16"/>
        <v>255</v>
      </c>
      <c r="D197" s="12">
        <v>1</v>
      </c>
      <c r="G197" s="14" t="s">
        <v>112</v>
      </c>
      <c r="H197" s="12" t="s">
        <v>3017</v>
      </c>
      <c r="I197" s="12">
        <v>1111</v>
      </c>
      <c r="J197" s="12">
        <v>112111</v>
      </c>
      <c r="K197" s="12" t="s">
        <v>20</v>
      </c>
      <c r="L197" s="12">
        <v>1</v>
      </c>
      <c r="M197" s="17">
        <v>10000000</v>
      </c>
      <c r="N197" s="17">
        <f t="shared" si="14"/>
        <v>10000000</v>
      </c>
      <c r="O197" s="17" t="s">
        <v>21</v>
      </c>
      <c r="P197" s="12">
        <f t="shared" si="17"/>
        <v>154</v>
      </c>
      <c r="Q197" s="12">
        <f t="shared" ref="Q197:Q206" si="18">LEN(H197)</f>
        <v>40</v>
      </c>
    </row>
    <row r="198" spans="1:17" ht="15" customHeight="1" x14ac:dyDescent="0.2">
      <c r="A198" s="12" t="s">
        <v>2678</v>
      </c>
      <c r="B198" s="36" t="s">
        <v>2130</v>
      </c>
      <c r="C198" s="12">
        <f t="shared" si="16"/>
        <v>256</v>
      </c>
      <c r="D198" s="12">
        <v>1</v>
      </c>
      <c r="G198" s="14" t="s">
        <v>112</v>
      </c>
      <c r="H198" s="12" t="s">
        <v>3017</v>
      </c>
      <c r="I198" s="12">
        <v>1111</v>
      </c>
      <c r="J198" s="12">
        <v>112111</v>
      </c>
      <c r="K198" s="12" t="s">
        <v>20</v>
      </c>
      <c r="L198" s="12">
        <v>1</v>
      </c>
      <c r="M198" s="17">
        <v>5000000</v>
      </c>
      <c r="N198" s="17">
        <f t="shared" si="14"/>
        <v>5000000</v>
      </c>
      <c r="O198" s="17" t="s">
        <v>21</v>
      </c>
      <c r="P198" s="12">
        <f t="shared" si="17"/>
        <v>155</v>
      </c>
      <c r="Q198" s="12">
        <f t="shared" si="18"/>
        <v>40</v>
      </c>
    </row>
    <row r="199" spans="1:17" ht="15" customHeight="1" x14ac:dyDescent="0.2">
      <c r="A199" s="12" t="s">
        <v>2678</v>
      </c>
      <c r="B199" s="36" t="s">
        <v>380</v>
      </c>
      <c r="C199" s="12">
        <f t="shared" si="16"/>
        <v>257</v>
      </c>
      <c r="D199" s="12">
        <v>1</v>
      </c>
      <c r="G199" s="14" t="s">
        <v>112</v>
      </c>
      <c r="H199" s="12" t="s">
        <v>3017</v>
      </c>
      <c r="I199" s="12">
        <v>1111</v>
      </c>
      <c r="J199" s="12">
        <v>112111</v>
      </c>
      <c r="K199" s="12" t="s">
        <v>20</v>
      </c>
      <c r="L199" s="12">
        <v>1</v>
      </c>
      <c r="M199" s="17">
        <v>18000000</v>
      </c>
      <c r="N199" s="17">
        <f t="shared" si="14"/>
        <v>18000000</v>
      </c>
      <c r="O199" s="17" t="s">
        <v>21</v>
      </c>
      <c r="P199" s="12">
        <f t="shared" si="17"/>
        <v>156</v>
      </c>
      <c r="Q199" s="12">
        <f t="shared" si="18"/>
        <v>40</v>
      </c>
    </row>
    <row r="200" spans="1:17" ht="15" customHeight="1" x14ac:dyDescent="0.2">
      <c r="A200" s="12" t="s">
        <v>2678</v>
      </c>
      <c r="B200" s="36" t="s">
        <v>380</v>
      </c>
      <c r="C200" s="12">
        <f t="shared" si="16"/>
        <v>258</v>
      </c>
      <c r="D200" s="12">
        <v>1</v>
      </c>
      <c r="G200" s="14" t="s">
        <v>112</v>
      </c>
      <c r="H200" s="12" t="s">
        <v>3017</v>
      </c>
      <c r="I200" s="12">
        <v>1111</v>
      </c>
      <c r="J200" s="12">
        <v>112111</v>
      </c>
      <c r="K200" s="12" t="s">
        <v>20</v>
      </c>
      <c r="L200" s="12">
        <v>1</v>
      </c>
      <c r="M200" s="17">
        <v>1000000</v>
      </c>
      <c r="N200" s="17">
        <f t="shared" si="14"/>
        <v>1000000</v>
      </c>
      <c r="O200" s="17" t="s">
        <v>21</v>
      </c>
      <c r="P200" s="12">
        <f t="shared" si="17"/>
        <v>157</v>
      </c>
      <c r="Q200" s="12">
        <f t="shared" si="18"/>
        <v>40</v>
      </c>
    </row>
    <row r="201" spans="1:17" ht="15" customHeight="1" x14ac:dyDescent="0.2">
      <c r="A201" s="12" t="s">
        <v>2678</v>
      </c>
      <c r="B201" s="36" t="s">
        <v>527</v>
      </c>
      <c r="C201" s="12">
        <f t="shared" si="16"/>
        <v>259</v>
      </c>
      <c r="D201" s="12">
        <v>1</v>
      </c>
      <c r="G201" s="14" t="s">
        <v>112</v>
      </c>
      <c r="H201" s="12" t="s">
        <v>3017</v>
      </c>
      <c r="I201" s="12">
        <v>1111</v>
      </c>
      <c r="J201" s="12">
        <v>112111</v>
      </c>
      <c r="K201" s="12" t="s">
        <v>20</v>
      </c>
      <c r="L201" s="12">
        <v>1</v>
      </c>
      <c r="M201" s="17">
        <v>2000000</v>
      </c>
      <c r="N201" s="17">
        <f t="shared" si="14"/>
        <v>2000000</v>
      </c>
      <c r="O201" s="17" t="s">
        <v>21</v>
      </c>
      <c r="P201" s="12">
        <f t="shared" si="17"/>
        <v>158</v>
      </c>
      <c r="Q201" s="12">
        <f t="shared" si="18"/>
        <v>40</v>
      </c>
    </row>
    <row r="202" spans="1:17" ht="15" customHeight="1" x14ac:dyDescent="0.2">
      <c r="A202" s="12" t="s">
        <v>2679</v>
      </c>
      <c r="B202" s="36" t="s">
        <v>382</v>
      </c>
      <c r="C202" s="12">
        <f t="shared" si="16"/>
        <v>260</v>
      </c>
      <c r="D202" s="12">
        <v>1</v>
      </c>
      <c r="G202" s="14" t="s">
        <v>2063</v>
      </c>
      <c r="H202" s="12" t="s">
        <v>3347</v>
      </c>
      <c r="I202" s="12">
        <v>112111</v>
      </c>
      <c r="J202" s="12">
        <v>131</v>
      </c>
      <c r="K202" s="12" t="s">
        <v>20</v>
      </c>
      <c r="L202" s="12">
        <v>1</v>
      </c>
      <c r="M202" s="17">
        <v>6387097</v>
      </c>
      <c r="N202" s="17">
        <f t="shared" si="14"/>
        <v>6387097</v>
      </c>
      <c r="O202" s="17" t="s">
        <v>21</v>
      </c>
      <c r="P202" s="12">
        <f t="shared" si="17"/>
        <v>159</v>
      </c>
      <c r="Q202" s="12">
        <f t="shared" si="18"/>
        <v>158</v>
      </c>
    </row>
    <row r="203" spans="1:17" ht="15" customHeight="1" x14ac:dyDescent="0.2">
      <c r="A203" s="12" t="s">
        <v>2679</v>
      </c>
      <c r="B203" s="36" t="s">
        <v>382</v>
      </c>
      <c r="C203" s="12">
        <f t="shared" si="16"/>
        <v>261</v>
      </c>
      <c r="D203" s="12">
        <v>1</v>
      </c>
      <c r="G203" s="14" t="s">
        <v>89</v>
      </c>
      <c r="H203" s="12" t="s">
        <v>3348</v>
      </c>
      <c r="I203" s="12">
        <v>112111</v>
      </c>
      <c r="J203" s="12">
        <v>131</v>
      </c>
      <c r="K203" s="12" t="s">
        <v>20</v>
      </c>
      <c r="L203" s="12">
        <v>1</v>
      </c>
      <c r="M203" s="17">
        <v>7451613</v>
      </c>
      <c r="N203" s="17">
        <f t="shared" si="14"/>
        <v>7451613</v>
      </c>
      <c r="O203" s="17" t="s">
        <v>21</v>
      </c>
      <c r="P203" s="12">
        <f t="shared" si="17"/>
        <v>160</v>
      </c>
      <c r="Q203" s="12">
        <f t="shared" si="18"/>
        <v>112</v>
      </c>
    </row>
    <row r="204" spans="1:17" ht="15" customHeight="1" x14ac:dyDescent="0.2">
      <c r="A204" s="12" t="s">
        <v>2678</v>
      </c>
      <c r="B204" s="36" t="s">
        <v>603</v>
      </c>
      <c r="C204" s="12">
        <f t="shared" si="16"/>
        <v>262</v>
      </c>
      <c r="D204" s="12">
        <v>1</v>
      </c>
      <c r="G204" s="14" t="s">
        <v>112</v>
      </c>
      <c r="H204" s="12" t="s">
        <v>3017</v>
      </c>
      <c r="I204" s="12">
        <v>1111</v>
      </c>
      <c r="J204" s="12">
        <v>112111</v>
      </c>
      <c r="K204" s="12" t="s">
        <v>20</v>
      </c>
      <c r="L204" s="12">
        <v>1</v>
      </c>
      <c r="M204" s="17">
        <v>5000000</v>
      </c>
      <c r="N204" s="17">
        <f t="shared" si="14"/>
        <v>5000000</v>
      </c>
      <c r="O204" s="17" t="s">
        <v>21</v>
      </c>
      <c r="P204" s="12">
        <f t="shared" si="17"/>
        <v>161</v>
      </c>
      <c r="Q204" s="12">
        <f t="shared" si="18"/>
        <v>40</v>
      </c>
    </row>
    <row r="205" spans="1:17" ht="15" customHeight="1" x14ac:dyDescent="0.2">
      <c r="A205" s="12" t="s">
        <v>2679</v>
      </c>
      <c r="B205" s="36" t="s">
        <v>603</v>
      </c>
      <c r="C205" s="12">
        <f t="shared" si="16"/>
        <v>263</v>
      </c>
      <c r="D205" s="12">
        <v>1</v>
      </c>
      <c r="G205" s="14" t="s">
        <v>1036</v>
      </c>
      <c r="H205" s="12" t="s">
        <v>3349</v>
      </c>
      <c r="I205" s="12">
        <v>112111</v>
      </c>
      <c r="J205" s="12">
        <v>131</v>
      </c>
      <c r="K205" s="12" t="s">
        <v>20</v>
      </c>
      <c r="L205" s="12">
        <v>1</v>
      </c>
      <c r="M205" s="17">
        <v>15967742</v>
      </c>
      <c r="N205" s="17">
        <f t="shared" si="14"/>
        <v>15967742</v>
      </c>
      <c r="O205" s="17" t="s">
        <v>21</v>
      </c>
      <c r="P205" s="12">
        <f t="shared" si="17"/>
        <v>162</v>
      </c>
      <c r="Q205" s="12">
        <f t="shared" si="18"/>
        <v>185</v>
      </c>
    </row>
    <row r="206" spans="1:17" ht="15" customHeight="1" x14ac:dyDescent="0.2">
      <c r="A206" s="12" t="s">
        <v>2679</v>
      </c>
      <c r="B206" s="36" t="s">
        <v>383</v>
      </c>
      <c r="C206" s="12">
        <f t="shared" si="16"/>
        <v>264</v>
      </c>
      <c r="D206" s="12">
        <v>1</v>
      </c>
      <c r="G206" s="14" t="s">
        <v>2064</v>
      </c>
      <c r="H206" s="12" t="s">
        <v>3492</v>
      </c>
      <c r="I206" s="12">
        <v>112111</v>
      </c>
      <c r="J206" s="12">
        <v>131</v>
      </c>
      <c r="K206" s="12" t="s">
        <v>20</v>
      </c>
      <c r="L206" s="12">
        <v>1</v>
      </c>
      <c r="M206" s="17">
        <v>15000000</v>
      </c>
      <c r="N206" s="17">
        <f t="shared" si="14"/>
        <v>15000000</v>
      </c>
      <c r="O206" s="17" t="s">
        <v>21</v>
      </c>
      <c r="P206" s="12">
        <f t="shared" si="17"/>
        <v>163</v>
      </c>
      <c r="Q206" s="12">
        <f t="shared" si="18"/>
        <v>113</v>
      </c>
    </row>
    <row r="207" spans="1:17" ht="15" customHeight="1" x14ac:dyDescent="0.2">
      <c r="A207" s="12" t="s">
        <v>2679</v>
      </c>
      <c r="B207" s="36" t="s">
        <v>604</v>
      </c>
      <c r="C207" s="12">
        <f t="shared" si="16"/>
        <v>265</v>
      </c>
      <c r="D207" s="12">
        <v>1</v>
      </c>
      <c r="G207" s="14" t="s">
        <v>2060</v>
      </c>
      <c r="H207" s="12" t="s">
        <v>3350</v>
      </c>
      <c r="I207" s="12">
        <v>112111</v>
      </c>
      <c r="J207" s="12">
        <v>131</v>
      </c>
      <c r="K207" s="12" t="s">
        <v>20</v>
      </c>
      <c r="L207" s="12">
        <v>1</v>
      </c>
      <c r="M207" s="17">
        <v>19161290</v>
      </c>
      <c r="N207" s="17">
        <f t="shared" si="14"/>
        <v>19161290</v>
      </c>
      <c r="O207" s="17" t="s">
        <v>21</v>
      </c>
      <c r="P207" s="12">
        <f t="shared" si="17"/>
        <v>164</v>
      </c>
      <c r="Q207" s="12">
        <f t="shared" ref="Q207:Q235" si="19">LEN(H207)</f>
        <v>178</v>
      </c>
    </row>
    <row r="208" spans="1:17" ht="15" customHeight="1" x14ac:dyDescent="0.2">
      <c r="A208" s="12" t="s">
        <v>2679</v>
      </c>
      <c r="B208" s="36" t="s">
        <v>604</v>
      </c>
      <c r="C208" s="12">
        <f t="shared" si="16"/>
        <v>266</v>
      </c>
      <c r="D208" s="12">
        <v>1</v>
      </c>
      <c r="G208" s="14" t="s">
        <v>2053</v>
      </c>
      <c r="H208" s="12" t="s">
        <v>3351</v>
      </c>
      <c r="I208" s="12">
        <v>112111</v>
      </c>
      <c r="J208" s="12">
        <v>131</v>
      </c>
      <c r="K208" s="12" t="s">
        <v>20</v>
      </c>
      <c r="L208" s="12">
        <v>1</v>
      </c>
      <c r="M208" s="17">
        <v>37258064</v>
      </c>
      <c r="N208" s="17">
        <f t="shared" si="14"/>
        <v>37258064</v>
      </c>
      <c r="O208" s="17" t="s">
        <v>21</v>
      </c>
      <c r="P208" s="12">
        <f t="shared" si="17"/>
        <v>165</v>
      </c>
      <c r="Q208" s="12">
        <f t="shared" si="19"/>
        <v>165</v>
      </c>
    </row>
    <row r="209" spans="1:17" ht="15" customHeight="1" x14ac:dyDescent="0.2">
      <c r="A209" s="12" t="s">
        <v>2679</v>
      </c>
      <c r="B209" s="36" t="s">
        <v>604</v>
      </c>
      <c r="C209" s="12">
        <f t="shared" si="16"/>
        <v>267</v>
      </c>
      <c r="D209" s="12">
        <v>1</v>
      </c>
      <c r="G209" s="14" t="s">
        <v>106</v>
      </c>
      <c r="H209" s="12" t="s">
        <v>3352</v>
      </c>
      <c r="I209" s="12">
        <v>112111</v>
      </c>
      <c r="J209" s="12">
        <v>131</v>
      </c>
      <c r="K209" s="12" t="s">
        <v>20</v>
      </c>
      <c r="L209" s="12">
        <v>1</v>
      </c>
      <c r="M209" s="17">
        <v>21290322</v>
      </c>
      <c r="N209" s="17">
        <f t="shared" si="14"/>
        <v>21290322</v>
      </c>
      <c r="O209" s="17" t="s">
        <v>21</v>
      </c>
      <c r="P209" s="12">
        <f t="shared" si="17"/>
        <v>166</v>
      </c>
      <c r="Q209" s="12">
        <f t="shared" si="19"/>
        <v>173</v>
      </c>
    </row>
    <row r="210" spans="1:17" ht="15" customHeight="1" x14ac:dyDescent="0.2">
      <c r="A210" s="12" t="s">
        <v>2679</v>
      </c>
      <c r="B210" s="36" t="s">
        <v>604</v>
      </c>
      <c r="C210" s="12">
        <f t="shared" ref="C210:C211" si="20">C209+D210</f>
        <v>267</v>
      </c>
      <c r="D210" s="12">
        <v>0</v>
      </c>
      <c r="G210" s="14" t="s">
        <v>106</v>
      </c>
      <c r="H210" s="12" t="s">
        <v>3352</v>
      </c>
      <c r="I210" s="12">
        <v>112111</v>
      </c>
      <c r="J210" s="12">
        <v>7118</v>
      </c>
      <c r="K210" s="12" t="s">
        <v>20</v>
      </c>
      <c r="L210" s="12">
        <v>1</v>
      </c>
      <c r="M210" s="17">
        <v>1</v>
      </c>
      <c r="N210" s="17">
        <f t="shared" ref="N210" si="21">L210*M210</f>
        <v>1</v>
      </c>
      <c r="O210" s="17" t="s">
        <v>21</v>
      </c>
      <c r="P210" s="12">
        <f t="shared" ref="P210:P211" si="22">P209+D210</f>
        <v>166</v>
      </c>
      <c r="Q210" s="12">
        <f t="shared" si="19"/>
        <v>173</v>
      </c>
    </row>
    <row r="211" spans="1:17" ht="15" customHeight="1" x14ac:dyDescent="0.2">
      <c r="A211" s="12" t="s">
        <v>2678</v>
      </c>
      <c r="B211" s="36" t="s">
        <v>2504</v>
      </c>
      <c r="C211" s="12">
        <f t="shared" si="20"/>
        <v>268</v>
      </c>
      <c r="D211" s="12">
        <v>1</v>
      </c>
      <c r="G211" s="14" t="s">
        <v>112</v>
      </c>
      <c r="H211" s="12" t="s">
        <v>3017</v>
      </c>
      <c r="I211" s="12">
        <v>1111</v>
      </c>
      <c r="J211" s="12">
        <v>112111</v>
      </c>
      <c r="K211" s="12" t="s">
        <v>20</v>
      </c>
      <c r="L211" s="12">
        <v>1</v>
      </c>
      <c r="M211" s="17">
        <v>20000000</v>
      </c>
      <c r="N211" s="17">
        <f t="shared" si="14"/>
        <v>20000000</v>
      </c>
      <c r="O211" s="17" t="s">
        <v>21</v>
      </c>
      <c r="P211" s="12">
        <f t="shared" si="22"/>
        <v>167</v>
      </c>
      <c r="Q211" s="12">
        <f t="shared" si="19"/>
        <v>40</v>
      </c>
    </row>
    <row r="212" spans="1:17" ht="15" customHeight="1" x14ac:dyDescent="0.2">
      <c r="A212" s="12" t="s">
        <v>2679</v>
      </c>
      <c r="B212" s="36" t="s">
        <v>2513</v>
      </c>
      <c r="C212" s="12">
        <f t="shared" si="16"/>
        <v>269</v>
      </c>
      <c r="D212" s="12">
        <v>1</v>
      </c>
      <c r="G212" s="14" t="s">
        <v>112</v>
      </c>
      <c r="H212" s="12" t="s">
        <v>3095</v>
      </c>
      <c r="I212" s="12">
        <v>112111</v>
      </c>
      <c r="J212" s="12">
        <v>5154</v>
      </c>
      <c r="K212" s="12" t="s">
        <v>20</v>
      </c>
      <c r="L212" s="12">
        <v>1</v>
      </c>
      <c r="M212" s="17">
        <v>6235</v>
      </c>
      <c r="N212" s="17">
        <f t="shared" si="14"/>
        <v>6235</v>
      </c>
      <c r="O212" s="12" t="s">
        <v>21</v>
      </c>
      <c r="P212" s="12">
        <f t="shared" si="17"/>
        <v>168</v>
      </c>
      <c r="Q212" s="12">
        <f t="shared" si="19"/>
        <v>13</v>
      </c>
    </row>
    <row r="213" spans="1:17" ht="15" customHeight="1" x14ac:dyDescent="0.2">
      <c r="A213" s="12" t="s">
        <v>2719</v>
      </c>
      <c r="B213" s="36" t="s">
        <v>310</v>
      </c>
      <c r="C213" s="12">
        <f t="shared" si="16"/>
        <v>270</v>
      </c>
      <c r="D213" s="12">
        <v>1</v>
      </c>
      <c r="F213" s="12"/>
      <c r="G213" s="14" t="s">
        <v>37</v>
      </c>
      <c r="H213" s="12" t="s">
        <v>3353</v>
      </c>
      <c r="I213" s="12">
        <v>331</v>
      </c>
      <c r="J213" s="12">
        <v>1111</v>
      </c>
      <c r="K213" s="12" t="s">
        <v>20</v>
      </c>
      <c r="L213" s="12">
        <v>1</v>
      </c>
      <c r="M213" s="17">
        <v>3240000</v>
      </c>
      <c r="N213" s="17">
        <f t="shared" si="14"/>
        <v>3240000</v>
      </c>
      <c r="O213" s="12" t="s">
        <v>21</v>
      </c>
      <c r="P213" s="12">
        <f t="shared" si="17"/>
        <v>169</v>
      </c>
      <c r="Q213" s="12">
        <f t="shared" si="19"/>
        <v>53</v>
      </c>
    </row>
    <row r="214" spans="1:17" ht="15" customHeight="1" x14ac:dyDescent="0.2">
      <c r="A214" s="12" t="s">
        <v>2719</v>
      </c>
      <c r="B214" s="36" t="s">
        <v>447</v>
      </c>
      <c r="C214" s="12">
        <f t="shared" si="16"/>
        <v>271</v>
      </c>
      <c r="D214" s="12">
        <v>1</v>
      </c>
      <c r="F214" s="12"/>
      <c r="G214" s="14" t="s">
        <v>75</v>
      </c>
      <c r="H214" s="12" t="s">
        <v>3354</v>
      </c>
      <c r="I214" s="12">
        <v>331</v>
      </c>
      <c r="J214" s="12">
        <v>1111</v>
      </c>
      <c r="K214" s="12" t="s">
        <v>20</v>
      </c>
      <c r="L214" s="12">
        <v>1</v>
      </c>
      <c r="M214" s="17">
        <v>2025000</v>
      </c>
      <c r="N214" s="17">
        <f t="shared" si="14"/>
        <v>2025000</v>
      </c>
      <c r="O214" s="12" t="s">
        <v>21</v>
      </c>
      <c r="P214" s="12">
        <f t="shared" si="17"/>
        <v>170</v>
      </c>
      <c r="Q214" s="12">
        <f t="shared" si="19"/>
        <v>48</v>
      </c>
    </row>
    <row r="215" spans="1:17" ht="15" customHeight="1" x14ac:dyDescent="0.2">
      <c r="A215" s="12" t="s">
        <v>2719</v>
      </c>
      <c r="B215" s="36" t="s">
        <v>447</v>
      </c>
      <c r="C215" s="12">
        <f t="shared" si="16"/>
        <v>272</v>
      </c>
      <c r="D215" s="12">
        <v>1</v>
      </c>
      <c r="F215" s="12"/>
      <c r="G215" s="14" t="s">
        <v>75</v>
      </c>
      <c r="H215" s="12" t="s">
        <v>3355</v>
      </c>
      <c r="I215" s="12">
        <v>331</v>
      </c>
      <c r="J215" s="12">
        <v>1111</v>
      </c>
      <c r="K215" s="12" t="s">
        <v>20</v>
      </c>
      <c r="L215" s="12">
        <v>1</v>
      </c>
      <c r="M215" s="17">
        <v>600000</v>
      </c>
      <c r="N215" s="17">
        <f t="shared" si="14"/>
        <v>600000</v>
      </c>
      <c r="O215" s="12" t="s">
        <v>21</v>
      </c>
      <c r="P215" s="12">
        <f t="shared" si="17"/>
        <v>171</v>
      </c>
      <c r="Q215" s="12">
        <f t="shared" si="19"/>
        <v>48</v>
      </c>
    </row>
    <row r="216" spans="1:17" ht="15" customHeight="1" x14ac:dyDescent="0.2">
      <c r="A216" s="12" t="s">
        <v>2719</v>
      </c>
      <c r="B216" s="36">
        <v>45954</v>
      </c>
      <c r="C216" s="12">
        <f t="shared" si="16"/>
        <v>273</v>
      </c>
      <c r="D216" s="12">
        <v>1</v>
      </c>
      <c r="F216" s="12"/>
      <c r="G216" s="14" t="s">
        <v>3316</v>
      </c>
      <c r="H216" s="12" t="s">
        <v>3356</v>
      </c>
      <c r="I216" s="12">
        <v>331</v>
      </c>
      <c r="J216" s="12">
        <v>1111</v>
      </c>
      <c r="K216" s="12" t="s">
        <v>20</v>
      </c>
      <c r="L216" s="12">
        <v>1</v>
      </c>
      <c r="M216" s="17">
        <v>856900</v>
      </c>
      <c r="N216" s="17">
        <f t="shared" si="14"/>
        <v>856900</v>
      </c>
      <c r="O216" s="12" t="s">
        <v>21</v>
      </c>
      <c r="P216" s="12">
        <f t="shared" si="17"/>
        <v>172</v>
      </c>
      <c r="Q216" s="12">
        <f t="shared" si="19"/>
        <v>51</v>
      </c>
    </row>
    <row r="217" spans="1:17" ht="15" customHeight="1" x14ac:dyDescent="0.2">
      <c r="A217" s="12" t="s">
        <v>2719</v>
      </c>
      <c r="B217" s="36" t="s">
        <v>292</v>
      </c>
      <c r="C217" s="12">
        <f t="shared" si="16"/>
        <v>274</v>
      </c>
      <c r="D217" s="12">
        <v>1</v>
      </c>
      <c r="F217" s="12"/>
      <c r="G217" s="14" t="s">
        <v>48</v>
      </c>
      <c r="H217" s="12" t="s">
        <v>3357</v>
      </c>
      <c r="I217" s="12">
        <v>331</v>
      </c>
      <c r="J217" s="12">
        <v>1111</v>
      </c>
      <c r="K217" s="12" t="s">
        <v>20</v>
      </c>
      <c r="L217" s="12">
        <v>1</v>
      </c>
      <c r="M217" s="17">
        <v>288</v>
      </c>
      <c r="N217" s="17">
        <f t="shared" si="14"/>
        <v>288</v>
      </c>
      <c r="O217" s="12" t="s">
        <v>21</v>
      </c>
      <c r="P217" s="12">
        <f t="shared" si="17"/>
        <v>173</v>
      </c>
      <c r="Q217" s="12">
        <f t="shared" si="19"/>
        <v>66</v>
      </c>
    </row>
    <row r="218" spans="1:17" ht="15" customHeight="1" x14ac:dyDescent="0.2">
      <c r="A218" s="12" t="s">
        <v>2719</v>
      </c>
      <c r="B218" s="36" t="s">
        <v>292</v>
      </c>
      <c r="C218" s="12">
        <f t="shared" si="16"/>
        <v>275</v>
      </c>
      <c r="D218" s="12">
        <v>1</v>
      </c>
      <c r="F218" s="12"/>
      <c r="G218" s="14" t="s">
        <v>2046</v>
      </c>
      <c r="H218" s="12" t="s">
        <v>3358</v>
      </c>
      <c r="I218" s="12">
        <v>331</v>
      </c>
      <c r="J218" s="12">
        <v>1111</v>
      </c>
      <c r="K218" s="12" t="s">
        <v>20</v>
      </c>
      <c r="L218" s="12">
        <v>1</v>
      </c>
      <c r="M218" s="17">
        <v>1380240</v>
      </c>
      <c r="N218" s="17">
        <f t="shared" si="14"/>
        <v>1380240</v>
      </c>
      <c r="O218" s="12" t="s">
        <v>21</v>
      </c>
      <c r="P218" s="12">
        <f t="shared" si="17"/>
        <v>174</v>
      </c>
      <c r="Q218" s="12">
        <f t="shared" si="19"/>
        <v>53</v>
      </c>
    </row>
    <row r="219" spans="1:17" ht="15" customHeight="1" x14ac:dyDescent="0.2">
      <c r="A219" s="12" t="s">
        <v>2719</v>
      </c>
      <c r="B219" s="36" t="s">
        <v>314</v>
      </c>
      <c r="C219" s="12">
        <f t="shared" si="16"/>
        <v>276</v>
      </c>
      <c r="D219" s="12">
        <v>1</v>
      </c>
      <c r="F219" s="12"/>
      <c r="G219" s="14" t="s">
        <v>2047</v>
      </c>
      <c r="H219" s="12" t="s">
        <v>3359</v>
      </c>
      <c r="I219" s="12">
        <v>331</v>
      </c>
      <c r="J219" s="12">
        <v>1111</v>
      </c>
      <c r="K219" s="12" t="s">
        <v>20</v>
      </c>
      <c r="L219" s="12">
        <v>1</v>
      </c>
      <c r="M219" s="17">
        <v>1800000</v>
      </c>
      <c r="N219" s="17">
        <f t="shared" si="14"/>
        <v>1800000</v>
      </c>
      <c r="O219" s="12" t="s">
        <v>21</v>
      </c>
      <c r="P219" s="12">
        <f t="shared" si="17"/>
        <v>175</v>
      </c>
      <c r="Q219" s="12">
        <f t="shared" si="19"/>
        <v>47</v>
      </c>
    </row>
    <row r="220" spans="1:17" ht="15" customHeight="1" x14ac:dyDescent="0.2">
      <c r="A220" s="12" t="s">
        <v>2719</v>
      </c>
      <c r="B220" s="36" t="s">
        <v>378</v>
      </c>
      <c r="C220" s="12">
        <f t="shared" si="16"/>
        <v>277</v>
      </c>
      <c r="D220" s="12">
        <v>1</v>
      </c>
      <c r="F220" s="12"/>
      <c r="G220" s="14" t="s">
        <v>28</v>
      </c>
      <c r="H220" s="12" t="s">
        <v>3360</v>
      </c>
      <c r="I220" s="12">
        <v>331</v>
      </c>
      <c r="J220" s="12">
        <v>1111</v>
      </c>
      <c r="K220" s="12" t="s">
        <v>20</v>
      </c>
      <c r="L220" s="12">
        <v>1</v>
      </c>
      <c r="M220" s="17">
        <v>1817640</v>
      </c>
      <c r="N220" s="17">
        <f t="shared" si="14"/>
        <v>1817640</v>
      </c>
      <c r="O220" s="12" t="s">
        <v>21</v>
      </c>
      <c r="P220" s="12">
        <f t="shared" si="17"/>
        <v>176</v>
      </c>
      <c r="Q220" s="12">
        <f t="shared" si="19"/>
        <v>53</v>
      </c>
    </row>
    <row r="221" spans="1:17" ht="15" customHeight="1" x14ac:dyDescent="0.2">
      <c r="A221" s="12" t="s">
        <v>2719</v>
      </c>
      <c r="B221" s="36" t="s">
        <v>316</v>
      </c>
      <c r="C221" s="12">
        <f t="shared" si="16"/>
        <v>278</v>
      </c>
      <c r="D221" s="12">
        <v>1</v>
      </c>
      <c r="F221" s="12"/>
      <c r="G221" s="14" t="s">
        <v>37</v>
      </c>
      <c r="H221" s="12" t="s">
        <v>3361</v>
      </c>
      <c r="I221" s="12">
        <v>331</v>
      </c>
      <c r="J221" s="12">
        <v>1111</v>
      </c>
      <c r="K221" s="12" t="s">
        <v>20</v>
      </c>
      <c r="L221" s="12">
        <v>1</v>
      </c>
      <c r="M221" s="17">
        <v>3240000</v>
      </c>
      <c r="N221" s="17">
        <f t="shared" si="14"/>
        <v>3240000</v>
      </c>
      <c r="O221" s="12" t="s">
        <v>21</v>
      </c>
      <c r="P221" s="12">
        <f t="shared" si="17"/>
        <v>177</v>
      </c>
      <c r="Q221" s="12">
        <f t="shared" si="19"/>
        <v>53</v>
      </c>
    </row>
    <row r="222" spans="1:17" ht="15" customHeight="1" x14ac:dyDescent="0.2">
      <c r="A222" s="12" t="s">
        <v>2719</v>
      </c>
      <c r="B222" s="36" t="s">
        <v>418</v>
      </c>
      <c r="C222" s="12">
        <f t="shared" si="16"/>
        <v>279</v>
      </c>
      <c r="D222" s="12">
        <v>1</v>
      </c>
      <c r="F222" s="12"/>
      <c r="G222" s="32" t="s">
        <v>2048</v>
      </c>
      <c r="H222" s="32" t="s">
        <v>3362</v>
      </c>
      <c r="I222" s="12">
        <v>331</v>
      </c>
      <c r="J222" s="12">
        <v>1111</v>
      </c>
      <c r="K222" s="12" t="s">
        <v>20</v>
      </c>
      <c r="L222" s="12">
        <v>1</v>
      </c>
      <c r="M222" s="17">
        <v>1062720</v>
      </c>
      <c r="N222" s="17">
        <f t="shared" si="14"/>
        <v>1062720</v>
      </c>
      <c r="O222" s="12" t="s">
        <v>21</v>
      </c>
      <c r="P222" s="12">
        <f t="shared" si="17"/>
        <v>178</v>
      </c>
      <c r="Q222" s="12">
        <f t="shared" si="19"/>
        <v>52</v>
      </c>
    </row>
    <row r="223" spans="1:17" ht="15" customHeight="1" x14ac:dyDescent="0.2">
      <c r="A223" s="12" t="s">
        <v>2719</v>
      </c>
      <c r="B223" s="36" t="s">
        <v>513</v>
      </c>
      <c r="C223" s="12">
        <f t="shared" si="16"/>
        <v>280</v>
      </c>
      <c r="D223" s="12">
        <v>1</v>
      </c>
      <c r="F223" s="12"/>
      <c r="G223" s="32" t="s">
        <v>53</v>
      </c>
      <c r="H223" s="32" t="s">
        <v>3363</v>
      </c>
      <c r="I223" s="12">
        <v>331</v>
      </c>
      <c r="J223" s="12">
        <v>1111</v>
      </c>
      <c r="K223" s="12" t="s">
        <v>20</v>
      </c>
      <c r="L223" s="12">
        <v>1</v>
      </c>
      <c r="M223" s="17">
        <v>802440</v>
      </c>
      <c r="N223" s="17">
        <f t="shared" si="14"/>
        <v>802440</v>
      </c>
      <c r="O223" s="12" t="s">
        <v>21</v>
      </c>
      <c r="P223" s="12">
        <f t="shared" si="17"/>
        <v>179</v>
      </c>
      <c r="Q223" s="12">
        <f t="shared" si="19"/>
        <v>52</v>
      </c>
    </row>
    <row r="224" spans="1:17" ht="15" customHeight="1" x14ac:dyDescent="0.2">
      <c r="A224" s="12" t="s">
        <v>2719</v>
      </c>
      <c r="B224" s="36" t="s">
        <v>2042</v>
      </c>
      <c r="C224" s="12">
        <f t="shared" si="16"/>
        <v>281</v>
      </c>
      <c r="D224" s="12">
        <v>1</v>
      </c>
      <c r="F224" s="12"/>
      <c r="G224" s="14" t="s">
        <v>111</v>
      </c>
      <c r="H224" s="12" t="s">
        <v>3364</v>
      </c>
      <c r="I224" s="12">
        <v>331</v>
      </c>
      <c r="J224" s="12">
        <v>1111</v>
      </c>
      <c r="K224" s="12" t="s">
        <v>20</v>
      </c>
      <c r="L224" s="12">
        <v>1</v>
      </c>
      <c r="M224" s="17">
        <v>999000</v>
      </c>
      <c r="N224" s="17">
        <f t="shared" si="14"/>
        <v>999000</v>
      </c>
      <c r="O224" s="12" t="s">
        <v>21</v>
      </c>
      <c r="P224" s="12">
        <f t="shared" si="17"/>
        <v>180</v>
      </c>
      <c r="Q224" s="12">
        <f t="shared" si="19"/>
        <v>48</v>
      </c>
    </row>
    <row r="225" spans="1:17" ht="15" customHeight="1" x14ac:dyDescent="0.2">
      <c r="A225" s="12" t="s">
        <v>2719</v>
      </c>
      <c r="B225" s="36" t="s">
        <v>602</v>
      </c>
      <c r="C225" s="12">
        <f t="shared" si="16"/>
        <v>282</v>
      </c>
      <c r="D225" s="12">
        <v>1</v>
      </c>
      <c r="F225" s="12"/>
      <c r="G225" s="14" t="s">
        <v>25</v>
      </c>
      <c r="H225" s="12" t="s">
        <v>3365</v>
      </c>
      <c r="I225" s="12">
        <v>331</v>
      </c>
      <c r="J225" s="12">
        <v>1111</v>
      </c>
      <c r="K225" s="12" t="s">
        <v>20</v>
      </c>
      <c r="L225" s="12">
        <v>1</v>
      </c>
      <c r="M225" s="17">
        <v>1697760</v>
      </c>
      <c r="N225" s="17">
        <f t="shared" ref="N225:N235" si="23">L225*M225</f>
        <v>1697760</v>
      </c>
      <c r="O225" s="12" t="s">
        <v>21</v>
      </c>
      <c r="P225" s="12">
        <f t="shared" si="17"/>
        <v>181</v>
      </c>
      <c r="Q225" s="12">
        <f t="shared" si="19"/>
        <v>55</v>
      </c>
    </row>
    <row r="226" spans="1:17" ht="15" customHeight="1" x14ac:dyDescent="0.2">
      <c r="A226" s="12" t="s">
        <v>2719</v>
      </c>
      <c r="B226" s="36" t="s">
        <v>379</v>
      </c>
      <c r="C226" s="12">
        <f t="shared" si="16"/>
        <v>283</v>
      </c>
      <c r="D226" s="12">
        <v>1</v>
      </c>
      <c r="F226" s="12"/>
      <c r="G226" s="14" t="s">
        <v>25</v>
      </c>
      <c r="H226" s="12" t="s">
        <v>3366</v>
      </c>
      <c r="I226" s="12">
        <v>331</v>
      </c>
      <c r="J226" s="12">
        <v>1111</v>
      </c>
      <c r="K226" s="12" t="s">
        <v>20</v>
      </c>
      <c r="L226" s="12">
        <v>1</v>
      </c>
      <c r="M226" s="17">
        <v>951480</v>
      </c>
      <c r="N226" s="17">
        <f t="shared" si="23"/>
        <v>951480</v>
      </c>
      <c r="O226" s="12" t="s">
        <v>21</v>
      </c>
      <c r="P226" s="12">
        <f t="shared" si="17"/>
        <v>182</v>
      </c>
      <c r="Q226" s="12">
        <f t="shared" si="19"/>
        <v>55</v>
      </c>
    </row>
    <row r="227" spans="1:17" ht="15" customHeight="1" x14ac:dyDescent="0.2">
      <c r="A227" s="12" t="s">
        <v>2719</v>
      </c>
      <c r="B227" s="36" t="s">
        <v>453</v>
      </c>
      <c r="C227" s="12">
        <f t="shared" si="16"/>
        <v>284</v>
      </c>
      <c r="D227" s="12">
        <v>1</v>
      </c>
      <c r="F227" s="12"/>
      <c r="G227" s="14" t="s">
        <v>37</v>
      </c>
      <c r="H227" s="12" t="s">
        <v>3367</v>
      </c>
      <c r="I227" s="12">
        <v>331</v>
      </c>
      <c r="J227" s="12">
        <v>1111</v>
      </c>
      <c r="K227" s="12" t="s">
        <v>20</v>
      </c>
      <c r="L227" s="12">
        <v>1</v>
      </c>
      <c r="M227" s="17">
        <v>3240000</v>
      </c>
      <c r="N227" s="17">
        <f t="shared" si="23"/>
        <v>3240000</v>
      </c>
      <c r="O227" s="12" t="s">
        <v>21</v>
      </c>
      <c r="P227" s="12">
        <f t="shared" si="17"/>
        <v>183</v>
      </c>
      <c r="Q227" s="12">
        <f t="shared" si="19"/>
        <v>53</v>
      </c>
    </row>
    <row r="228" spans="1:17" ht="15" customHeight="1" x14ac:dyDescent="0.2">
      <c r="A228" s="12" t="s">
        <v>2719</v>
      </c>
      <c r="B228" s="36" t="s">
        <v>672</v>
      </c>
      <c r="C228" s="12">
        <f t="shared" si="16"/>
        <v>285</v>
      </c>
      <c r="D228" s="12">
        <v>1</v>
      </c>
      <c r="F228" s="12"/>
      <c r="G228" s="14" t="s">
        <v>41</v>
      </c>
      <c r="H228" s="12" t="s">
        <v>3368</v>
      </c>
      <c r="I228" s="12">
        <v>331</v>
      </c>
      <c r="J228" s="12">
        <v>1111</v>
      </c>
      <c r="K228" s="12" t="s">
        <v>20</v>
      </c>
      <c r="L228" s="12">
        <v>1</v>
      </c>
      <c r="M228" s="17">
        <v>1549800</v>
      </c>
      <c r="N228" s="17">
        <f t="shared" si="23"/>
        <v>1549800</v>
      </c>
      <c r="O228" s="12" t="s">
        <v>21</v>
      </c>
      <c r="P228" s="12">
        <f t="shared" si="17"/>
        <v>184</v>
      </c>
      <c r="Q228" s="12">
        <f t="shared" si="19"/>
        <v>55</v>
      </c>
    </row>
    <row r="229" spans="1:17" ht="15" customHeight="1" x14ac:dyDescent="0.2">
      <c r="A229" s="12" t="s">
        <v>2719</v>
      </c>
      <c r="B229" s="36" t="s">
        <v>516</v>
      </c>
      <c r="C229" s="12">
        <f t="shared" si="16"/>
        <v>286</v>
      </c>
      <c r="D229" s="12">
        <v>1</v>
      </c>
      <c r="F229" s="12"/>
      <c r="G229" s="14" t="s">
        <v>75</v>
      </c>
      <c r="H229" s="12" t="s">
        <v>3369</v>
      </c>
      <c r="I229" s="12">
        <v>331</v>
      </c>
      <c r="J229" s="12">
        <v>1111</v>
      </c>
      <c r="K229" s="12" t="s">
        <v>20</v>
      </c>
      <c r="L229" s="12">
        <v>1</v>
      </c>
      <c r="M229" s="17">
        <v>4515750</v>
      </c>
      <c r="N229" s="17">
        <f t="shared" si="23"/>
        <v>4515750</v>
      </c>
      <c r="O229" s="12" t="s">
        <v>21</v>
      </c>
      <c r="P229" s="12">
        <f t="shared" si="17"/>
        <v>185</v>
      </c>
      <c r="Q229" s="12">
        <f t="shared" si="19"/>
        <v>47</v>
      </c>
    </row>
    <row r="230" spans="1:17" ht="15" customHeight="1" x14ac:dyDescent="0.2">
      <c r="A230" s="12" t="s">
        <v>2719</v>
      </c>
      <c r="B230" s="36" t="s">
        <v>516</v>
      </c>
      <c r="C230" s="12">
        <f t="shared" si="16"/>
        <v>287</v>
      </c>
      <c r="D230" s="12">
        <v>1</v>
      </c>
      <c r="F230" s="12"/>
      <c r="G230" s="14" t="s">
        <v>25</v>
      </c>
      <c r="H230" s="12" t="s">
        <v>3370</v>
      </c>
      <c r="I230" s="12">
        <v>331</v>
      </c>
      <c r="J230" s="12">
        <v>1111</v>
      </c>
      <c r="K230" s="12" t="s">
        <v>20</v>
      </c>
      <c r="L230" s="12">
        <v>1</v>
      </c>
      <c r="M230" s="17">
        <v>1730160</v>
      </c>
      <c r="N230" s="17">
        <f t="shared" si="23"/>
        <v>1730160</v>
      </c>
      <c r="O230" s="12" t="s">
        <v>21</v>
      </c>
      <c r="P230" s="12">
        <f t="shared" si="17"/>
        <v>186</v>
      </c>
      <c r="Q230" s="12">
        <f t="shared" si="19"/>
        <v>55</v>
      </c>
    </row>
    <row r="231" spans="1:17" ht="15" customHeight="1" x14ac:dyDescent="0.2">
      <c r="A231" s="12" t="s">
        <v>2719</v>
      </c>
      <c r="B231" s="36" t="s">
        <v>2043</v>
      </c>
      <c r="C231" s="12">
        <f t="shared" si="16"/>
        <v>288</v>
      </c>
      <c r="D231" s="12">
        <v>1</v>
      </c>
      <c r="F231" s="12"/>
      <c r="G231" s="14" t="s">
        <v>2049</v>
      </c>
      <c r="H231" s="12" t="s">
        <v>3371</v>
      </c>
      <c r="I231" s="12">
        <v>331</v>
      </c>
      <c r="J231" s="12">
        <v>1111</v>
      </c>
      <c r="K231" s="12" t="s">
        <v>20</v>
      </c>
      <c r="L231" s="12">
        <v>1</v>
      </c>
      <c r="M231" s="17">
        <v>928000</v>
      </c>
      <c r="N231" s="17">
        <f t="shared" si="23"/>
        <v>928000</v>
      </c>
      <c r="O231" s="12" t="s">
        <v>21</v>
      </c>
      <c r="P231" s="12">
        <f t="shared" si="17"/>
        <v>187</v>
      </c>
      <c r="Q231" s="12">
        <f t="shared" si="19"/>
        <v>52</v>
      </c>
    </row>
    <row r="232" spans="1:17" ht="15" customHeight="1" x14ac:dyDescent="0.2">
      <c r="A232" s="12" t="s">
        <v>2719</v>
      </c>
      <c r="B232" s="36" t="s">
        <v>457</v>
      </c>
      <c r="C232" s="12">
        <f t="shared" si="16"/>
        <v>289</v>
      </c>
      <c r="D232" s="12">
        <v>1</v>
      </c>
      <c r="F232" s="12"/>
      <c r="G232" s="14" t="s">
        <v>2050</v>
      </c>
      <c r="H232" s="12" t="s">
        <v>3372</v>
      </c>
      <c r="I232" s="12">
        <v>331</v>
      </c>
      <c r="J232" s="12">
        <v>1111</v>
      </c>
      <c r="K232" s="12" t="s">
        <v>20</v>
      </c>
      <c r="L232" s="12">
        <v>1</v>
      </c>
      <c r="M232" s="17">
        <v>1535000</v>
      </c>
      <c r="N232" s="17">
        <f t="shared" si="23"/>
        <v>1535000</v>
      </c>
      <c r="O232" s="12" t="s">
        <v>21</v>
      </c>
      <c r="P232" s="12">
        <f t="shared" si="17"/>
        <v>188</v>
      </c>
      <c r="Q232" s="12">
        <f t="shared" si="19"/>
        <v>46</v>
      </c>
    </row>
    <row r="233" spans="1:17" ht="15" customHeight="1" x14ac:dyDescent="0.2">
      <c r="A233" s="12" t="s">
        <v>2719</v>
      </c>
      <c r="B233" s="36" t="s">
        <v>604</v>
      </c>
      <c r="C233" s="12">
        <f t="shared" si="16"/>
        <v>290</v>
      </c>
      <c r="D233" s="12">
        <v>1</v>
      </c>
      <c r="F233" s="12"/>
      <c r="G233" s="14" t="s">
        <v>30</v>
      </c>
      <c r="H233" s="12" t="s">
        <v>3373</v>
      </c>
      <c r="I233" s="12">
        <v>331</v>
      </c>
      <c r="J233" s="12">
        <v>1111</v>
      </c>
      <c r="K233" s="12" t="s">
        <v>20</v>
      </c>
      <c r="L233" s="12">
        <v>1</v>
      </c>
      <c r="M233" s="17">
        <v>899000</v>
      </c>
      <c r="N233" s="17">
        <f t="shared" si="23"/>
        <v>899000</v>
      </c>
      <c r="O233" s="12" t="s">
        <v>21</v>
      </c>
      <c r="P233" s="12">
        <f t="shared" si="17"/>
        <v>189</v>
      </c>
      <c r="Q233" s="12">
        <f t="shared" si="19"/>
        <v>49</v>
      </c>
    </row>
    <row r="234" spans="1:17" ht="15" customHeight="1" x14ac:dyDescent="0.2">
      <c r="A234" s="12" t="s">
        <v>2719</v>
      </c>
      <c r="B234" s="36" t="s">
        <v>604</v>
      </c>
      <c r="C234" s="12">
        <f t="shared" si="16"/>
        <v>291</v>
      </c>
      <c r="D234" s="12">
        <v>1</v>
      </c>
      <c r="F234" s="12"/>
      <c r="G234" s="14" t="s">
        <v>2051</v>
      </c>
      <c r="H234" s="12" t="s">
        <v>3374</v>
      </c>
      <c r="I234" s="12">
        <v>331</v>
      </c>
      <c r="J234" s="12">
        <v>1111</v>
      </c>
      <c r="K234" s="12" t="s">
        <v>20</v>
      </c>
      <c r="L234" s="12">
        <v>1</v>
      </c>
      <c r="M234" s="17">
        <v>961200</v>
      </c>
      <c r="N234" s="17">
        <f t="shared" si="23"/>
        <v>961200</v>
      </c>
      <c r="O234" s="12" t="s">
        <v>21</v>
      </c>
      <c r="P234" s="12">
        <f t="shared" si="17"/>
        <v>190</v>
      </c>
      <c r="Q234" s="12">
        <f t="shared" si="19"/>
        <v>51</v>
      </c>
    </row>
    <row r="235" spans="1:17" ht="15" customHeight="1" x14ac:dyDescent="0.2">
      <c r="A235" s="12" t="s">
        <v>2719</v>
      </c>
      <c r="B235" s="36" t="s">
        <v>2513</v>
      </c>
      <c r="C235" s="12">
        <f t="shared" si="16"/>
        <v>292</v>
      </c>
      <c r="D235" s="12">
        <v>1</v>
      </c>
      <c r="F235" s="12"/>
      <c r="G235" s="14" t="s">
        <v>2653</v>
      </c>
      <c r="H235" s="12" t="s">
        <v>3375</v>
      </c>
      <c r="I235" s="12">
        <v>331</v>
      </c>
      <c r="J235" s="12">
        <v>1111</v>
      </c>
      <c r="K235" s="12" t="s">
        <v>20</v>
      </c>
      <c r="L235" s="12">
        <v>1</v>
      </c>
      <c r="M235" s="17">
        <v>604000</v>
      </c>
      <c r="N235" s="17">
        <f t="shared" si="23"/>
        <v>604000</v>
      </c>
      <c r="O235" s="12" t="s">
        <v>21</v>
      </c>
      <c r="P235" s="12">
        <f t="shared" si="17"/>
        <v>191</v>
      </c>
      <c r="Q235" s="12">
        <f t="shared" si="19"/>
        <v>53</v>
      </c>
    </row>
  </sheetData>
  <autoFilter ref="A3:Q235" xr:uid="{00000000-0009-0000-0000-000012000000}"/>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200-000000000000}"/>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S180"/>
  <sheetViews>
    <sheetView workbookViewId="0">
      <selection activeCell="P1" sqref="P1"/>
    </sheetView>
  </sheetViews>
  <sheetFormatPr defaultRowHeight="15" customHeight="1" x14ac:dyDescent="0.2"/>
  <cols>
    <col min="1" max="1" width="9.140625" style="20"/>
    <col min="2" max="2" width="10.7109375" style="63" bestFit="1" customWidth="1"/>
    <col min="3" max="6" width="9.140625" style="20"/>
    <col min="7" max="7" width="9.5703125" style="32" bestFit="1" customWidth="1"/>
    <col min="8" max="8" width="29.85546875" style="20" customWidth="1"/>
    <col min="9" max="12" width="9.140625" style="20"/>
    <col min="13" max="13" width="11.28515625" style="34" bestFit="1" customWidth="1"/>
    <col min="14" max="14" width="10.42578125" style="34" bestFit="1" customWidth="1"/>
    <col min="15" max="15" width="10.42578125" style="20" bestFit="1" customWidth="1"/>
    <col min="16" max="18" width="9.140625" style="20"/>
    <col min="19" max="19" width="11.28515625" style="20" bestFit="1" customWidth="1"/>
    <col min="20" max="16384" width="9.140625" style="20"/>
  </cols>
  <sheetData>
    <row r="1" spans="1:17" ht="15" customHeight="1" thickBot="1" x14ac:dyDescent="0.25">
      <c r="A1" s="165" t="s">
        <v>0</v>
      </c>
      <c r="B1" s="169" t="s">
        <v>1</v>
      </c>
      <c r="C1" s="165" t="s">
        <v>2</v>
      </c>
      <c r="D1" s="167" t="s">
        <v>3</v>
      </c>
      <c r="E1" s="167" t="s">
        <v>4</v>
      </c>
      <c r="F1" s="167" t="s">
        <v>5</v>
      </c>
      <c r="G1" s="159" t="s">
        <v>6</v>
      </c>
      <c r="H1" s="161" t="s">
        <v>7</v>
      </c>
      <c r="I1" s="163" t="s">
        <v>8</v>
      </c>
      <c r="J1" s="164"/>
      <c r="K1" s="165" t="s">
        <v>9</v>
      </c>
      <c r="L1" s="165" t="s">
        <v>10</v>
      </c>
      <c r="M1" s="157" t="s">
        <v>98</v>
      </c>
      <c r="N1" s="157" t="s">
        <v>99</v>
      </c>
      <c r="O1" s="39" t="s">
        <v>100</v>
      </c>
      <c r="P1" s="152" t="s">
        <v>3991</v>
      </c>
    </row>
    <row r="2" spans="1:17" ht="15" customHeight="1" thickBot="1" x14ac:dyDescent="0.25">
      <c r="A2" s="166"/>
      <c r="B2" s="170"/>
      <c r="C2" s="166"/>
      <c r="D2" s="171"/>
      <c r="E2" s="171"/>
      <c r="F2" s="168"/>
      <c r="G2" s="160"/>
      <c r="H2" s="162"/>
      <c r="I2" s="40" t="s">
        <v>13</v>
      </c>
      <c r="J2" s="41" t="s">
        <v>14</v>
      </c>
      <c r="K2" s="166"/>
      <c r="L2" s="166"/>
      <c r="M2" s="158"/>
      <c r="N2" s="158"/>
      <c r="O2" s="37" t="s">
        <v>100</v>
      </c>
      <c r="P2" s="37"/>
    </row>
    <row r="3" spans="1:17" ht="15" customHeight="1" x14ac:dyDescent="0.2">
      <c r="A3" s="42"/>
      <c r="B3" s="68"/>
      <c r="C3" s="42">
        <v>102</v>
      </c>
      <c r="D3" s="43"/>
      <c r="E3" s="43"/>
      <c r="F3" s="43"/>
      <c r="G3" s="58" t="s">
        <v>15</v>
      </c>
      <c r="H3" s="44"/>
      <c r="I3" s="44"/>
      <c r="J3" s="44"/>
      <c r="K3" s="42"/>
      <c r="L3" s="42"/>
      <c r="M3" s="66"/>
      <c r="N3" s="66"/>
      <c r="O3" s="37" t="s">
        <v>16</v>
      </c>
      <c r="P3" s="37" t="s">
        <v>17</v>
      </c>
    </row>
    <row r="4" spans="1:17" ht="15" customHeight="1" x14ac:dyDescent="0.2">
      <c r="A4" s="20" t="s">
        <v>18</v>
      </c>
      <c r="B4" s="63" t="s">
        <v>308</v>
      </c>
      <c r="C4" s="20">
        <f t="shared" ref="C4:C36" si="0">C3+D4</f>
        <v>103</v>
      </c>
      <c r="D4" s="20">
        <v>1</v>
      </c>
      <c r="G4" s="32" t="s">
        <v>2131</v>
      </c>
      <c r="H4" s="20" t="s">
        <v>2205</v>
      </c>
      <c r="I4" s="20">
        <v>64277</v>
      </c>
      <c r="J4" s="20">
        <v>331</v>
      </c>
      <c r="K4" s="20" t="s">
        <v>20</v>
      </c>
      <c r="L4" s="20">
        <v>1</v>
      </c>
      <c r="M4" s="34">
        <v>428000</v>
      </c>
      <c r="N4" s="34">
        <f t="shared" ref="N4:N36" si="1">L4*M4</f>
        <v>428000</v>
      </c>
      <c r="O4" s="33" t="s">
        <v>21</v>
      </c>
      <c r="P4" s="20">
        <v>1</v>
      </c>
      <c r="Q4" s="20">
        <f>LEN(H4)</f>
        <v>38</v>
      </c>
    </row>
    <row r="5" spans="1:17" ht="15" customHeight="1" x14ac:dyDescent="0.2">
      <c r="A5" s="20" t="s">
        <v>18</v>
      </c>
      <c r="B5" s="63" t="s">
        <v>309</v>
      </c>
      <c r="C5" s="20">
        <f t="shared" si="0"/>
        <v>104</v>
      </c>
      <c r="D5" s="20">
        <v>1</v>
      </c>
      <c r="G5" s="32" t="s">
        <v>37</v>
      </c>
      <c r="H5" s="20" t="s">
        <v>2145</v>
      </c>
      <c r="I5" s="20">
        <v>64277</v>
      </c>
      <c r="J5" s="20">
        <v>331</v>
      </c>
      <c r="K5" s="20" t="s">
        <v>20</v>
      </c>
      <c r="L5" s="20">
        <v>1</v>
      </c>
      <c r="M5" s="34">
        <v>3240000</v>
      </c>
      <c r="N5" s="34">
        <f t="shared" si="1"/>
        <v>3240000</v>
      </c>
      <c r="O5" s="33" t="s">
        <v>21</v>
      </c>
      <c r="P5" s="20">
        <f>P4+D5</f>
        <v>2</v>
      </c>
      <c r="Q5" s="20">
        <f t="shared" ref="Q5:Q68" si="2">LEN(H5)</f>
        <v>42</v>
      </c>
    </row>
    <row r="6" spans="1:17" ht="15" customHeight="1" x14ac:dyDescent="0.2">
      <c r="A6" s="20" t="s">
        <v>18</v>
      </c>
      <c r="B6" s="63" t="s">
        <v>309</v>
      </c>
      <c r="C6" s="20">
        <f t="shared" si="0"/>
        <v>105</v>
      </c>
      <c r="D6" s="20">
        <v>1</v>
      </c>
      <c r="G6" s="32" t="s">
        <v>274</v>
      </c>
      <c r="H6" s="20" t="s">
        <v>2206</v>
      </c>
      <c r="I6" s="20">
        <v>64277</v>
      </c>
      <c r="J6" s="20">
        <v>331</v>
      </c>
      <c r="K6" s="20" t="s">
        <v>20</v>
      </c>
      <c r="L6" s="20">
        <v>1</v>
      </c>
      <c r="M6" s="34">
        <v>422828</v>
      </c>
      <c r="N6" s="34">
        <f t="shared" si="1"/>
        <v>422828</v>
      </c>
      <c r="O6" s="33" t="s">
        <v>21</v>
      </c>
      <c r="P6" s="20">
        <f t="shared" ref="P6:P69" si="3">P5+D6</f>
        <v>3</v>
      </c>
      <c r="Q6" s="20">
        <f t="shared" si="2"/>
        <v>45</v>
      </c>
    </row>
    <row r="7" spans="1:17" ht="15" customHeight="1" x14ac:dyDescent="0.2">
      <c r="A7" s="20" t="s">
        <v>18</v>
      </c>
      <c r="B7" s="63" t="s">
        <v>310</v>
      </c>
      <c r="C7" s="20">
        <f t="shared" si="0"/>
        <v>106</v>
      </c>
      <c r="D7" s="20">
        <v>1</v>
      </c>
      <c r="G7" s="32" t="s">
        <v>2132</v>
      </c>
      <c r="H7" s="20" t="s">
        <v>2214</v>
      </c>
      <c r="I7" s="20">
        <v>64276</v>
      </c>
      <c r="J7" s="20">
        <v>331</v>
      </c>
      <c r="K7" s="20" t="s">
        <v>20</v>
      </c>
      <c r="L7" s="20">
        <v>1</v>
      </c>
      <c r="M7" s="34">
        <v>404950</v>
      </c>
      <c r="N7" s="34">
        <f t="shared" si="1"/>
        <v>404950</v>
      </c>
      <c r="O7" s="33" t="s">
        <v>21</v>
      </c>
      <c r="P7" s="20">
        <f t="shared" si="3"/>
        <v>4</v>
      </c>
      <c r="Q7" s="20">
        <f t="shared" si="2"/>
        <v>35</v>
      </c>
    </row>
    <row r="8" spans="1:17" ht="15" customHeight="1" x14ac:dyDescent="0.2">
      <c r="A8" s="20" t="s">
        <v>18</v>
      </c>
      <c r="B8" s="63" t="s">
        <v>868</v>
      </c>
      <c r="C8" s="20">
        <f t="shared" si="0"/>
        <v>107</v>
      </c>
      <c r="D8" s="20">
        <v>1</v>
      </c>
      <c r="G8" s="32" t="s">
        <v>2133</v>
      </c>
      <c r="H8" s="20" t="s">
        <v>4836</v>
      </c>
      <c r="I8" s="20">
        <v>64276</v>
      </c>
      <c r="J8" s="20">
        <v>331</v>
      </c>
      <c r="K8" s="20" t="s">
        <v>20</v>
      </c>
      <c r="L8" s="20">
        <v>1</v>
      </c>
      <c r="M8" s="34">
        <v>532337</v>
      </c>
      <c r="N8" s="34">
        <f t="shared" si="1"/>
        <v>532337</v>
      </c>
      <c r="O8" s="33" t="s">
        <v>21</v>
      </c>
      <c r="P8" s="20">
        <f t="shared" si="3"/>
        <v>5</v>
      </c>
      <c r="Q8" s="20">
        <f t="shared" si="2"/>
        <v>38</v>
      </c>
    </row>
    <row r="9" spans="1:17" ht="15" customHeight="1" x14ac:dyDescent="0.2">
      <c r="A9" s="20" t="s">
        <v>18</v>
      </c>
      <c r="B9" s="63" t="s">
        <v>447</v>
      </c>
      <c r="C9" s="20">
        <f t="shared" si="0"/>
        <v>108</v>
      </c>
      <c r="D9" s="20">
        <v>1</v>
      </c>
      <c r="G9" s="32" t="s">
        <v>2134</v>
      </c>
      <c r="H9" s="20" t="s">
        <v>2215</v>
      </c>
      <c r="I9" s="20">
        <v>64276</v>
      </c>
      <c r="J9" s="20">
        <v>331</v>
      </c>
      <c r="K9" s="20" t="s">
        <v>20</v>
      </c>
      <c r="L9" s="20">
        <v>1</v>
      </c>
      <c r="M9" s="34">
        <v>2997000</v>
      </c>
      <c r="N9" s="34">
        <f t="shared" si="1"/>
        <v>2997000</v>
      </c>
      <c r="O9" s="33" t="s">
        <v>21</v>
      </c>
      <c r="P9" s="20">
        <f t="shared" si="3"/>
        <v>6</v>
      </c>
      <c r="Q9" s="20">
        <f t="shared" si="2"/>
        <v>36</v>
      </c>
    </row>
    <row r="10" spans="1:17" ht="15" customHeight="1" x14ac:dyDescent="0.2">
      <c r="A10" s="20" t="s">
        <v>18</v>
      </c>
      <c r="B10" s="63" t="s">
        <v>377</v>
      </c>
      <c r="C10" s="20">
        <f t="shared" si="0"/>
        <v>109</v>
      </c>
      <c r="D10" s="20">
        <v>1</v>
      </c>
      <c r="G10" s="32" t="s">
        <v>1024</v>
      </c>
      <c r="H10" s="20" t="s">
        <v>2216</v>
      </c>
      <c r="I10" s="20">
        <v>64276</v>
      </c>
      <c r="J10" s="20">
        <v>331</v>
      </c>
      <c r="K10" s="20" t="s">
        <v>20</v>
      </c>
      <c r="L10" s="20">
        <v>1</v>
      </c>
      <c r="M10" s="34">
        <v>3590000</v>
      </c>
      <c r="N10" s="34">
        <f t="shared" si="1"/>
        <v>3590000</v>
      </c>
      <c r="O10" s="33" t="s">
        <v>21</v>
      </c>
      <c r="P10" s="20">
        <f t="shared" si="3"/>
        <v>7</v>
      </c>
      <c r="Q10" s="20">
        <f t="shared" si="2"/>
        <v>40</v>
      </c>
    </row>
    <row r="11" spans="1:17" ht="15" customHeight="1" x14ac:dyDescent="0.2">
      <c r="A11" s="20" t="s">
        <v>18</v>
      </c>
      <c r="B11" s="63" t="s">
        <v>377</v>
      </c>
      <c r="C11" s="20">
        <f t="shared" si="0"/>
        <v>110</v>
      </c>
      <c r="D11" s="20">
        <v>1</v>
      </c>
      <c r="G11" s="32" t="s">
        <v>1024</v>
      </c>
      <c r="H11" s="20" t="s">
        <v>2217</v>
      </c>
      <c r="I11" s="20">
        <v>64276</v>
      </c>
      <c r="J11" s="20">
        <v>331</v>
      </c>
      <c r="K11" s="20" t="s">
        <v>20</v>
      </c>
      <c r="L11" s="20">
        <v>1</v>
      </c>
      <c r="M11" s="34">
        <v>666000</v>
      </c>
      <c r="N11" s="34">
        <f t="shared" si="1"/>
        <v>666000</v>
      </c>
      <c r="O11" s="33" t="s">
        <v>21</v>
      </c>
      <c r="P11" s="20">
        <f t="shared" si="3"/>
        <v>8</v>
      </c>
      <c r="Q11" s="20">
        <f t="shared" si="2"/>
        <v>40</v>
      </c>
    </row>
    <row r="12" spans="1:17" ht="15" customHeight="1" x14ac:dyDescent="0.2">
      <c r="A12" s="20" t="s">
        <v>18</v>
      </c>
      <c r="B12" s="63" t="s">
        <v>314</v>
      </c>
      <c r="C12" s="20">
        <f t="shared" si="0"/>
        <v>111</v>
      </c>
      <c r="D12" s="20">
        <v>1</v>
      </c>
      <c r="G12" s="32" t="s">
        <v>37</v>
      </c>
      <c r="H12" s="20" t="s">
        <v>2146</v>
      </c>
      <c r="I12" s="20">
        <v>64277</v>
      </c>
      <c r="J12" s="20">
        <v>331</v>
      </c>
      <c r="K12" s="20" t="s">
        <v>20</v>
      </c>
      <c r="L12" s="20">
        <v>1</v>
      </c>
      <c r="M12" s="34">
        <v>3240000</v>
      </c>
      <c r="N12" s="34">
        <f t="shared" si="1"/>
        <v>3240000</v>
      </c>
      <c r="O12" s="33" t="s">
        <v>21</v>
      </c>
      <c r="P12" s="20">
        <f t="shared" si="3"/>
        <v>9</v>
      </c>
      <c r="Q12" s="20">
        <f t="shared" si="2"/>
        <v>42</v>
      </c>
    </row>
    <row r="13" spans="1:17" ht="15" customHeight="1" x14ac:dyDescent="0.2">
      <c r="A13" s="20" t="s">
        <v>18</v>
      </c>
      <c r="B13" s="63" t="s">
        <v>314</v>
      </c>
      <c r="C13" s="20">
        <f t="shared" si="0"/>
        <v>112</v>
      </c>
      <c r="D13" s="20">
        <v>1</v>
      </c>
      <c r="G13" s="32" t="s">
        <v>2135</v>
      </c>
      <c r="H13" s="20" t="s">
        <v>2207</v>
      </c>
      <c r="I13" s="20">
        <v>64277</v>
      </c>
      <c r="J13" s="20">
        <v>331</v>
      </c>
      <c r="K13" s="20" t="s">
        <v>20</v>
      </c>
      <c r="L13" s="20">
        <v>1</v>
      </c>
      <c r="M13" s="34">
        <v>891000</v>
      </c>
      <c r="N13" s="34">
        <f t="shared" si="1"/>
        <v>891000</v>
      </c>
      <c r="O13" s="33" t="s">
        <v>21</v>
      </c>
      <c r="P13" s="20">
        <f t="shared" si="3"/>
        <v>10</v>
      </c>
      <c r="Q13" s="20">
        <f t="shared" si="2"/>
        <v>40</v>
      </c>
    </row>
    <row r="14" spans="1:17" ht="15" customHeight="1" x14ac:dyDescent="0.2">
      <c r="A14" s="20" t="s">
        <v>18</v>
      </c>
      <c r="B14" s="63" t="s">
        <v>378</v>
      </c>
      <c r="C14" s="20">
        <f t="shared" si="0"/>
        <v>113</v>
      </c>
      <c r="D14" s="20">
        <v>1</v>
      </c>
      <c r="G14" s="32" t="s">
        <v>41</v>
      </c>
      <c r="H14" s="20" t="s">
        <v>2208</v>
      </c>
      <c r="I14" s="20">
        <v>64277</v>
      </c>
      <c r="J14" s="20">
        <v>331</v>
      </c>
      <c r="K14" s="20" t="s">
        <v>20</v>
      </c>
      <c r="L14" s="20">
        <v>1</v>
      </c>
      <c r="M14" s="34">
        <v>2829600</v>
      </c>
      <c r="N14" s="34">
        <f t="shared" si="1"/>
        <v>2829600</v>
      </c>
      <c r="O14" s="33" t="s">
        <v>21</v>
      </c>
      <c r="P14" s="20">
        <f t="shared" si="3"/>
        <v>11</v>
      </c>
      <c r="Q14" s="20">
        <f t="shared" si="2"/>
        <v>44</v>
      </c>
    </row>
    <row r="15" spans="1:17" ht="15" customHeight="1" x14ac:dyDescent="0.2">
      <c r="A15" s="20" t="s">
        <v>18</v>
      </c>
      <c r="B15" s="63" t="s">
        <v>317</v>
      </c>
      <c r="C15" s="20">
        <f t="shared" si="0"/>
        <v>114</v>
      </c>
      <c r="D15" s="20">
        <v>1</v>
      </c>
      <c r="G15" s="32" t="s">
        <v>2136</v>
      </c>
      <c r="H15" s="20" t="s">
        <v>2218</v>
      </c>
      <c r="I15" s="20">
        <v>64276</v>
      </c>
      <c r="J15" s="20">
        <v>331</v>
      </c>
      <c r="K15" s="20" t="s">
        <v>20</v>
      </c>
      <c r="L15" s="20">
        <v>1</v>
      </c>
      <c r="M15" s="34">
        <v>0</v>
      </c>
      <c r="N15" s="34">
        <f t="shared" si="1"/>
        <v>0</v>
      </c>
      <c r="O15" s="33" t="s">
        <v>21</v>
      </c>
      <c r="P15" s="20">
        <f t="shared" si="3"/>
        <v>12</v>
      </c>
      <c r="Q15" s="20">
        <f t="shared" si="2"/>
        <v>36</v>
      </c>
    </row>
    <row r="16" spans="1:17" ht="15" customHeight="1" x14ac:dyDescent="0.2">
      <c r="A16" s="20" t="s">
        <v>18</v>
      </c>
      <c r="B16" s="63" t="s">
        <v>451</v>
      </c>
      <c r="C16" s="20">
        <f t="shared" si="0"/>
        <v>115</v>
      </c>
      <c r="D16" s="20">
        <v>1</v>
      </c>
      <c r="G16" s="32" t="s">
        <v>28</v>
      </c>
      <c r="H16" s="20" t="s">
        <v>2209</v>
      </c>
      <c r="I16" s="20">
        <v>64277</v>
      </c>
      <c r="J16" s="20">
        <v>331</v>
      </c>
      <c r="K16" s="20" t="s">
        <v>20</v>
      </c>
      <c r="L16" s="20">
        <v>1</v>
      </c>
      <c r="M16" s="34">
        <v>3393800</v>
      </c>
      <c r="N16" s="34">
        <f t="shared" si="1"/>
        <v>3393800</v>
      </c>
      <c r="O16" s="33" t="s">
        <v>21</v>
      </c>
      <c r="P16" s="20">
        <f t="shared" si="3"/>
        <v>13</v>
      </c>
      <c r="Q16" s="20">
        <f t="shared" si="2"/>
        <v>42</v>
      </c>
    </row>
    <row r="17" spans="1:17" ht="15" customHeight="1" x14ac:dyDescent="0.2">
      <c r="A17" s="20" t="s">
        <v>18</v>
      </c>
      <c r="B17" s="63" t="s">
        <v>417</v>
      </c>
      <c r="C17" s="20">
        <f t="shared" si="0"/>
        <v>116</v>
      </c>
      <c r="D17" s="20">
        <v>1</v>
      </c>
      <c r="G17" s="32" t="s">
        <v>2137</v>
      </c>
      <c r="H17" s="20" t="s">
        <v>2224</v>
      </c>
      <c r="I17" s="20">
        <v>64277</v>
      </c>
      <c r="J17" s="20">
        <v>331</v>
      </c>
      <c r="K17" s="20" t="s">
        <v>20</v>
      </c>
      <c r="L17" s="20">
        <v>1</v>
      </c>
      <c r="M17" s="34">
        <v>4630000</v>
      </c>
      <c r="N17" s="34">
        <f t="shared" si="1"/>
        <v>4630000</v>
      </c>
      <c r="O17" s="33" t="s">
        <v>21</v>
      </c>
      <c r="P17" s="20">
        <f t="shared" si="3"/>
        <v>14</v>
      </c>
      <c r="Q17" s="20">
        <f t="shared" si="2"/>
        <v>73</v>
      </c>
    </row>
    <row r="18" spans="1:17" ht="15" customHeight="1" x14ac:dyDescent="0.2">
      <c r="A18" s="20" t="s">
        <v>18</v>
      </c>
      <c r="B18" s="63" t="s">
        <v>418</v>
      </c>
      <c r="C18" s="20">
        <f t="shared" si="0"/>
        <v>117</v>
      </c>
      <c r="D18" s="20">
        <v>1</v>
      </c>
      <c r="G18" s="32" t="s">
        <v>1353</v>
      </c>
      <c r="H18" s="20" t="s">
        <v>2219</v>
      </c>
      <c r="I18" s="20">
        <v>64276</v>
      </c>
      <c r="J18" s="20">
        <v>331</v>
      </c>
      <c r="K18" s="20" t="s">
        <v>20</v>
      </c>
      <c r="L18" s="20">
        <v>1</v>
      </c>
      <c r="M18" s="34">
        <v>956000</v>
      </c>
      <c r="N18" s="34">
        <f t="shared" si="1"/>
        <v>956000</v>
      </c>
      <c r="O18" s="33" t="s">
        <v>21</v>
      </c>
      <c r="P18" s="20">
        <f t="shared" si="3"/>
        <v>15</v>
      </c>
      <c r="Q18" s="20">
        <f t="shared" si="2"/>
        <v>38</v>
      </c>
    </row>
    <row r="19" spans="1:17" ht="15" customHeight="1" x14ac:dyDescent="0.2">
      <c r="A19" s="20" t="s">
        <v>18</v>
      </c>
      <c r="B19" s="63" t="s">
        <v>2042</v>
      </c>
      <c r="C19" s="20">
        <f t="shared" si="0"/>
        <v>118</v>
      </c>
      <c r="D19" s="20">
        <v>1</v>
      </c>
      <c r="G19" s="32" t="s">
        <v>274</v>
      </c>
      <c r="H19" s="20" t="s">
        <v>2210</v>
      </c>
      <c r="I19" s="20">
        <v>64277</v>
      </c>
      <c r="J19" s="20">
        <v>331</v>
      </c>
      <c r="K19" s="20" t="s">
        <v>20</v>
      </c>
      <c r="L19" s="20">
        <v>1</v>
      </c>
      <c r="M19" s="34">
        <v>395400</v>
      </c>
      <c r="N19" s="34">
        <f t="shared" si="1"/>
        <v>395400</v>
      </c>
      <c r="O19" s="33" t="s">
        <v>21</v>
      </c>
      <c r="P19" s="20">
        <f t="shared" si="3"/>
        <v>16</v>
      </c>
      <c r="Q19" s="20">
        <f t="shared" si="2"/>
        <v>45</v>
      </c>
    </row>
    <row r="20" spans="1:17" ht="15" customHeight="1" x14ac:dyDescent="0.2">
      <c r="A20" s="20" t="s">
        <v>18</v>
      </c>
      <c r="B20" s="63" t="s">
        <v>379</v>
      </c>
      <c r="C20" s="20">
        <f t="shared" si="0"/>
        <v>119</v>
      </c>
      <c r="D20" s="20">
        <v>1</v>
      </c>
      <c r="G20" s="32" t="s">
        <v>37</v>
      </c>
      <c r="H20" s="20" t="s">
        <v>2147</v>
      </c>
      <c r="I20" s="20">
        <v>64277</v>
      </c>
      <c r="J20" s="20">
        <v>331</v>
      </c>
      <c r="K20" s="20" t="s">
        <v>20</v>
      </c>
      <c r="L20" s="20">
        <v>1</v>
      </c>
      <c r="M20" s="34">
        <v>3240000</v>
      </c>
      <c r="N20" s="34">
        <f t="shared" si="1"/>
        <v>3240000</v>
      </c>
      <c r="O20" s="33" t="s">
        <v>21</v>
      </c>
      <c r="P20" s="20">
        <f t="shared" si="3"/>
        <v>17</v>
      </c>
      <c r="Q20" s="20">
        <f t="shared" si="2"/>
        <v>42</v>
      </c>
    </row>
    <row r="21" spans="1:17" ht="15" customHeight="1" x14ac:dyDescent="0.2">
      <c r="A21" s="20" t="s">
        <v>18</v>
      </c>
      <c r="B21" s="63" t="s">
        <v>523</v>
      </c>
      <c r="C21" s="20">
        <f t="shared" si="0"/>
        <v>120</v>
      </c>
      <c r="D21" s="20">
        <v>1</v>
      </c>
      <c r="G21" s="32" t="s">
        <v>30</v>
      </c>
      <c r="H21" s="20" t="s">
        <v>2220</v>
      </c>
      <c r="I21" s="20">
        <v>64276</v>
      </c>
      <c r="J21" s="20">
        <v>331</v>
      </c>
      <c r="K21" s="20" t="s">
        <v>20</v>
      </c>
      <c r="L21" s="20">
        <v>1</v>
      </c>
      <c r="M21" s="34">
        <v>1496000</v>
      </c>
      <c r="N21" s="34">
        <f t="shared" si="1"/>
        <v>1496000</v>
      </c>
      <c r="O21" s="33" t="s">
        <v>21</v>
      </c>
      <c r="P21" s="20">
        <f t="shared" si="3"/>
        <v>18</v>
      </c>
      <c r="Q21" s="20">
        <f t="shared" si="2"/>
        <v>38</v>
      </c>
    </row>
    <row r="22" spans="1:17" ht="15" customHeight="1" x14ac:dyDescent="0.2">
      <c r="A22" s="20" t="s">
        <v>18</v>
      </c>
      <c r="B22" s="63" t="s">
        <v>2044</v>
      </c>
      <c r="C22" s="20">
        <f t="shared" si="0"/>
        <v>121</v>
      </c>
      <c r="D22" s="20">
        <v>1</v>
      </c>
      <c r="G22" s="32" t="s">
        <v>1353</v>
      </c>
      <c r="H22" s="20" t="s">
        <v>2221</v>
      </c>
      <c r="I22" s="20">
        <v>64276</v>
      </c>
      <c r="J22" s="20">
        <v>331</v>
      </c>
      <c r="K22" s="20" t="s">
        <v>20</v>
      </c>
      <c r="L22" s="20">
        <v>1</v>
      </c>
      <c r="M22" s="34">
        <v>-939000</v>
      </c>
      <c r="N22" s="34">
        <f t="shared" si="1"/>
        <v>-939000</v>
      </c>
      <c r="O22" s="33" t="s">
        <v>21</v>
      </c>
      <c r="P22" s="20">
        <f t="shared" si="3"/>
        <v>19</v>
      </c>
      <c r="Q22" s="20">
        <f t="shared" si="2"/>
        <v>67</v>
      </c>
    </row>
    <row r="23" spans="1:17" ht="15" customHeight="1" x14ac:dyDescent="0.2">
      <c r="A23" s="20" t="s">
        <v>18</v>
      </c>
      <c r="B23" s="63" t="s">
        <v>2130</v>
      </c>
      <c r="C23" s="20">
        <f t="shared" si="0"/>
        <v>122</v>
      </c>
      <c r="D23" s="20">
        <v>1</v>
      </c>
      <c r="G23" s="32" t="s">
        <v>2138</v>
      </c>
      <c r="H23" s="20" t="s">
        <v>2211</v>
      </c>
      <c r="I23" s="20">
        <v>64277</v>
      </c>
      <c r="J23" s="20">
        <v>331</v>
      </c>
      <c r="K23" s="20" t="s">
        <v>20</v>
      </c>
      <c r="L23" s="20">
        <v>1</v>
      </c>
      <c r="M23" s="34">
        <v>923400</v>
      </c>
      <c r="N23" s="34">
        <f t="shared" si="1"/>
        <v>923400</v>
      </c>
      <c r="O23" s="33" t="s">
        <v>21</v>
      </c>
      <c r="P23" s="20">
        <f t="shared" si="3"/>
        <v>20</v>
      </c>
      <c r="Q23" s="20">
        <f t="shared" si="2"/>
        <v>41</v>
      </c>
    </row>
    <row r="24" spans="1:17" ht="15" customHeight="1" x14ac:dyDescent="0.2">
      <c r="A24" s="20" t="s">
        <v>18</v>
      </c>
      <c r="B24" s="63" t="s">
        <v>527</v>
      </c>
      <c r="C24" s="20">
        <f t="shared" si="0"/>
        <v>123</v>
      </c>
      <c r="D24" s="20">
        <v>1</v>
      </c>
      <c r="G24" s="32" t="s">
        <v>2139</v>
      </c>
      <c r="H24" s="20" t="s">
        <v>2222</v>
      </c>
      <c r="I24" s="20">
        <v>64276</v>
      </c>
      <c r="J24" s="20">
        <v>331</v>
      </c>
      <c r="K24" s="20" t="s">
        <v>20</v>
      </c>
      <c r="L24" s="20">
        <v>1</v>
      </c>
      <c r="M24" s="34">
        <v>46500000</v>
      </c>
      <c r="N24" s="34">
        <f t="shared" si="1"/>
        <v>46500000</v>
      </c>
      <c r="O24" s="33" t="s">
        <v>21</v>
      </c>
      <c r="P24" s="20">
        <f t="shared" si="3"/>
        <v>21</v>
      </c>
      <c r="Q24" s="20">
        <f t="shared" si="2"/>
        <v>36</v>
      </c>
    </row>
    <row r="25" spans="1:17" ht="15" customHeight="1" x14ac:dyDescent="0.2">
      <c r="A25" s="20" t="s">
        <v>18</v>
      </c>
      <c r="B25" s="63" t="s">
        <v>603</v>
      </c>
      <c r="C25" s="20">
        <f t="shared" si="0"/>
        <v>124</v>
      </c>
      <c r="D25" s="20">
        <v>1</v>
      </c>
      <c r="G25" s="32" t="s">
        <v>52</v>
      </c>
      <c r="H25" s="20" t="s">
        <v>2212</v>
      </c>
      <c r="I25" s="20">
        <v>64277</v>
      </c>
      <c r="J25" s="20">
        <v>331</v>
      </c>
      <c r="K25" s="20" t="s">
        <v>20</v>
      </c>
      <c r="L25" s="20">
        <v>1</v>
      </c>
      <c r="M25" s="34">
        <v>939600</v>
      </c>
      <c r="N25" s="34">
        <f t="shared" si="1"/>
        <v>939600</v>
      </c>
      <c r="O25" s="33" t="s">
        <v>21</v>
      </c>
      <c r="P25" s="20">
        <f t="shared" si="3"/>
        <v>22</v>
      </c>
      <c r="Q25" s="20">
        <f t="shared" si="2"/>
        <v>42</v>
      </c>
    </row>
    <row r="26" spans="1:17" ht="15" customHeight="1" x14ac:dyDescent="0.2">
      <c r="A26" s="20" t="s">
        <v>18</v>
      </c>
      <c r="B26" s="63" t="s">
        <v>516</v>
      </c>
      <c r="C26" s="20">
        <f t="shared" si="0"/>
        <v>125</v>
      </c>
      <c r="D26" s="20">
        <v>1</v>
      </c>
      <c r="G26" s="32" t="s">
        <v>2140</v>
      </c>
      <c r="H26" s="20" t="s">
        <v>2213</v>
      </c>
      <c r="I26" s="20">
        <v>64277</v>
      </c>
      <c r="J26" s="20">
        <v>331</v>
      </c>
      <c r="K26" s="20" t="s">
        <v>20</v>
      </c>
      <c r="L26" s="20">
        <v>1</v>
      </c>
      <c r="M26" s="34">
        <v>1716120</v>
      </c>
      <c r="N26" s="34">
        <f t="shared" si="1"/>
        <v>1716120</v>
      </c>
      <c r="O26" s="33" t="s">
        <v>21</v>
      </c>
      <c r="P26" s="20">
        <f t="shared" si="3"/>
        <v>23</v>
      </c>
      <c r="Q26" s="20">
        <f t="shared" si="2"/>
        <v>42</v>
      </c>
    </row>
    <row r="27" spans="1:17" ht="15" customHeight="1" x14ac:dyDescent="0.2">
      <c r="A27" s="20" t="s">
        <v>18</v>
      </c>
      <c r="B27" s="63" t="s">
        <v>604</v>
      </c>
      <c r="C27" s="20">
        <f t="shared" si="0"/>
        <v>126</v>
      </c>
      <c r="D27" s="20">
        <v>1</v>
      </c>
      <c r="G27" s="32" t="s">
        <v>40</v>
      </c>
      <c r="H27" s="20" t="s">
        <v>2223</v>
      </c>
      <c r="I27" s="20">
        <v>64276</v>
      </c>
      <c r="J27" s="20">
        <v>331</v>
      </c>
      <c r="K27" s="20" t="s">
        <v>20</v>
      </c>
      <c r="L27" s="20">
        <v>1</v>
      </c>
      <c r="M27" s="34">
        <v>5790000</v>
      </c>
      <c r="N27" s="34">
        <f t="shared" si="1"/>
        <v>5790000</v>
      </c>
      <c r="O27" s="33" t="s">
        <v>21</v>
      </c>
      <c r="P27" s="20">
        <f t="shared" si="3"/>
        <v>24</v>
      </c>
      <c r="Q27" s="20">
        <f t="shared" si="2"/>
        <v>37</v>
      </c>
    </row>
    <row r="28" spans="1:17" ht="15" customHeight="1" x14ac:dyDescent="0.2">
      <c r="A28" s="20" t="s">
        <v>18</v>
      </c>
      <c r="B28" s="63" t="s">
        <v>2504</v>
      </c>
      <c r="C28" s="20">
        <f t="shared" ref="C28:C29" si="4">C27+D28</f>
        <v>127</v>
      </c>
      <c r="D28" s="20">
        <v>1</v>
      </c>
      <c r="G28" s="32" t="s">
        <v>41</v>
      </c>
      <c r="H28" s="20" t="s">
        <v>2668</v>
      </c>
      <c r="I28" s="20">
        <v>64277</v>
      </c>
      <c r="J28" s="20">
        <v>331</v>
      </c>
      <c r="K28" s="20" t="s">
        <v>20</v>
      </c>
      <c r="L28" s="20">
        <v>1</v>
      </c>
      <c r="M28" s="34">
        <v>1614600</v>
      </c>
      <c r="N28" s="34">
        <f t="shared" si="1"/>
        <v>1614600</v>
      </c>
      <c r="O28" s="33" t="s">
        <v>21</v>
      </c>
      <c r="P28" s="20">
        <f t="shared" si="3"/>
        <v>25</v>
      </c>
      <c r="Q28" s="20">
        <f t="shared" si="2"/>
        <v>44</v>
      </c>
    </row>
    <row r="29" spans="1:17" ht="15" customHeight="1" x14ac:dyDescent="0.2">
      <c r="A29" s="20" t="s">
        <v>18</v>
      </c>
      <c r="B29" s="63" t="s">
        <v>445</v>
      </c>
      <c r="C29" s="20">
        <f t="shared" si="4"/>
        <v>128</v>
      </c>
      <c r="D29" s="20">
        <v>1</v>
      </c>
      <c r="G29" s="32" t="s">
        <v>66</v>
      </c>
      <c r="H29" s="20" t="s">
        <v>2148</v>
      </c>
      <c r="I29" s="20">
        <v>131</v>
      </c>
      <c r="J29" s="20">
        <v>5113</v>
      </c>
      <c r="K29" s="20" t="s">
        <v>20</v>
      </c>
      <c r="L29" s="20">
        <v>1</v>
      </c>
      <c r="M29" s="34">
        <v>9139785</v>
      </c>
      <c r="N29" s="34">
        <f t="shared" si="1"/>
        <v>9139785</v>
      </c>
      <c r="O29" s="33" t="s">
        <v>21</v>
      </c>
      <c r="P29" s="20">
        <f t="shared" si="3"/>
        <v>26</v>
      </c>
      <c r="Q29" s="20">
        <f t="shared" si="2"/>
        <v>157</v>
      </c>
    </row>
    <row r="30" spans="1:17" ht="15" customHeight="1" x14ac:dyDescent="0.2">
      <c r="A30" s="20" t="s">
        <v>18</v>
      </c>
      <c r="B30" s="63" t="s">
        <v>445</v>
      </c>
      <c r="C30" s="20">
        <f t="shared" si="0"/>
        <v>128</v>
      </c>
      <c r="D30" s="20">
        <v>0</v>
      </c>
      <c r="G30" s="32" t="s">
        <v>66</v>
      </c>
      <c r="H30" s="20" t="s">
        <v>2168</v>
      </c>
      <c r="I30" s="20">
        <v>333821</v>
      </c>
      <c r="J30" s="20">
        <v>131</v>
      </c>
      <c r="K30" s="20" t="s">
        <v>20</v>
      </c>
      <c r="L30" s="20">
        <v>1</v>
      </c>
      <c r="M30" s="34">
        <v>91398</v>
      </c>
      <c r="N30" s="34">
        <f t="shared" si="1"/>
        <v>91398</v>
      </c>
      <c r="O30" s="33" t="s">
        <v>21</v>
      </c>
      <c r="P30" s="20">
        <f t="shared" si="3"/>
        <v>26</v>
      </c>
      <c r="Q30" s="20">
        <f t="shared" si="2"/>
        <v>173</v>
      </c>
    </row>
    <row r="31" spans="1:17" ht="15" customHeight="1" x14ac:dyDescent="0.2">
      <c r="A31" s="20" t="s">
        <v>18</v>
      </c>
      <c r="B31" s="63" t="s">
        <v>311</v>
      </c>
      <c r="C31" s="20">
        <f t="shared" si="0"/>
        <v>129</v>
      </c>
      <c r="D31" s="20">
        <v>1</v>
      </c>
      <c r="G31" s="32" t="s">
        <v>57</v>
      </c>
      <c r="H31" s="20" t="s">
        <v>2149</v>
      </c>
      <c r="I31" s="20">
        <v>131</v>
      </c>
      <c r="J31" s="20">
        <v>5113</v>
      </c>
      <c r="K31" s="20" t="s">
        <v>20</v>
      </c>
      <c r="L31" s="20">
        <v>1</v>
      </c>
      <c r="M31" s="34">
        <v>9677419</v>
      </c>
      <c r="N31" s="34">
        <f t="shared" si="1"/>
        <v>9677419</v>
      </c>
      <c r="O31" s="33" t="s">
        <v>21</v>
      </c>
      <c r="P31" s="20">
        <f t="shared" si="3"/>
        <v>27</v>
      </c>
      <c r="Q31" s="20">
        <f t="shared" si="2"/>
        <v>154</v>
      </c>
    </row>
    <row r="32" spans="1:17" ht="15" customHeight="1" x14ac:dyDescent="0.2">
      <c r="A32" s="20" t="s">
        <v>18</v>
      </c>
      <c r="B32" s="63" t="s">
        <v>311</v>
      </c>
      <c r="C32" s="20">
        <f t="shared" si="0"/>
        <v>129</v>
      </c>
      <c r="D32" s="20">
        <v>0</v>
      </c>
      <c r="G32" s="32" t="s">
        <v>57</v>
      </c>
      <c r="H32" s="20" t="s">
        <v>2169</v>
      </c>
      <c r="I32" s="20">
        <v>333821</v>
      </c>
      <c r="J32" s="20">
        <v>131</v>
      </c>
      <c r="K32" s="20" t="s">
        <v>20</v>
      </c>
      <c r="L32" s="20">
        <v>1</v>
      </c>
      <c r="M32" s="34">
        <v>96774</v>
      </c>
      <c r="N32" s="34">
        <f t="shared" si="1"/>
        <v>96774</v>
      </c>
      <c r="O32" s="33" t="s">
        <v>21</v>
      </c>
      <c r="P32" s="20">
        <f t="shared" si="3"/>
        <v>27</v>
      </c>
      <c r="Q32" s="20">
        <f t="shared" si="2"/>
        <v>170</v>
      </c>
    </row>
    <row r="33" spans="1:17" ht="15" customHeight="1" x14ac:dyDescent="0.2">
      <c r="A33" s="20" t="s">
        <v>18</v>
      </c>
      <c r="B33" s="63" t="s">
        <v>290</v>
      </c>
      <c r="C33" s="20">
        <f t="shared" si="0"/>
        <v>130</v>
      </c>
      <c r="D33" s="20">
        <v>1</v>
      </c>
      <c r="G33" s="32" t="s">
        <v>403</v>
      </c>
      <c r="H33" s="20" t="s">
        <v>2150</v>
      </c>
      <c r="I33" s="20">
        <v>131</v>
      </c>
      <c r="J33" s="20">
        <v>5113</v>
      </c>
      <c r="K33" s="20" t="s">
        <v>20</v>
      </c>
      <c r="L33" s="20">
        <v>1</v>
      </c>
      <c r="M33" s="34">
        <v>9677419</v>
      </c>
      <c r="N33" s="34">
        <f t="shared" si="1"/>
        <v>9677419</v>
      </c>
      <c r="O33" s="33" t="s">
        <v>21</v>
      </c>
      <c r="P33" s="20">
        <f t="shared" si="3"/>
        <v>28</v>
      </c>
      <c r="Q33" s="20">
        <f t="shared" si="2"/>
        <v>159</v>
      </c>
    </row>
    <row r="34" spans="1:17" ht="15" customHeight="1" x14ac:dyDescent="0.2">
      <c r="A34" s="20" t="s">
        <v>18</v>
      </c>
      <c r="B34" s="63" t="s">
        <v>290</v>
      </c>
      <c r="C34" s="20">
        <f t="shared" si="0"/>
        <v>130</v>
      </c>
      <c r="D34" s="20">
        <v>0</v>
      </c>
      <c r="G34" s="32" t="s">
        <v>403</v>
      </c>
      <c r="H34" s="20" t="s">
        <v>2170</v>
      </c>
      <c r="I34" s="20">
        <v>333821</v>
      </c>
      <c r="J34" s="20">
        <v>131</v>
      </c>
      <c r="K34" s="20" t="s">
        <v>20</v>
      </c>
      <c r="L34" s="20">
        <v>1</v>
      </c>
      <c r="M34" s="34">
        <v>96774</v>
      </c>
      <c r="N34" s="34">
        <f t="shared" si="1"/>
        <v>96774</v>
      </c>
      <c r="O34" s="33" t="s">
        <v>21</v>
      </c>
      <c r="P34" s="20">
        <f t="shared" si="3"/>
        <v>28</v>
      </c>
      <c r="Q34" s="20">
        <f t="shared" si="2"/>
        <v>175</v>
      </c>
    </row>
    <row r="35" spans="1:17" ht="15" customHeight="1" x14ac:dyDescent="0.2">
      <c r="A35" s="20" t="s">
        <v>18</v>
      </c>
      <c r="B35" s="63" t="s">
        <v>290</v>
      </c>
      <c r="C35" s="20">
        <f t="shared" si="0"/>
        <v>131</v>
      </c>
      <c r="D35" s="20">
        <v>1</v>
      </c>
      <c r="G35" s="32" t="s">
        <v>26</v>
      </c>
      <c r="H35" s="20" t="s">
        <v>2151</v>
      </c>
      <c r="I35" s="20">
        <v>131</v>
      </c>
      <c r="J35" s="20">
        <v>5113</v>
      </c>
      <c r="K35" s="20" t="s">
        <v>20</v>
      </c>
      <c r="L35" s="20">
        <v>1</v>
      </c>
      <c r="M35" s="34">
        <v>9677419</v>
      </c>
      <c r="N35" s="34">
        <f t="shared" si="1"/>
        <v>9677419</v>
      </c>
      <c r="O35" s="33" t="s">
        <v>21</v>
      </c>
      <c r="P35" s="20">
        <f t="shared" si="3"/>
        <v>29</v>
      </c>
      <c r="Q35" s="20">
        <f t="shared" si="2"/>
        <v>164</v>
      </c>
    </row>
    <row r="36" spans="1:17" ht="15" customHeight="1" x14ac:dyDescent="0.2">
      <c r="A36" s="20" t="s">
        <v>18</v>
      </c>
      <c r="B36" s="63" t="s">
        <v>290</v>
      </c>
      <c r="C36" s="20">
        <f t="shared" si="0"/>
        <v>131</v>
      </c>
      <c r="D36" s="20">
        <v>0</v>
      </c>
      <c r="G36" s="32" t="s">
        <v>26</v>
      </c>
      <c r="H36" s="20" t="s">
        <v>2171</v>
      </c>
      <c r="I36" s="20">
        <v>333821</v>
      </c>
      <c r="J36" s="20">
        <v>131</v>
      </c>
      <c r="K36" s="20" t="s">
        <v>20</v>
      </c>
      <c r="L36" s="20">
        <v>1</v>
      </c>
      <c r="M36" s="34">
        <v>96774</v>
      </c>
      <c r="N36" s="34">
        <f t="shared" si="1"/>
        <v>96774</v>
      </c>
      <c r="O36" s="33" t="s">
        <v>21</v>
      </c>
      <c r="P36" s="20">
        <f t="shared" si="3"/>
        <v>29</v>
      </c>
      <c r="Q36" s="20">
        <f t="shared" si="2"/>
        <v>180</v>
      </c>
    </row>
    <row r="37" spans="1:17" ht="15" customHeight="1" x14ac:dyDescent="0.2">
      <c r="A37" s="20" t="s">
        <v>18</v>
      </c>
      <c r="B37" s="63" t="s">
        <v>413</v>
      </c>
      <c r="C37" s="20">
        <f t="shared" ref="C37:C68" si="5">C36+D37</f>
        <v>132</v>
      </c>
      <c r="D37" s="20">
        <v>1</v>
      </c>
      <c r="G37" s="32" t="s">
        <v>66</v>
      </c>
      <c r="H37" s="20" t="s">
        <v>2152</v>
      </c>
      <c r="I37" s="20">
        <v>131</v>
      </c>
      <c r="J37" s="20">
        <v>5113</v>
      </c>
      <c r="K37" s="20" t="s">
        <v>20</v>
      </c>
      <c r="L37" s="20">
        <v>1</v>
      </c>
      <c r="M37" s="34">
        <v>9677419</v>
      </c>
      <c r="N37" s="34">
        <f t="shared" ref="N37:N68" si="6">L37*M37</f>
        <v>9677419</v>
      </c>
      <c r="O37" s="33" t="s">
        <v>21</v>
      </c>
      <c r="P37" s="20">
        <f t="shared" si="3"/>
        <v>30</v>
      </c>
      <c r="Q37" s="20">
        <f t="shared" si="2"/>
        <v>163</v>
      </c>
    </row>
    <row r="38" spans="1:17" ht="15" customHeight="1" x14ac:dyDescent="0.2">
      <c r="A38" s="20" t="s">
        <v>18</v>
      </c>
      <c r="B38" s="63" t="s">
        <v>413</v>
      </c>
      <c r="C38" s="20">
        <f t="shared" si="5"/>
        <v>132</v>
      </c>
      <c r="D38" s="20">
        <v>0</v>
      </c>
      <c r="G38" s="32" t="s">
        <v>66</v>
      </c>
      <c r="H38" s="20" t="s">
        <v>2172</v>
      </c>
      <c r="I38" s="20">
        <v>333821</v>
      </c>
      <c r="J38" s="20">
        <v>131</v>
      </c>
      <c r="K38" s="20" t="s">
        <v>20</v>
      </c>
      <c r="L38" s="20">
        <v>1</v>
      </c>
      <c r="M38" s="34">
        <v>96774</v>
      </c>
      <c r="N38" s="34">
        <f t="shared" si="6"/>
        <v>96774</v>
      </c>
      <c r="O38" s="33" t="s">
        <v>21</v>
      </c>
      <c r="P38" s="20">
        <f t="shared" si="3"/>
        <v>30</v>
      </c>
      <c r="Q38" s="20">
        <f t="shared" si="2"/>
        <v>179</v>
      </c>
    </row>
    <row r="39" spans="1:17" ht="15" customHeight="1" x14ac:dyDescent="0.2">
      <c r="A39" s="20" t="s">
        <v>18</v>
      </c>
      <c r="B39" s="63" t="s">
        <v>599</v>
      </c>
      <c r="C39" s="20">
        <f t="shared" si="5"/>
        <v>133</v>
      </c>
      <c r="D39" s="20">
        <v>1</v>
      </c>
      <c r="G39" s="32" t="s">
        <v>60</v>
      </c>
      <c r="H39" s="20" t="s">
        <v>2153</v>
      </c>
      <c r="I39" s="20">
        <v>131</v>
      </c>
      <c r="J39" s="20">
        <v>5113</v>
      </c>
      <c r="K39" s="20" t="s">
        <v>20</v>
      </c>
      <c r="L39" s="20">
        <v>1</v>
      </c>
      <c r="M39" s="34">
        <v>10215054</v>
      </c>
      <c r="N39" s="34">
        <f t="shared" si="6"/>
        <v>10215054</v>
      </c>
      <c r="O39" s="33" t="s">
        <v>21</v>
      </c>
      <c r="P39" s="20">
        <f t="shared" si="3"/>
        <v>31</v>
      </c>
      <c r="Q39" s="20">
        <f t="shared" si="2"/>
        <v>150</v>
      </c>
    </row>
    <row r="40" spans="1:17" ht="15" customHeight="1" x14ac:dyDescent="0.2">
      <c r="A40" s="20" t="s">
        <v>18</v>
      </c>
      <c r="B40" s="63" t="s">
        <v>599</v>
      </c>
      <c r="C40" s="20">
        <f t="shared" si="5"/>
        <v>133</v>
      </c>
      <c r="D40" s="20">
        <v>0</v>
      </c>
      <c r="G40" s="32" t="s">
        <v>60</v>
      </c>
      <c r="H40" s="20" t="s">
        <v>2173</v>
      </c>
      <c r="I40" s="20">
        <v>333821</v>
      </c>
      <c r="J40" s="20">
        <v>131</v>
      </c>
      <c r="K40" s="20" t="s">
        <v>20</v>
      </c>
      <c r="L40" s="20">
        <v>1</v>
      </c>
      <c r="M40" s="34">
        <v>102151</v>
      </c>
      <c r="N40" s="34">
        <f t="shared" si="6"/>
        <v>102151</v>
      </c>
      <c r="O40" s="33" t="s">
        <v>21</v>
      </c>
      <c r="P40" s="20">
        <f t="shared" si="3"/>
        <v>31</v>
      </c>
      <c r="Q40" s="20">
        <f t="shared" si="2"/>
        <v>166</v>
      </c>
    </row>
    <row r="41" spans="1:17" ht="15" customHeight="1" x14ac:dyDescent="0.2">
      <c r="A41" s="20" t="s">
        <v>18</v>
      </c>
      <c r="B41" s="63" t="s">
        <v>869</v>
      </c>
      <c r="C41" s="20">
        <f t="shared" si="5"/>
        <v>134</v>
      </c>
      <c r="D41" s="20">
        <v>1</v>
      </c>
      <c r="G41" s="32" t="s">
        <v>110</v>
      </c>
      <c r="H41" s="20" t="s">
        <v>2154</v>
      </c>
      <c r="I41" s="20">
        <v>131</v>
      </c>
      <c r="J41" s="20">
        <v>5113</v>
      </c>
      <c r="K41" s="20" t="s">
        <v>20</v>
      </c>
      <c r="L41" s="20">
        <v>1</v>
      </c>
      <c r="M41" s="34">
        <v>10752688</v>
      </c>
      <c r="N41" s="34">
        <f t="shared" si="6"/>
        <v>10752688</v>
      </c>
      <c r="O41" s="33" t="s">
        <v>21</v>
      </c>
      <c r="P41" s="20">
        <f t="shared" si="3"/>
        <v>32</v>
      </c>
      <c r="Q41" s="20">
        <f t="shared" si="2"/>
        <v>161</v>
      </c>
    </row>
    <row r="42" spans="1:17" ht="15" customHeight="1" x14ac:dyDescent="0.2">
      <c r="A42" s="20" t="s">
        <v>18</v>
      </c>
      <c r="B42" s="63" t="s">
        <v>869</v>
      </c>
      <c r="C42" s="20">
        <f t="shared" si="5"/>
        <v>134</v>
      </c>
      <c r="D42" s="20">
        <v>0</v>
      </c>
      <c r="G42" s="32" t="s">
        <v>110</v>
      </c>
      <c r="H42" s="20" t="s">
        <v>2174</v>
      </c>
      <c r="I42" s="20">
        <v>333821</v>
      </c>
      <c r="J42" s="20">
        <v>131</v>
      </c>
      <c r="K42" s="20" t="s">
        <v>20</v>
      </c>
      <c r="L42" s="20">
        <v>1</v>
      </c>
      <c r="M42" s="34">
        <v>107527</v>
      </c>
      <c r="N42" s="34">
        <f t="shared" si="6"/>
        <v>107527</v>
      </c>
      <c r="O42" s="33" t="s">
        <v>21</v>
      </c>
      <c r="P42" s="20">
        <f t="shared" si="3"/>
        <v>32</v>
      </c>
      <c r="Q42" s="20">
        <f t="shared" si="2"/>
        <v>177</v>
      </c>
    </row>
    <row r="43" spans="1:17" ht="15" customHeight="1" x14ac:dyDescent="0.2">
      <c r="A43" s="20" t="s">
        <v>18</v>
      </c>
      <c r="B43" s="63" t="s">
        <v>869</v>
      </c>
      <c r="C43" s="20">
        <f t="shared" si="5"/>
        <v>135</v>
      </c>
      <c r="D43" s="20">
        <v>1</v>
      </c>
      <c r="G43" s="32" t="s">
        <v>1360</v>
      </c>
      <c r="H43" s="20" t="s">
        <v>2155</v>
      </c>
      <c r="I43" s="20">
        <v>131</v>
      </c>
      <c r="J43" s="20">
        <v>5113</v>
      </c>
      <c r="K43" s="20" t="s">
        <v>20</v>
      </c>
      <c r="L43" s="20">
        <v>1</v>
      </c>
      <c r="M43" s="34">
        <v>9677419</v>
      </c>
      <c r="N43" s="34">
        <f t="shared" si="6"/>
        <v>9677419</v>
      </c>
      <c r="O43" s="33" t="s">
        <v>21</v>
      </c>
      <c r="P43" s="20">
        <f t="shared" si="3"/>
        <v>33</v>
      </c>
      <c r="Q43" s="20">
        <f t="shared" si="2"/>
        <v>168</v>
      </c>
    </row>
    <row r="44" spans="1:17" ht="15" customHeight="1" x14ac:dyDescent="0.2">
      <c r="A44" s="20" t="s">
        <v>18</v>
      </c>
      <c r="B44" s="63" t="s">
        <v>869</v>
      </c>
      <c r="C44" s="20">
        <f t="shared" si="5"/>
        <v>135</v>
      </c>
      <c r="D44" s="20">
        <v>0</v>
      </c>
      <c r="G44" s="32" t="s">
        <v>1360</v>
      </c>
      <c r="H44" s="20" t="s">
        <v>2175</v>
      </c>
      <c r="I44" s="20">
        <v>333821</v>
      </c>
      <c r="J44" s="20">
        <v>131</v>
      </c>
      <c r="K44" s="20" t="s">
        <v>20</v>
      </c>
      <c r="L44" s="20">
        <v>1</v>
      </c>
      <c r="M44" s="34">
        <v>96774</v>
      </c>
      <c r="N44" s="34">
        <f t="shared" si="6"/>
        <v>96774</v>
      </c>
      <c r="O44" s="33" t="s">
        <v>21</v>
      </c>
      <c r="P44" s="20">
        <f t="shared" si="3"/>
        <v>33</v>
      </c>
      <c r="Q44" s="20">
        <f t="shared" si="2"/>
        <v>184</v>
      </c>
    </row>
    <row r="45" spans="1:17" ht="15" customHeight="1" x14ac:dyDescent="0.2">
      <c r="A45" s="20" t="s">
        <v>18</v>
      </c>
      <c r="B45" s="63" t="s">
        <v>291</v>
      </c>
      <c r="C45" s="20">
        <f t="shared" si="5"/>
        <v>136</v>
      </c>
      <c r="D45" s="20">
        <v>1</v>
      </c>
      <c r="G45" s="32" t="s">
        <v>2141</v>
      </c>
      <c r="H45" s="20" t="s">
        <v>2156</v>
      </c>
      <c r="I45" s="20">
        <v>131</v>
      </c>
      <c r="J45" s="20">
        <v>5113</v>
      </c>
      <c r="K45" s="20" t="s">
        <v>20</v>
      </c>
      <c r="L45" s="20">
        <v>1</v>
      </c>
      <c r="M45" s="34">
        <v>9677419</v>
      </c>
      <c r="N45" s="34">
        <f t="shared" si="6"/>
        <v>9677419</v>
      </c>
      <c r="O45" s="33" t="s">
        <v>21</v>
      </c>
      <c r="P45" s="20">
        <f t="shared" si="3"/>
        <v>34</v>
      </c>
      <c r="Q45" s="20">
        <f t="shared" si="2"/>
        <v>149</v>
      </c>
    </row>
    <row r="46" spans="1:17" ht="15" customHeight="1" x14ac:dyDescent="0.2">
      <c r="A46" s="20" t="s">
        <v>18</v>
      </c>
      <c r="B46" s="63" t="s">
        <v>291</v>
      </c>
      <c r="C46" s="20">
        <f t="shared" si="5"/>
        <v>136</v>
      </c>
      <c r="D46" s="20">
        <v>0</v>
      </c>
      <c r="G46" s="32" t="s">
        <v>2141</v>
      </c>
      <c r="H46" s="20" t="s">
        <v>2176</v>
      </c>
      <c r="I46" s="20">
        <v>333821</v>
      </c>
      <c r="J46" s="20">
        <v>131</v>
      </c>
      <c r="K46" s="20" t="s">
        <v>20</v>
      </c>
      <c r="L46" s="20">
        <v>1</v>
      </c>
      <c r="M46" s="34">
        <v>96774</v>
      </c>
      <c r="N46" s="34">
        <f t="shared" si="6"/>
        <v>96774</v>
      </c>
      <c r="O46" s="33" t="s">
        <v>21</v>
      </c>
      <c r="P46" s="20">
        <f t="shared" si="3"/>
        <v>34</v>
      </c>
      <c r="Q46" s="20">
        <f t="shared" si="2"/>
        <v>165</v>
      </c>
    </row>
    <row r="47" spans="1:17" ht="15" customHeight="1" x14ac:dyDescent="0.2">
      <c r="A47" s="20" t="s">
        <v>18</v>
      </c>
      <c r="B47" s="63" t="s">
        <v>291</v>
      </c>
      <c r="C47" s="20">
        <f t="shared" si="5"/>
        <v>137</v>
      </c>
      <c r="D47" s="20">
        <v>1</v>
      </c>
      <c r="G47" s="32" t="s">
        <v>289</v>
      </c>
      <c r="H47" s="20" t="s">
        <v>2157</v>
      </c>
      <c r="I47" s="20">
        <v>131</v>
      </c>
      <c r="J47" s="20">
        <v>5113</v>
      </c>
      <c r="K47" s="20" t="s">
        <v>20</v>
      </c>
      <c r="L47" s="20">
        <v>1</v>
      </c>
      <c r="M47" s="34">
        <v>9139785</v>
      </c>
      <c r="N47" s="34">
        <f t="shared" si="6"/>
        <v>9139785</v>
      </c>
      <c r="O47" s="33" t="s">
        <v>21</v>
      </c>
      <c r="P47" s="20">
        <f t="shared" si="3"/>
        <v>35</v>
      </c>
      <c r="Q47" s="20">
        <f t="shared" si="2"/>
        <v>159</v>
      </c>
    </row>
    <row r="48" spans="1:17" ht="15" customHeight="1" x14ac:dyDescent="0.2">
      <c r="A48" s="20" t="s">
        <v>18</v>
      </c>
      <c r="B48" s="63" t="s">
        <v>291</v>
      </c>
      <c r="C48" s="20">
        <f t="shared" si="5"/>
        <v>137</v>
      </c>
      <c r="D48" s="20">
        <v>0</v>
      </c>
      <c r="G48" s="32" t="s">
        <v>289</v>
      </c>
      <c r="H48" s="20" t="s">
        <v>2177</v>
      </c>
      <c r="I48" s="20">
        <v>333821</v>
      </c>
      <c r="J48" s="20">
        <v>131</v>
      </c>
      <c r="K48" s="20" t="s">
        <v>20</v>
      </c>
      <c r="L48" s="20">
        <v>1</v>
      </c>
      <c r="M48" s="34">
        <v>91398</v>
      </c>
      <c r="N48" s="34">
        <f t="shared" si="6"/>
        <v>91398</v>
      </c>
      <c r="O48" s="33" t="s">
        <v>21</v>
      </c>
      <c r="P48" s="20">
        <f t="shared" si="3"/>
        <v>35</v>
      </c>
      <c r="Q48" s="20">
        <f t="shared" si="2"/>
        <v>175</v>
      </c>
    </row>
    <row r="49" spans="1:17" ht="15" customHeight="1" x14ac:dyDescent="0.2">
      <c r="A49" s="20" t="s">
        <v>18</v>
      </c>
      <c r="B49" s="63" t="s">
        <v>292</v>
      </c>
      <c r="C49" s="20">
        <f t="shared" si="5"/>
        <v>138</v>
      </c>
      <c r="D49" s="20">
        <v>1</v>
      </c>
      <c r="G49" s="32" t="s">
        <v>90</v>
      </c>
      <c r="H49" s="20" t="s">
        <v>2158</v>
      </c>
      <c r="I49" s="20">
        <v>131</v>
      </c>
      <c r="J49" s="20">
        <v>5113</v>
      </c>
      <c r="K49" s="20" t="s">
        <v>20</v>
      </c>
      <c r="L49" s="20">
        <v>1</v>
      </c>
      <c r="M49" s="34">
        <v>10752688</v>
      </c>
      <c r="N49" s="34">
        <f t="shared" si="6"/>
        <v>10752688</v>
      </c>
      <c r="O49" s="33" t="s">
        <v>21</v>
      </c>
      <c r="P49" s="20">
        <f t="shared" si="3"/>
        <v>36</v>
      </c>
      <c r="Q49" s="20">
        <f t="shared" si="2"/>
        <v>174</v>
      </c>
    </row>
    <row r="50" spans="1:17" ht="15" customHeight="1" x14ac:dyDescent="0.2">
      <c r="A50" s="20" t="s">
        <v>18</v>
      </c>
      <c r="B50" s="63" t="s">
        <v>292</v>
      </c>
      <c r="C50" s="20">
        <f t="shared" si="5"/>
        <v>138</v>
      </c>
      <c r="D50" s="20">
        <v>0</v>
      </c>
      <c r="G50" s="32" t="s">
        <v>90</v>
      </c>
      <c r="H50" s="20" t="s">
        <v>2178</v>
      </c>
      <c r="I50" s="20">
        <v>333821</v>
      </c>
      <c r="J50" s="20">
        <v>131</v>
      </c>
      <c r="K50" s="20" t="s">
        <v>20</v>
      </c>
      <c r="L50" s="20">
        <v>1</v>
      </c>
      <c r="M50" s="34">
        <v>107527</v>
      </c>
      <c r="N50" s="34">
        <f t="shared" si="6"/>
        <v>107527</v>
      </c>
      <c r="O50" s="33" t="s">
        <v>21</v>
      </c>
      <c r="P50" s="20">
        <f t="shared" si="3"/>
        <v>36</v>
      </c>
      <c r="Q50" s="20">
        <f t="shared" si="2"/>
        <v>190</v>
      </c>
    </row>
    <row r="51" spans="1:17" ht="15" customHeight="1" x14ac:dyDescent="0.2">
      <c r="A51" s="20" t="s">
        <v>18</v>
      </c>
      <c r="B51" s="63" t="s">
        <v>470</v>
      </c>
      <c r="C51" s="20">
        <f t="shared" si="5"/>
        <v>139</v>
      </c>
      <c r="D51" s="20">
        <v>1</v>
      </c>
      <c r="G51" s="32" t="s">
        <v>43</v>
      </c>
      <c r="H51" s="20" t="s">
        <v>4950</v>
      </c>
      <c r="I51" s="20">
        <v>131</v>
      </c>
      <c r="J51" s="20">
        <v>5113</v>
      </c>
      <c r="K51" s="20" t="s">
        <v>20</v>
      </c>
      <c r="L51" s="20">
        <v>1</v>
      </c>
      <c r="M51" s="34">
        <v>45454545</v>
      </c>
      <c r="N51" s="34">
        <f t="shared" si="6"/>
        <v>45454545</v>
      </c>
      <c r="O51" s="33" t="s">
        <v>21</v>
      </c>
      <c r="P51" s="20">
        <f t="shared" si="3"/>
        <v>37</v>
      </c>
      <c r="Q51" s="20">
        <f t="shared" si="2"/>
        <v>111</v>
      </c>
    </row>
    <row r="52" spans="1:17" ht="15" customHeight="1" x14ac:dyDescent="0.2">
      <c r="A52" s="20" t="s">
        <v>18</v>
      </c>
      <c r="B52" s="63" t="s">
        <v>470</v>
      </c>
      <c r="C52" s="20">
        <f t="shared" si="5"/>
        <v>139</v>
      </c>
      <c r="D52" s="20">
        <v>0</v>
      </c>
      <c r="G52" s="32" t="s">
        <v>43</v>
      </c>
      <c r="H52" s="20" t="s">
        <v>4834</v>
      </c>
      <c r="I52" s="20">
        <v>333821</v>
      </c>
      <c r="J52" s="20">
        <v>131</v>
      </c>
      <c r="K52" s="20" t="s">
        <v>20</v>
      </c>
      <c r="L52" s="20">
        <v>1</v>
      </c>
      <c r="M52" s="34">
        <v>454545</v>
      </c>
      <c r="N52" s="34">
        <f t="shared" si="6"/>
        <v>454545</v>
      </c>
      <c r="O52" s="33" t="s">
        <v>21</v>
      </c>
      <c r="P52" s="20">
        <f t="shared" si="3"/>
        <v>37</v>
      </c>
      <c r="Q52" s="20">
        <f t="shared" si="2"/>
        <v>127</v>
      </c>
    </row>
    <row r="53" spans="1:17" ht="15" customHeight="1" x14ac:dyDescent="0.2">
      <c r="A53" s="20" t="s">
        <v>18</v>
      </c>
      <c r="B53" s="63" t="s">
        <v>318</v>
      </c>
      <c r="C53" s="20">
        <f t="shared" si="5"/>
        <v>140</v>
      </c>
      <c r="D53" s="20">
        <v>1</v>
      </c>
      <c r="G53" s="32" t="s">
        <v>118</v>
      </c>
      <c r="H53" s="20" t="s">
        <v>2159</v>
      </c>
      <c r="I53" s="20">
        <v>131</v>
      </c>
      <c r="J53" s="20">
        <v>5113</v>
      </c>
      <c r="K53" s="20" t="s">
        <v>20</v>
      </c>
      <c r="L53" s="20">
        <v>1</v>
      </c>
      <c r="M53" s="34">
        <v>9677419</v>
      </c>
      <c r="N53" s="34">
        <f t="shared" si="6"/>
        <v>9677419</v>
      </c>
      <c r="O53" s="33" t="s">
        <v>21</v>
      </c>
      <c r="P53" s="20">
        <f t="shared" si="3"/>
        <v>38</v>
      </c>
      <c r="Q53" s="20">
        <f t="shared" si="2"/>
        <v>179</v>
      </c>
    </row>
    <row r="54" spans="1:17" ht="15" customHeight="1" x14ac:dyDescent="0.2">
      <c r="A54" s="20" t="s">
        <v>18</v>
      </c>
      <c r="B54" s="63" t="s">
        <v>318</v>
      </c>
      <c r="C54" s="20">
        <f t="shared" si="5"/>
        <v>140</v>
      </c>
      <c r="D54" s="20">
        <v>0</v>
      </c>
      <c r="G54" s="32" t="s">
        <v>118</v>
      </c>
      <c r="H54" s="20" t="s">
        <v>2179</v>
      </c>
      <c r="I54" s="20">
        <v>333821</v>
      </c>
      <c r="J54" s="20">
        <v>131</v>
      </c>
      <c r="K54" s="20" t="s">
        <v>20</v>
      </c>
      <c r="L54" s="20">
        <v>1</v>
      </c>
      <c r="M54" s="34">
        <v>96774</v>
      </c>
      <c r="N54" s="34">
        <f t="shared" si="6"/>
        <v>96774</v>
      </c>
      <c r="O54" s="33" t="s">
        <v>21</v>
      </c>
      <c r="P54" s="20">
        <f t="shared" si="3"/>
        <v>38</v>
      </c>
      <c r="Q54" s="20">
        <f t="shared" si="2"/>
        <v>195</v>
      </c>
    </row>
    <row r="55" spans="1:17" ht="15" customHeight="1" x14ac:dyDescent="0.2">
      <c r="A55" s="20" t="s">
        <v>18</v>
      </c>
      <c r="B55" s="63" t="s">
        <v>318</v>
      </c>
      <c r="C55" s="20">
        <f t="shared" si="5"/>
        <v>141</v>
      </c>
      <c r="D55" s="20">
        <v>1</v>
      </c>
      <c r="G55" s="32" t="s">
        <v>2142</v>
      </c>
      <c r="H55" s="20" t="s">
        <v>2160</v>
      </c>
      <c r="I55" s="20">
        <v>131</v>
      </c>
      <c r="J55" s="20">
        <v>5113</v>
      </c>
      <c r="K55" s="20" t="s">
        <v>20</v>
      </c>
      <c r="L55" s="20">
        <v>1</v>
      </c>
      <c r="M55" s="34">
        <v>9677419</v>
      </c>
      <c r="N55" s="34">
        <f t="shared" si="6"/>
        <v>9677419</v>
      </c>
      <c r="O55" s="33" t="s">
        <v>21</v>
      </c>
      <c r="P55" s="20">
        <f t="shared" si="3"/>
        <v>39</v>
      </c>
      <c r="Q55" s="20">
        <f t="shared" si="2"/>
        <v>165</v>
      </c>
    </row>
    <row r="56" spans="1:17" ht="15" customHeight="1" x14ac:dyDescent="0.2">
      <c r="A56" s="20" t="s">
        <v>18</v>
      </c>
      <c r="B56" s="63" t="s">
        <v>318</v>
      </c>
      <c r="C56" s="20">
        <f t="shared" si="5"/>
        <v>141</v>
      </c>
      <c r="D56" s="20">
        <v>0</v>
      </c>
      <c r="G56" s="32" t="s">
        <v>2142</v>
      </c>
      <c r="H56" s="20" t="s">
        <v>2180</v>
      </c>
      <c r="I56" s="20">
        <v>333821</v>
      </c>
      <c r="J56" s="20">
        <v>131</v>
      </c>
      <c r="K56" s="20" t="s">
        <v>20</v>
      </c>
      <c r="L56" s="20">
        <v>1</v>
      </c>
      <c r="M56" s="34">
        <v>96774</v>
      </c>
      <c r="N56" s="34">
        <f t="shared" si="6"/>
        <v>96774</v>
      </c>
      <c r="O56" s="33" t="s">
        <v>21</v>
      </c>
      <c r="P56" s="20">
        <f t="shared" si="3"/>
        <v>39</v>
      </c>
      <c r="Q56" s="20">
        <f t="shared" si="2"/>
        <v>181</v>
      </c>
    </row>
    <row r="57" spans="1:17" ht="15" customHeight="1" x14ac:dyDescent="0.2">
      <c r="A57" s="20" t="s">
        <v>18</v>
      </c>
      <c r="B57" s="63" t="s">
        <v>522</v>
      </c>
      <c r="C57" s="20">
        <f t="shared" si="5"/>
        <v>142</v>
      </c>
      <c r="D57" s="20">
        <v>1</v>
      </c>
      <c r="G57" s="32" t="s">
        <v>60</v>
      </c>
      <c r="H57" s="20" t="s">
        <v>2161</v>
      </c>
      <c r="I57" s="20">
        <v>131</v>
      </c>
      <c r="J57" s="20">
        <v>5113</v>
      </c>
      <c r="K57" s="20" t="s">
        <v>20</v>
      </c>
      <c r="L57" s="20">
        <v>1</v>
      </c>
      <c r="M57" s="34">
        <v>10215054</v>
      </c>
      <c r="N57" s="34">
        <f t="shared" si="6"/>
        <v>10215054</v>
      </c>
      <c r="O57" s="33" t="s">
        <v>21</v>
      </c>
      <c r="P57" s="20">
        <f t="shared" si="3"/>
        <v>40</v>
      </c>
      <c r="Q57" s="20">
        <f t="shared" si="2"/>
        <v>150</v>
      </c>
    </row>
    <row r="58" spans="1:17" ht="15" customHeight="1" x14ac:dyDescent="0.2">
      <c r="A58" s="20" t="s">
        <v>18</v>
      </c>
      <c r="B58" s="63" t="s">
        <v>522</v>
      </c>
      <c r="C58" s="20">
        <f t="shared" si="5"/>
        <v>142</v>
      </c>
      <c r="D58" s="20">
        <v>0</v>
      </c>
      <c r="G58" s="32" t="s">
        <v>60</v>
      </c>
      <c r="H58" s="20" t="s">
        <v>2181</v>
      </c>
      <c r="I58" s="20">
        <v>333821</v>
      </c>
      <c r="J58" s="20">
        <v>131</v>
      </c>
      <c r="K58" s="20" t="s">
        <v>20</v>
      </c>
      <c r="L58" s="20">
        <v>1</v>
      </c>
      <c r="M58" s="34">
        <v>102151</v>
      </c>
      <c r="N58" s="34">
        <f t="shared" si="6"/>
        <v>102151</v>
      </c>
      <c r="O58" s="33" t="s">
        <v>21</v>
      </c>
      <c r="P58" s="20">
        <f t="shared" si="3"/>
        <v>40</v>
      </c>
      <c r="Q58" s="20">
        <f t="shared" si="2"/>
        <v>166</v>
      </c>
    </row>
    <row r="59" spans="1:17" ht="15" customHeight="1" x14ac:dyDescent="0.2">
      <c r="A59" s="20" t="s">
        <v>18</v>
      </c>
      <c r="B59" s="63" t="s">
        <v>524</v>
      </c>
      <c r="C59" s="20">
        <f t="shared" si="5"/>
        <v>143</v>
      </c>
      <c r="D59" s="20">
        <v>1</v>
      </c>
      <c r="G59" s="32" t="s">
        <v>2143</v>
      </c>
      <c r="H59" s="20" t="s">
        <v>4951</v>
      </c>
      <c r="I59" s="20">
        <v>131</v>
      </c>
      <c r="J59" s="20">
        <v>5113</v>
      </c>
      <c r="K59" s="20" t="s">
        <v>20</v>
      </c>
      <c r="L59" s="20">
        <v>1</v>
      </c>
      <c r="M59" s="34">
        <v>21505377</v>
      </c>
      <c r="N59" s="34">
        <f t="shared" si="6"/>
        <v>21505377</v>
      </c>
      <c r="O59" s="33" t="s">
        <v>21</v>
      </c>
      <c r="P59" s="20">
        <f t="shared" si="3"/>
        <v>41</v>
      </c>
      <c r="Q59" s="20">
        <f t="shared" si="2"/>
        <v>106</v>
      </c>
    </row>
    <row r="60" spans="1:17" ht="15" customHeight="1" x14ac:dyDescent="0.2">
      <c r="A60" s="20" t="s">
        <v>18</v>
      </c>
      <c r="B60" s="63" t="s">
        <v>524</v>
      </c>
      <c r="C60" s="20">
        <f t="shared" si="5"/>
        <v>143</v>
      </c>
      <c r="D60" s="20">
        <v>0</v>
      </c>
      <c r="G60" s="32" t="s">
        <v>2143</v>
      </c>
      <c r="H60" s="20" t="s">
        <v>4835</v>
      </c>
      <c r="I60" s="20">
        <v>333821</v>
      </c>
      <c r="J60" s="20">
        <v>131</v>
      </c>
      <c r="K60" s="20" t="s">
        <v>20</v>
      </c>
      <c r="L60" s="20">
        <v>1</v>
      </c>
      <c r="M60" s="34">
        <v>215054</v>
      </c>
      <c r="N60" s="34">
        <f t="shared" si="6"/>
        <v>215054</v>
      </c>
      <c r="O60" s="33" t="s">
        <v>21</v>
      </c>
      <c r="P60" s="20">
        <f t="shared" si="3"/>
        <v>41</v>
      </c>
      <c r="Q60" s="20">
        <f t="shared" si="2"/>
        <v>122</v>
      </c>
    </row>
    <row r="61" spans="1:17" ht="15" customHeight="1" x14ac:dyDescent="0.2">
      <c r="A61" s="20" t="s">
        <v>18</v>
      </c>
      <c r="B61" s="63" t="s">
        <v>454</v>
      </c>
      <c r="C61" s="20">
        <f t="shared" si="5"/>
        <v>144</v>
      </c>
      <c r="D61" s="20">
        <v>1</v>
      </c>
      <c r="G61" s="32" t="s">
        <v>2136</v>
      </c>
      <c r="H61" s="20" t="s">
        <v>2162</v>
      </c>
      <c r="I61" s="20">
        <v>131</v>
      </c>
      <c r="J61" s="20">
        <v>5113</v>
      </c>
      <c r="K61" s="20" t="s">
        <v>20</v>
      </c>
      <c r="L61" s="20">
        <v>1</v>
      </c>
      <c r="M61" s="34">
        <v>16129032</v>
      </c>
      <c r="N61" s="34">
        <f t="shared" si="6"/>
        <v>16129032</v>
      </c>
      <c r="O61" s="33" t="s">
        <v>21</v>
      </c>
      <c r="P61" s="20">
        <f t="shared" si="3"/>
        <v>42</v>
      </c>
      <c r="Q61" s="20">
        <f t="shared" si="2"/>
        <v>151</v>
      </c>
    </row>
    <row r="62" spans="1:17" ht="15" customHeight="1" x14ac:dyDescent="0.2">
      <c r="A62" s="20" t="s">
        <v>18</v>
      </c>
      <c r="B62" s="63" t="s">
        <v>454</v>
      </c>
      <c r="C62" s="20">
        <f t="shared" si="5"/>
        <v>144</v>
      </c>
      <c r="D62" s="20">
        <v>0</v>
      </c>
      <c r="G62" s="32" t="s">
        <v>2136</v>
      </c>
      <c r="H62" s="20" t="s">
        <v>2182</v>
      </c>
      <c r="I62" s="20">
        <v>333821</v>
      </c>
      <c r="J62" s="20">
        <v>131</v>
      </c>
      <c r="K62" s="20" t="s">
        <v>20</v>
      </c>
      <c r="L62" s="20">
        <v>1</v>
      </c>
      <c r="M62" s="34">
        <v>161290</v>
      </c>
      <c r="N62" s="34">
        <f t="shared" si="6"/>
        <v>161290</v>
      </c>
      <c r="O62" s="33" t="s">
        <v>21</v>
      </c>
      <c r="P62" s="20">
        <f t="shared" si="3"/>
        <v>42</v>
      </c>
      <c r="Q62" s="20">
        <f t="shared" si="2"/>
        <v>167</v>
      </c>
    </row>
    <row r="63" spans="1:17" ht="15" customHeight="1" x14ac:dyDescent="0.2">
      <c r="A63" s="20" t="s">
        <v>18</v>
      </c>
      <c r="B63" s="63" t="s">
        <v>589</v>
      </c>
      <c r="C63" s="20">
        <f t="shared" si="5"/>
        <v>145</v>
      </c>
      <c r="D63" s="20">
        <v>1</v>
      </c>
      <c r="G63" s="32" t="s">
        <v>118</v>
      </c>
      <c r="H63" s="20" t="s">
        <v>2163</v>
      </c>
      <c r="I63" s="20">
        <v>131</v>
      </c>
      <c r="J63" s="20">
        <v>5113</v>
      </c>
      <c r="K63" s="20" t="s">
        <v>20</v>
      </c>
      <c r="L63" s="20">
        <v>1</v>
      </c>
      <c r="M63" s="34">
        <v>9677419</v>
      </c>
      <c r="N63" s="34">
        <f t="shared" si="6"/>
        <v>9677419</v>
      </c>
      <c r="O63" s="33" t="s">
        <v>21</v>
      </c>
      <c r="P63" s="20">
        <f t="shared" si="3"/>
        <v>43</v>
      </c>
      <c r="Q63" s="20">
        <f t="shared" si="2"/>
        <v>175</v>
      </c>
    </row>
    <row r="64" spans="1:17" ht="15" customHeight="1" x14ac:dyDescent="0.2">
      <c r="A64" s="20" t="s">
        <v>18</v>
      </c>
      <c r="B64" s="63" t="s">
        <v>589</v>
      </c>
      <c r="C64" s="20">
        <f t="shared" si="5"/>
        <v>145</v>
      </c>
      <c r="D64" s="20">
        <v>0</v>
      </c>
      <c r="G64" s="32" t="s">
        <v>118</v>
      </c>
      <c r="H64" s="20" t="s">
        <v>2183</v>
      </c>
      <c r="I64" s="20">
        <v>333821</v>
      </c>
      <c r="J64" s="20">
        <v>131</v>
      </c>
      <c r="K64" s="20" t="s">
        <v>20</v>
      </c>
      <c r="L64" s="20">
        <v>1</v>
      </c>
      <c r="M64" s="34">
        <v>96774</v>
      </c>
      <c r="N64" s="34">
        <f t="shared" si="6"/>
        <v>96774</v>
      </c>
      <c r="O64" s="33" t="s">
        <v>21</v>
      </c>
      <c r="P64" s="20">
        <f t="shared" si="3"/>
        <v>43</v>
      </c>
      <c r="Q64" s="20">
        <f t="shared" si="2"/>
        <v>191</v>
      </c>
    </row>
    <row r="65" spans="1:19" ht="15" customHeight="1" x14ac:dyDescent="0.2">
      <c r="A65" s="20" t="s">
        <v>18</v>
      </c>
      <c r="B65" s="63" t="s">
        <v>526</v>
      </c>
      <c r="C65" s="20">
        <f t="shared" si="5"/>
        <v>146</v>
      </c>
      <c r="D65" s="20">
        <v>1</v>
      </c>
      <c r="G65" s="32" t="s">
        <v>26</v>
      </c>
      <c r="H65" s="20" t="s">
        <v>2164</v>
      </c>
      <c r="I65" s="20">
        <v>131</v>
      </c>
      <c r="J65" s="20">
        <v>5113</v>
      </c>
      <c r="K65" s="20" t="s">
        <v>20</v>
      </c>
      <c r="L65" s="20">
        <v>1</v>
      </c>
      <c r="M65" s="34">
        <v>9677419</v>
      </c>
      <c r="N65" s="34">
        <f t="shared" si="6"/>
        <v>9677419</v>
      </c>
      <c r="O65" s="33" t="s">
        <v>21</v>
      </c>
      <c r="P65" s="20">
        <f t="shared" si="3"/>
        <v>44</v>
      </c>
      <c r="Q65" s="20">
        <f t="shared" si="2"/>
        <v>162</v>
      </c>
    </row>
    <row r="66" spans="1:19" ht="15" customHeight="1" x14ac:dyDescent="0.2">
      <c r="A66" s="20" t="s">
        <v>18</v>
      </c>
      <c r="B66" s="63" t="s">
        <v>526</v>
      </c>
      <c r="C66" s="20">
        <f t="shared" si="5"/>
        <v>146</v>
      </c>
      <c r="D66" s="20">
        <v>0</v>
      </c>
      <c r="G66" s="32" t="s">
        <v>26</v>
      </c>
      <c r="H66" s="20" t="s">
        <v>2184</v>
      </c>
      <c r="I66" s="20">
        <v>333821</v>
      </c>
      <c r="J66" s="20">
        <v>131</v>
      </c>
      <c r="K66" s="20" t="s">
        <v>20</v>
      </c>
      <c r="L66" s="20">
        <v>1</v>
      </c>
      <c r="M66" s="34">
        <v>96774</v>
      </c>
      <c r="N66" s="34">
        <f t="shared" si="6"/>
        <v>96774</v>
      </c>
      <c r="O66" s="33" t="s">
        <v>21</v>
      </c>
      <c r="P66" s="20">
        <f t="shared" si="3"/>
        <v>44</v>
      </c>
      <c r="Q66" s="20">
        <f t="shared" si="2"/>
        <v>178</v>
      </c>
    </row>
    <row r="67" spans="1:19" ht="15" customHeight="1" x14ac:dyDescent="0.2">
      <c r="A67" s="20" t="s">
        <v>18</v>
      </c>
      <c r="B67" s="63" t="s">
        <v>603</v>
      </c>
      <c r="C67" s="20">
        <f t="shared" si="5"/>
        <v>147</v>
      </c>
      <c r="D67" s="20">
        <v>1</v>
      </c>
      <c r="G67" s="32" t="s">
        <v>2144</v>
      </c>
      <c r="H67" s="20" t="s">
        <v>2165</v>
      </c>
      <c r="I67" s="20">
        <v>131</v>
      </c>
      <c r="J67" s="20">
        <v>5113</v>
      </c>
      <c r="K67" s="20" t="s">
        <v>20</v>
      </c>
      <c r="L67" s="20">
        <v>1</v>
      </c>
      <c r="M67" s="34">
        <v>9677428</v>
      </c>
      <c r="N67" s="34">
        <f t="shared" si="6"/>
        <v>9677428</v>
      </c>
      <c r="O67" s="33" t="s">
        <v>21</v>
      </c>
      <c r="P67" s="20">
        <f t="shared" si="3"/>
        <v>45</v>
      </c>
      <c r="Q67" s="20">
        <f t="shared" si="2"/>
        <v>151</v>
      </c>
    </row>
    <row r="68" spans="1:19" ht="15" customHeight="1" x14ac:dyDescent="0.2">
      <c r="A68" s="20" t="s">
        <v>18</v>
      </c>
      <c r="B68" s="63" t="s">
        <v>603</v>
      </c>
      <c r="C68" s="20">
        <f t="shared" si="5"/>
        <v>147</v>
      </c>
      <c r="D68" s="20">
        <v>0</v>
      </c>
      <c r="G68" s="32" t="s">
        <v>2144</v>
      </c>
      <c r="H68" s="20" t="s">
        <v>2185</v>
      </c>
      <c r="I68" s="20">
        <v>333821</v>
      </c>
      <c r="J68" s="20">
        <v>131</v>
      </c>
      <c r="K68" s="20" t="s">
        <v>20</v>
      </c>
      <c r="L68" s="20">
        <v>1</v>
      </c>
      <c r="M68" s="34">
        <v>96774</v>
      </c>
      <c r="N68" s="34">
        <f t="shared" si="6"/>
        <v>96774</v>
      </c>
      <c r="O68" s="33" t="s">
        <v>21</v>
      </c>
      <c r="P68" s="20">
        <f t="shared" si="3"/>
        <v>45</v>
      </c>
      <c r="Q68" s="20">
        <f t="shared" si="2"/>
        <v>167</v>
      </c>
    </row>
    <row r="69" spans="1:19" ht="15" customHeight="1" x14ac:dyDescent="0.2">
      <c r="A69" s="20" t="s">
        <v>18</v>
      </c>
      <c r="B69" s="63" t="s">
        <v>383</v>
      </c>
      <c r="C69" s="20">
        <f t="shared" ref="C69:C72" si="7">C68+D69</f>
        <v>148</v>
      </c>
      <c r="D69" s="20">
        <v>1</v>
      </c>
      <c r="G69" s="32" t="s">
        <v>90</v>
      </c>
      <c r="H69" s="20" t="s">
        <v>2166</v>
      </c>
      <c r="I69" s="20">
        <v>131</v>
      </c>
      <c r="J69" s="20">
        <v>5113</v>
      </c>
      <c r="K69" s="20" t="s">
        <v>20</v>
      </c>
      <c r="L69" s="20">
        <v>1</v>
      </c>
      <c r="M69" s="34">
        <v>10752688</v>
      </c>
      <c r="N69" s="34">
        <f t="shared" ref="N69:N148" si="8">L69*M69</f>
        <v>10752688</v>
      </c>
      <c r="O69" s="33" t="s">
        <v>21</v>
      </c>
      <c r="P69" s="20">
        <f t="shared" si="3"/>
        <v>46</v>
      </c>
      <c r="Q69" s="20">
        <f t="shared" ref="Q69:Q148" si="9">LEN(H69)</f>
        <v>169</v>
      </c>
    </row>
    <row r="70" spans="1:19" ht="15" customHeight="1" x14ac:dyDescent="0.2">
      <c r="A70" s="20" t="s">
        <v>18</v>
      </c>
      <c r="B70" s="63" t="s">
        <v>383</v>
      </c>
      <c r="C70" s="20">
        <f t="shared" si="7"/>
        <v>148</v>
      </c>
      <c r="D70" s="20">
        <v>0</v>
      </c>
      <c r="G70" s="32" t="s">
        <v>90</v>
      </c>
      <c r="H70" s="20" t="s">
        <v>2186</v>
      </c>
      <c r="I70" s="20">
        <v>333821</v>
      </c>
      <c r="J70" s="20">
        <v>131</v>
      </c>
      <c r="K70" s="20" t="s">
        <v>20</v>
      </c>
      <c r="L70" s="20">
        <v>1</v>
      </c>
      <c r="M70" s="34">
        <v>107527</v>
      </c>
      <c r="N70" s="34">
        <f t="shared" si="8"/>
        <v>107527</v>
      </c>
      <c r="O70" s="33" t="s">
        <v>21</v>
      </c>
      <c r="P70" s="20">
        <f t="shared" ref="P70:P149" si="10">P69+D70</f>
        <v>46</v>
      </c>
      <c r="Q70" s="20">
        <f t="shared" si="9"/>
        <v>185</v>
      </c>
    </row>
    <row r="71" spans="1:19" ht="15" customHeight="1" x14ac:dyDescent="0.2">
      <c r="A71" s="20" t="s">
        <v>18</v>
      </c>
      <c r="B71" s="63" t="s">
        <v>383</v>
      </c>
      <c r="C71" s="20">
        <f t="shared" si="7"/>
        <v>149</v>
      </c>
      <c r="D71" s="20">
        <v>1</v>
      </c>
      <c r="G71" s="32" t="s">
        <v>68</v>
      </c>
      <c r="H71" s="20" t="s">
        <v>2167</v>
      </c>
      <c r="I71" s="20">
        <v>131</v>
      </c>
      <c r="J71" s="20">
        <v>5113</v>
      </c>
      <c r="K71" s="20" t="s">
        <v>20</v>
      </c>
      <c r="L71" s="20">
        <v>1</v>
      </c>
      <c r="M71" s="34">
        <v>10215054</v>
      </c>
      <c r="N71" s="34">
        <f t="shared" si="8"/>
        <v>10215054</v>
      </c>
      <c r="O71" s="33" t="s">
        <v>21</v>
      </c>
      <c r="P71" s="20">
        <f t="shared" si="10"/>
        <v>47</v>
      </c>
      <c r="Q71" s="20">
        <f t="shared" si="9"/>
        <v>162</v>
      </c>
    </row>
    <row r="72" spans="1:19" ht="15" customHeight="1" x14ac:dyDescent="0.2">
      <c r="A72" s="20" t="s">
        <v>18</v>
      </c>
      <c r="B72" s="63" t="s">
        <v>383</v>
      </c>
      <c r="C72" s="20">
        <f t="shared" si="7"/>
        <v>149</v>
      </c>
      <c r="D72" s="20">
        <v>0</v>
      </c>
      <c r="G72" s="32" t="s">
        <v>68</v>
      </c>
      <c r="H72" s="20" t="s">
        <v>2187</v>
      </c>
      <c r="I72" s="20">
        <v>333821</v>
      </c>
      <c r="J72" s="20">
        <v>131</v>
      </c>
      <c r="K72" s="20" t="s">
        <v>20</v>
      </c>
      <c r="L72" s="20">
        <v>1</v>
      </c>
      <c r="M72" s="34">
        <v>102151</v>
      </c>
      <c r="N72" s="34">
        <f t="shared" si="8"/>
        <v>102151</v>
      </c>
      <c r="O72" s="33" t="s">
        <v>21</v>
      </c>
      <c r="P72" s="20">
        <f t="shared" si="10"/>
        <v>47</v>
      </c>
      <c r="Q72" s="20">
        <f t="shared" si="9"/>
        <v>178</v>
      </c>
    </row>
    <row r="73" spans="1:19" ht="15" customHeight="1" x14ac:dyDescent="0.2">
      <c r="A73" s="20" t="s">
        <v>18</v>
      </c>
      <c r="B73" s="63">
        <v>45961</v>
      </c>
      <c r="C73" s="20">
        <f t="shared" ref="C73:C76" si="11">C72+D73</f>
        <v>150</v>
      </c>
      <c r="D73" s="20">
        <v>1</v>
      </c>
      <c r="G73" s="32" t="s">
        <v>3011</v>
      </c>
      <c r="H73" s="20" t="s">
        <v>371</v>
      </c>
      <c r="I73" s="20">
        <v>64271</v>
      </c>
      <c r="J73" s="20">
        <v>3383</v>
      </c>
      <c r="K73" s="20" t="s">
        <v>20</v>
      </c>
      <c r="L73" s="20">
        <v>1</v>
      </c>
      <c r="M73" s="34">
        <v>690300</v>
      </c>
      <c r="N73" s="34">
        <f t="shared" si="8"/>
        <v>690300</v>
      </c>
      <c r="O73" s="33" t="s">
        <v>21</v>
      </c>
      <c r="P73" s="20">
        <f t="shared" ref="P73:P76" si="12">P72+D73</f>
        <v>48</v>
      </c>
      <c r="Q73" s="20">
        <f t="shared" ref="Q73:Q76" si="13">LEN(H73)</f>
        <v>30</v>
      </c>
    </row>
    <row r="74" spans="1:19" ht="15" customHeight="1" x14ac:dyDescent="0.2">
      <c r="A74" s="20" t="s">
        <v>18</v>
      </c>
      <c r="B74" s="63">
        <v>45991</v>
      </c>
      <c r="C74" s="20">
        <f t="shared" si="11"/>
        <v>151</v>
      </c>
      <c r="D74" s="20">
        <v>1</v>
      </c>
      <c r="G74" s="32" t="s">
        <v>3011</v>
      </c>
      <c r="H74" s="20" t="s">
        <v>372</v>
      </c>
      <c r="I74" s="20">
        <v>64271</v>
      </c>
      <c r="J74" s="20">
        <v>3383</v>
      </c>
      <c r="K74" s="20" t="s">
        <v>20</v>
      </c>
      <c r="L74" s="20">
        <v>1</v>
      </c>
      <c r="M74" s="34">
        <v>690300</v>
      </c>
      <c r="N74" s="34">
        <f t="shared" si="8"/>
        <v>690300</v>
      </c>
      <c r="O74" s="33" t="s">
        <v>21</v>
      </c>
      <c r="P74" s="20">
        <f t="shared" si="12"/>
        <v>49</v>
      </c>
      <c r="Q74" s="20">
        <f t="shared" si="13"/>
        <v>30</v>
      </c>
    </row>
    <row r="75" spans="1:19" ht="15" customHeight="1" x14ac:dyDescent="0.2">
      <c r="A75" s="20" t="s">
        <v>18</v>
      </c>
      <c r="B75" s="63">
        <v>46022</v>
      </c>
      <c r="C75" s="20">
        <f t="shared" si="11"/>
        <v>152</v>
      </c>
      <c r="D75" s="20">
        <v>1</v>
      </c>
      <c r="G75" s="32" t="s">
        <v>3011</v>
      </c>
      <c r="H75" s="20" t="s">
        <v>373</v>
      </c>
      <c r="I75" s="20">
        <v>64271</v>
      </c>
      <c r="J75" s="20">
        <v>3383</v>
      </c>
      <c r="K75" s="20" t="s">
        <v>20</v>
      </c>
      <c r="L75" s="20">
        <v>1</v>
      </c>
      <c r="M75" s="34">
        <v>690300</v>
      </c>
      <c r="N75" s="34">
        <f t="shared" si="8"/>
        <v>690300</v>
      </c>
      <c r="O75" s="33" t="s">
        <v>21</v>
      </c>
      <c r="P75" s="20">
        <f t="shared" si="12"/>
        <v>50</v>
      </c>
      <c r="Q75" s="20">
        <f t="shared" si="13"/>
        <v>30</v>
      </c>
    </row>
    <row r="76" spans="1:19" ht="15" customHeight="1" x14ac:dyDescent="0.2">
      <c r="A76" s="20" t="s">
        <v>2679</v>
      </c>
      <c r="B76" s="63" t="s">
        <v>308</v>
      </c>
      <c r="C76" s="20">
        <f t="shared" si="11"/>
        <v>152</v>
      </c>
      <c r="D76" s="20">
        <v>0</v>
      </c>
      <c r="G76" s="32" t="s">
        <v>2389</v>
      </c>
      <c r="H76" s="20" t="s">
        <v>4941</v>
      </c>
      <c r="I76" s="20">
        <v>112111</v>
      </c>
      <c r="J76" s="20">
        <v>131</v>
      </c>
      <c r="K76" s="20" t="s">
        <v>20</v>
      </c>
      <c r="L76" s="20">
        <v>1</v>
      </c>
      <c r="M76" s="34">
        <v>5322581</v>
      </c>
      <c r="N76" s="34">
        <f t="shared" si="8"/>
        <v>5322581</v>
      </c>
      <c r="O76" s="33" t="s">
        <v>21</v>
      </c>
      <c r="P76" s="20">
        <f t="shared" si="12"/>
        <v>50</v>
      </c>
      <c r="Q76" s="20">
        <f t="shared" si="13"/>
        <v>167</v>
      </c>
    </row>
    <row r="77" spans="1:19" ht="15" customHeight="1" x14ac:dyDescent="0.2">
      <c r="A77" s="20" t="s">
        <v>2679</v>
      </c>
      <c r="B77" s="63" t="s">
        <v>308</v>
      </c>
      <c r="C77" s="20">
        <f t="shared" ref="C77:C153" si="14">C76+D77</f>
        <v>153</v>
      </c>
      <c r="D77" s="20">
        <v>1</v>
      </c>
      <c r="G77" s="32" t="s">
        <v>29</v>
      </c>
      <c r="H77" s="20" t="s">
        <v>4942</v>
      </c>
      <c r="I77" s="20">
        <v>112111</v>
      </c>
      <c r="J77" s="20">
        <v>131</v>
      </c>
      <c r="K77" s="20" t="s">
        <v>20</v>
      </c>
      <c r="L77" s="20">
        <v>1</v>
      </c>
      <c r="M77" s="34">
        <v>9677419</v>
      </c>
      <c r="N77" s="34">
        <f t="shared" si="8"/>
        <v>9677419</v>
      </c>
      <c r="O77" s="33" t="s">
        <v>21</v>
      </c>
      <c r="P77" s="20">
        <f t="shared" si="10"/>
        <v>51</v>
      </c>
      <c r="Q77" s="20">
        <f t="shared" si="9"/>
        <v>150</v>
      </c>
    </row>
    <row r="78" spans="1:19" ht="15" customHeight="1" x14ac:dyDescent="0.2">
      <c r="A78" s="20" t="s">
        <v>2678</v>
      </c>
      <c r="B78" s="63" t="s">
        <v>309</v>
      </c>
      <c r="C78" s="20">
        <f t="shared" si="14"/>
        <v>154</v>
      </c>
      <c r="D78" s="20">
        <v>1</v>
      </c>
      <c r="G78" s="32" t="s">
        <v>275</v>
      </c>
      <c r="H78" s="20" t="s">
        <v>3017</v>
      </c>
      <c r="I78" s="20">
        <v>1111</v>
      </c>
      <c r="J78" s="20">
        <v>112111</v>
      </c>
      <c r="K78" s="20" t="s">
        <v>20</v>
      </c>
      <c r="L78" s="20">
        <v>1</v>
      </c>
      <c r="M78" s="34">
        <v>15000000</v>
      </c>
      <c r="N78" s="34">
        <f t="shared" si="8"/>
        <v>15000000</v>
      </c>
      <c r="O78" s="33" t="s">
        <v>21</v>
      </c>
      <c r="P78" s="20">
        <f t="shared" si="10"/>
        <v>52</v>
      </c>
      <c r="Q78" s="20">
        <f t="shared" si="9"/>
        <v>40</v>
      </c>
    </row>
    <row r="79" spans="1:19" ht="15" customHeight="1" x14ac:dyDescent="0.2">
      <c r="A79" s="20" t="s">
        <v>2679</v>
      </c>
      <c r="B79" s="63" t="s">
        <v>374</v>
      </c>
      <c r="C79" s="20">
        <f t="shared" si="14"/>
        <v>155</v>
      </c>
      <c r="D79" s="20">
        <v>1</v>
      </c>
      <c r="G79" s="32" t="s">
        <v>113</v>
      </c>
      <c r="H79" s="20" t="s">
        <v>4943</v>
      </c>
      <c r="I79" s="20">
        <v>112111</v>
      </c>
      <c r="J79" s="20">
        <v>131</v>
      </c>
      <c r="K79" s="20" t="s">
        <v>20</v>
      </c>
      <c r="L79" s="20">
        <v>1</v>
      </c>
      <c r="M79" s="34">
        <v>9580645</v>
      </c>
      <c r="N79" s="34">
        <f t="shared" si="8"/>
        <v>9580645</v>
      </c>
      <c r="O79" s="33" t="s">
        <v>21</v>
      </c>
      <c r="P79" s="20">
        <f t="shared" si="10"/>
        <v>53</v>
      </c>
      <c r="Q79" s="20">
        <f t="shared" si="9"/>
        <v>166</v>
      </c>
    </row>
    <row r="80" spans="1:19" ht="15" customHeight="1" x14ac:dyDescent="0.2">
      <c r="A80" s="20" t="s">
        <v>2679</v>
      </c>
      <c r="B80" s="63" t="s">
        <v>375</v>
      </c>
      <c r="C80" s="20">
        <f t="shared" si="14"/>
        <v>156</v>
      </c>
      <c r="D80" s="20">
        <v>1</v>
      </c>
      <c r="G80" s="32" t="s">
        <v>71</v>
      </c>
      <c r="H80" s="20" t="s">
        <v>4957</v>
      </c>
      <c r="I80" s="20">
        <v>112111</v>
      </c>
      <c r="J80" s="20">
        <v>131</v>
      </c>
      <c r="K80" s="20" t="s">
        <v>20</v>
      </c>
      <c r="L80" s="20">
        <v>1</v>
      </c>
      <c r="M80" s="34">
        <v>2661290</v>
      </c>
      <c r="N80" s="34">
        <f t="shared" si="8"/>
        <v>2661290</v>
      </c>
      <c r="O80" s="33" t="s">
        <v>21</v>
      </c>
      <c r="P80" s="20">
        <f t="shared" si="10"/>
        <v>54</v>
      </c>
      <c r="Q80" s="20">
        <f t="shared" si="9"/>
        <v>164</v>
      </c>
      <c r="S80" s="33"/>
    </row>
    <row r="81" spans="1:17" ht="15" customHeight="1" x14ac:dyDescent="0.2">
      <c r="A81" s="20" t="s">
        <v>2678</v>
      </c>
      <c r="B81" s="63" t="s">
        <v>375</v>
      </c>
      <c r="C81" s="20">
        <f t="shared" si="14"/>
        <v>157</v>
      </c>
      <c r="D81" s="20">
        <v>1</v>
      </c>
      <c r="G81" s="32" t="s">
        <v>275</v>
      </c>
      <c r="H81" s="20" t="s">
        <v>3017</v>
      </c>
      <c r="I81" s="20">
        <v>1111</v>
      </c>
      <c r="J81" s="20">
        <v>112111</v>
      </c>
      <c r="K81" s="20" t="s">
        <v>20</v>
      </c>
      <c r="L81" s="20">
        <v>1</v>
      </c>
      <c r="M81" s="34">
        <v>13000000</v>
      </c>
      <c r="N81" s="34">
        <f t="shared" si="8"/>
        <v>13000000</v>
      </c>
      <c r="O81" s="33" t="s">
        <v>21</v>
      </c>
      <c r="P81" s="20">
        <f t="shared" si="10"/>
        <v>55</v>
      </c>
      <c r="Q81" s="20">
        <f t="shared" si="9"/>
        <v>40</v>
      </c>
    </row>
    <row r="82" spans="1:17" ht="15" customHeight="1" x14ac:dyDescent="0.2">
      <c r="A82" s="20" t="s">
        <v>18</v>
      </c>
      <c r="B82" s="63" t="s">
        <v>311</v>
      </c>
      <c r="C82" s="20">
        <f t="shared" ref="C82:C83" si="15">C81+D82</f>
        <v>158</v>
      </c>
      <c r="D82" s="20">
        <v>1</v>
      </c>
      <c r="G82" s="32" t="s">
        <v>3003</v>
      </c>
      <c r="H82" s="20" t="s">
        <v>3161</v>
      </c>
      <c r="I82" s="20">
        <v>131</v>
      </c>
      <c r="J82" s="20">
        <v>5118</v>
      </c>
      <c r="K82" s="20" t="s">
        <v>20</v>
      </c>
      <c r="L82" s="20">
        <v>1</v>
      </c>
      <c r="M82" s="34">
        <v>7187918</v>
      </c>
      <c r="N82" s="34">
        <f t="shared" si="8"/>
        <v>7187918</v>
      </c>
      <c r="O82" s="33" t="s">
        <v>21</v>
      </c>
      <c r="P82" s="20">
        <f t="shared" ref="P82:P83" si="16">P81+D82</f>
        <v>56</v>
      </c>
      <c r="Q82" s="20">
        <f t="shared" ref="Q82:Q83" si="17">LEN(H82)</f>
        <v>36</v>
      </c>
    </row>
    <row r="83" spans="1:17" ht="15" customHeight="1" x14ac:dyDescent="0.2">
      <c r="A83" s="20" t="s">
        <v>2679</v>
      </c>
      <c r="B83" s="63" t="s">
        <v>311</v>
      </c>
      <c r="C83" s="20">
        <f t="shared" si="15"/>
        <v>159</v>
      </c>
      <c r="D83" s="20">
        <v>1</v>
      </c>
      <c r="G83" s="32" t="s">
        <v>3003</v>
      </c>
      <c r="H83" s="20" t="s">
        <v>3162</v>
      </c>
      <c r="I83" s="20">
        <v>112111</v>
      </c>
      <c r="J83" s="20">
        <v>131</v>
      </c>
      <c r="K83" s="20" t="s">
        <v>20</v>
      </c>
      <c r="L83" s="20">
        <v>1</v>
      </c>
      <c r="M83" s="34">
        <v>7187918</v>
      </c>
      <c r="N83" s="34">
        <f t="shared" si="8"/>
        <v>7187918</v>
      </c>
      <c r="O83" s="33" t="s">
        <v>21</v>
      </c>
      <c r="P83" s="20">
        <f t="shared" si="16"/>
        <v>57</v>
      </c>
      <c r="Q83" s="20">
        <f t="shared" si="17"/>
        <v>41</v>
      </c>
    </row>
    <row r="84" spans="1:17" ht="15" customHeight="1" x14ac:dyDescent="0.2">
      <c r="A84" s="20" t="s">
        <v>2678</v>
      </c>
      <c r="B84" s="63" t="s">
        <v>311</v>
      </c>
      <c r="C84" s="20">
        <f t="shared" si="14"/>
        <v>160</v>
      </c>
      <c r="D84" s="20">
        <v>1</v>
      </c>
      <c r="G84" s="32" t="s">
        <v>275</v>
      </c>
      <c r="H84" s="20" t="s">
        <v>3017</v>
      </c>
      <c r="I84" s="20">
        <v>1111</v>
      </c>
      <c r="J84" s="20">
        <v>112111</v>
      </c>
      <c r="K84" s="20" t="s">
        <v>20</v>
      </c>
      <c r="L84" s="20">
        <v>1</v>
      </c>
      <c r="M84" s="34">
        <v>7000000</v>
      </c>
      <c r="N84" s="34">
        <f t="shared" si="8"/>
        <v>7000000</v>
      </c>
      <c r="O84" s="33" t="s">
        <v>21</v>
      </c>
      <c r="P84" s="20">
        <f t="shared" si="10"/>
        <v>58</v>
      </c>
      <c r="Q84" s="20">
        <f t="shared" si="9"/>
        <v>40</v>
      </c>
    </row>
    <row r="85" spans="1:17" ht="15" customHeight="1" x14ac:dyDescent="0.2">
      <c r="A85" s="20" t="s">
        <v>2679</v>
      </c>
      <c r="B85" s="63" t="s">
        <v>867</v>
      </c>
      <c r="C85" s="20">
        <f t="shared" si="14"/>
        <v>161</v>
      </c>
      <c r="D85" s="20">
        <v>1</v>
      </c>
      <c r="G85" s="32" t="s">
        <v>26</v>
      </c>
      <c r="H85" s="20" t="s">
        <v>4964</v>
      </c>
      <c r="I85" s="20">
        <v>112111</v>
      </c>
      <c r="J85" s="20">
        <v>131</v>
      </c>
      <c r="K85" s="20" t="s">
        <v>20</v>
      </c>
      <c r="L85" s="20">
        <v>1</v>
      </c>
      <c r="M85" s="34">
        <v>9580645</v>
      </c>
      <c r="N85" s="34">
        <f t="shared" si="8"/>
        <v>9580645</v>
      </c>
      <c r="O85" s="33" t="s">
        <v>21</v>
      </c>
      <c r="P85" s="20">
        <f t="shared" si="10"/>
        <v>59</v>
      </c>
      <c r="Q85" s="20">
        <f t="shared" si="9"/>
        <v>169</v>
      </c>
    </row>
    <row r="86" spans="1:17" ht="15" customHeight="1" x14ac:dyDescent="0.2">
      <c r="A86" s="20" t="s">
        <v>2678</v>
      </c>
      <c r="B86" s="63" t="s">
        <v>867</v>
      </c>
      <c r="C86" s="20">
        <f t="shared" si="14"/>
        <v>162</v>
      </c>
      <c r="D86" s="20">
        <v>1</v>
      </c>
      <c r="G86" s="32" t="s">
        <v>3011</v>
      </c>
      <c r="H86" s="20" t="s">
        <v>3564</v>
      </c>
      <c r="I86" s="20">
        <v>3383</v>
      </c>
      <c r="J86" s="20">
        <v>112111</v>
      </c>
      <c r="K86" s="20" t="s">
        <v>20</v>
      </c>
      <c r="L86" s="20">
        <v>1</v>
      </c>
      <c r="M86" s="34">
        <v>690300</v>
      </c>
      <c r="N86" s="34">
        <f t="shared" si="8"/>
        <v>690300</v>
      </c>
      <c r="O86" s="33" t="s">
        <v>21</v>
      </c>
      <c r="P86" s="20">
        <f t="shared" si="10"/>
        <v>60</v>
      </c>
      <c r="Q86" s="20">
        <f t="shared" si="9"/>
        <v>34</v>
      </c>
    </row>
    <row r="87" spans="1:17" ht="15" customHeight="1" x14ac:dyDescent="0.2">
      <c r="A87" s="20" t="s">
        <v>2678</v>
      </c>
      <c r="B87" s="63" t="s">
        <v>413</v>
      </c>
      <c r="C87" s="20">
        <f t="shared" si="14"/>
        <v>163</v>
      </c>
      <c r="D87" s="20">
        <v>1</v>
      </c>
      <c r="G87" s="32" t="s">
        <v>275</v>
      </c>
      <c r="H87" s="20" t="s">
        <v>3017</v>
      </c>
      <c r="I87" s="20">
        <v>1111</v>
      </c>
      <c r="J87" s="20">
        <v>112111</v>
      </c>
      <c r="K87" s="20" t="s">
        <v>20</v>
      </c>
      <c r="L87" s="20">
        <v>1</v>
      </c>
      <c r="M87" s="34">
        <v>9000000</v>
      </c>
      <c r="N87" s="34">
        <f t="shared" si="8"/>
        <v>9000000</v>
      </c>
      <c r="O87" s="33" t="s">
        <v>21</v>
      </c>
      <c r="P87" s="20">
        <f t="shared" si="10"/>
        <v>61</v>
      </c>
      <c r="Q87" s="20">
        <f t="shared" si="9"/>
        <v>40</v>
      </c>
    </row>
    <row r="88" spans="1:17" ht="15" customHeight="1" x14ac:dyDescent="0.2">
      <c r="A88" s="20" t="s">
        <v>2679</v>
      </c>
      <c r="B88" s="63" t="s">
        <v>868</v>
      </c>
      <c r="C88" s="20">
        <f t="shared" si="14"/>
        <v>164</v>
      </c>
      <c r="D88" s="20">
        <v>1</v>
      </c>
      <c r="G88" s="32" t="s">
        <v>57</v>
      </c>
      <c r="H88" s="20" t="s">
        <v>4959</v>
      </c>
      <c r="I88" s="20">
        <v>112111</v>
      </c>
      <c r="J88" s="20">
        <v>131</v>
      </c>
      <c r="K88" s="20" t="s">
        <v>20</v>
      </c>
      <c r="L88" s="20">
        <v>1</v>
      </c>
      <c r="M88" s="34">
        <v>9580645</v>
      </c>
      <c r="N88" s="34">
        <f t="shared" si="8"/>
        <v>9580645</v>
      </c>
      <c r="O88" s="33" t="s">
        <v>21</v>
      </c>
      <c r="P88" s="20">
        <f t="shared" si="10"/>
        <v>62</v>
      </c>
      <c r="Q88" s="20">
        <f t="shared" si="9"/>
        <v>159</v>
      </c>
    </row>
    <row r="89" spans="1:17" ht="15" customHeight="1" x14ac:dyDescent="0.2">
      <c r="A89" s="20" t="s">
        <v>2679</v>
      </c>
      <c r="B89" s="63" t="s">
        <v>868</v>
      </c>
      <c r="C89" s="20">
        <f t="shared" si="14"/>
        <v>165</v>
      </c>
      <c r="D89" s="20">
        <v>1</v>
      </c>
      <c r="G89" s="32" t="s">
        <v>403</v>
      </c>
      <c r="H89" s="20" t="s">
        <v>4960</v>
      </c>
      <c r="I89" s="20">
        <v>112111</v>
      </c>
      <c r="J89" s="20">
        <v>131</v>
      </c>
      <c r="K89" s="20" t="s">
        <v>20</v>
      </c>
      <c r="L89" s="20">
        <v>1</v>
      </c>
      <c r="M89" s="34">
        <v>9580645</v>
      </c>
      <c r="N89" s="34">
        <f t="shared" si="8"/>
        <v>9580645</v>
      </c>
      <c r="O89" s="33" t="s">
        <v>21</v>
      </c>
      <c r="P89" s="20">
        <f t="shared" si="10"/>
        <v>63</v>
      </c>
      <c r="Q89" s="20">
        <f t="shared" si="9"/>
        <v>164</v>
      </c>
    </row>
    <row r="90" spans="1:17" ht="15" customHeight="1" x14ac:dyDescent="0.2">
      <c r="A90" s="20" t="s">
        <v>18</v>
      </c>
      <c r="B90" s="63" t="s">
        <v>468</v>
      </c>
      <c r="C90" s="20">
        <f t="shared" ref="C90:C91" si="18">C89+D90</f>
        <v>166</v>
      </c>
      <c r="D90" s="20">
        <v>1</v>
      </c>
      <c r="G90" s="32" t="s">
        <v>3003</v>
      </c>
      <c r="H90" s="20" t="s">
        <v>3161</v>
      </c>
      <c r="I90" s="20">
        <v>131</v>
      </c>
      <c r="J90" s="20">
        <v>5118</v>
      </c>
      <c r="K90" s="20" t="s">
        <v>20</v>
      </c>
      <c r="L90" s="20">
        <v>1</v>
      </c>
      <c r="M90" s="34">
        <v>6758772</v>
      </c>
      <c r="N90" s="34">
        <f t="shared" si="8"/>
        <v>6758772</v>
      </c>
      <c r="O90" s="33" t="s">
        <v>21</v>
      </c>
      <c r="P90" s="20">
        <f t="shared" ref="P90:P91" si="19">P89+D90</f>
        <v>64</v>
      </c>
      <c r="Q90" s="20">
        <f t="shared" ref="Q90:Q91" si="20">LEN(H90)</f>
        <v>36</v>
      </c>
    </row>
    <row r="91" spans="1:17" ht="15" customHeight="1" x14ac:dyDescent="0.2">
      <c r="A91" s="20" t="s">
        <v>2679</v>
      </c>
      <c r="B91" s="63" t="s">
        <v>468</v>
      </c>
      <c r="C91" s="20">
        <f t="shared" si="18"/>
        <v>167</v>
      </c>
      <c r="D91" s="20">
        <v>1</v>
      </c>
      <c r="G91" s="32" t="s">
        <v>3003</v>
      </c>
      <c r="H91" s="20" t="s">
        <v>3162</v>
      </c>
      <c r="I91" s="20">
        <v>112111</v>
      </c>
      <c r="J91" s="20">
        <v>131</v>
      </c>
      <c r="K91" s="20" t="s">
        <v>20</v>
      </c>
      <c r="L91" s="20">
        <v>1</v>
      </c>
      <c r="M91" s="34">
        <v>6758772</v>
      </c>
      <c r="N91" s="34">
        <f t="shared" si="8"/>
        <v>6758772</v>
      </c>
      <c r="O91" s="33" t="s">
        <v>21</v>
      </c>
      <c r="P91" s="20">
        <f t="shared" si="19"/>
        <v>65</v>
      </c>
      <c r="Q91" s="20">
        <f t="shared" si="20"/>
        <v>41</v>
      </c>
    </row>
    <row r="92" spans="1:17" ht="15" customHeight="1" x14ac:dyDescent="0.2">
      <c r="A92" s="20" t="s">
        <v>18</v>
      </c>
      <c r="B92" s="63" t="s">
        <v>468</v>
      </c>
      <c r="C92" s="20">
        <f t="shared" ref="C92:C94" si="21">C91+D92</f>
        <v>168</v>
      </c>
      <c r="D92" s="20">
        <v>1</v>
      </c>
      <c r="G92" s="32" t="s">
        <v>4949</v>
      </c>
      <c r="H92" s="20" t="s">
        <v>4849</v>
      </c>
      <c r="I92" s="20">
        <v>8118</v>
      </c>
      <c r="J92" s="20">
        <v>333822</v>
      </c>
      <c r="K92" s="20" t="s">
        <v>20</v>
      </c>
      <c r="L92" s="20">
        <v>1</v>
      </c>
      <c r="M92" s="34">
        <v>198</v>
      </c>
      <c r="N92" s="34">
        <f t="shared" si="8"/>
        <v>198</v>
      </c>
      <c r="O92" s="33" t="s">
        <v>21</v>
      </c>
      <c r="P92" s="20">
        <f t="shared" ref="P92:P94" si="22">P91+D92</f>
        <v>66</v>
      </c>
      <c r="Q92" s="20">
        <f t="shared" ref="Q92:Q94" si="23">LEN(H92)</f>
        <v>24</v>
      </c>
    </row>
    <row r="93" spans="1:17" ht="15" customHeight="1" x14ac:dyDescent="0.2">
      <c r="A93" s="20" t="s">
        <v>18</v>
      </c>
      <c r="B93" s="63" t="s">
        <v>468</v>
      </c>
      <c r="C93" s="20">
        <f t="shared" si="21"/>
        <v>168</v>
      </c>
      <c r="D93" s="20">
        <v>0</v>
      </c>
      <c r="G93" s="32" t="s">
        <v>4949</v>
      </c>
      <c r="H93" s="20" t="s">
        <v>4849</v>
      </c>
      <c r="I93" s="20">
        <v>6425</v>
      </c>
      <c r="J93" s="20">
        <v>333822</v>
      </c>
      <c r="K93" s="20" t="s">
        <v>20</v>
      </c>
      <c r="L93" s="20">
        <v>1</v>
      </c>
      <c r="M93" s="34">
        <v>517140</v>
      </c>
      <c r="N93" s="34">
        <f t="shared" si="8"/>
        <v>517140</v>
      </c>
      <c r="O93" s="33" t="s">
        <v>21</v>
      </c>
      <c r="P93" s="20">
        <f t="shared" si="22"/>
        <v>66</v>
      </c>
      <c r="Q93" s="20">
        <f t="shared" si="23"/>
        <v>24</v>
      </c>
    </row>
    <row r="94" spans="1:17" ht="15" customHeight="1" x14ac:dyDescent="0.2">
      <c r="A94" s="20" t="s">
        <v>2678</v>
      </c>
      <c r="B94" s="63" t="s">
        <v>468</v>
      </c>
      <c r="C94" s="20">
        <f t="shared" si="21"/>
        <v>169</v>
      </c>
      <c r="D94" s="20">
        <v>1</v>
      </c>
      <c r="G94" s="32" t="s">
        <v>4949</v>
      </c>
      <c r="H94" s="20" t="s">
        <v>3529</v>
      </c>
      <c r="I94" s="20">
        <v>333822</v>
      </c>
      <c r="J94" s="20">
        <v>112111</v>
      </c>
      <c r="K94" s="20" t="s">
        <v>20</v>
      </c>
      <c r="L94" s="20">
        <v>1</v>
      </c>
      <c r="M94" s="34">
        <v>198</v>
      </c>
      <c r="N94" s="34">
        <f t="shared" si="8"/>
        <v>198</v>
      </c>
      <c r="O94" s="33" t="s">
        <v>21</v>
      </c>
      <c r="P94" s="20">
        <f t="shared" si="22"/>
        <v>67</v>
      </c>
      <c r="Q94" s="20">
        <f t="shared" si="23"/>
        <v>28</v>
      </c>
    </row>
    <row r="95" spans="1:17" ht="15" customHeight="1" x14ac:dyDescent="0.2">
      <c r="A95" s="20" t="s">
        <v>2678</v>
      </c>
      <c r="B95" s="63" t="s">
        <v>468</v>
      </c>
      <c r="C95" s="20">
        <f t="shared" si="14"/>
        <v>170</v>
      </c>
      <c r="D95" s="20">
        <v>1</v>
      </c>
      <c r="G95" s="32" t="s">
        <v>4949</v>
      </c>
      <c r="H95" s="20" t="s">
        <v>3529</v>
      </c>
      <c r="I95" s="20">
        <v>333822</v>
      </c>
      <c r="J95" s="20">
        <v>112111</v>
      </c>
      <c r="K95" s="20" t="s">
        <v>20</v>
      </c>
      <c r="L95" s="20">
        <v>1</v>
      </c>
      <c r="M95" s="34">
        <v>517140</v>
      </c>
      <c r="N95" s="34">
        <f t="shared" si="8"/>
        <v>517140</v>
      </c>
      <c r="O95" s="33" t="s">
        <v>21</v>
      </c>
      <c r="P95" s="20">
        <f t="shared" si="10"/>
        <v>68</v>
      </c>
      <c r="Q95" s="20">
        <f t="shared" si="9"/>
        <v>28</v>
      </c>
    </row>
    <row r="96" spans="1:17" ht="15" customHeight="1" x14ac:dyDescent="0.2">
      <c r="A96" s="20" t="s">
        <v>2678</v>
      </c>
      <c r="B96" s="63" t="s">
        <v>468</v>
      </c>
      <c r="C96" s="20">
        <f t="shared" si="14"/>
        <v>171</v>
      </c>
      <c r="D96" s="20">
        <v>1</v>
      </c>
      <c r="G96" s="32" t="s">
        <v>93</v>
      </c>
      <c r="H96" s="20" t="s">
        <v>4967</v>
      </c>
      <c r="I96" s="20">
        <v>6428</v>
      </c>
      <c r="J96" s="20">
        <v>112111</v>
      </c>
      <c r="K96" s="20" t="s">
        <v>20</v>
      </c>
      <c r="L96" s="20">
        <v>1</v>
      </c>
      <c r="M96" s="34">
        <v>13985062</v>
      </c>
      <c r="N96" s="34">
        <f t="shared" si="8"/>
        <v>13985062</v>
      </c>
      <c r="O96" s="20" t="s">
        <v>21</v>
      </c>
      <c r="P96" s="20">
        <f t="shared" si="10"/>
        <v>69</v>
      </c>
      <c r="Q96" s="20">
        <f t="shared" si="9"/>
        <v>26</v>
      </c>
    </row>
    <row r="97" spans="1:17" ht="15" customHeight="1" x14ac:dyDescent="0.2">
      <c r="A97" s="20" t="s">
        <v>2678</v>
      </c>
      <c r="B97" s="63" t="s">
        <v>468</v>
      </c>
      <c r="C97" s="20">
        <f t="shared" si="14"/>
        <v>172</v>
      </c>
      <c r="D97" s="20">
        <v>1</v>
      </c>
      <c r="G97" s="32" t="s">
        <v>275</v>
      </c>
      <c r="H97" s="20" t="s">
        <v>3017</v>
      </c>
      <c r="I97" s="20">
        <v>1111</v>
      </c>
      <c r="J97" s="20">
        <v>112111</v>
      </c>
      <c r="K97" s="20" t="s">
        <v>20</v>
      </c>
      <c r="L97" s="20">
        <v>1</v>
      </c>
      <c r="M97" s="34">
        <v>11000000</v>
      </c>
      <c r="N97" s="34">
        <f t="shared" si="8"/>
        <v>11000000</v>
      </c>
      <c r="O97" s="33" t="s">
        <v>21</v>
      </c>
      <c r="P97" s="20">
        <f t="shared" si="10"/>
        <v>70</v>
      </c>
      <c r="Q97" s="20">
        <f t="shared" si="9"/>
        <v>40</v>
      </c>
    </row>
    <row r="98" spans="1:17" ht="15" customHeight="1" x14ac:dyDescent="0.2">
      <c r="A98" s="20" t="s">
        <v>2679</v>
      </c>
      <c r="B98" s="63" t="s">
        <v>652</v>
      </c>
      <c r="C98" s="20">
        <f t="shared" si="14"/>
        <v>173</v>
      </c>
      <c r="D98" s="20">
        <v>1</v>
      </c>
      <c r="G98" s="32" t="s">
        <v>71</v>
      </c>
      <c r="H98" s="20" t="s">
        <v>4958</v>
      </c>
      <c r="I98" s="20">
        <v>112111</v>
      </c>
      <c r="J98" s="20">
        <v>131</v>
      </c>
      <c r="K98" s="20" t="s">
        <v>20</v>
      </c>
      <c r="L98" s="20">
        <v>1</v>
      </c>
      <c r="M98" s="34">
        <v>6387097</v>
      </c>
      <c r="N98" s="34">
        <f t="shared" si="8"/>
        <v>6387097</v>
      </c>
      <c r="O98" s="33" t="s">
        <v>21</v>
      </c>
      <c r="P98" s="20">
        <f t="shared" si="10"/>
        <v>71</v>
      </c>
      <c r="Q98" s="20">
        <f t="shared" si="9"/>
        <v>164</v>
      </c>
    </row>
    <row r="99" spans="1:17" ht="15" customHeight="1" x14ac:dyDescent="0.2">
      <c r="A99" s="20" t="s">
        <v>2679</v>
      </c>
      <c r="B99" s="63" t="s">
        <v>652</v>
      </c>
      <c r="C99" s="20">
        <f t="shared" ref="C99:C100" si="24">C98+D99</f>
        <v>173</v>
      </c>
      <c r="D99" s="20">
        <v>0</v>
      </c>
      <c r="G99" s="32" t="s">
        <v>71</v>
      </c>
      <c r="H99" s="20" t="s">
        <v>4958</v>
      </c>
      <c r="I99" s="20">
        <v>8118</v>
      </c>
      <c r="J99" s="20">
        <v>131</v>
      </c>
      <c r="K99" s="20" t="s">
        <v>20</v>
      </c>
      <c r="L99" s="20">
        <v>1</v>
      </c>
      <c r="M99" s="34">
        <v>1</v>
      </c>
      <c r="N99" s="34">
        <f t="shared" ref="N99" si="25">L99*M99</f>
        <v>1</v>
      </c>
      <c r="O99" s="33" t="s">
        <v>21</v>
      </c>
      <c r="P99" s="20">
        <f t="shared" ref="P99:P100" si="26">P98+D99</f>
        <v>71</v>
      </c>
      <c r="Q99" s="20">
        <f t="shared" ref="Q99:Q100" si="27">LEN(H99)</f>
        <v>164</v>
      </c>
    </row>
    <row r="100" spans="1:17" ht="15" customHeight="1" x14ac:dyDescent="0.2">
      <c r="A100" s="20" t="s">
        <v>2679</v>
      </c>
      <c r="B100" s="63" t="s">
        <v>869</v>
      </c>
      <c r="C100" s="20">
        <f t="shared" si="24"/>
        <v>174</v>
      </c>
      <c r="D100" s="20">
        <v>1</v>
      </c>
      <c r="G100" s="32" t="s">
        <v>60</v>
      </c>
      <c r="H100" s="20" t="s">
        <v>4948</v>
      </c>
      <c r="I100" s="20">
        <v>112111</v>
      </c>
      <c r="J100" s="20">
        <v>131</v>
      </c>
      <c r="K100" s="20" t="s">
        <v>20</v>
      </c>
      <c r="L100" s="20">
        <v>1</v>
      </c>
      <c r="M100" s="34">
        <v>10112903</v>
      </c>
      <c r="N100" s="34">
        <f t="shared" si="8"/>
        <v>10112903</v>
      </c>
      <c r="O100" s="33" t="s">
        <v>21</v>
      </c>
      <c r="P100" s="20">
        <f t="shared" si="26"/>
        <v>72</v>
      </c>
      <c r="Q100" s="20">
        <f t="shared" si="27"/>
        <v>155</v>
      </c>
    </row>
    <row r="101" spans="1:17" ht="15" customHeight="1" x14ac:dyDescent="0.2">
      <c r="A101" s="20" t="s">
        <v>2679</v>
      </c>
      <c r="B101" s="63" t="s">
        <v>869</v>
      </c>
      <c r="C101" s="20">
        <f t="shared" si="14"/>
        <v>175</v>
      </c>
      <c r="D101" s="20">
        <v>1</v>
      </c>
      <c r="G101" s="32" t="s">
        <v>1360</v>
      </c>
      <c r="H101" s="20" t="s">
        <v>4961</v>
      </c>
      <c r="I101" s="20">
        <v>112111</v>
      </c>
      <c r="J101" s="20">
        <v>131</v>
      </c>
      <c r="K101" s="20" t="s">
        <v>20</v>
      </c>
      <c r="L101" s="20">
        <v>1</v>
      </c>
      <c r="M101" s="34">
        <v>9580645</v>
      </c>
      <c r="N101" s="34">
        <f t="shared" si="8"/>
        <v>9580645</v>
      </c>
      <c r="O101" s="33" t="s">
        <v>21</v>
      </c>
      <c r="P101" s="20">
        <f t="shared" si="10"/>
        <v>73</v>
      </c>
      <c r="Q101" s="20">
        <f t="shared" si="9"/>
        <v>173</v>
      </c>
    </row>
    <row r="102" spans="1:17" ht="15" customHeight="1" x14ac:dyDescent="0.2">
      <c r="A102" s="20" t="s">
        <v>2678</v>
      </c>
      <c r="B102" s="63" t="s">
        <v>869</v>
      </c>
      <c r="C102" s="20">
        <f t="shared" si="14"/>
        <v>176</v>
      </c>
      <c r="D102" s="20">
        <v>1</v>
      </c>
      <c r="G102" s="32" t="s">
        <v>275</v>
      </c>
      <c r="H102" s="20" t="s">
        <v>3017</v>
      </c>
      <c r="I102" s="20">
        <v>1111</v>
      </c>
      <c r="J102" s="20">
        <v>112111</v>
      </c>
      <c r="K102" s="20" t="s">
        <v>20</v>
      </c>
      <c r="L102" s="20">
        <v>1</v>
      </c>
      <c r="M102" s="34">
        <v>25000000</v>
      </c>
      <c r="N102" s="34">
        <f t="shared" si="8"/>
        <v>25000000</v>
      </c>
      <c r="O102" s="33" t="s">
        <v>21</v>
      </c>
      <c r="P102" s="20">
        <f t="shared" si="10"/>
        <v>74</v>
      </c>
      <c r="Q102" s="20">
        <f t="shared" si="9"/>
        <v>40</v>
      </c>
    </row>
    <row r="103" spans="1:17" ht="15" customHeight="1" x14ac:dyDescent="0.2">
      <c r="A103" s="20" t="s">
        <v>18</v>
      </c>
      <c r="B103" s="63" t="s">
        <v>377</v>
      </c>
      <c r="C103" s="20">
        <f t="shared" ref="C103:C104" si="28">C102+D103</f>
        <v>177</v>
      </c>
      <c r="D103" s="20">
        <v>1</v>
      </c>
      <c r="G103" s="32" t="s">
        <v>3003</v>
      </c>
      <c r="H103" s="20" t="s">
        <v>3161</v>
      </c>
      <c r="I103" s="20">
        <v>131</v>
      </c>
      <c r="J103" s="20">
        <v>5118</v>
      </c>
      <c r="K103" s="20" t="s">
        <v>20</v>
      </c>
      <c r="L103" s="20">
        <v>1</v>
      </c>
      <c r="M103" s="34">
        <v>5591301</v>
      </c>
      <c r="N103" s="34">
        <f t="shared" si="8"/>
        <v>5591301</v>
      </c>
      <c r="O103" s="33" t="s">
        <v>21</v>
      </c>
      <c r="P103" s="20">
        <f t="shared" ref="P103:P104" si="29">P102+D103</f>
        <v>75</v>
      </c>
      <c r="Q103" s="20">
        <f t="shared" ref="Q103:Q104" si="30">LEN(H103)</f>
        <v>36</v>
      </c>
    </row>
    <row r="104" spans="1:17" ht="15" customHeight="1" x14ac:dyDescent="0.2">
      <c r="A104" s="20" t="s">
        <v>2679</v>
      </c>
      <c r="B104" s="63" t="s">
        <v>377</v>
      </c>
      <c r="C104" s="20">
        <f t="shared" si="28"/>
        <v>178</v>
      </c>
      <c r="D104" s="20">
        <v>1</v>
      </c>
      <c r="G104" s="32" t="s">
        <v>3003</v>
      </c>
      <c r="H104" s="20" t="s">
        <v>3162</v>
      </c>
      <c r="I104" s="20">
        <v>112111</v>
      </c>
      <c r="J104" s="20">
        <v>131</v>
      </c>
      <c r="K104" s="20" t="s">
        <v>20</v>
      </c>
      <c r="L104" s="20">
        <v>1</v>
      </c>
      <c r="M104" s="34">
        <v>5591301</v>
      </c>
      <c r="N104" s="34">
        <f t="shared" si="8"/>
        <v>5591301</v>
      </c>
      <c r="O104" s="33" t="s">
        <v>21</v>
      </c>
      <c r="P104" s="20">
        <f t="shared" si="29"/>
        <v>76</v>
      </c>
      <c r="Q104" s="20">
        <f t="shared" si="30"/>
        <v>41</v>
      </c>
    </row>
    <row r="105" spans="1:17" ht="15" customHeight="1" x14ac:dyDescent="0.2">
      <c r="A105" s="20" t="s">
        <v>2679</v>
      </c>
      <c r="B105" s="63" t="s">
        <v>291</v>
      </c>
      <c r="C105" s="20">
        <f t="shared" si="14"/>
        <v>179</v>
      </c>
      <c r="D105" s="20">
        <v>1</v>
      </c>
      <c r="G105" s="32" t="s">
        <v>3263</v>
      </c>
      <c r="H105" s="20" t="s">
        <v>2687</v>
      </c>
      <c r="I105" s="20">
        <v>112111</v>
      </c>
      <c r="J105" s="20">
        <v>5154</v>
      </c>
      <c r="K105" s="20" t="s">
        <v>20</v>
      </c>
      <c r="L105" s="20">
        <v>1</v>
      </c>
      <c r="M105" s="34">
        <v>1318</v>
      </c>
      <c r="N105" s="34">
        <f t="shared" si="8"/>
        <v>1318</v>
      </c>
      <c r="O105" s="33" t="s">
        <v>21</v>
      </c>
      <c r="P105" s="20">
        <f t="shared" si="10"/>
        <v>77</v>
      </c>
      <c r="Q105" s="20">
        <f t="shared" si="9"/>
        <v>12</v>
      </c>
    </row>
    <row r="106" spans="1:17" ht="15" customHeight="1" x14ac:dyDescent="0.2">
      <c r="A106" s="20" t="s">
        <v>2679</v>
      </c>
      <c r="B106" s="63" t="s">
        <v>291</v>
      </c>
      <c r="C106" s="20">
        <f t="shared" si="14"/>
        <v>180</v>
      </c>
      <c r="D106" s="20">
        <v>1</v>
      </c>
      <c r="G106" s="32" t="s">
        <v>2141</v>
      </c>
      <c r="H106" s="20" t="s">
        <v>4962</v>
      </c>
      <c r="I106" s="20">
        <v>112111</v>
      </c>
      <c r="J106" s="20">
        <v>131</v>
      </c>
      <c r="K106" s="20" t="s">
        <v>20</v>
      </c>
      <c r="L106" s="20">
        <v>1</v>
      </c>
      <c r="M106" s="34">
        <v>9580645</v>
      </c>
      <c r="N106" s="34">
        <f t="shared" si="8"/>
        <v>9580645</v>
      </c>
      <c r="O106" s="33" t="s">
        <v>21</v>
      </c>
      <c r="P106" s="20">
        <f t="shared" si="10"/>
        <v>78</v>
      </c>
      <c r="Q106" s="20">
        <f t="shared" si="9"/>
        <v>154</v>
      </c>
    </row>
    <row r="107" spans="1:17" ht="15" customHeight="1" x14ac:dyDescent="0.2">
      <c r="A107" s="20" t="s">
        <v>2678</v>
      </c>
      <c r="B107" s="63" t="s">
        <v>291</v>
      </c>
      <c r="C107" s="20">
        <f t="shared" si="14"/>
        <v>181</v>
      </c>
      <c r="D107" s="20">
        <v>1</v>
      </c>
      <c r="G107" s="32" t="s">
        <v>275</v>
      </c>
      <c r="H107" s="20" t="s">
        <v>3017</v>
      </c>
      <c r="I107" s="20">
        <v>1111</v>
      </c>
      <c r="J107" s="20">
        <v>112111</v>
      </c>
      <c r="K107" s="20" t="s">
        <v>20</v>
      </c>
      <c r="L107" s="20">
        <v>1</v>
      </c>
      <c r="M107" s="34">
        <v>15000000</v>
      </c>
      <c r="N107" s="34">
        <f t="shared" si="8"/>
        <v>15000000</v>
      </c>
      <c r="O107" s="33" t="s">
        <v>21</v>
      </c>
      <c r="P107" s="20">
        <f t="shared" si="10"/>
        <v>79</v>
      </c>
      <c r="Q107" s="20">
        <f t="shared" si="9"/>
        <v>40</v>
      </c>
    </row>
    <row r="108" spans="1:17" ht="15" customHeight="1" x14ac:dyDescent="0.2">
      <c r="A108" s="20" t="s">
        <v>2679</v>
      </c>
      <c r="B108" s="63" t="s">
        <v>292</v>
      </c>
      <c r="C108" s="20">
        <f t="shared" si="14"/>
        <v>182</v>
      </c>
      <c r="D108" s="20">
        <v>1</v>
      </c>
      <c r="G108" s="32" t="s">
        <v>66</v>
      </c>
      <c r="H108" s="20" t="s">
        <v>4944</v>
      </c>
      <c r="I108" s="20">
        <v>112111</v>
      </c>
      <c r="J108" s="20">
        <v>131</v>
      </c>
      <c r="K108" s="20" t="s">
        <v>20</v>
      </c>
      <c r="L108" s="20">
        <v>1</v>
      </c>
      <c r="M108" s="34">
        <v>10112903</v>
      </c>
      <c r="N108" s="34">
        <f t="shared" si="8"/>
        <v>10112903</v>
      </c>
      <c r="O108" s="33" t="s">
        <v>21</v>
      </c>
      <c r="P108" s="20">
        <f t="shared" si="10"/>
        <v>80</v>
      </c>
      <c r="Q108" s="20">
        <f t="shared" si="9"/>
        <v>161</v>
      </c>
    </row>
    <row r="109" spans="1:17" ht="15" customHeight="1" x14ac:dyDescent="0.2">
      <c r="A109" s="20" t="s">
        <v>2678</v>
      </c>
      <c r="B109" s="63" t="s">
        <v>314</v>
      </c>
      <c r="C109" s="20">
        <f t="shared" si="14"/>
        <v>183</v>
      </c>
      <c r="D109" s="20">
        <v>1</v>
      </c>
      <c r="G109" s="32" t="s">
        <v>3011</v>
      </c>
      <c r="H109" s="20" t="s">
        <v>3164</v>
      </c>
      <c r="I109" s="20">
        <v>3383</v>
      </c>
      <c r="J109" s="20">
        <v>112111</v>
      </c>
      <c r="K109" s="20" t="s">
        <v>20</v>
      </c>
      <c r="L109" s="20">
        <v>1</v>
      </c>
      <c r="M109" s="34">
        <v>690300</v>
      </c>
      <c r="N109" s="34">
        <f t="shared" si="8"/>
        <v>690300</v>
      </c>
      <c r="O109" s="33" t="s">
        <v>21</v>
      </c>
      <c r="P109" s="20">
        <f t="shared" si="10"/>
        <v>81</v>
      </c>
      <c r="Q109" s="20">
        <f t="shared" si="9"/>
        <v>34</v>
      </c>
    </row>
    <row r="110" spans="1:17" ht="15" customHeight="1" x14ac:dyDescent="0.2">
      <c r="A110" s="20" t="s">
        <v>2678</v>
      </c>
      <c r="B110" s="63" t="s">
        <v>314</v>
      </c>
      <c r="C110" s="20">
        <f t="shared" si="14"/>
        <v>184</v>
      </c>
      <c r="D110" s="20">
        <v>1</v>
      </c>
      <c r="G110" s="32" t="s">
        <v>275</v>
      </c>
      <c r="H110" s="20" t="s">
        <v>3017</v>
      </c>
      <c r="I110" s="20">
        <v>1111</v>
      </c>
      <c r="J110" s="20">
        <v>112111</v>
      </c>
      <c r="K110" s="20" t="s">
        <v>20</v>
      </c>
      <c r="L110" s="20">
        <v>1</v>
      </c>
      <c r="M110" s="34">
        <v>11000000</v>
      </c>
      <c r="N110" s="34">
        <f t="shared" si="8"/>
        <v>11000000</v>
      </c>
      <c r="O110" s="33" t="s">
        <v>21</v>
      </c>
      <c r="P110" s="20">
        <f t="shared" si="10"/>
        <v>82</v>
      </c>
      <c r="Q110" s="20">
        <f t="shared" si="9"/>
        <v>40</v>
      </c>
    </row>
    <row r="111" spans="1:17" ht="15" customHeight="1" x14ac:dyDescent="0.2">
      <c r="A111" s="20" t="s">
        <v>18</v>
      </c>
      <c r="B111" s="63" t="s">
        <v>470</v>
      </c>
      <c r="C111" s="20">
        <f t="shared" si="14"/>
        <v>185</v>
      </c>
      <c r="D111" s="20">
        <v>1</v>
      </c>
      <c r="G111" s="32" t="s">
        <v>4949</v>
      </c>
      <c r="H111" s="20" t="s">
        <v>4849</v>
      </c>
      <c r="I111" s="20">
        <v>8118</v>
      </c>
      <c r="J111" s="20">
        <v>333822</v>
      </c>
      <c r="K111" s="20" t="s">
        <v>20</v>
      </c>
      <c r="L111" s="20">
        <v>1</v>
      </c>
      <c r="M111" s="34">
        <v>669</v>
      </c>
      <c r="N111" s="34">
        <f t="shared" si="8"/>
        <v>669</v>
      </c>
      <c r="O111" s="33" t="s">
        <v>21</v>
      </c>
      <c r="P111" s="20">
        <f t="shared" ref="P111:P113" si="31">P110+D111</f>
        <v>83</v>
      </c>
      <c r="Q111" s="20">
        <f t="shared" ref="Q111:Q113" si="32">LEN(H111)</f>
        <v>24</v>
      </c>
    </row>
    <row r="112" spans="1:17" ht="15" customHeight="1" x14ac:dyDescent="0.2">
      <c r="A112" s="20" t="s">
        <v>18</v>
      </c>
      <c r="B112" s="63" t="s">
        <v>470</v>
      </c>
      <c r="C112" s="20">
        <f t="shared" si="14"/>
        <v>185</v>
      </c>
      <c r="D112" s="20">
        <v>0</v>
      </c>
      <c r="G112" s="32" t="s">
        <v>4949</v>
      </c>
      <c r="H112" s="20" t="s">
        <v>4849</v>
      </c>
      <c r="I112" s="20">
        <v>6425</v>
      </c>
      <c r="J112" s="20">
        <v>333822</v>
      </c>
      <c r="K112" s="20" t="s">
        <v>20</v>
      </c>
      <c r="L112" s="20">
        <v>1</v>
      </c>
      <c r="M112" s="34">
        <v>339426</v>
      </c>
      <c r="N112" s="34">
        <f t="shared" si="8"/>
        <v>339426</v>
      </c>
      <c r="O112" s="33" t="s">
        <v>21</v>
      </c>
      <c r="P112" s="20">
        <f t="shared" si="31"/>
        <v>83</v>
      </c>
      <c r="Q112" s="20">
        <f t="shared" si="32"/>
        <v>24</v>
      </c>
    </row>
    <row r="113" spans="1:17" ht="15" customHeight="1" x14ac:dyDescent="0.2">
      <c r="A113" s="20" t="s">
        <v>2678</v>
      </c>
      <c r="B113" s="63" t="s">
        <v>470</v>
      </c>
      <c r="C113" s="20">
        <f t="shared" si="14"/>
        <v>186</v>
      </c>
      <c r="D113" s="20">
        <v>1</v>
      </c>
      <c r="G113" s="32" t="s">
        <v>4949</v>
      </c>
      <c r="H113" s="20" t="s">
        <v>3529</v>
      </c>
      <c r="I113" s="20">
        <v>333822</v>
      </c>
      <c r="J113" s="20">
        <v>112111</v>
      </c>
      <c r="K113" s="20" t="s">
        <v>20</v>
      </c>
      <c r="L113" s="20">
        <v>1</v>
      </c>
      <c r="M113" s="34">
        <v>669</v>
      </c>
      <c r="N113" s="34">
        <f t="shared" si="8"/>
        <v>669</v>
      </c>
      <c r="O113" s="33" t="s">
        <v>21</v>
      </c>
      <c r="P113" s="20">
        <f t="shared" si="31"/>
        <v>84</v>
      </c>
      <c r="Q113" s="20">
        <f t="shared" si="32"/>
        <v>28</v>
      </c>
    </row>
    <row r="114" spans="1:17" ht="15" customHeight="1" x14ac:dyDescent="0.2">
      <c r="A114" s="20" t="s">
        <v>2678</v>
      </c>
      <c r="B114" s="63" t="s">
        <v>470</v>
      </c>
      <c r="C114" s="20">
        <f t="shared" si="14"/>
        <v>187</v>
      </c>
      <c r="D114" s="20">
        <v>1</v>
      </c>
      <c r="G114" s="32" t="s">
        <v>4949</v>
      </c>
      <c r="H114" s="20" t="s">
        <v>3529</v>
      </c>
      <c r="I114" s="20">
        <v>333822</v>
      </c>
      <c r="J114" s="20">
        <v>112111</v>
      </c>
      <c r="K114" s="20" t="s">
        <v>20</v>
      </c>
      <c r="L114" s="20">
        <v>1</v>
      </c>
      <c r="M114" s="34">
        <v>339426</v>
      </c>
      <c r="N114" s="34">
        <f t="shared" si="8"/>
        <v>339426</v>
      </c>
      <c r="O114" s="33" t="s">
        <v>21</v>
      </c>
      <c r="P114" s="20">
        <f t="shared" si="10"/>
        <v>85</v>
      </c>
      <c r="Q114" s="20">
        <f t="shared" si="9"/>
        <v>28</v>
      </c>
    </row>
    <row r="115" spans="1:17" ht="15" customHeight="1" x14ac:dyDescent="0.2">
      <c r="A115" s="20" t="s">
        <v>2679</v>
      </c>
      <c r="B115" s="63" t="s">
        <v>378</v>
      </c>
      <c r="C115" s="20">
        <f t="shared" si="14"/>
        <v>188</v>
      </c>
      <c r="D115" s="20">
        <v>1</v>
      </c>
      <c r="G115" s="32" t="s">
        <v>90</v>
      </c>
      <c r="H115" s="20" t="s">
        <v>4945</v>
      </c>
      <c r="I115" s="20">
        <v>112111</v>
      </c>
      <c r="J115" s="20">
        <v>131</v>
      </c>
      <c r="K115" s="20" t="s">
        <v>20</v>
      </c>
      <c r="L115" s="20">
        <v>1</v>
      </c>
      <c r="M115" s="34">
        <v>10645161</v>
      </c>
      <c r="N115" s="34">
        <f t="shared" si="8"/>
        <v>10645161</v>
      </c>
      <c r="O115" s="33" t="s">
        <v>21</v>
      </c>
      <c r="P115" s="20">
        <f t="shared" si="10"/>
        <v>86</v>
      </c>
      <c r="Q115" s="20">
        <f t="shared" si="9"/>
        <v>179</v>
      </c>
    </row>
    <row r="116" spans="1:17" ht="15" customHeight="1" x14ac:dyDescent="0.2">
      <c r="A116" s="20" t="s">
        <v>2679</v>
      </c>
      <c r="B116" s="63" t="s">
        <v>378</v>
      </c>
      <c r="C116" s="20">
        <f t="shared" si="14"/>
        <v>189</v>
      </c>
      <c r="D116" s="20">
        <v>1</v>
      </c>
      <c r="G116" s="32" t="s">
        <v>43</v>
      </c>
      <c r="H116" s="20" t="s">
        <v>4952</v>
      </c>
      <c r="I116" s="20">
        <v>112111</v>
      </c>
      <c r="J116" s="20">
        <v>131</v>
      </c>
      <c r="K116" s="20" t="s">
        <v>20</v>
      </c>
      <c r="L116" s="20">
        <v>1</v>
      </c>
      <c r="M116" s="34">
        <v>45000000</v>
      </c>
      <c r="N116" s="34">
        <f t="shared" si="8"/>
        <v>45000000</v>
      </c>
      <c r="O116" s="33" t="s">
        <v>21</v>
      </c>
      <c r="P116" s="20">
        <f t="shared" si="10"/>
        <v>87</v>
      </c>
      <c r="Q116" s="20">
        <f t="shared" si="9"/>
        <v>116</v>
      </c>
    </row>
    <row r="117" spans="1:17" ht="15" customHeight="1" x14ac:dyDescent="0.2">
      <c r="A117" s="20" t="s">
        <v>2678</v>
      </c>
      <c r="B117" s="63" t="s">
        <v>316</v>
      </c>
      <c r="C117" s="20">
        <f t="shared" si="14"/>
        <v>190</v>
      </c>
      <c r="D117" s="20">
        <v>1</v>
      </c>
      <c r="G117" s="32" t="s">
        <v>275</v>
      </c>
      <c r="H117" s="20" t="s">
        <v>3017</v>
      </c>
      <c r="I117" s="20">
        <v>1111</v>
      </c>
      <c r="J117" s="20">
        <v>112111</v>
      </c>
      <c r="K117" s="20" t="s">
        <v>20</v>
      </c>
      <c r="L117" s="20">
        <v>1</v>
      </c>
      <c r="M117" s="34">
        <v>55000000</v>
      </c>
      <c r="N117" s="34">
        <f t="shared" si="8"/>
        <v>55000000</v>
      </c>
      <c r="O117" s="33" t="s">
        <v>21</v>
      </c>
      <c r="P117" s="20">
        <f t="shared" si="10"/>
        <v>88</v>
      </c>
      <c r="Q117" s="20">
        <f t="shared" si="9"/>
        <v>40</v>
      </c>
    </row>
    <row r="118" spans="1:17" ht="15" customHeight="1" x14ac:dyDescent="0.2">
      <c r="A118" s="20" t="s">
        <v>2679</v>
      </c>
      <c r="B118" s="63" t="s">
        <v>471</v>
      </c>
      <c r="C118" s="20">
        <f t="shared" si="14"/>
        <v>191</v>
      </c>
      <c r="D118" s="20">
        <v>1</v>
      </c>
      <c r="G118" s="32" t="s">
        <v>26</v>
      </c>
      <c r="H118" s="20" t="s">
        <v>4964</v>
      </c>
      <c r="I118" s="20">
        <v>112111</v>
      </c>
      <c r="J118" s="20">
        <v>131</v>
      </c>
      <c r="K118" s="20" t="s">
        <v>20</v>
      </c>
      <c r="L118" s="20">
        <v>1</v>
      </c>
      <c r="M118" s="34">
        <v>9580645</v>
      </c>
      <c r="N118" s="34">
        <f t="shared" si="8"/>
        <v>9580645</v>
      </c>
      <c r="O118" s="33" t="s">
        <v>21</v>
      </c>
      <c r="P118" s="20">
        <f t="shared" si="10"/>
        <v>89</v>
      </c>
      <c r="Q118" s="20">
        <f t="shared" si="9"/>
        <v>169</v>
      </c>
    </row>
    <row r="119" spans="1:17" ht="15" customHeight="1" x14ac:dyDescent="0.2">
      <c r="A119" s="20" t="s">
        <v>2678</v>
      </c>
      <c r="B119" s="63" t="s">
        <v>417</v>
      </c>
      <c r="C119" s="20">
        <f t="shared" si="14"/>
        <v>192</v>
      </c>
      <c r="D119" s="20">
        <v>1</v>
      </c>
      <c r="G119" s="32" t="s">
        <v>275</v>
      </c>
      <c r="H119" s="20" t="s">
        <v>3017</v>
      </c>
      <c r="I119" s="20">
        <v>1111</v>
      </c>
      <c r="J119" s="20">
        <v>112111</v>
      </c>
      <c r="K119" s="20" t="s">
        <v>20</v>
      </c>
      <c r="L119" s="20">
        <v>1</v>
      </c>
      <c r="M119" s="34">
        <v>10000000</v>
      </c>
      <c r="N119" s="34">
        <f t="shared" si="8"/>
        <v>10000000</v>
      </c>
      <c r="O119" s="33" t="s">
        <v>21</v>
      </c>
      <c r="P119" s="20">
        <f t="shared" si="10"/>
        <v>90</v>
      </c>
      <c r="Q119" s="20">
        <f t="shared" si="9"/>
        <v>40</v>
      </c>
    </row>
    <row r="120" spans="1:17" ht="15" customHeight="1" x14ac:dyDescent="0.2">
      <c r="A120" s="20" t="s">
        <v>2679</v>
      </c>
      <c r="B120" s="63" t="s">
        <v>418</v>
      </c>
      <c r="C120" s="20">
        <f t="shared" si="14"/>
        <v>193</v>
      </c>
      <c r="D120" s="20">
        <v>1</v>
      </c>
      <c r="G120" s="32" t="s">
        <v>66</v>
      </c>
      <c r="H120" s="20" t="s">
        <v>4946</v>
      </c>
      <c r="I120" s="20">
        <v>112111</v>
      </c>
      <c r="J120" s="20">
        <v>131</v>
      </c>
      <c r="K120" s="20" t="s">
        <v>20</v>
      </c>
      <c r="L120" s="20">
        <v>1</v>
      </c>
      <c r="M120" s="34">
        <v>9580645</v>
      </c>
      <c r="N120" s="34">
        <f t="shared" si="8"/>
        <v>9580645</v>
      </c>
      <c r="O120" s="33" t="s">
        <v>21</v>
      </c>
      <c r="P120" s="20">
        <f t="shared" si="10"/>
        <v>91</v>
      </c>
      <c r="Q120" s="20">
        <f t="shared" si="9"/>
        <v>170</v>
      </c>
    </row>
    <row r="121" spans="1:17" ht="15" customHeight="1" x14ac:dyDescent="0.2">
      <c r="A121" s="20" t="s">
        <v>18</v>
      </c>
      <c r="B121" s="63" t="s">
        <v>601</v>
      </c>
      <c r="C121" s="20">
        <f t="shared" ref="C121:C122" si="33">C120+D121</f>
        <v>194</v>
      </c>
      <c r="D121" s="20">
        <v>1</v>
      </c>
      <c r="G121" s="32" t="s">
        <v>3003</v>
      </c>
      <c r="H121" s="20" t="s">
        <v>3161</v>
      </c>
      <c r="I121" s="20">
        <v>131</v>
      </c>
      <c r="J121" s="20">
        <v>5118</v>
      </c>
      <c r="K121" s="20" t="s">
        <v>20</v>
      </c>
      <c r="L121" s="20">
        <v>1</v>
      </c>
      <c r="M121" s="34">
        <v>12267063</v>
      </c>
      <c r="N121" s="34">
        <f t="shared" ref="N121:N122" si="34">L121*M121</f>
        <v>12267063</v>
      </c>
      <c r="O121" s="33" t="s">
        <v>21</v>
      </c>
      <c r="P121" s="20">
        <f t="shared" ref="P121:P122" si="35">P120+D121</f>
        <v>92</v>
      </c>
      <c r="Q121" s="20">
        <f t="shared" ref="Q121:Q122" si="36">LEN(H121)</f>
        <v>36</v>
      </c>
    </row>
    <row r="122" spans="1:17" ht="15" customHeight="1" x14ac:dyDescent="0.2">
      <c r="A122" s="20" t="s">
        <v>2679</v>
      </c>
      <c r="B122" s="63" t="s">
        <v>601</v>
      </c>
      <c r="C122" s="20">
        <f t="shared" si="33"/>
        <v>195</v>
      </c>
      <c r="D122" s="20">
        <v>1</v>
      </c>
      <c r="G122" s="32" t="s">
        <v>3003</v>
      </c>
      <c r="H122" s="20" t="s">
        <v>3162</v>
      </c>
      <c r="I122" s="20">
        <v>112111</v>
      </c>
      <c r="J122" s="20">
        <v>131</v>
      </c>
      <c r="K122" s="20" t="s">
        <v>20</v>
      </c>
      <c r="L122" s="20">
        <v>1</v>
      </c>
      <c r="M122" s="34">
        <v>12267063</v>
      </c>
      <c r="N122" s="34">
        <f t="shared" si="34"/>
        <v>12267063</v>
      </c>
      <c r="O122" s="33" t="s">
        <v>21</v>
      </c>
      <c r="P122" s="20">
        <f t="shared" si="35"/>
        <v>93</v>
      </c>
      <c r="Q122" s="20">
        <f t="shared" si="36"/>
        <v>41</v>
      </c>
    </row>
    <row r="123" spans="1:17" ht="15" customHeight="1" x14ac:dyDescent="0.2">
      <c r="A123" s="20" t="s">
        <v>2678</v>
      </c>
      <c r="B123" s="63" t="s">
        <v>601</v>
      </c>
      <c r="C123" s="20">
        <f t="shared" si="14"/>
        <v>196</v>
      </c>
      <c r="D123" s="20">
        <v>1</v>
      </c>
      <c r="G123" s="32" t="s">
        <v>275</v>
      </c>
      <c r="H123" s="20" t="s">
        <v>3017</v>
      </c>
      <c r="I123" s="20">
        <v>1111</v>
      </c>
      <c r="J123" s="20">
        <v>112111</v>
      </c>
      <c r="K123" s="20" t="s">
        <v>20</v>
      </c>
      <c r="L123" s="20">
        <v>1</v>
      </c>
      <c r="M123" s="34">
        <v>22000000</v>
      </c>
      <c r="N123" s="34">
        <f t="shared" si="8"/>
        <v>22000000</v>
      </c>
      <c r="O123" s="33" t="s">
        <v>21</v>
      </c>
      <c r="P123" s="20">
        <f t="shared" si="10"/>
        <v>94</v>
      </c>
      <c r="Q123" s="20">
        <f t="shared" si="9"/>
        <v>40</v>
      </c>
    </row>
    <row r="124" spans="1:17" ht="15" customHeight="1" x14ac:dyDescent="0.2">
      <c r="A124" s="20" t="s">
        <v>2679</v>
      </c>
      <c r="B124" s="63" t="s">
        <v>514</v>
      </c>
      <c r="C124" s="20">
        <f t="shared" si="14"/>
        <v>197</v>
      </c>
      <c r="D124" s="20">
        <v>1</v>
      </c>
      <c r="G124" s="32" t="s">
        <v>2142</v>
      </c>
      <c r="H124" s="20" t="s">
        <v>4963</v>
      </c>
      <c r="I124" s="20">
        <v>112111</v>
      </c>
      <c r="J124" s="20">
        <v>131</v>
      </c>
      <c r="K124" s="20" t="s">
        <v>20</v>
      </c>
      <c r="L124" s="20">
        <v>1</v>
      </c>
      <c r="M124" s="34">
        <v>9580645</v>
      </c>
      <c r="N124" s="34">
        <f t="shared" si="8"/>
        <v>9580645</v>
      </c>
      <c r="O124" s="33" t="s">
        <v>21</v>
      </c>
      <c r="P124" s="20">
        <f t="shared" si="10"/>
        <v>95</v>
      </c>
      <c r="Q124" s="20">
        <f t="shared" si="9"/>
        <v>170</v>
      </c>
    </row>
    <row r="125" spans="1:17" ht="15" customHeight="1" x14ac:dyDescent="0.2">
      <c r="A125" s="20" t="s">
        <v>2679</v>
      </c>
      <c r="B125" s="63" t="s">
        <v>588</v>
      </c>
      <c r="C125" s="20">
        <f t="shared" si="14"/>
        <v>198</v>
      </c>
      <c r="D125" s="20">
        <v>1</v>
      </c>
      <c r="G125" s="32" t="s">
        <v>60</v>
      </c>
      <c r="H125" s="20" t="s">
        <v>4948</v>
      </c>
      <c r="I125" s="20">
        <v>112111</v>
      </c>
      <c r="J125" s="20">
        <v>131</v>
      </c>
      <c r="K125" s="20" t="s">
        <v>20</v>
      </c>
      <c r="L125" s="20">
        <v>1</v>
      </c>
      <c r="M125" s="34">
        <v>10112903</v>
      </c>
      <c r="N125" s="34">
        <f t="shared" si="8"/>
        <v>10112903</v>
      </c>
      <c r="O125" s="33" t="s">
        <v>21</v>
      </c>
      <c r="P125" s="20">
        <f t="shared" si="10"/>
        <v>96</v>
      </c>
      <c r="Q125" s="20">
        <f t="shared" si="9"/>
        <v>155</v>
      </c>
    </row>
    <row r="126" spans="1:17" ht="15" customHeight="1" x14ac:dyDescent="0.2">
      <c r="A126" s="20" t="s">
        <v>2679</v>
      </c>
      <c r="B126" s="63" t="s">
        <v>379</v>
      </c>
      <c r="C126" s="20">
        <f t="shared" si="14"/>
        <v>199</v>
      </c>
      <c r="D126" s="20">
        <v>1</v>
      </c>
      <c r="G126" s="32" t="s">
        <v>3263</v>
      </c>
      <c r="H126" s="20" t="s">
        <v>2687</v>
      </c>
      <c r="I126" s="20">
        <v>112111</v>
      </c>
      <c r="J126" s="20">
        <v>5154</v>
      </c>
      <c r="K126" s="20" t="s">
        <v>20</v>
      </c>
      <c r="L126" s="20">
        <v>1</v>
      </c>
      <c r="M126" s="34">
        <v>1917</v>
      </c>
      <c r="N126" s="34">
        <f t="shared" si="8"/>
        <v>1917</v>
      </c>
      <c r="O126" s="33" t="s">
        <v>21</v>
      </c>
      <c r="P126" s="20">
        <f t="shared" si="10"/>
        <v>97</v>
      </c>
      <c r="Q126" s="20">
        <f t="shared" si="9"/>
        <v>12</v>
      </c>
    </row>
    <row r="127" spans="1:17" ht="15" customHeight="1" x14ac:dyDescent="0.2">
      <c r="A127" s="20" t="s">
        <v>2678</v>
      </c>
      <c r="B127" s="63" t="s">
        <v>379</v>
      </c>
      <c r="C127" s="20">
        <f t="shared" si="14"/>
        <v>200</v>
      </c>
      <c r="D127" s="20">
        <v>1</v>
      </c>
      <c r="G127" s="32" t="s">
        <v>3011</v>
      </c>
      <c r="H127" s="20" t="s">
        <v>2684</v>
      </c>
      <c r="I127" s="20">
        <v>3383</v>
      </c>
      <c r="J127" s="20">
        <v>112111</v>
      </c>
      <c r="K127" s="20" t="s">
        <v>20</v>
      </c>
      <c r="L127" s="20">
        <v>1</v>
      </c>
      <c r="M127" s="34">
        <v>690300</v>
      </c>
      <c r="N127" s="34">
        <f t="shared" si="8"/>
        <v>690300</v>
      </c>
      <c r="O127" s="33" t="s">
        <v>21</v>
      </c>
      <c r="P127" s="20">
        <f t="shared" si="10"/>
        <v>98</v>
      </c>
      <c r="Q127" s="20">
        <f t="shared" si="9"/>
        <v>34</v>
      </c>
    </row>
    <row r="128" spans="1:17" ht="15" customHeight="1" x14ac:dyDescent="0.2">
      <c r="A128" s="20" t="s">
        <v>18</v>
      </c>
      <c r="B128" s="63" t="s">
        <v>379</v>
      </c>
      <c r="C128" s="20">
        <f t="shared" ref="C128:C129" si="37">C127+D128</f>
        <v>201</v>
      </c>
      <c r="D128" s="20">
        <v>1</v>
      </c>
      <c r="G128" s="32" t="s">
        <v>3003</v>
      </c>
      <c r="H128" s="20" t="s">
        <v>3161</v>
      </c>
      <c r="I128" s="20">
        <v>131</v>
      </c>
      <c r="J128" s="20">
        <v>5118</v>
      </c>
      <c r="K128" s="20" t="s">
        <v>20</v>
      </c>
      <c r="L128" s="20">
        <v>1</v>
      </c>
      <c r="M128" s="34">
        <v>3363830</v>
      </c>
      <c r="N128" s="34">
        <f t="shared" si="8"/>
        <v>3363830</v>
      </c>
      <c r="O128" s="33" t="s">
        <v>21</v>
      </c>
      <c r="P128" s="20">
        <f t="shared" ref="P128:P129" si="38">P127+D128</f>
        <v>99</v>
      </c>
      <c r="Q128" s="20">
        <f t="shared" ref="Q128:Q129" si="39">LEN(H128)</f>
        <v>36</v>
      </c>
    </row>
    <row r="129" spans="1:17" ht="15" customHeight="1" x14ac:dyDescent="0.2">
      <c r="A129" s="20" t="s">
        <v>2679</v>
      </c>
      <c r="B129" s="63" t="s">
        <v>379</v>
      </c>
      <c r="C129" s="20">
        <f t="shared" si="37"/>
        <v>202</v>
      </c>
      <c r="D129" s="20">
        <v>1</v>
      </c>
      <c r="G129" s="32" t="s">
        <v>3003</v>
      </c>
      <c r="H129" s="20" t="s">
        <v>3162</v>
      </c>
      <c r="I129" s="20">
        <v>112111</v>
      </c>
      <c r="J129" s="20">
        <v>131</v>
      </c>
      <c r="K129" s="20" t="s">
        <v>20</v>
      </c>
      <c r="L129" s="20">
        <v>1</v>
      </c>
      <c r="M129" s="34">
        <v>3363830</v>
      </c>
      <c r="N129" s="34">
        <f t="shared" si="8"/>
        <v>3363830</v>
      </c>
      <c r="O129" s="33" t="s">
        <v>21</v>
      </c>
      <c r="P129" s="20">
        <f t="shared" si="38"/>
        <v>100</v>
      </c>
      <c r="Q129" s="20">
        <f t="shared" si="39"/>
        <v>41</v>
      </c>
    </row>
    <row r="130" spans="1:17" ht="15" customHeight="1" x14ac:dyDescent="0.2">
      <c r="A130" s="20" t="s">
        <v>2678</v>
      </c>
      <c r="B130" s="63" t="s">
        <v>523</v>
      </c>
      <c r="C130" s="20">
        <f t="shared" si="14"/>
        <v>203</v>
      </c>
      <c r="D130" s="20">
        <v>1</v>
      </c>
      <c r="G130" s="32" t="s">
        <v>275</v>
      </c>
      <c r="H130" s="20" t="s">
        <v>3017</v>
      </c>
      <c r="I130" s="20">
        <v>1111</v>
      </c>
      <c r="J130" s="20">
        <v>112111</v>
      </c>
      <c r="K130" s="20" t="s">
        <v>20</v>
      </c>
      <c r="L130" s="20">
        <v>1</v>
      </c>
      <c r="M130" s="34">
        <v>20000000</v>
      </c>
      <c r="N130" s="34">
        <f t="shared" si="8"/>
        <v>20000000</v>
      </c>
      <c r="O130" s="33" t="s">
        <v>21</v>
      </c>
      <c r="P130" s="20">
        <f t="shared" si="10"/>
        <v>101</v>
      </c>
      <c r="Q130" s="20">
        <f t="shared" si="9"/>
        <v>40</v>
      </c>
    </row>
    <row r="131" spans="1:17" ht="15" customHeight="1" x14ac:dyDescent="0.2">
      <c r="A131" s="20" t="s">
        <v>18</v>
      </c>
      <c r="B131" s="63" t="s">
        <v>523</v>
      </c>
      <c r="C131" s="20">
        <f t="shared" si="14"/>
        <v>204</v>
      </c>
      <c r="D131" s="20">
        <v>1</v>
      </c>
      <c r="G131" s="32" t="s">
        <v>4949</v>
      </c>
      <c r="H131" s="20" t="s">
        <v>4849</v>
      </c>
      <c r="I131" s="20">
        <v>6425</v>
      </c>
      <c r="J131" s="20">
        <v>333822</v>
      </c>
      <c r="K131" s="20" t="s">
        <v>20</v>
      </c>
      <c r="L131" s="20">
        <v>1</v>
      </c>
      <c r="M131" s="34">
        <v>812530</v>
      </c>
      <c r="N131" s="34">
        <f t="shared" si="8"/>
        <v>812530</v>
      </c>
      <c r="O131" s="33" t="s">
        <v>21</v>
      </c>
      <c r="P131" s="20">
        <f t="shared" ref="P131:P133" si="40">P130+D131</f>
        <v>102</v>
      </c>
      <c r="Q131" s="20">
        <f t="shared" ref="Q131:Q133" si="41">LEN(H131)</f>
        <v>24</v>
      </c>
    </row>
    <row r="132" spans="1:17" ht="15" customHeight="1" x14ac:dyDescent="0.2">
      <c r="A132" s="20" t="s">
        <v>18</v>
      </c>
      <c r="B132" s="63" t="s">
        <v>523</v>
      </c>
      <c r="C132" s="20">
        <f t="shared" si="14"/>
        <v>204</v>
      </c>
      <c r="D132" s="20">
        <v>0</v>
      </c>
      <c r="G132" s="32" t="s">
        <v>4949</v>
      </c>
      <c r="H132" s="20" t="s">
        <v>4849</v>
      </c>
      <c r="I132" s="20">
        <v>8118</v>
      </c>
      <c r="J132" s="20">
        <v>333822</v>
      </c>
      <c r="K132" s="20" t="s">
        <v>20</v>
      </c>
      <c r="L132" s="20">
        <v>1</v>
      </c>
      <c r="M132" s="34">
        <v>136196</v>
      </c>
      <c r="N132" s="34">
        <f t="shared" si="8"/>
        <v>136196</v>
      </c>
      <c r="O132" s="33" t="s">
        <v>21</v>
      </c>
      <c r="P132" s="20">
        <f t="shared" si="40"/>
        <v>102</v>
      </c>
      <c r="Q132" s="20">
        <f t="shared" si="41"/>
        <v>24</v>
      </c>
    </row>
    <row r="133" spans="1:17" ht="15" customHeight="1" x14ac:dyDescent="0.2">
      <c r="A133" s="20" t="s">
        <v>2678</v>
      </c>
      <c r="B133" s="63" t="s">
        <v>523</v>
      </c>
      <c r="C133" s="20">
        <f t="shared" si="14"/>
        <v>205</v>
      </c>
      <c r="D133" s="20">
        <v>1</v>
      </c>
      <c r="G133" s="32" t="s">
        <v>4949</v>
      </c>
      <c r="H133" s="20" t="s">
        <v>3529</v>
      </c>
      <c r="I133" s="20">
        <v>333822</v>
      </c>
      <c r="J133" s="20">
        <v>112111</v>
      </c>
      <c r="K133" s="20" t="s">
        <v>20</v>
      </c>
      <c r="L133" s="20">
        <v>1</v>
      </c>
      <c r="M133" s="34">
        <v>812530</v>
      </c>
      <c r="N133" s="34">
        <f t="shared" si="8"/>
        <v>812530</v>
      </c>
      <c r="O133" s="33" t="s">
        <v>21</v>
      </c>
      <c r="P133" s="20">
        <f t="shared" si="40"/>
        <v>103</v>
      </c>
      <c r="Q133" s="20">
        <f t="shared" si="41"/>
        <v>28</v>
      </c>
    </row>
    <row r="134" spans="1:17" ht="15" customHeight="1" x14ac:dyDescent="0.2">
      <c r="A134" s="20" t="s">
        <v>2678</v>
      </c>
      <c r="B134" s="63" t="s">
        <v>523</v>
      </c>
      <c r="C134" s="20">
        <f t="shared" si="14"/>
        <v>206</v>
      </c>
      <c r="D134" s="20">
        <v>1</v>
      </c>
      <c r="G134" s="32" t="s">
        <v>4949</v>
      </c>
      <c r="H134" s="20" t="s">
        <v>3529</v>
      </c>
      <c r="I134" s="20">
        <v>333822</v>
      </c>
      <c r="J134" s="20">
        <v>112111</v>
      </c>
      <c r="K134" s="20" t="s">
        <v>20</v>
      </c>
      <c r="L134" s="20">
        <v>1</v>
      </c>
      <c r="M134" s="34">
        <v>136196</v>
      </c>
      <c r="N134" s="34">
        <f t="shared" si="8"/>
        <v>136196</v>
      </c>
      <c r="O134" s="33" t="s">
        <v>21</v>
      </c>
      <c r="P134" s="20">
        <f t="shared" si="10"/>
        <v>104</v>
      </c>
      <c r="Q134" s="20">
        <f t="shared" si="9"/>
        <v>28</v>
      </c>
    </row>
    <row r="135" spans="1:17" ht="15" customHeight="1" x14ac:dyDescent="0.2">
      <c r="A135" s="20" t="s">
        <v>2679</v>
      </c>
      <c r="B135" s="63" t="s">
        <v>454</v>
      </c>
      <c r="C135" s="20">
        <f t="shared" si="14"/>
        <v>207</v>
      </c>
      <c r="D135" s="20">
        <v>1</v>
      </c>
      <c r="G135" s="32" t="s">
        <v>118</v>
      </c>
      <c r="H135" s="20" t="s">
        <v>4947</v>
      </c>
      <c r="I135" s="20">
        <v>112111</v>
      </c>
      <c r="J135" s="20">
        <v>131</v>
      </c>
      <c r="K135" s="20" t="s">
        <v>20</v>
      </c>
      <c r="L135" s="20">
        <v>1</v>
      </c>
      <c r="M135" s="34">
        <v>9580645</v>
      </c>
      <c r="N135" s="34">
        <f t="shared" si="8"/>
        <v>9580645</v>
      </c>
      <c r="O135" s="33" t="s">
        <v>21</v>
      </c>
      <c r="P135" s="20">
        <f t="shared" si="10"/>
        <v>105</v>
      </c>
      <c r="Q135" s="20">
        <f t="shared" si="9"/>
        <v>184</v>
      </c>
    </row>
    <row r="136" spans="1:17" ht="15" customHeight="1" x14ac:dyDescent="0.2">
      <c r="A136" s="20" t="s">
        <v>2679</v>
      </c>
      <c r="B136" s="63" t="s">
        <v>454</v>
      </c>
      <c r="C136" s="20">
        <f t="shared" si="14"/>
        <v>208</v>
      </c>
      <c r="D136" s="20">
        <v>1</v>
      </c>
      <c r="G136" s="32" t="s">
        <v>289</v>
      </c>
      <c r="H136" s="20" t="s">
        <v>4956</v>
      </c>
      <c r="I136" s="20">
        <v>112111</v>
      </c>
      <c r="J136" s="20">
        <v>131</v>
      </c>
      <c r="K136" s="20" t="s">
        <v>20</v>
      </c>
      <c r="L136" s="20">
        <v>1</v>
      </c>
      <c r="M136" s="34">
        <v>9048387</v>
      </c>
      <c r="N136" s="34">
        <f t="shared" si="8"/>
        <v>9048387</v>
      </c>
      <c r="O136" s="33" t="s">
        <v>21</v>
      </c>
      <c r="P136" s="20">
        <f t="shared" si="10"/>
        <v>106</v>
      </c>
      <c r="Q136" s="20">
        <f t="shared" si="9"/>
        <v>164</v>
      </c>
    </row>
    <row r="137" spans="1:17" ht="15" customHeight="1" x14ac:dyDescent="0.2">
      <c r="A137" s="20" t="s">
        <v>2678</v>
      </c>
      <c r="B137" s="63" t="s">
        <v>2044</v>
      </c>
      <c r="C137" s="20">
        <f t="shared" si="14"/>
        <v>209</v>
      </c>
      <c r="D137" s="20">
        <v>1</v>
      </c>
      <c r="G137" s="32" t="s">
        <v>275</v>
      </c>
      <c r="H137" s="20" t="s">
        <v>3017</v>
      </c>
      <c r="I137" s="20">
        <v>1111</v>
      </c>
      <c r="J137" s="20">
        <v>112111</v>
      </c>
      <c r="K137" s="20" t="s">
        <v>20</v>
      </c>
      <c r="L137" s="20">
        <v>1</v>
      </c>
      <c r="M137" s="34">
        <v>20000000</v>
      </c>
      <c r="N137" s="34">
        <f t="shared" si="8"/>
        <v>20000000</v>
      </c>
      <c r="O137" s="33" t="s">
        <v>21</v>
      </c>
      <c r="P137" s="20">
        <f t="shared" si="10"/>
        <v>107</v>
      </c>
      <c r="Q137" s="20">
        <f t="shared" si="9"/>
        <v>40</v>
      </c>
    </row>
    <row r="138" spans="1:17" ht="15" customHeight="1" x14ac:dyDescent="0.2">
      <c r="A138" s="20" t="s">
        <v>2679</v>
      </c>
      <c r="B138" s="63" t="s">
        <v>515</v>
      </c>
      <c r="C138" s="20">
        <f t="shared" si="14"/>
        <v>210</v>
      </c>
      <c r="D138" s="20">
        <v>1</v>
      </c>
      <c r="G138" s="32" t="s">
        <v>2143</v>
      </c>
      <c r="H138" s="20" t="s">
        <v>4954</v>
      </c>
      <c r="I138" s="20">
        <v>112111</v>
      </c>
      <c r="J138" s="20">
        <v>131</v>
      </c>
      <c r="K138" s="20" t="s">
        <v>20</v>
      </c>
      <c r="L138" s="20">
        <v>1</v>
      </c>
      <c r="M138" s="34">
        <v>21290323</v>
      </c>
      <c r="N138" s="34">
        <f t="shared" si="8"/>
        <v>21290323</v>
      </c>
      <c r="O138" s="33" t="s">
        <v>21</v>
      </c>
      <c r="P138" s="20">
        <f t="shared" si="10"/>
        <v>108</v>
      </c>
      <c r="Q138" s="20">
        <f t="shared" si="9"/>
        <v>111</v>
      </c>
    </row>
    <row r="139" spans="1:17" ht="15" customHeight="1" x14ac:dyDescent="0.2">
      <c r="A139" s="20" t="s">
        <v>2678</v>
      </c>
      <c r="B139" s="63" t="s">
        <v>515</v>
      </c>
      <c r="C139" s="20">
        <f t="shared" si="14"/>
        <v>211</v>
      </c>
      <c r="D139" s="20">
        <v>1</v>
      </c>
      <c r="G139" s="32" t="s">
        <v>275</v>
      </c>
      <c r="H139" s="20" t="s">
        <v>3017</v>
      </c>
      <c r="I139" s="20">
        <v>1111</v>
      </c>
      <c r="J139" s="20">
        <v>112111</v>
      </c>
      <c r="K139" s="20" t="s">
        <v>20</v>
      </c>
      <c r="L139" s="20">
        <v>1</v>
      </c>
      <c r="M139" s="34">
        <v>20000000</v>
      </c>
      <c r="N139" s="34">
        <f t="shared" si="8"/>
        <v>20000000</v>
      </c>
      <c r="O139" s="33" t="s">
        <v>21</v>
      </c>
      <c r="P139" s="20">
        <f t="shared" si="10"/>
        <v>109</v>
      </c>
      <c r="Q139" s="20">
        <f t="shared" si="9"/>
        <v>40</v>
      </c>
    </row>
    <row r="140" spans="1:17" ht="15" customHeight="1" x14ac:dyDescent="0.2">
      <c r="A140" s="20" t="s">
        <v>2679</v>
      </c>
      <c r="B140" s="63" t="s">
        <v>526</v>
      </c>
      <c r="C140" s="20">
        <f t="shared" si="14"/>
        <v>212</v>
      </c>
      <c r="D140" s="20">
        <v>1</v>
      </c>
      <c r="G140" s="32" t="s">
        <v>2136</v>
      </c>
      <c r="H140" s="20" t="s">
        <v>4955</v>
      </c>
      <c r="I140" s="20">
        <v>112111</v>
      </c>
      <c r="J140" s="20">
        <v>131</v>
      </c>
      <c r="K140" s="20" t="s">
        <v>20</v>
      </c>
      <c r="L140" s="20">
        <v>1</v>
      </c>
      <c r="M140" s="34">
        <v>15967742</v>
      </c>
      <c r="N140" s="34">
        <f t="shared" si="8"/>
        <v>15967742</v>
      </c>
      <c r="O140" s="33" t="s">
        <v>21</v>
      </c>
      <c r="P140" s="20">
        <f t="shared" si="10"/>
        <v>110</v>
      </c>
      <c r="Q140" s="20">
        <f t="shared" si="9"/>
        <v>156</v>
      </c>
    </row>
    <row r="141" spans="1:17" ht="15" customHeight="1" x14ac:dyDescent="0.2">
      <c r="A141" s="20" t="s">
        <v>2678</v>
      </c>
      <c r="B141" s="63" t="s">
        <v>526</v>
      </c>
      <c r="C141" s="20">
        <f t="shared" si="14"/>
        <v>213</v>
      </c>
      <c r="D141" s="20">
        <v>1</v>
      </c>
      <c r="G141" s="32" t="s">
        <v>275</v>
      </c>
      <c r="H141" s="20" t="s">
        <v>3017</v>
      </c>
      <c r="I141" s="20">
        <v>1111</v>
      </c>
      <c r="J141" s="20">
        <v>112111</v>
      </c>
      <c r="K141" s="20" t="s">
        <v>20</v>
      </c>
      <c r="L141" s="20">
        <v>1</v>
      </c>
      <c r="M141" s="34">
        <v>17000000</v>
      </c>
      <c r="N141" s="34">
        <f t="shared" si="8"/>
        <v>17000000</v>
      </c>
      <c r="O141" s="33" t="s">
        <v>21</v>
      </c>
      <c r="P141" s="20">
        <f t="shared" si="10"/>
        <v>111</v>
      </c>
      <c r="Q141" s="20">
        <f t="shared" si="9"/>
        <v>40</v>
      </c>
    </row>
    <row r="142" spans="1:17" ht="15" customHeight="1" x14ac:dyDescent="0.2">
      <c r="A142" s="20" t="s">
        <v>18</v>
      </c>
      <c r="B142" s="63" t="s">
        <v>380</v>
      </c>
      <c r="C142" s="20">
        <f t="shared" ref="C142:C143" si="42">C141+D142</f>
        <v>214</v>
      </c>
      <c r="D142" s="20">
        <v>1</v>
      </c>
      <c r="G142" s="32" t="s">
        <v>3003</v>
      </c>
      <c r="H142" s="20" t="s">
        <v>3161</v>
      </c>
      <c r="I142" s="20">
        <v>131</v>
      </c>
      <c r="J142" s="20">
        <v>5118</v>
      </c>
      <c r="K142" s="20" t="s">
        <v>20</v>
      </c>
      <c r="L142" s="20">
        <v>1</v>
      </c>
      <c r="M142" s="34">
        <v>6056096</v>
      </c>
      <c r="N142" s="34">
        <f t="shared" si="8"/>
        <v>6056096</v>
      </c>
      <c r="O142" s="33" t="s">
        <v>21</v>
      </c>
      <c r="P142" s="20">
        <f t="shared" ref="P142:P143" si="43">P141+D142</f>
        <v>112</v>
      </c>
      <c r="Q142" s="20">
        <f t="shared" ref="Q142:Q143" si="44">LEN(H142)</f>
        <v>36</v>
      </c>
    </row>
    <row r="143" spans="1:17" ht="15" customHeight="1" x14ac:dyDescent="0.2">
      <c r="A143" s="20" t="s">
        <v>2679</v>
      </c>
      <c r="B143" s="63" t="s">
        <v>380</v>
      </c>
      <c r="C143" s="20">
        <f t="shared" si="42"/>
        <v>215</v>
      </c>
      <c r="D143" s="20">
        <v>1</v>
      </c>
      <c r="G143" s="32" t="s">
        <v>3003</v>
      </c>
      <c r="H143" s="20" t="s">
        <v>3162</v>
      </c>
      <c r="I143" s="20">
        <v>112111</v>
      </c>
      <c r="J143" s="20">
        <v>131</v>
      </c>
      <c r="K143" s="20" t="s">
        <v>20</v>
      </c>
      <c r="L143" s="20">
        <v>1</v>
      </c>
      <c r="M143" s="34">
        <v>6056096</v>
      </c>
      <c r="N143" s="34">
        <f t="shared" si="8"/>
        <v>6056096</v>
      </c>
      <c r="O143" s="33" t="s">
        <v>21</v>
      </c>
      <c r="P143" s="20">
        <f t="shared" si="43"/>
        <v>113</v>
      </c>
      <c r="Q143" s="20">
        <f t="shared" si="44"/>
        <v>41</v>
      </c>
    </row>
    <row r="144" spans="1:17" ht="15" customHeight="1" x14ac:dyDescent="0.2">
      <c r="A144" s="20" t="s">
        <v>2678</v>
      </c>
      <c r="B144" s="63" t="s">
        <v>527</v>
      </c>
      <c r="C144" s="20">
        <f t="shared" si="14"/>
        <v>216</v>
      </c>
      <c r="D144" s="20">
        <v>1</v>
      </c>
      <c r="G144" s="32" t="s">
        <v>3011</v>
      </c>
      <c r="H144" s="20" t="s">
        <v>2685</v>
      </c>
      <c r="I144" s="20">
        <v>3383</v>
      </c>
      <c r="J144" s="20">
        <v>112111</v>
      </c>
      <c r="K144" s="20" t="s">
        <v>20</v>
      </c>
      <c r="L144" s="20">
        <v>1</v>
      </c>
      <c r="M144" s="34">
        <v>690300</v>
      </c>
      <c r="N144" s="34">
        <f t="shared" si="8"/>
        <v>690300</v>
      </c>
      <c r="O144" s="33" t="s">
        <v>21</v>
      </c>
      <c r="P144" s="20">
        <f t="shared" si="10"/>
        <v>114</v>
      </c>
      <c r="Q144" s="20">
        <f t="shared" si="9"/>
        <v>34</v>
      </c>
    </row>
    <row r="145" spans="1:17" ht="15" customHeight="1" x14ac:dyDescent="0.2">
      <c r="A145" s="20" t="s">
        <v>2679</v>
      </c>
      <c r="B145" s="63" t="s">
        <v>527</v>
      </c>
      <c r="C145" s="20">
        <f t="shared" si="14"/>
        <v>217</v>
      </c>
      <c r="D145" s="20">
        <v>1</v>
      </c>
      <c r="G145" s="32" t="s">
        <v>118</v>
      </c>
      <c r="H145" s="20" t="s">
        <v>4953</v>
      </c>
      <c r="I145" s="20">
        <v>112111</v>
      </c>
      <c r="J145" s="20">
        <v>131</v>
      </c>
      <c r="K145" s="20" t="s">
        <v>20</v>
      </c>
      <c r="L145" s="20">
        <v>1</v>
      </c>
      <c r="M145" s="34">
        <v>9580645</v>
      </c>
      <c r="N145" s="34">
        <f t="shared" si="8"/>
        <v>9580645</v>
      </c>
      <c r="O145" s="33" t="s">
        <v>21</v>
      </c>
      <c r="P145" s="20">
        <f t="shared" si="10"/>
        <v>115</v>
      </c>
      <c r="Q145" s="20">
        <f t="shared" si="9"/>
        <v>180</v>
      </c>
    </row>
    <row r="146" spans="1:17" ht="15" customHeight="1" x14ac:dyDescent="0.2">
      <c r="A146" s="20" t="s">
        <v>2678</v>
      </c>
      <c r="B146" s="63" t="s">
        <v>381</v>
      </c>
      <c r="C146" s="20">
        <f t="shared" si="14"/>
        <v>218</v>
      </c>
      <c r="D146" s="20">
        <v>1</v>
      </c>
      <c r="G146" s="32" t="s">
        <v>275</v>
      </c>
      <c r="H146" s="20" t="s">
        <v>3017</v>
      </c>
      <c r="I146" s="20">
        <v>1111</v>
      </c>
      <c r="J146" s="20">
        <v>112111</v>
      </c>
      <c r="K146" s="20" t="s">
        <v>20</v>
      </c>
      <c r="L146" s="20">
        <v>1</v>
      </c>
      <c r="M146" s="34">
        <v>14000000</v>
      </c>
      <c r="N146" s="34">
        <f t="shared" si="8"/>
        <v>14000000</v>
      </c>
      <c r="O146" s="33" t="s">
        <v>21</v>
      </c>
      <c r="P146" s="20">
        <f t="shared" si="10"/>
        <v>116</v>
      </c>
      <c r="Q146" s="20">
        <f t="shared" si="9"/>
        <v>40</v>
      </c>
    </row>
    <row r="147" spans="1:17" ht="15" customHeight="1" x14ac:dyDescent="0.2">
      <c r="A147" s="20" t="s">
        <v>2679</v>
      </c>
      <c r="B147" s="63" t="s">
        <v>603</v>
      </c>
      <c r="C147" s="20">
        <f t="shared" si="14"/>
        <v>219</v>
      </c>
      <c r="D147" s="20">
        <v>1</v>
      </c>
      <c r="G147" s="32" t="s">
        <v>2144</v>
      </c>
      <c r="H147" s="20" t="s">
        <v>4965</v>
      </c>
      <c r="I147" s="20">
        <v>112111</v>
      </c>
      <c r="J147" s="20">
        <v>131</v>
      </c>
      <c r="K147" s="20" t="s">
        <v>20</v>
      </c>
      <c r="L147" s="20">
        <v>1</v>
      </c>
      <c r="M147" s="34">
        <v>9580654</v>
      </c>
      <c r="N147" s="34">
        <f t="shared" si="8"/>
        <v>9580654</v>
      </c>
      <c r="O147" s="33" t="s">
        <v>21</v>
      </c>
      <c r="P147" s="20">
        <f t="shared" si="10"/>
        <v>117</v>
      </c>
      <c r="Q147" s="20">
        <f t="shared" si="9"/>
        <v>156</v>
      </c>
    </row>
    <row r="148" spans="1:17" ht="15" customHeight="1" x14ac:dyDescent="0.2">
      <c r="A148" s="20" t="s">
        <v>2678</v>
      </c>
      <c r="B148" s="63" t="s">
        <v>2043</v>
      </c>
      <c r="C148" s="20">
        <f t="shared" si="14"/>
        <v>220</v>
      </c>
      <c r="D148" s="20">
        <v>1</v>
      </c>
      <c r="G148" s="32" t="s">
        <v>275</v>
      </c>
      <c r="H148" s="20" t="s">
        <v>3017</v>
      </c>
      <c r="I148" s="20">
        <v>1111</v>
      </c>
      <c r="J148" s="20">
        <v>112111</v>
      </c>
      <c r="K148" s="20" t="s">
        <v>20</v>
      </c>
      <c r="L148" s="20">
        <v>1</v>
      </c>
      <c r="M148" s="34">
        <v>10000000</v>
      </c>
      <c r="N148" s="34">
        <f t="shared" si="8"/>
        <v>10000000</v>
      </c>
      <c r="O148" s="33" t="s">
        <v>21</v>
      </c>
      <c r="P148" s="20">
        <f t="shared" si="10"/>
        <v>118</v>
      </c>
      <c r="Q148" s="20">
        <f t="shared" si="9"/>
        <v>40</v>
      </c>
    </row>
    <row r="149" spans="1:17" ht="15" customHeight="1" x14ac:dyDescent="0.2">
      <c r="A149" s="20" t="s">
        <v>2679</v>
      </c>
      <c r="B149" s="63" t="s">
        <v>604</v>
      </c>
      <c r="C149" s="20">
        <f t="shared" si="14"/>
        <v>221</v>
      </c>
      <c r="D149" s="20">
        <v>1</v>
      </c>
      <c r="G149" s="32" t="s">
        <v>90</v>
      </c>
      <c r="H149" s="20" t="s">
        <v>4966</v>
      </c>
      <c r="I149" s="20">
        <v>112111</v>
      </c>
      <c r="J149" s="20">
        <v>131</v>
      </c>
      <c r="K149" s="20" t="s">
        <v>20</v>
      </c>
      <c r="L149" s="20">
        <v>1</v>
      </c>
      <c r="M149" s="34">
        <v>10645161</v>
      </c>
      <c r="N149" s="34">
        <f t="shared" ref="N149:N180" si="45">L149*M149</f>
        <v>10645161</v>
      </c>
      <c r="O149" s="33" t="s">
        <v>21</v>
      </c>
      <c r="P149" s="20">
        <f t="shared" si="10"/>
        <v>119</v>
      </c>
      <c r="Q149" s="20">
        <f t="shared" ref="Q149:Q155" si="46">LEN(H149)</f>
        <v>174</v>
      </c>
    </row>
    <row r="150" spans="1:17" ht="15" customHeight="1" x14ac:dyDescent="0.2">
      <c r="A150" s="20" t="s">
        <v>2678</v>
      </c>
      <c r="B150" s="63" t="s">
        <v>2561</v>
      </c>
      <c r="C150" s="20">
        <f t="shared" si="14"/>
        <v>222</v>
      </c>
      <c r="D150" s="20">
        <v>1</v>
      </c>
      <c r="G150" s="32" t="s">
        <v>275</v>
      </c>
      <c r="H150" s="20" t="s">
        <v>3017</v>
      </c>
      <c r="I150" s="20">
        <v>1111</v>
      </c>
      <c r="J150" s="20">
        <v>112111</v>
      </c>
      <c r="K150" s="20" t="s">
        <v>20</v>
      </c>
      <c r="L150" s="20">
        <v>1</v>
      </c>
      <c r="M150" s="34">
        <v>10000000</v>
      </c>
      <c r="N150" s="34">
        <f t="shared" si="45"/>
        <v>10000000</v>
      </c>
      <c r="O150" s="33" t="s">
        <v>21</v>
      </c>
      <c r="P150" s="20">
        <f t="shared" ref="P150:P155" si="47">P149+D150</f>
        <v>120</v>
      </c>
      <c r="Q150" s="20">
        <f t="shared" si="46"/>
        <v>40</v>
      </c>
    </row>
    <row r="151" spans="1:17" ht="15" customHeight="1" x14ac:dyDescent="0.2">
      <c r="A151" s="20" t="s">
        <v>18</v>
      </c>
      <c r="B151" s="63" t="s">
        <v>2504</v>
      </c>
      <c r="C151" s="20">
        <f t="shared" ref="C151:C152" si="48">C150+D151</f>
        <v>223</v>
      </c>
      <c r="D151" s="20">
        <v>1</v>
      </c>
      <c r="G151" s="32" t="s">
        <v>3003</v>
      </c>
      <c r="H151" s="20" t="s">
        <v>3161</v>
      </c>
      <c r="I151" s="20">
        <v>131</v>
      </c>
      <c r="J151" s="20">
        <v>5118</v>
      </c>
      <c r="K151" s="20" t="s">
        <v>20</v>
      </c>
      <c r="L151" s="20">
        <v>1</v>
      </c>
      <c r="M151" s="34">
        <v>6302990</v>
      </c>
      <c r="N151" s="34">
        <f t="shared" si="45"/>
        <v>6302990</v>
      </c>
      <c r="O151" s="33" t="s">
        <v>21</v>
      </c>
      <c r="P151" s="20">
        <f t="shared" ref="P151:P152" si="49">P150+D151</f>
        <v>121</v>
      </c>
      <c r="Q151" s="20">
        <f t="shared" ref="Q151:Q152" si="50">LEN(H151)</f>
        <v>36</v>
      </c>
    </row>
    <row r="152" spans="1:17" ht="15" customHeight="1" x14ac:dyDescent="0.2">
      <c r="A152" s="20" t="s">
        <v>2679</v>
      </c>
      <c r="B152" s="63" t="s">
        <v>2504</v>
      </c>
      <c r="C152" s="20">
        <f t="shared" si="48"/>
        <v>224</v>
      </c>
      <c r="D152" s="20">
        <v>1</v>
      </c>
      <c r="G152" s="32" t="s">
        <v>3003</v>
      </c>
      <c r="H152" s="20" t="s">
        <v>3162</v>
      </c>
      <c r="I152" s="20">
        <v>112111</v>
      </c>
      <c r="J152" s="20">
        <v>131</v>
      </c>
      <c r="K152" s="20" t="s">
        <v>20</v>
      </c>
      <c r="L152" s="20">
        <v>1</v>
      </c>
      <c r="M152" s="34">
        <v>6302990</v>
      </c>
      <c r="N152" s="34">
        <f t="shared" si="45"/>
        <v>6302990</v>
      </c>
      <c r="O152" s="33" t="s">
        <v>21</v>
      </c>
      <c r="P152" s="20">
        <f t="shared" si="49"/>
        <v>122</v>
      </c>
      <c r="Q152" s="20">
        <f t="shared" si="50"/>
        <v>41</v>
      </c>
    </row>
    <row r="153" spans="1:17" ht="15" customHeight="1" x14ac:dyDescent="0.2">
      <c r="A153" s="20" t="s">
        <v>2678</v>
      </c>
      <c r="B153" s="63" t="s">
        <v>2504</v>
      </c>
      <c r="C153" s="20">
        <f t="shared" si="14"/>
        <v>225</v>
      </c>
      <c r="D153" s="20">
        <v>1</v>
      </c>
      <c r="G153" s="32" t="s">
        <v>275</v>
      </c>
      <c r="H153" s="20" t="s">
        <v>3017</v>
      </c>
      <c r="I153" s="20">
        <v>1111</v>
      </c>
      <c r="J153" s="20">
        <v>112111</v>
      </c>
      <c r="K153" s="20" t="s">
        <v>20</v>
      </c>
      <c r="L153" s="20">
        <v>1</v>
      </c>
      <c r="M153" s="34">
        <v>6000000</v>
      </c>
      <c r="N153" s="34">
        <f t="shared" si="45"/>
        <v>6000000</v>
      </c>
      <c r="O153" s="33" t="s">
        <v>21</v>
      </c>
      <c r="P153" s="20">
        <f t="shared" si="47"/>
        <v>123</v>
      </c>
      <c r="Q153" s="20">
        <f t="shared" si="46"/>
        <v>40</v>
      </c>
    </row>
    <row r="154" spans="1:17" ht="15" customHeight="1" x14ac:dyDescent="0.2">
      <c r="A154" s="20" t="s">
        <v>2679</v>
      </c>
      <c r="B154" s="63" t="s">
        <v>2513</v>
      </c>
      <c r="C154" s="20">
        <f t="shared" ref="C154:C180" si="51">C153+D154</f>
        <v>226</v>
      </c>
      <c r="D154" s="20">
        <v>1</v>
      </c>
      <c r="G154" s="32" t="s">
        <v>3263</v>
      </c>
      <c r="H154" s="20" t="s">
        <v>2687</v>
      </c>
      <c r="I154" s="20">
        <v>112111</v>
      </c>
      <c r="J154" s="20">
        <v>5154</v>
      </c>
      <c r="K154" s="20" t="s">
        <v>20</v>
      </c>
      <c r="L154" s="20">
        <v>1</v>
      </c>
      <c r="M154" s="34">
        <v>1953</v>
      </c>
      <c r="N154" s="34">
        <f t="shared" si="45"/>
        <v>1953</v>
      </c>
      <c r="O154" s="33" t="s">
        <v>21</v>
      </c>
      <c r="P154" s="20">
        <f t="shared" si="47"/>
        <v>124</v>
      </c>
      <c r="Q154" s="20">
        <f t="shared" si="46"/>
        <v>12</v>
      </c>
    </row>
    <row r="155" spans="1:17" ht="15" customHeight="1" x14ac:dyDescent="0.2">
      <c r="A155" s="20" t="s">
        <v>2679</v>
      </c>
      <c r="B155" s="63" t="s">
        <v>2513</v>
      </c>
      <c r="C155" s="20">
        <f t="shared" si="51"/>
        <v>227</v>
      </c>
      <c r="D155" s="20">
        <v>1</v>
      </c>
      <c r="G155" s="32" t="s">
        <v>68</v>
      </c>
      <c r="H155" s="20" t="s">
        <v>4866</v>
      </c>
      <c r="I155" s="20">
        <v>112111</v>
      </c>
      <c r="J155" s="20">
        <v>131</v>
      </c>
      <c r="K155" s="20" t="s">
        <v>20</v>
      </c>
      <c r="L155" s="20">
        <v>1</v>
      </c>
      <c r="M155" s="34">
        <v>10112903</v>
      </c>
      <c r="N155" s="34">
        <f t="shared" si="45"/>
        <v>10112903</v>
      </c>
      <c r="O155" s="33" t="s">
        <v>21</v>
      </c>
      <c r="P155" s="20">
        <f t="shared" si="47"/>
        <v>125</v>
      </c>
      <c r="Q155" s="20">
        <f t="shared" si="46"/>
        <v>24</v>
      </c>
    </row>
    <row r="156" spans="1:17" ht="15" customHeight="1" x14ac:dyDescent="0.2">
      <c r="A156" s="20" t="s">
        <v>2719</v>
      </c>
      <c r="B156" s="63" t="s">
        <v>308</v>
      </c>
      <c r="C156" s="20">
        <f t="shared" si="51"/>
        <v>228</v>
      </c>
      <c r="D156" s="20">
        <v>1</v>
      </c>
      <c r="G156" s="32" t="s">
        <v>2131</v>
      </c>
      <c r="H156" s="20" t="s">
        <v>4968</v>
      </c>
      <c r="I156" s="20">
        <v>331</v>
      </c>
      <c r="J156" s="20">
        <v>1111</v>
      </c>
      <c r="K156" s="20" t="s">
        <v>20</v>
      </c>
      <c r="L156" s="20">
        <v>1</v>
      </c>
      <c r="M156" s="34">
        <v>428000</v>
      </c>
      <c r="N156" s="34">
        <f t="shared" si="45"/>
        <v>428000</v>
      </c>
      <c r="O156" s="20" t="s">
        <v>21</v>
      </c>
      <c r="P156" s="20">
        <f t="shared" ref="P156:P180" si="52">P155+D156</f>
        <v>126</v>
      </c>
      <c r="Q156" s="20">
        <f t="shared" ref="Q156:Q180" si="53">LEN(H156)</f>
        <v>49</v>
      </c>
    </row>
    <row r="157" spans="1:17" ht="15" customHeight="1" x14ac:dyDescent="0.2">
      <c r="A157" s="20" t="s">
        <v>2719</v>
      </c>
      <c r="B157" s="63" t="s">
        <v>309</v>
      </c>
      <c r="C157" s="20">
        <f t="shared" si="51"/>
        <v>229</v>
      </c>
      <c r="D157" s="20">
        <v>1</v>
      </c>
      <c r="G157" s="32" t="s">
        <v>37</v>
      </c>
      <c r="H157" s="20" t="s">
        <v>4969</v>
      </c>
      <c r="I157" s="20">
        <v>331</v>
      </c>
      <c r="J157" s="20">
        <v>1111</v>
      </c>
      <c r="K157" s="20" t="s">
        <v>20</v>
      </c>
      <c r="L157" s="20">
        <v>1</v>
      </c>
      <c r="M157" s="34">
        <v>3240000</v>
      </c>
      <c r="N157" s="34">
        <f t="shared" si="45"/>
        <v>3240000</v>
      </c>
      <c r="O157" s="20" t="s">
        <v>21</v>
      </c>
      <c r="P157" s="20">
        <f t="shared" si="52"/>
        <v>127</v>
      </c>
      <c r="Q157" s="20">
        <f t="shared" si="53"/>
        <v>53</v>
      </c>
    </row>
    <row r="158" spans="1:17" ht="15" customHeight="1" x14ac:dyDescent="0.2">
      <c r="A158" s="20" t="s">
        <v>2719</v>
      </c>
      <c r="B158" s="63" t="s">
        <v>309</v>
      </c>
      <c r="C158" s="20">
        <f t="shared" si="51"/>
        <v>230</v>
      </c>
      <c r="D158" s="20">
        <v>1</v>
      </c>
      <c r="G158" s="32" t="s">
        <v>274</v>
      </c>
      <c r="H158" s="20" t="s">
        <v>4970</v>
      </c>
      <c r="I158" s="20">
        <v>331</v>
      </c>
      <c r="J158" s="20">
        <v>1111</v>
      </c>
      <c r="K158" s="20" t="s">
        <v>20</v>
      </c>
      <c r="L158" s="20">
        <v>1</v>
      </c>
      <c r="M158" s="34">
        <v>422828</v>
      </c>
      <c r="N158" s="34">
        <f t="shared" si="45"/>
        <v>422828</v>
      </c>
      <c r="O158" s="20" t="s">
        <v>21</v>
      </c>
      <c r="P158" s="20">
        <f t="shared" si="52"/>
        <v>128</v>
      </c>
      <c r="Q158" s="20">
        <f t="shared" si="53"/>
        <v>56</v>
      </c>
    </row>
    <row r="159" spans="1:17" ht="15" customHeight="1" x14ac:dyDescent="0.2">
      <c r="A159" s="20" t="s">
        <v>2719</v>
      </c>
      <c r="B159" s="63" t="s">
        <v>310</v>
      </c>
      <c r="C159" s="20">
        <f t="shared" si="51"/>
        <v>231</v>
      </c>
      <c r="D159" s="20">
        <v>1</v>
      </c>
      <c r="G159" s="32" t="s">
        <v>2132</v>
      </c>
      <c r="H159" s="20" t="s">
        <v>4971</v>
      </c>
      <c r="I159" s="20">
        <v>331</v>
      </c>
      <c r="J159" s="20">
        <v>1111</v>
      </c>
      <c r="K159" s="20" t="s">
        <v>20</v>
      </c>
      <c r="L159" s="20">
        <v>1</v>
      </c>
      <c r="M159" s="34">
        <v>404950</v>
      </c>
      <c r="N159" s="34">
        <f t="shared" si="45"/>
        <v>404950</v>
      </c>
      <c r="O159" s="20" t="s">
        <v>21</v>
      </c>
      <c r="P159" s="20">
        <f t="shared" si="52"/>
        <v>129</v>
      </c>
      <c r="Q159" s="20">
        <f t="shared" si="53"/>
        <v>46</v>
      </c>
    </row>
    <row r="160" spans="1:17" ht="15" customHeight="1" x14ac:dyDescent="0.2">
      <c r="A160" s="20" t="s">
        <v>2719</v>
      </c>
      <c r="B160" s="63" t="s">
        <v>868</v>
      </c>
      <c r="C160" s="20">
        <f t="shared" si="51"/>
        <v>232</v>
      </c>
      <c r="D160" s="20">
        <v>1</v>
      </c>
      <c r="G160" s="32" t="s">
        <v>2133</v>
      </c>
      <c r="H160" s="20" t="s">
        <v>4972</v>
      </c>
      <c r="I160" s="20">
        <v>331</v>
      </c>
      <c r="J160" s="20">
        <v>1111</v>
      </c>
      <c r="K160" s="20" t="s">
        <v>20</v>
      </c>
      <c r="L160" s="20">
        <v>1</v>
      </c>
      <c r="M160" s="34">
        <v>532337</v>
      </c>
      <c r="N160" s="34">
        <f t="shared" si="45"/>
        <v>532337</v>
      </c>
      <c r="O160" s="20" t="s">
        <v>21</v>
      </c>
      <c r="P160" s="20">
        <f t="shared" si="52"/>
        <v>130</v>
      </c>
      <c r="Q160" s="20">
        <f t="shared" si="53"/>
        <v>49</v>
      </c>
    </row>
    <row r="161" spans="1:17" ht="15" customHeight="1" x14ac:dyDescent="0.2">
      <c r="A161" s="20" t="s">
        <v>2719</v>
      </c>
      <c r="B161" s="63" t="s">
        <v>447</v>
      </c>
      <c r="C161" s="20">
        <f t="shared" si="51"/>
        <v>233</v>
      </c>
      <c r="D161" s="20">
        <v>1</v>
      </c>
      <c r="G161" s="32" t="s">
        <v>2134</v>
      </c>
      <c r="H161" s="20" t="s">
        <v>4973</v>
      </c>
      <c r="I161" s="20">
        <v>331</v>
      </c>
      <c r="J161" s="20">
        <v>1111</v>
      </c>
      <c r="K161" s="20" t="s">
        <v>20</v>
      </c>
      <c r="L161" s="20">
        <v>1</v>
      </c>
      <c r="M161" s="34">
        <v>2997000</v>
      </c>
      <c r="N161" s="34">
        <f t="shared" si="45"/>
        <v>2997000</v>
      </c>
      <c r="O161" s="20" t="s">
        <v>21</v>
      </c>
      <c r="P161" s="20">
        <f t="shared" si="52"/>
        <v>131</v>
      </c>
      <c r="Q161" s="20">
        <f t="shared" si="53"/>
        <v>47</v>
      </c>
    </row>
    <row r="162" spans="1:17" ht="15" customHeight="1" x14ac:dyDescent="0.2">
      <c r="A162" s="20" t="s">
        <v>2719</v>
      </c>
      <c r="B162" s="63" t="s">
        <v>377</v>
      </c>
      <c r="C162" s="20">
        <f t="shared" si="51"/>
        <v>234</v>
      </c>
      <c r="D162" s="20">
        <v>1</v>
      </c>
      <c r="G162" s="32" t="s">
        <v>1024</v>
      </c>
      <c r="H162" s="20" t="s">
        <v>4974</v>
      </c>
      <c r="I162" s="20">
        <v>331</v>
      </c>
      <c r="J162" s="20">
        <v>1111</v>
      </c>
      <c r="K162" s="20" t="s">
        <v>20</v>
      </c>
      <c r="L162" s="20">
        <v>1</v>
      </c>
      <c r="M162" s="34">
        <v>3590000</v>
      </c>
      <c r="N162" s="34">
        <f t="shared" si="45"/>
        <v>3590000</v>
      </c>
      <c r="O162" s="20" t="s">
        <v>21</v>
      </c>
      <c r="P162" s="20">
        <f t="shared" si="52"/>
        <v>132</v>
      </c>
      <c r="Q162" s="20">
        <f t="shared" si="53"/>
        <v>51</v>
      </c>
    </row>
    <row r="163" spans="1:17" ht="15" customHeight="1" x14ac:dyDescent="0.2">
      <c r="A163" s="20" t="s">
        <v>2719</v>
      </c>
      <c r="B163" s="63" t="s">
        <v>377</v>
      </c>
      <c r="C163" s="20">
        <f t="shared" si="51"/>
        <v>235</v>
      </c>
      <c r="D163" s="20">
        <v>1</v>
      </c>
      <c r="G163" s="32" t="s">
        <v>1024</v>
      </c>
      <c r="H163" s="20" t="s">
        <v>4975</v>
      </c>
      <c r="I163" s="20">
        <v>331</v>
      </c>
      <c r="J163" s="20">
        <v>1111</v>
      </c>
      <c r="K163" s="20" t="s">
        <v>20</v>
      </c>
      <c r="L163" s="20">
        <v>1</v>
      </c>
      <c r="M163" s="34">
        <v>666000</v>
      </c>
      <c r="N163" s="34">
        <f t="shared" si="45"/>
        <v>666000</v>
      </c>
      <c r="O163" s="20" t="s">
        <v>21</v>
      </c>
      <c r="P163" s="20">
        <f t="shared" si="52"/>
        <v>133</v>
      </c>
      <c r="Q163" s="20">
        <f t="shared" si="53"/>
        <v>51</v>
      </c>
    </row>
    <row r="164" spans="1:17" ht="15" customHeight="1" x14ac:dyDescent="0.2">
      <c r="A164" s="20" t="s">
        <v>2719</v>
      </c>
      <c r="B164" s="63" t="s">
        <v>314</v>
      </c>
      <c r="C164" s="20">
        <f t="shared" si="51"/>
        <v>236</v>
      </c>
      <c r="D164" s="20">
        <v>1</v>
      </c>
      <c r="G164" s="32" t="s">
        <v>37</v>
      </c>
      <c r="H164" s="20" t="s">
        <v>4976</v>
      </c>
      <c r="I164" s="20">
        <v>331</v>
      </c>
      <c r="J164" s="20">
        <v>1111</v>
      </c>
      <c r="K164" s="20" t="s">
        <v>20</v>
      </c>
      <c r="L164" s="20">
        <v>1</v>
      </c>
      <c r="M164" s="34">
        <v>3240000</v>
      </c>
      <c r="N164" s="34">
        <f t="shared" si="45"/>
        <v>3240000</v>
      </c>
      <c r="O164" s="20" t="s">
        <v>21</v>
      </c>
      <c r="P164" s="20">
        <f t="shared" si="52"/>
        <v>134</v>
      </c>
      <c r="Q164" s="20">
        <f t="shared" si="53"/>
        <v>53</v>
      </c>
    </row>
    <row r="165" spans="1:17" ht="15" customHeight="1" x14ac:dyDescent="0.2">
      <c r="A165" s="20" t="s">
        <v>2719</v>
      </c>
      <c r="B165" s="63" t="s">
        <v>314</v>
      </c>
      <c r="C165" s="20">
        <f t="shared" si="51"/>
        <v>237</v>
      </c>
      <c r="D165" s="20">
        <v>1</v>
      </c>
      <c r="G165" s="32" t="s">
        <v>2135</v>
      </c>
      <c r="H165" s="20" t="s">
        <v>4977</v>
      </c>
      <c r="I165" s="20">
        <v>331</v>
      </c>
      <c r="J165" s="20">
        <v>1111</v>
      </c>
      <c r="K165" s="20" t="s">
        <v>20</v>
      </c>
      <c r="L165" s="20">
        <v>1</v>
      </c>
      <c r="M165" s="34">
        <v>891000</v>
      </c>
      <c r="N165" s="34">
        <f t="shared" si="45"/>
        <v>891000</v>
      </c>
      <c r="O165" s="20" t="s">
        <v>21</v>
      </c>
      <c r="P165" s="20">
        <f t="shared" si="52"/>
        <v>135</v>
      </c>
      <c r="Q165" s="20">
        <f t="shared" si="53"/>
        <v>51</v>
      </c>
    </row>
    <row r="166" spans="1:17" ht="15" customHeight="1" x14ac:dyDescent="0.2">
      <c r="A166" s="20" t="s">
        <v>2719</v>
      </c>
      <c r="B166" s="63" t="s">
        <v>378</v>
      </c>
      <c r="C166" s="20">
        <f t="shared" si="51"/>
        <v>238</v>
      </c>
      <c r="D166" s="20">
        <v>1</v>
      </c>
      <c r="G166" s="32" t="s">
        <v>41</v>
      </c>
      <c r="H166" s="20" t="s">
        <v>4978</v>
      </c>
      <c r="I166" s="20">
        <v>331</v>
      </c>
      <c r="J166" s="20">
        <v>1111</v>
      </c>
      <c r="K166" s="20" t="s">
        <v>20</v>
      </c>
      <c r="L166" s="20">
        <v>1</v>
      </c>
      <c r="M166" s="34">
        <v>2829600</v>
      </c>
      <c r="N166" s="34">
        <f t="shared" si="45"/>
        <v>2829600</v>
      </c>
      <c r="O166" s="20" t="s">
        <v>21</v>
      </c>
      <c r="P166" s="20">
        <f t="shared" si="52"/>
        <v>136</v>
      </c>
      <c r="Q166" s="20">
        <f t="shared" si="53"/>
        <v>55</v>
      </c>
    </row>
    <row r="167" spans="1:17" ht="15" customHeight="1" x14ac:dyDescent="0.2">
      <c r="A167" s="20" t="s">
        <v>2719</v>
      </c>
      <c r="B167" s="63" t="s">
        <v>317</v>
      </c>
      <c r="C167" s="20">
        <f t="shared" si="51"/>
        <v>239</v>
      </c>
      <c r="D167" s="20">
        <v>1</v>
      </c>
      <c r="G167" s="32" t="s">
        <v>2136</v>
      </c>
      <c r="H167" s="20" t="s">
        <v>4979</v>
      </c>
      <c r="I167" s="20">
        <v>331</v>
      </c>
      <c r="J167" s="20">
        <v>1111</v>
      </c>
      <c r="K167" s="20" t="s">
        <v>20</v>
      </c>
      <c r="L167" s="20">
        <v>1</v>
      </c>
      <c r="M167" s="34">
        <v>0</v>
      </c>
      <c r="N167" s="34">
        <f t="shared" si="45"/>
        <v>0</v>
      </c>
      <c r="O167" s="20" t="s">
        <v>21</v>
      </c>
      <c r="P167" s="20">
        <f t="shared" si="52"/>
        <v>137</v>
      </c>
      <c r="Q167" s="20">
        <f t="shared" si="53"/>
        <v>47</v>
      </c>
    </row>
    <row r="168" spans="1:17" ht="15" customHeight="1" x14ac:dyDescent="0.2">
      <c r="A168" s="20" t="s">
        <v>2719</v>
      </c>
      <c r="B168" s="63" t="s">
        <v>451</v>
      </c>
      <c r="C168" s="20">
        <f t="shared" si="51"/>
        <v>240</v>
      </c>
      <c r="D168" s="20">
        <v>1</v>
      </c>
      <c r="G168" s="32" t="s">
        <v>28</v>
      </c>
      <c r="H168" s="20" t="s">
        <v>4980</v>
      </c>
      <c r="I168" s="20">
        <v>331</v>
      </c>
      <c r="J168" s="20">
        <v>1111</v>
      </c>
      <c r="K168" s="20" t="s">
        <v>20</v>
      </c>
      <c r="L168" s="20">
        <v>1</v>
      </c>
      <c r="M168" s="34">
        <v>3393800</v>
      </c>
      <c r="N168" s="34">
        <f t="shared" si="45"/>
        <v>3393800</v>
      </c>
      <c r="O168" s="20" t="s">
        <v>21</v>
      </c>
      <c r="P168" s="20">
        <f t="shared" si="52"/>
        <v>138</v>
      </c>
      <c r="Q168" s="20">
        <f t="shared" si="53"/>
        <v>53</v>
      </c>
    </row>
    <row r="169" spans="1:17" ht="15" customHeight="1" x14ac:dyDescent="0.2">
      <c r="A169" s="20" t="s">
        <v>2719</v>
      </c>
      <c r="B169" s="63" t="s">
        <v>417</v>
      </c>
      <c r="C169" s="20">
        <f t="shared" si="51"/>
        <v>241</v>
      </c>
      <c r="D169" s="20">
        <v>1</v>
      </c>
      <c r="G169" s="32" t="s">
        <v>2137</v>
      </c>
      <c r="H169" s="20" t="s">
        <v>4981</v>
      </c>
      <c r="I169" s="20">
        <v>331</v>
      </c>
      <c r="J169" s="20">
        <v>1111</v>
      </c>
      <c r="K169" s="20" t="s">
        <v>20</v>
      </c>
      <c r="L169" s="20">
        <v>1</v>
      </c>
      <c r="M169" s="34">
        <v>4630000</v>
      </c>
      <c r="N169" s="34">
        <f t="shared" si="45"/>
        <v>4630000</v>
      </c>
      <c r="O169" s="20" t="s">
        <v>21</v>
      </c>
      <c r="P169" s="20">
        <f t="shared" si="52"/>
        <v>139</v>
      </c>
      <c r="Q169" s="20">
        <f t="shared" si="53"/>
        <v>84</v>
      </c>
    </row>
    <row r="170" spans="1:17" ht="15" customHeight="1" x14ac:dyDescent="0.2">
      <c r="A170" s="20" t="s">
        <v>2719</v>
      </c>
      <c r="B170" s="63" t="s">
        <v>418</v>
      </c>
      <c r="C170" s="20">
        <f t="shared" si="51"/>
        <v>242</v>
      </c>
      <c r="D170" s="20">
        <v>1</v>
      </c>
      <c r="G170" s="32" t="s">
        <v>1353</v>
      </c>
      <c r="H170" s="20" t="s">
        <v>4982</v>
      </c>
      <c r="I170" s="20">
        <v>331</v>
      </c>
      <c r="J170" s="20">
        <v>1111</v>
      </c>
      <c r="K170" s="20" t="s">
        <v>20</v>
      </c>
      <c r="L170" s="20">
        <v>1</v>
      </c>
      <c r="M170" s="34">
        <v>956000</v>
      </c>
      <c r="N170" s="34">
        <f t="shared" si="45"/>
        <v>956000</v>
      </c>
      <c r="O170" s="20" t="s">
        <v>21</v>
      </c>
      <c r="P170" s="20">
        <f t="shared" si="52"/>
        <v>140</v>
      </c>
      <c r="Q170" s="20">
        <f t="shared" si="53"/>
        <v>49</v>
      </c>
    </row>
    <row r="171" spans="1:17" ht="15" customHeight="1" x14ac:dyDescent="0.2">
      <c r="A171" s="20" t="s">
        <v>2719</v>
      </c>
      <c r="B171" s="63" t="s">
        <v>2042</v>
      </c>
      <c r="C171" s="20">
        <f t="shared" si="51"/>
        <v>243</v>
      </c>
      <c r="D171" s="20">
        <v>1</v>
      </c>
      <c r="G171" s="32" t="s">
        <v>274</v>
      </c>
      <c r="H171" s="20" t="s">
        <v>4983</v>
      </c>
      <c r="I171" s="20">
        <v>331</v>
      </c>
      <c r="J171" s="20">
        <v>1111</v>
      </c>
      <c r="K171" s="20" t="s">
        <v>20</v>
      </c>
      <c r="L171" s="20">
        <v>1</v>
      </c>
      <c r="M171" s="34">
        <v>395400</v>
      </c>
      <c r="N171" s="34">
        <f t="shared" si="45"/>
        <v>395400</v>
      </c>
      <c r="O171" s="20" t="s">
        <v>21</v>
      </c>
      <c r="P171" s="20">
        <f t="shared" si="52"/>
        <v>141</v>
      </c>
      <c r="Q171" s="20">
        <f t="shared" si="53"/>
        <v>56</v>
      </c>
    </row>
    <row r="172" spans="1:17" ht="15" customHeight="1" x14ac:dyDescent="0.2">
      <c r="A172" s="20" t="s">
        <v>2719</v>
      </c>
      <c r="B172" s="63" t="s">
        <v>379</v>
      </c>
      <c r="C172" s="20">
        <f t="shared" si="51"/>
        <v>244</v>
      </c>
      <c r="D172" s="20">
        <v>1</v>
      </c>
      <c r="G172" s="32" t="s">
        <v>37</v>
      </c>
      <c r="H172" s="20" t="s">
        <v>4984</v>
      </c>
      <c r="I172" s="20">
        <v>331</v>
      </c>
      <c r="J172" s="20">
        <v>1111</v>
      </c>
      <c r="K172" s="20" t="s">
        <v>20</v>
      </c>
      <c r="L172" s="20">
        <v>1</v>
      </c>
      <c r="M172" s="34">
        <v>3240000</v>
      </c>
      <c r="N172" s="34">
        <f t="shared" si="45"/>
        <v>3240000</v>
      </c>
      <c r="O172" s="20" t="s">
        <v>21</v>
      </c>
      <c r="P172" s="20">
        <f t="shared" si="52"/>
        <v>142</v>
      </c>
      <c r="Q172" s="20">
        <f t="shared" si="53"/>
        <v>53</v>
      </c>
    </row>
    <row r="173" spans="1:17" ht="15" customHeight="1" x14ac:dyDescent="0.2">
      <c r="A173" s="20" t="s">
        <v>2719</v>
      </c>
      <c r="B173" s="63" t="s">
        <v>523</v>
      </c>
      <c r="C173" s="20">
        <f t="shared" si="51"/>
        <v>245</v>
      </c>
      <c r="D173" s="20">
        <v>1</v>
      </c>
      <c r="G173" s="32" t="s">
        <v>30</v>
      </c>
      <c r="H173" s="20" t="s">
        <v>4985</v>
      </c>
      <c r="I173" s="20">
        <v>331</v>
      </c>
      <c r="J173" s="20">
        <v>1111</v>
      </c>
      <c r="K173" s="20" t="s">
        <v>20</v>
      </c>
      <c r="L173" s="20">
        <v>1</v>
      </c>
      <c r="M173" s="34">
        <v>1496000</v>
      </c>
      <c r="N173" s="34">
        <f t="shared" si="45"/>
        <v>1496000</v>
      </c>
      <c r="O173" s="20" t="s">
        <v>21</v>
      </c>
      <c r="P173" s="20">
        <f t="shared" si="52"/>
        <v>143</v>
      </c>
      <c r="Q173" s="20">
        <f t="shared" si="53"/>
        <v>49</v>
      </c>
    </row>
    <row r="174" spans="1:17" ht="15" customHeight="1" x14ac:dyDescent="0.2">
      <c r="A174" s="20" t="s">
        <v>2719</v>
      </c>
      <c r="B174" s="63" t="s">
        <v>2044</v>
      </c>
      <c r="C174" s="20">
        <f t="shared" si="51"/>
        <v>246</v>
      </c>
      <c r="D174" s="20">
        <v>1</v>
      </c>
      <c r="G174" s="32" t="s">
        <v>1353</v>
      </c>
      <c r="H174" s="20" t="s">
        <v>4986</v>
      </c>
      <c r="I174" s="20">
        <v>331</v>
      </c>
      <c r="J174" s="20">
        <v>1111</v>
      </c>
      <c r="K174" s="20" t="s">
        <v>20</v>
      </c>
      <c r="L174" s="20">
        <v>1</v>
      </c>
      <c r="M174" s="34">
        <v>-939000</v>
      </c>
      <c r="N174" s="34">
        <f t="shared" si="45"/>
        <v>-939000</v>
      </c>
      <c r="O174" s="20" t="s">
        <v>21</v>
      </c>
      <c r="P174" s="20">
        <f t="shared" si="52"/>
        <v>144</v>
      </c>
      <c r="Q174" s="20">
        <f t="shared" si="53"/>
        <v>78</v>
      </c>
    </row>
    <row r="175" spans="1:17" ht="15" customHeight="1" x14ac:dyDescent="0.2">
      <c r="A175" s="20" t="s">
        <v>2719</v>
      </c>
      <c r="B175" s="63" t="s">
        <v>2130</v>
      </c>
      <c r="C175" s="20">
        <f t="shared" si="51"/>
        <v>247</v>
      </c>
      <c r="D175" s="20">
        <v>1</v>
      </c>
      <c r="G175" s="32" t="s">
        <v>2138</v>
      </c>
      <c r="H175" s="20" t="s">
        <v>4987</v>
      </c>
      <c r="I175" s="20">
        <v>331</v>
      </c>
      <c r="J175" s="20">
        <v>1111</v>
      </c>
      <c r="K175" s="20" t="s">
        <v>20</v>
      </c>
      <c r="L175" s="20">
        <v>1</v>
      </c>
      <c r="M175" s="34">
        <v>923400</v>
      </c>
      <c r="N175" s="34">
        <f t="shared" si="45"/>
        <v>923400</v>
      </c>
      <c r="O175" s="20" t="s">
        <v>21</v>
      </c>
      <c r="P175" s="20">
        <f t="shared" si="52"/>
        <v>145</v>
      </c>
      <c r="Q175" s="20">
        <f t="shared" si="53"/>
        <v>52</v>
      </c>
    </row>
    <row r="176" spans="1:17" ht="15" customHeight="1" x14ac:dyDescent="0.2">
      <c r="A176" s="20" t="s">
        <v>2719</v>
      </c>
      <c r="B176" s="63" t="s">
        <v>527</v>
      </c>
      <c r="C176" s="20">
        <f t="shared" si="51"/>
        <v>248</v>
      </c>
      <c r="D176" s="20">
        <v>1</v>
      </c>
      <c r="G176" s="32" t="s">
        <v>2139</v>
      </c>
      <c r="H176" s="20" t="s">
        <v>4988</v>
      </c>
      <c r="I176" s="20">
        <v>331</v>
      </c>
      <c r="J176" s="20">
        <v>1111</v>
      </c>
      <c r="K176" s="20" t="s">
        <v>20</v>
      </c>
      <c r="L176" s="20">
        <v>1</v>
      </c>
      <c r="M176" s="34">
        <v>46500000</v>
      </c>
      <c r="N176" s="34">
        <f t="shared" si="45"/>
        <v>46500000</v>
      </c>
      <c r="O176" s="20" t="s">
        <v>21</v>
      </c>
      <c r="P176" s="20">
        <f t="shared" si="52"/>
        <v>146</v>
      </c>
      <c r="Q176" s="20">
        <f t="shared" si="53"/>
        <v>47</v>
      </c>
    </row>
    <row r="177" spans="1:17" ht="15" customHeight="1" x14ac:dyDescent="0.2">
      <c r="A177" s="20" t="s">
        <v>2719</v>
      </c>
      <c r="B177" s="63" t="s">
        <v>603</v>
      </c>
      <c r="C177" s="20">
        <f t="shared" si="51"/>
        <v>249</v>
      </c>
      <c r="D177" s="20">
        <v>1</v>
      </c>
      <c r="G177" s="32" t="s">
        <v>52</v>
      </c>
      <c r="H177" s="20" t="s">
        <v>4989</v>
      </c>
      <c r="I177" s="20">
        <v>331</v>
      </c>
      <c r="J177" s="20">
        <v>1111</v>
      </c>
      <c r="K177" s="20" t="s">
        <v>20</v>
      </c>
      <c r="L177" s="20">
        <v>1</v>
      </c>
      <c r="M177" s="34">
        <v>939600</v>
      </c>
      <c r="N177" s="34">
        <f t="shared" si="45"/>
        <v>939600</v>
      </c>
      <c r="O177" s="20" t="s">
        <v>21</v>
      </c>
      <c r="P177" s="20">
        <f t="shared" si="52"/>
        <v>147</v>
      </c>
      <c r="Q177" s="20">
        <f t="shared" si="53"/>
        <v>53</v>
      </c>
    </row>
    <row r="178" spans="1:17" ht="15" customHeight="1" x14ac:dyDescent="0.2">
      <c r="A178" s="20" t="s">
        <v>2719</v>
      </c>
      <c r="B178" s="63" t="s">
        <v>516</v>
      </c>
      <c r="C178" s="20">
        <f t="shared" si="51"/>
        <v>250</v>
      </c>
      <c r="D178" s="20">
        <v>1</v>
      </c>
      <c r="G178" s="32" t="s">
        <v>2140</v>
      </c>
      <c r="H178" s="20" t="s">
        <v>4990</v>
      </c>
      <c r="I178" s="20">
        <v>331</v>
      </c>
      <c r="J178" s="20">
        <v>1111</v>
      </c>
      <c r="K178" s="20" t="s">
        <v>20</v>
      </c>
      <c r="L178" s="20">
        <v>1</v>
      </c>
      <c r="M178" s="34">
        <v>1716120</v>
      </c>
      <c r="N178" s="34">
        <f t="shared" si="45"/>
        <v>1716120</v>
      </c>
      <c r="O178" s="20" t="s">
        <v>21</v>
      </c>
      <c r="P178" s="20">
        <f t="shared" si="52"/>
        <v>148</v>
      </c>
      <c r="Q178" s="20">
        <f t="shared" si="53"/>
        <v>53</v>
      </c>
    </row>
    <row r="179" spans="1:17" ht="15" customHeight="1" x14ac:dyDescent="0.2">
      <c r="A179" s="20" t="s">
        <v>2719</v>
      </c>
      <c r="B179" s="63" t="s">
        <v>604</v>
      </c>
      <c r="C179" s="20">
        <f t="shared" si="51"/>
        <v>251</v>
      </c>
      <c r="D179" s="20">
        <v>1</v>
      </c>
      <c r="G179" s="32" t="s">
        <v>40</v>
      </c>
      <c r="H179" s="20" t="s">
        <v>4991</v>
      </c>
      <c r="I179" s="20">
        <v>331</v>
      </c>
      <c r="J179" s="20">
        <v>1111</v>
      </c>
      <c r="K179" s="20" t="s">
        <v>20</v>
      </c>
      <c r="L179" s="20">
        <v>1</v>
      </c>
      <c r="M179" s="34">
        <v>5790000</v>
      </c>
      <c r="N179" s="34">
        <f t="shared" si="45"/>
        <v>5790000</v>
      </c>
      <c r="O179" s="20" t="s">
        <v>21</v>
      </c>
      <c r="P179" s="20">
        <f t="shared" si="52"/>
        <v>149</v>
      </c>
      <c r="Q179" s="20">
        <f t="shared" si="53"/>
        <v>48</v>
      </c>
    </row>
    <row r="180" spans="1:17" ht="15" customHeight="1" x14ac:dyDescent="0.2">
      <c r="A180" s="20" t="s">
        <v>2719</v>
      </c>
      <c r="B180" s="63" t="s">
        <v>2504</v>
      </c>
      <c r="C180" s="20">
        <f t="shared" si="51"/>
        <v>252</v>
      </c>
      <c r="D180" s="20">
        <v>1</v>
      </c>
      <c r="G180" s="32" t="s">
        <v>41</v>
      </c>
      <c r="H180" s="20" t="s">
        <v>4992</v>
      </c>
      <c r="I180" s="20">
        <v>331</v>
      </c>
      <c r="J180" s="20">
        <v>1111</v>
      </c>
      <c r="K180" s="20" t="s">
        <v>20</v>
      </c>
      <c r="L180" s="20">
        <v>1</v>
      </c>
      <c r="M180" s="34">
        <v>1614600</v>
      </c>
      <c r="N180" s="34">
        <f t="shared" si="45"/>
        <v>1614600</v>
      </c>
      <c r="O180" s="20" t="s">
        <v>21</v>
      </c>
      <c r="P180" s="20">
        <f t="shared" si="52"/>
        <v>150</v>
      </c>
      <c r="Q180" s="20">
        <f t="shared" si="53"/>
        <v>55</v>
      </c>
    </row>
  </sheetData>
  <autoFilter ref="A3:Q180" xr:uid="{00000000-0001-0000-1300-000000000000}"/>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1:AB222"/>
  <sheetViews>
    <sheetView zoomScaleNormal="100" workbookViewId="0">
      <selection activeCell="Q1" sqref="Q1"/>
    </sheetView>
  </sheetViews>
  <sheetFormatPr defaultRowHeight="15" customHeight="1" x14ac:dyDescent="0.2"/>
  <cols>
    <col min="1" max="6" width="9.140625" style="12"/>
    <col min="7" max="7" width="14.140625" style="14" bestFit="1" customWidth="1"/>
    <col min="8" max="8" width="28.28515625" style="12" customWidth="1"/>
    <col min="9" max="12" width="9.140625" style="12"/>
    <col min="13" max="13" width="12" style="17" bestFit="1" customWidth="1"/>
    <col min="14" max="14" width="11.28515625" style="17" bestFit="1" customWidth="1"/>
    <col min="15" max="15" width="9.140625" style="12"/>
    <col min="16" max="16" width="10.42578125" style="12" bestFit="1" customWidth="1"/>
    <col min="17" max="17" width="9.140625" style="12"/>
    <col min="18" max="28" width="9.140625" style="14"/>
    <col min="29" max="16384" width="9.140625" style="12"/>
  </cols>
  <sheetData>
    <row r="1" spans="1:17" ht="15" customHeight="1" thickBot="1" x14ac:dyDescent="0.25">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38"/>
      <c r="Q1" s="152" t="s">
        <v>3991</v>
      </c>
    </row>
    <row r="2" spans="1:17" ht="15" customHeight="1" thickBot="1" x14ac:dyDescent="0.25">
      <c r="A2" s="205"/>
      <c r="B2" s="220"/>
      <c r="C2" s="205"/>
      <c r="D2" s="208"/>
      <c r="E2" s="208"/>
      <c r="F2" s="203"/>
      <c r="G2" s="212"/>
      <c r="H2" s="214"/>
      <c r="I2" s="46" t="s">
        <v>13</v>
      </c>
      <c r="J2" s="47" t="s">
        <v>14</v>
      </c>
      <c r="K2" s="205"/>
      <c r="L2" s="205"/>
      <c r="M2" s="218"/>
      <c r="N2" s="218"/>
      <c r="O2" s="38" t="s">
        <v>100</v>
      </c>
      <c r="P2" s="38"/>
    </row>
    <row r="3" spans="1:17" ht="15" customHeight="1" x14ac:dyDescent="0.2">
      <c r="A3" s="48"/>
      <c r="B3" s="83"/>
      <c r="C3" s="48">
        <v>31</v>
      </c>
      <c r="D3" s="49"/>
      <c r="E3" s="49"/>
      <c r="F3" s="49"/>
      <c r="G3" s="51" t="s">
        <v>15</v>
      </c>
      <c r="H3" s="52"/>
      <c r="I3" s="52"/>
      <c r="J3" s="52"/>
      <c r="K3" s="48"/>
      <c r="L3" s="48"/>
      <c r="M3" s="84"/>
      <c r="N3" s="84"/>
      <c r="O3" s="38" t="s">
        <v>16</v>
      </c>
      <c r="P3" s="38" t="s">
        <v>17</v>
      </c>
    </row>
    <row r="4" spans="1:17" ht="15" customHeight="1" x14ac:dyDescent="0.2">
      <c r="A4" s="12" t="s">
        <v>18</v>
      </c>
      <c r="B4" s="36" t="s">
        <v>309</v>
      </c>
      <c r="C4" s="12">
        <f t="shared" ref="C4:C35" si="0">C3+D4</f>
        <v>32</v>
      </c>
      <c r="D4" s="12">
        <v>1</v>
      </c>
      <c r="G4" s="14" t="s">
        <v>37</v>
      </c>
      <c r="H4" s="12" t="s">
        <v>2232</v>
      </c>
      <c r="I4" s="12">
        <v>64277</v>
      </c>
      <c r="J4" s="12">
        <v>331</v>
      </c>
      <c r="K4" s="12" t="s">
        <v>20</v>
      </c>
      <c r="L4" s="12">
        <v>1</v>
      </c>
      <c r="M4" s="17">
        <v>3240000</v>
      </c>
      <c r="N4" s="17">
        <f t="shared" ref="N4:N35" si="1">L4*M4</f>
        <v>3240000</v>
      </c>
      <c r="O4" s="12" t="s">
        <v>21</v>
      </c>
      <c r="P4" s="17">
        <v>1</v>
      </c>
      <c r="Q4" s="12">
        <f>LEN(H4)</f>
        <v>42</v>
      </c>
    </row>
    <row r="5" spans="1:17" ht="15" customHeight="1" x14ac:dyDescent="0.2">
      <c r="A5" s="12" t="s">
        <v>18</v>
      </c>
      <c r="B5" s="36" t="s">
        <v>443</v>
      </c>
      <c r="C5" s="12">
        <f t="shared" si="0"/>
        <v>33</v>
      </c>
      <c r="D5" s="12">
        <v>1</v>
      </c>
      <c r="G5" s="14" t="s">
        <v>48</v>
      </c>
      <c r="H5" s="12" t="s">
        <v>2233</v>
      </c>
      <c r="I5" s="12">
        <v>64277</v>
      </c>
      <c r="J5" s="12">
        <v>331</v>
      </c>
      <c r="K5" s="12" t="s">
        <v>20</v>
      </c>
      <c r="L5" s="12">
        <v>1</v>
      </c>
      <c r="M5" s="17">
        <v>97409</v>
      </c>
      <c r="N5" s="17">
        <f t="shared" si="1"/>
        <v>97409</v>
      </c>
      <c r="O5" s="12" t="s">
        <v>21</v>
      </c>
      <c r="P5" s="17">
        <f>P4+D5</f>
        <v>2</v>
      </c>
      <c r="Q5" s="12">
        <f t="shared" ref="Q5:Q68" si="2">LEN(H5)</f>
        <v>54</v>
      </c>
    </row>
    <row r="6" spans="1:17" ht="15" customHeight="1" x14ac:dyDescent="0.2">
      <c r="A6" s="12" t="s">
        <v>18</v>
      </c>
      <c r="B6" s="36" t="s">
        <v>443</v>
      </c>
      <c r="C6" s="12">
        <f t="shared" si="0"/>
        <v>34</v>
      </c>
      <c r="D6" s="12">
        <v>1</v>
      </c>
      <c r="G6" s="14" t="s">
        <v>2225</v>
      </c>
      <c r="H6" s="12" t="s">
        <v>2276</v>
      </c>
      <c r="I6" s="12">
        <v>64277</v>
      </c>
      <c r="J6" s="12">
        <v>331</v>
      </c>
      <c r="K6" s="12" t="s">
        <v>20</v>
      </c>
      <c r="L6" s="12">
        <v>1</v>
      </c>
      <c r="M6" s="17">
        <v>516240</v>
      </c>
      <c r="N6" s="17">
        <f t="shared" si="1"/>
        <v>516240</v>
      </c>
      <c r="O6" s="12" t="s">
        <v>21</v>
      </c>
      <c r="P6" s="17">
        <f t="shared" ref="P6:P67" si="3">P5+D6</f>
        <v>3</v>
      </c>
      <c r="Q6" s="12">
        <f t="shared" si="2"/>
        <v>40</v>
      </c>
    </row>
    <row r="7" spans="1:17" ht="15" customHeight="1" x14ac:dyDescent="0.2">
      <c r="A7" s="12" t="s">
        <v>18</v>
      </c>
      <c r="B7" s="36" t="s">
        <v>444</v>
      </c>
      <c r="C7" s="12">
        <f t="shared" si="0"/>
        <v>35</v>
      </c>
      <c r="D7" s="12">
        <v>1</v>
      </c>
      <c r="G7" s="14" t="s">
        <v>2226</v>
      </c>
      <c r="H7" s="12" t="s">
        <v>2277</v>
      </c>
      <c r="I7" s="12">
        <v>64277</v>
      </c>
      <c r="J7" s="12">
        <v>331</v>
      </c>
      <c r="K7" s="12" t="s">
        <v>20</v>
      </c>
      <c r="L7" s="12">
        <v>1</v>
      </c>
      <c r="M7" s="17">
        <v>993600</v>
      </c>
      <c r="N7" s="17">
        <f t="shared" si="1"/>
        <v>993600</v>
      </c>
      <c r="O7" s="12" t="s">
        <v>21</v>
      </c>
      <c r="P7" s="17">
        <f t="shared" si="3"/>
        <v>4</v>
      </c>
      <c r="Q7" s="12">
        <f t="shared" si="2"/>
        <v>42</v>
      </c>
    </row>
    <row r="8" spans="1:17" ht="15" customHeight="1" x14ac:dyDescent="0.2">
      <c r="A8" s="12" t="s">
        <v>18</v>
      </c>
      <c r="B8" s="36" t="s">
        <v>444</v>
      </c>
      <c r="C8" s="12">
        <f t="shared" si="0"/>
        <v>36</v>
      </c>
      <c r="D8" s="12">
        <v>1</v>
      </c>
      <c r="G8" s="14" t="s">
        <v>24</v>
      </c>
      <c r="H8" s="12" t="s">
        <v>2287</v>
      </c>
      <c r="I8" s="12">
        <v>64277</v>
      </c>
      <c r="J8" s="12">
        <v>331</v>
      </c>
      <c r="K8" s="12" t="s">
        <v>20</v>
      </c>
      <c r="L8" s="12">
        <v>1</v>
      </c>
      <c r="M8" s="17">
        <v>25000</v>
      </c>
      <c r="N8" s="17">
        <f t="shared" si="1"/>
        <v>25000</v>
      </c>
      <c r="O8" s="12" t="s">
        <v>21</v>
      </c>
      <c r="P8" s="17">
        <f t="shared" si="3"/>
        <v>5</v>
      </c>
      <c r="Q8" s="12">
        <f t="shared" si="2"/>
        <v>40</v>
      </c>
    </row>
    <row r="9" spans="1:17" ht="15" customHeight="1" x14ac:dyDescent="0.2">
      <c r="A9" s="12" t="s">
        <v>18</v>
      </c>
      <c r="B9" s="36" t="s">
        <v>446</v>
      </c>
      <c r="C9" s="12">
        <f t="shared" si="0"/>
        <v>37</v>
      </c>
      <c r="D9" s="12">
        <v>1</v>
      </c>
      <c r="G9" s="14" t="s">
        <v>19</v>
      </c>
      <c r="H9" s="12" t="s">
        <v>2288</v>
      </c>
      <c r="I9" s="12">
        <v>64277</v>
      </c>
      <c r="J9" s="12">
        <v>331</v>
      </c>
      <c r="K9" s="12" t="s">
        <v>20</v>
      </c>
      <c r="L9" s="12">
        <v>1</v>
      </c>
      <c r="M9" s="17">
        <v>28000</v>
      </c>
      <c r="N9" s="17">
        <f t="shared" si="1"/>
        <v>28000</v>
      </c>
      <c r="O9" s="12" t="s">
        <v>21</v>
      </c>
      <c r="P9" s="17">
        <f t="shared" si="3"/>
        <v>6</v>
      </c>
      <c r="Q9" s="12">
        <f t="shared" si="2"/>
        <v>40</v>
      </c>
    </row>
    <row r="10" spans="1:17" ht="15" customHeight="1" x14ac:dyDescent="0.2">
      <c r="A10" s="12" t="s">
        <v>18</v>
      </c>
      <c r="B10" s="36" t="s">
        <v>290</v>
      </c>
      <c r="C10" s="12">
        <f t="shared" si="0"/>
        <v>38</v>
      </c>
      <c r="D10" s="12">
        <v>1</v>
      </c>
      <c r="G10" s="14" t="s">
        <v>2225</v>
      </c>
      <c r="H10" s="12" t="s">
        <v>2278</v>
      </c>
      <c r="I10" s="12">
        <v>64277</v>
      </c>
      <c r="J10" s="12">
        <v>331</v>
      </c>
      <c r="K10" s="12" t="s">
        <v>20</v>
      </c>
      <c r="L10" s="12">
        <v>1</v>
      </c>
      <c r="M10" s="17">
        <v>516240</v>
      </c>
      <c r="N10" s="17">
        <f t="shared" si="1"/>
        <v>516240</v>
      </c>
      <c r="O10" s="12" t="s">
        <v>21</v>
      </c>
      <c r="P10" s="17">
        <f t="shared" si="3"/>
        <v>7</v>
      </c>
      <c r="Q10" s="12">
        <f t="shared" si="2"/>
        <v>40</v>
      </c>
    </row>
    <row r="11" spans="1:17" ht="15" customHeight="1" x14ac:dyDescent="0.2">
      <c r="A11" s="12" t="s">
        <v>18</v>
      </c>
      <c r="B11" s="36" t="s">
        <v>413</v>
      </c>
      <c r="C11" s="12">
        <f t="shared" si="0"/>
        <v>39</v>
      </c>
      <c r="D11" s="12">
        <v>1</v>
      </c>
      <c r="G11" s="14" t="s">
        <v>24</v>
      </c>
      <c r="H11" s="12" t="s">
        <v>2289</v>
      </c>
      <c r="I11" s="12">
        <v>64277</v>
      </c>
      <c r="J11" s="12">
        <v>331</v>
      </c>
      <c r="K11" s="12" t="s">
        <v>20</v>
      </c>
      <c r="L11" s="12">
        <v>1</v>
      </c>
      <c r="M11" s="17">
        <v>22000</v>
      </c>
      <c r="N11" s="17">
        <f t="shared" si="1"/>
        <v>22000</v>
      </c>
      <c r="O11" s="12" t="s">
        <v>21</v>
      </c>
      <c r="P11" s="17">
        <f t="shared" si="3"/>
        <v>8</v>
      </c>
      <c r="Q11" s="12">
        <f t="shared" si="2"/>
        <v>40</v>
      </c>
    </row>
    <row r="12" spans="1:17" ht="15" customHeight="1" x14ac:dyDescent="0.2">
      <c r="A12" s="12" t="s">
        <v>18</v>
      </c>
      <c r="B12" s="36" t="s">
        <v>413</v>
      </c>
      <c r="C12" s="12">
        <f t="shared" si="0"/>
        <v>40</v>
      </c>
      <c r="D12" s="12">
        <v>1</v>
      </c>
      <c r="G12" s="14" t="s">
        <v>19</v>
      </c>
      <c r="H12" s="12" t="s">
        <v>2290</v>
      </c>
      <c r="I12" s="12">
        <v>64277</v>
      </c>
      <c r="J12" s="12">
        <v>331</v>
      </c>
      <c r="K12" s="12" t="s">
        <v>20</v>
      </c>
      <c r="L12" s="12">
        <v>1</v>
      </c>
      <c r="M12" s="17">
        <v>12000</v>
      </c>
      <c r="N12" s="17">
        <f t="shared" si="1"/>
        <v>12000</v>
      </c>
      <c r="O12" s="12" t="s">
        <v>21</v>
      </c>
      <c r="P12" s="17">
        <f t="shared" si="3"/>
        <v>9</v>
      </c>
      <c r="Q12" s="12">
        <f t="shared" si="2"/>
        <v>40</v>
      </c>
    </row>
    <row r="13" spans="1:17" ht="15" customHeight="1" x14ac:dyDescent="0.2">
      <c r="A13" s="12" t="s">
        <v>18</v>
      </c>
      <c r="B13" s="36" t="s">
        <v>413</v>
      </c>
      <c r="C13" s="12">
        <f t="shared" si="0"/>
        <v>41</v>
      </c>
      <c r="D13" s="12">
        <v>1</v>
      </c>
      <c r="G13" s="14" t="s">
        <v>19</v>
      </c>
      <c r="H13" s="12" t="s">
        <v>2291</v>
      </c>
      <c r="I13" s="12">
        <v>64277</v>
      </c>
      <c r="J13" s="12">
        <v>331</v>
      </c>
      <c r="K13" s="12" t="s">
        <v>20</v>
      </c>
      <c r="L13" s="12">
        <v>1</v>
      </c>
      <c r="M13" s="17">
        <v>19000</v>
      </c>
      <c r="N13" s="17">
        <f t="shared" si="1"/>
        <v>19000</v>
      </c>
      <c r="O13" s="12" t="s">
        <v>21</v>
      </c>
      <c r="P13" s="17">
        <f t="shared" si="3"/>
        <v>10</v>
      </c>
      <c r="Q13" s="12">
        <f t="shared" si="2"/>
        <v>40</v>
      </c>
    </row>
    <row r="14" spans="1:17" ht="15" customHeight="1" x14ac:dyDescent="0.2">
      <c r="A14" s="12" t="s">
        <v>18</v>
      </c>
      <c r="B14" s="36" t="s">
        <v>511</v>
      </c>
      <c r="C14" s="12">
        <f t="shared" si="0"/>
        <v>42</v>
      </c>
      <c r="D14" s="12">
        <v>1</v>
      </c>
      <c r="G14" s="14" t="s">
        <v>871</v>
      </c>
      <c r="H14" s="12" t="s">
        <v>2279</v>
      </c>
      <c r="I14" s="12">
        <v>64277</v>
      </c>
      <c r="J14" s="12">
        <v>331</v>
      </c>
      <c r="K14" s="12" t="s">
        <v>20</v>
      </c>
      <c r="L14" s="12">
        <v>1</v>
      </c>
      <c r="M14" s="17">
        <v>658800</v>
      </c>
      <c r="N14" s="17">
        <f t="shared" si="1"/>
        <v>658800</v>
      </c>
      <c r="O14" s="12" t="s">
        <v>21</v>
      </c>
      <c r="P14" s="17">
        <f t="shared" si="3"/>
        <v>11</v>
      </c>
      <c r="Q14" s="12">
        <f t="shared" si="2"/>
        <v>42</v>
      </c>
    </row>
    <row r="15" spans="1:17" ht="15" customHeight="1" x14ac:dyDescent="0.2">
      <c r="A15" s="12" t="s">
        <v>18</v>
      </c>
      <c r="B15" s="36" t="s">
        <v>511</v>
      </c>
      <c r="C15" s="12">
        <f t="shared" si="0"/>
        <v>43</v>
      </c>
      <c r="D15" s="12">
        <v>1</v>
      </c>
      <c r="G15" s="14" t="s">
        <v>19</v>
      </c>
      <c r="H15" s="12" t="s">
        <v>2292</v>
      </c>
      <c r="I15" s="12">
        <v>64277</v>
      </c>
      <c r="J15" s="12">
        <v>331</v>
      </c>
      <c r="K15" s="12" t="s">
        <v>20</v>
      </c>
      <c r="L15" s="12">
        <v>1</v>
      </c>
      <c r="M15" s="17">
        <v>22000</v>
      </c>
      <c r="N15" s="17">
        <f t="shared" si="1"/>
        <v>22000</v>
      </c>
      <c r="O15" s="12" t="s">
        <v>21</v>
      </c>
      <c r="P15" s="17">
        <f t="shared" si="3"/>
        <v>12</v>
      </c>
      <c r="Q15" s="12">
        <f t="shared" si="2"/>
        <v>40</v>
      </c>
    </row>
    <row r="16" spans="1:17" ht="15" customHeight="1" x14ac:dyDescent="0.2">
      <c r="A16" s="12" t="s">
        <v>18</v>
      </c>
      <c r="B16" s="36" t="s">
        <v>511</v>
      </c>
      <c r="C16" s="12">
        <f t="shared" si="0"/>
        <v>44</v>
      </c>
      <c r="D16" s="12">
        <v>1</v>
      </c>
      <c r="G16" s="14" t="s">
        <v>19</v>
      </c>
      <c r="H16" s="12" t="s">
        <v>2293</v>
      </c>
      <c r="I16" s="12">
        <v>64277</v>
      </c>
      <c r="J16" s="12">
        <v>331</v>
      </c>
      <c r="K16" s="12" t="s">
        <v>20</v>
      </c>
      <c r="L16" s="12">
        <v>1</v>
      </c>
      <c r="M16" s="17">
        <v>29000</v>
      </c>
      <c r="N16" s="17">
        <f t="shared" si="1"/>
        <v>29000</v>
      </c>
      <c r="O16" s="12" t="s">
        <v>21</v>
      </c>
      <c r="P16" s="17">
        <f t="shared" si="3"/>
        <v>13</v>
      </c>
      <c r="Q16" s="12">
        <f t="shared" si="2"/>
        <v>40</v>
      </c>
    </row>
    <row r="17" spans="1:17" ht="15" customHeight="1" x14ac:dyDescent="0.2">
      <c r="A17" s="12" t="s">
        <v>18</v>
      </c>
      <c r="B17" s="36" t="s">
        <v>448</v>
      </c>
      <c r="C17" s="12">
        <f t="shared" si="0"/>
        <v>45</v>
      </c>
      <c r="D17" s="12">
        <v>1</v>
      </c>
      <c r="G17" s="14" t="s">
        <v>120</v>
      </c>
      <c r="H17" s="12" t="s">
        <v>2304</v>
      </c>
      <c r="I17" s="12">
        <v>64276</v>
      </c>
      <c r="J17" s="12">
        <v>331</v>
      </c>
      <c r="K17" s="12" t="s">
        <v>20</v>
      </c>
      <c r="L17" s="12">
        <v>1</v>
      </c>
      <c r="M17" s="17">
        <v>4490000</v>
      </c>
      <c r="N17" s="17">
        <f t="shared" si="1"/>
        <v>4490000</v>
      </c>
      <c r="O17" s="12" t="s">
        <v>21</v>
      </c>
      <c r="P17" s="17">
        <f t="shared" si="3"/>
        <v>14</v>
      </c>
      <c r="Q17" s="12">
        <f t="shared" si="2"/>
        <v>38</v>
      </c>
    </row>
    <row r="18" spans="1:17" ht="15" customHeight="1" x14ac:dyDescent="0.2">
      <c r="A18" s="12" t="s">
        <v>18</v>
      </c>
      <c r="B18" s="36" t="s">
        <v>448</v>
      </c>
      <c r="C18" s="12">
        <f t="shared" si="0"/>
        <v>46</v>
      </c>
      <c r="D18" s="12">
        <v>1</v>
      </c>
      <c r="G18" s="14" t="s">
        <v>19</v>
      </c>
      <c r="H18" s="12" t="s">
        <v>2294</v>
      </c>
      <c r="I18" s="12">
        <v>64277</v>
      </c>
      <c r="J18" s="12">
        <v>331</v>
      </c>
      <c r="K18" s="12" t="s">
        <v>20</v>
      </c>
      <c r="L18" s="12">
        <v>1</v>
      </c>
      <c r="M18" s="17">
        <v>61000</v>
      </c>
      <c r="N18" s="17">
        <f t="shared" si="1"/>
        <v>61000</v>
      </c>
      <c r="O18" s="12" t="s">
        <v>21</v>
      </c>
      <c r="P18" s="17">
        <f t="shared" si="3"/>
        <v>15</v>
      </c>
      <c r="Q18" s="12">
        <f t="shared" si="2"/>
        <v>40</v>
      </c>
    </row>
    <row r="19" spans="1:17" ht="15" customHeight="1" x14ac:dyDescent="0.2">
      <c r="A19" s="12" t="s">
        <v>18</v>
      </c>
      <c r="B19" s="36" t="s">
        <v>448</v>
      </c>
      <c r="C19" s="12">
        <f t="shared" si="0"/>
        <v>47</v>
      </c>
      <c r="D19" s="12">
        <v>1</v>
      </c>
      <c r="G19" s="14" t="s">
        <v>19</v>
      </c>
      <c r="H19" s="12" t="s">
        <v>2295</v>
      </c>
      <c r="I19" s="12">
        <v>64277</v>
      </c>
      <c r="J19" s="12">
        <v>331</v>
      </c>
      <c r="K19" s="12" t="s">
        <v>20</v>
      </c>
      <c r="L19" s="12">
        <v>1</v>
      </c>
      <c r="M19" s="17">
        <v>19000</v>
      </c>
      <c r="N19" s="17">
        <f t="shared" si="1"/>
        <v>19000</v>
      </c>
      <c r="O19" s="12" t="s">
        <v>21</v>
      </c>
      <c r="P19" s="17">
        <f t="shared" si="3"/>
        <v>16</v>
      </c>
      <c r="Q19" s="12">
        <f t="shared" si="2"/>
        <v>40</v>
      </c>
    </row>
    <row r="20" spans="1:17" ht="15" customHeight="1" x14ac:dyDescent="0.2">
      <c r="A20" s="12" t="s">
        <v>18</v>
      </c>
      <c r="B20" s="36" t="s">
        <v>449</v>
      </c>
      <c r="C20" s="12">
        <f t="shared" si="0"/>
        <v>48</v>
      </c>
      <c r="D20" s="12">
        <v>1</v>
      </c>
      <c r="G20" s="14" t="s">
        <v>37</v>
      </c>
      <c r="H20" s="12" t="s">
        <v>2234</v>
      </c>
      <c r="I20" s="12">
        <v>64277</v>
      </c>
      <c r="J20" s="12">
        <v>331</v>
      </c>
      <c r="K20" s="12" t="s">
        <v>20</v>
      </c>
      <c r="L20" s="12">
        <v>1</v>
      </c>
      <c r="M20" s="17">
        <v>3240000</v>
      </c>
      <c r="N20" s="17">
        <f t="shared" si="1"/>
        <v>3240000</v>
      </c>
      <c r="O20" s="12" t="s">
        <v>21</v>
      </c>
      <c r="P20" s="17">
        <f t="shared" si="3"/>
        <v>17</v>
      </c>
      <c r="Q20" s="12">
        <f t="shared" si="2"/>
        <v>42</v>
      </c>
    </row>
    <row r="21" spans="1:17" ht="15" customHeight="1" x14ac:dyDescent="0.2">
      <c r="A21" s="12" t="s">
        <v>18</v>
      </c>
      <c r="B21" s="36" t="s">
        <v>292</v>
      </c>
      <c r="C21" s="12">
        <f t="shared" si="0"/>
        <v>49</v>
      </c>
      <c r="D21" s="12">
        <v>1</v>
      </c>
      <c r="G21" s="14" t="s">
        <v>48</v>
      </c>
      <c r="H21" s="12" t="s">
        <v>2235</v>
      </c>
      <c r="I21" s="12">
        <v>64277</v>
      </c>
      <c r="J21" s="12">
        <v>331</v>
      </c>
      <c r="K21" s="12" t="s">
        <v>20</v>
      </c>
      <c r="L21" s="12">
        <v>1</v>
      </c>
      <c r="M21" s="17">
        <v>122107</v>
      </c>
      <c r="N21" s="17">
        <f t="shared" si="1"/>
        <v>122107</v>
      </c>
      <c r="O21" s="12" t="s">
        <v>21</v>
      </c>
      <c r="P21" s="17">
        <f t="shared" si="3"/>
        <v>18</v>
      </c>
      <c r="Q21" s="12">
        <f t="shared" si="2"/>
        <v>55</v>
      </c>
    </row>
    <row r="22" spans="1:17" ht="15" customHeight="1" x14ac:dyDescent="0.2">
      <c r="A22" s="12" t="s">
        <v>18</v>
      </c>
      <c r="B22" s="36" t="s">
        <v>713</v>
      </c>
      <c r="C22" s="12">
        <f t="shared" si="0"/>
        <v>50</v>
      </c>
      <c r="D22" s="12">
        <v>1</v>
      </c>
      <c r="G22" s="14" t="s">
        <v>25</v>
      </c>
      <c r="H22" s="12" t="s">
        <v>2280</v>
      </c>
      <c r="I22" s="12">
        <v>64277</v>
      </c>
      <c r="J22" s="12">
        <v>331</v>
      </c>
      <c r="K22" s="12" t="s">
        <v>20</v>
      </c>
      <c r="L22" s="12">
        <v>1</v>
      </c>
      <c r="M22" s="17">
        <v>860760</v>
      </c>
      <c r="N22" s="17">
        <f t="shared" si="1"/>
        <v>860760</v>
      </c>
      <c r="O22" s="12" t="s">
        <v>21</v>
      </c>
      <c r="P22" s="17">
        <f t="shared" si="3"/>
        <v>19</v>
      </c>
      <c r="Q22" s="12">
        <f t="shared" si="2"/>
        <v>44</v>
      </c>
    </row>
    <row r="23" spans="1:17" ht="15" customHeight="1" x14ac:dyDescent="0.2">
      <c r="A23" s="12" t="s">
        <v>18</v>
      </c>
      <c r="B23" s="36" t="s">
        <v>453</v>
      </c>
      <c r="C23" s="12">
        <f t="shared" si="0"/>
        <v>51</v>
      </c>
      <c r="D23" s="12">
        <v>1</v>
      </c>
      <c r="G23" s="14" t="s">
        <v>37</v>
      </c>
      <c r="H23" s="12" t="s">
        <v>2236</v>
      </c>
      <c r="I23" s="12">
        <v>64277</v>
      </c>
      <c r="J23" s="12">
        <v>331</v>
      </c>
      <c r="K23" s="12" t="s">
        <v>20</v>
      </c>
      <c r="L23" s="12">
        <v>1</v>
      </c>
      <c r="M23" s="17">
        <v>3240000</v>
      </c>
      <c r="N23" s="17">
        <f t="shared" si="1"/>
        <v>3240000</v>
      </c>
      <c r="O23" s="12" t="s">
        <v>21</v>
      </c>
      <c r="P23" s="17">
        <f t="shared" si="3"/>
        <v>20</v>
      </c>
      <c r="Q23" s="12">
        <f t="shared" si="2"/>
        <v>42</v>
      </c>
    </row>
    <row r="24" spans="1:17" ht="15" customHeight="1" x14ac:dyDescent="0.2">
      <c r="A24" s="12" t="s">
        <v>18</v>
      </c>
      <c r="B24" s="36" t="s">
        <v>524</v>
      </c>
      <c r="C24" s="12">
        <f t="shared" si="0"/>
        <v>52</v>
      </c>
      <c r="D24" s="12">
        <v>1</v>
      </c>
      <c r="G24" s="14" t="s">
        <v>48</v>
      </c>
      <c r="H24" s="12" t="s">
        <v>2237</v>
      </c>
      <c r="I24" s="12">
        <v>64277</v>
      </c>
      <c r="J24" s="12">
        <v>331</v>
      </c>
      <c r="K24" s="12" t="s">
        <v>20</v>
      </c>
      <c r="L24" s="12">
        <v>1</v>
      </c>
      <c r="M24" s="17">
        <v>93110</v>
      </c>
      <c r="N24" s="17">
        <f t="shared" si="1"/>
        <v>93110</v>
      </c>
      <c r="O24" s="12" t="s">
        <v>21</v>
      </c>
      <c r="P24" s="17">
        <f t="shared" si="3"/>
        <v>21</v>
      </c>
      <c r="Q24" s="12">
        <f t="shared" si="2"/>
        <v>55</v>
      </c>
    </row>
    <row r="25" spans="1:17" ht="15" customHeight="1" x14ac:dyDescent="0.2">
      <c r="A25" s="12" t="s">
        <v>18</v>
      </c>
      <c r="B25" s="36" t="s">
        <v>455</v>
      </c>
      <c r="C25" s="12">
        <f t="shared" si="0"/>
        <v>53</v>
      </c>
      <c r="D25" s="12">
        <v>1</v>
      </c>
      <c r="G25" s="14" t="s">
        <v>19</v>
      </c>
      <c r="H25" s="12" t="s">
        <v>2296</v>
      </c>
      <c r="I25" s="12">
        <v>64277</v>
      </c>
      <c r="J25" s="12">
        <v>331</v>
      </c>
      <c r="K25" s="12" t="s">
        <v>20</v>
      </c>
      <c r="L25" s="12">
        <v>1</v>
      </c>
      <c r="M25" s="17">
        <v>12000</v>
      </c>
      <c r="N25" s="17">
        <f t="shared" si="1"/>
        <v>12000</v>
      </c>
      <c r="O25" s="12" t="s">
        <v>21</v>
      </c>
      <c r="P25" s="17">
        <f t="shared" si="3"/>
        <v>22</v>
      </c>
      <c r="Q25" s="12">
        <f t="shared" si="2"/>
        <v>40</v>
      </c>
    </row>
    <row r="26" spans="1:17" ht="15" customHeight="1" x14ac:dyDescent="0.2">
      <c r="A26" s="12" t="s">
        <v>18</v>
      </c>
      <c r="B26" s="36" t="s">
        <v>672</v>
      </c>
      <c r="C26" s="12">
        <f t="shared" si="0"/>
        <v>54</v>
      </c>
      <c r="D26" s="12">
        <v>1</v>
      </c>
      <c r="G26" s="14" t="s">
        <v>19</v>
      </c>
      <c r="H26" s="12" t="s">
        <v>2297</v>
      </c>
      <c r="I26" s="12">
        <v>64277</v>
      </c>
      <c r="J26" s="12">
        <v>331</v>
      </c>
      <c r="K26" s="12" t="s">
        <v>20</v>
      </c>
      <c r="L26" s="12">
        <v>1</v>
      </c>
      <c r="M26" s="17">
        <v>79000</v>
      </c>
      <c r="N26" s="17">
        <f t="shared" si="1"/>
        <v>79000</v>
      </c>
      <c r="O26" s="12" t="s">
        <v>21</v>
      </c>
      <c r="P26" s="17">
        <f t="shared" si="3"/>
        <v>23</v>
      </c>
      <c r="Q26" s="12">
        <f t="shared" si="2"/>
        <v>40</v>
      </c>
    </row>
    <row r="27" spans="1:17" ht="15" customHeight="1" x14ac:dyDescent="0.2">
      <c r="A27" s="12" t="s">
        <v>18</v>
      </c>
      <c r="B27" s="36" t="s">
        <v>515</v>
      </c>
      <c r="C27" s="12">
        <f t="shared" si="0"/>
        <v>55</v>
      </c>
      <c r="D27" s="12">
        <v>1</v>
      </c>
      <c r="G27" s="14" t="s">
        <v>19</v>
      </c>
      <c r="H27" s="12" t="s">
        <v>2298</v>
      </c>
      <c r="I27" s="12">
        <v>64277</v>
      </c>
      <c r="J27" s="12">
        <v>331</v>
      </c>
      <c r="K27" s="12" t="s">
        <v>20</v>
      </c>
      <c r="L27" s="12">
        <v>1</v>
      </c>
      <c r="M27" s="17">
        <v>217000</v>
      </c>
      <c r="N27" s="17">
        <f t="shared" si="1"/>
        <v>217000</v>
      </c>
      <c r="O27" s="12" t="s">
        <v>21</v>
      </c>
      <c r="P27" s="17">
        <f t="shared" si="3"/>
        <v>24</v>
      </c>
      <c r="Q27" s="12">
        <f t="shared" si="2"/>
        <v>40</v>
      </c>
    </row>
    <row r="28" spans="1:17" ht="15" customHeight="1" x14ac:dyDescent="0.2">
      <c r="A28" s="12" t="s">
        <v>18</v>
      </c>
      <c r="B28" s="36" t="s">
        <v>380</v>
      </c>
      <c r="C28" s="12">
        <f t="shared" si="0"/>
        <v>56</v>
      </c>
      <c r="D28" s="12">
        <v>1</v>
      </c>
      <c r="G28" s="14" t="s">
        <v>1024</v>
      </c>
      <c r="H28" s="12" t="s">
        <v>2305</v>
      </c>
      <c r="I28" s="12">
        <v>64276</v>
      </c>
      <c r="J28" s="12">
        <v>331</v>
      </c>
      <c r="K28" s="12" t="s">
        <v>20</v>
      </c>
      <c r="L28" s="12">
        <v>1</v>
      </c>
      <c r="M28" s="17">
        <v>44490000</v>
      </c>
      <c r="N28" s="17">
        <f t="shared" si="1"/>
        <v>44490000</v>
      </c>
      <c r="O28" s="12" t="s">
        <v>21</v>
      </c>
      <c r="P28" s="17">
        <f t="shared" si="3"/>
        <v>25</v>
      </c>
      <c r="Q28" s="12">
        <f t="shared" si="2"/>
        <v>40</v>
      </c>
    </row>
    <row r="29" spans="1:17" ht="15" customHeight="1" x14ac:dyDescent="0.2">
      <c r="A29" s="12" t="s">
        <v>18</v>
      </c>
      <c r="B29" s="36" t="s">
        <v>381</v>
      </c>
      <c r="C29" s="12">
        <f t="shared" si="0"/>
        <v>57</v>
      </c>
      <c r="D29" s="12">
        <v>1</v>
      </c>
      <c r="G29" s="14" t="s">
        <v>2227</v>
      </c>
      <c r="H29" s="12" t="s">
        <v>2281</v>
      </c>
      <c r="I29" s="12">
        <v>64277</v>
      </c>
      <c r="J29" s="12">
        <v>331</v>
      </c>
      <c r="K29" s="12" t="s">
        <v>20</v>
      </c>
      <c r="L29" s="12">
        <v>1</v>
      </c>
      <c r="M29" s="17">
        <v>995760</v>
      </c>
      <c r="N29" s="17">
        <f t="shared" si="1"/>
        <v>995760</v>
      </c>
      <c r="O29" s="12" t="s">
        <v>21</v>
      </c>
      <c r="P29" s="17">
        <f t="shared" si="3"/>
        <v>26</v>
      </c>
      <c r="Q29" s="12">
        <f t="shared" si="2"/>
        <v>41</v>
      </c>
    </row>
    <row r="30" spans="1:17" ht="15" customHeight="1" x14ac:dyDescent="0.2">
      <c r="A30" s="12" t="s">
        <v>18</v>
      </c>
      <c r="B30" s="36" t="s">
        <v>381</v>
      </c>
      <c r="C30" s="12">
        <f t="shared" si="0"/>
        <v>58</v>
      </c>
      <c r="D30" s="12">
        <v>1</v>
      </c>
      <c r="G30" s="14" t="s">
        <v>19</v>
      </c>
      <c r="H30" s="12" t="s">
        <v>2299</v>
      </c>
      <c r="I30" s="12">
        <v>64277</v>
      </c>
      <c r="J30" s="12">
        <v>331</v>
      </c>
      <c r="K30" s="12" t="s">
        <v>20</v>
      </c>
      <c r="L30" s="12">
        <v>1</v>
      </c>
      <c r="M30" s="17">
        <v>40000</v>
      </c>
      <c r="N30" s="17">
        <f t="shared" si="1"/>
        <v>40000</v>
      </c>
      <c r="O30" s="12" t="s">
        <v>21</v>
      </c>
      <c r="P30" s="17">
        <f t="shared" si="3"/>
        <v>27</v>
      </c>
      <c r="Q30" s="12">
        <f t="shared" si="2"/>
        <v>40</v>
      </c>
    </row>
    <row r="31" spans="1:17" ht="15" customHeight="1" x14ac:dyDescent="0.2">
      <c r="A31" s="12" t="s">
        <v>18</v>
      </c>
      <c r="B31" s="36" t="s">
        <v>381</v>
      </c>
      <c r="C31" s="12">
        <f t="shared" si="0"/>
        <v>59</v>
      </c>
      <c r="D31" s="12">
        <v>1</v>
      </c>
      <c r="G31" s="14" t="s">
        <v>19</v>
      </c>
      <c r="H31" s="12" t="s">
        <v>2300</v>
      </c>
      <c r="I31" s="12">
        <v>64277</v>
      </c>
      <c r="J31" s="12">
        <v>331</v>
      </c>
      <c r="K31" s="12" t="s">
        <v>20</v>
      </c>
      <c r="L31" s="12">
        <v>1</v>
      </c>
      <c r="M31" s="17">
        <v>108000</v>
      </c>
      <c r="N31" s="17">
        <f t="shared" si="1"/>
        <v>108000</v>
      </c>
      <c r="O31" s="12" t="s">
        <v>21</v>
      </c>
      <c r="P31" s="17">
        <f t="shared" si="3"/>
        <v>28</v>
      </c>
      <c r="Q31" s="12">
        <f t="shared" si="2"/>
        <v>40</v>
      </c>
    </row>
    <row r="32" spans="1:17" ht="15" customHeight="1" x14ac:dyDescent="0.2">
      <c r="A32" s="12" t="s">
        <v>18</v>
      </c>
      <c r="B32" s="36" t="s">
        <v>381</v>
      </c>
      <c r="C32" s="12">
        <f t="shared" si="0"/>
        <v>60</v>
      </c>
      <c r="D32" s="12">
        <v>1</v>
      </c>
      <c r="G32" s="14" t="s">
        <v>19</v>
      </c>
      <c r="H32" s="12" t="s">
        <v>2301</v>
      </c>
      <c r="I32" s="12">
        <v>64277</v>
      </c>
      <c r="J32" s="12">
        <v>331</v>
      </c>
      <c r="K32" s="12" t="s">
        <v>20</v>
      </c>
      <c r="L32" s="12">
        <v>1</v>
      </c>
      <c r="M32" s="17">
        <v>119000</v>
      </c>
      <c r="N32" s="17">
        <f t="shared" si="1"/>
        <v>119000</v>
      </c>
      <c r="O32" s="12" t="s">
        <v>21</v>
      </c>
      <c r="P32" s="17">
        <f t="shared" si="3"/>
        <v>29</v>
      </c>
      <c r="Q32" s="12">
        <f t="shared" si="2"/>
        <v>40</v>
      </c>
    </row>
    <row r="33" spans="1:17" ht="15" customHeight="1" x14ac:dyDescent="0.2">
      <c r="A33" s="12" t="s">
        <v>18</v>
      </c>
      <c r="B33" s="36" t="s">
        <v>516</v>
      </c>
      <c r="C33" s="12">
        <f t="shared" si="0"/>
        <v>61</v>
      </c>
      <c r="D33" s="12">
        <v>1</v>
      </c>
      <c r="G33" s="14" t="s">
        <v>19</v>
      </c>
      <c r="H33" s="12" t="s">
        <v>2302</v>
      </c>
      <c r="I33" s="12">
        <v>64277</v>
      </c>
      <c r="J33" s="12">
        <v>331</v>
      </c>
      <c r="K33" s="12" t="s">
        <v>20</v>
      </c>
      <c r="L33" s="12">
        <v>1</v>
      </c>
      <c r="M33" s="17">
        <v>24000</v>
      </c>
      <c r="N33" s="17">
        <f t="shared" si="1"/>
        <v>24000</v>
      </c>
      <c r="O33" s="12" t="s">
        <v>21</v>
      </c>
      <c r="P33" s="17">
        <f t="shared" si="3"/>
        <v>30</v>
      </c>
      <c r="Q33" s="12">
        <f t="shared" si="2"/>
        <v>40</v>
      </c>
    </row>
    <row r="34" spans="1:17" ht="15" customHeight="1" x14ac:dyDescent="0.2">
      <c r="A34" s="12" t="s">
        <v>18</v>
      </c>
      <c r="B34" s="36" t="s">
        <v>2043</v>
      </c>
      <c r="C34" s="12">
        <f t="shared" si="0"/>
        <v>62</v>
      </c>
      <c r="D34" s="12">
        <v>1</v>
      </c>
      <c r="G34" s="14" t="s">
        <v>19</v>
      </c>
      <c r="H34" s="12" t="s">
        <v>2303</v>
      </c>
      <c r="I34" s="12">
        <v>64277</v>
      </c>
      <c r="J34" s="12">
        <v>331</v>
      </c>
      <c r="K34" s="12" t="s">
        <v>20</v>
      </c>
      <c r="L34" s="12">
        <v>1</v>
      </c>
      <c r="M34" s="17">
        <v>24000</v>
      </c>
      <c r="N34" s="17">
        <f t="shared" si="1"/>
        <v>24000</v>
      </c>
      <c r="O34" s="12" t="s">
        <v>21</v>
      </c>
      <c r="P34" s="17">
        <f t="shared" si="3"/>
        <v>31</v>
      </c>
      <c r="Q34" s="12">
        <f t="shared" si="2"/>
        <v>40</v>
      </c>
    </row>
    <row r="35" spans="1:17" ht="15" customHeight="1" x14ac:dyDescent="0.2">
      <c r="A35" s="12" t="s">
        <v>18</v>
      </c>
      <c r="B35" s="36" t="s">
        <v>383</v>
      </c>
      <c r="C35" s="12">
        <f t="shared" si="0"/>
        <v>63</v>
      </c>
      <c r="D35" s="12">
        <v>1</v>
      </c>
      <c r="G35" s="14" t="s">
        <v>1015</v>
      </c>
      <c r="H35" s="12" t="s">
        <v>2282</v>
      </c>
      <c r="I35" s="12">
        <v>64277</v>
      </c>
      <c r="J35" s="12">
        <v>331</v>
      </c>
      <c r="K35" s="12" t="s">
        <v>20</v>
      </c>
      <c r="L35" s="12">
        <v>1</v>
      </c>
      <c r="M35" s="17">
        <v>402570</v>
      </c>
      <c r="N35" s="17">
        <f t="shared" si="1"/>
        <v>402570</v>
      </c>
      <c r="O35" s="12" t="s">
        <v>21</v>
      </c>
      <c r="P35" s="17">
        <f t="shared" si="3"/>
        <v>32</v>
      </c>
      <c r="Q35" s="12">
        <f t="shared" si="2"/>
        <v>41</v>
      </c>
    </row>
    <row r="36" spans="1:17" ht="15" customHeight="1" x14ac:dyDescent="0.2">
      <c r="A36" s="12" t="s">
        <v>18</v>
      </c>
      <c r="B36" s="36" t="s">
        <v>383</v>
      </c>
      <c r="C36" s="12">
        <f t="shared" ref="C36:C66" si="4">C35+D36</f>
        <v>64</v>
      </c>
      <c r="D36" s="12">
        <v>1</v>
      </c>
      <c r="G36" s="14" t="s">
        <v>1015</v>
      </c>
      <c r="H36" s="12" t="s">
        <v>2283</v>
      </c>
      <c r="I36" s="12">
        <v>64277</v>
      </c>
      <c r="J36" s="12">
        <v>331</v>
      </c>
      <c r="K36" s="12" t="s">
        <v>20</v>
      </c>
      <c r="L36" s="12">
        <v>1</v>
      </c>
      <c r="M36" s="17">
        <v>2988090</v>
      </c>
      <c r="N36" s="17">
        <f t="shared" ref="N36:N66" si="5">L36*M36</f>
        <v>2988090</v>
      </c>
      <c r="O36" s="12" t="s">
        <v>21</v>
      </c>
      <c r="P36" s="17">
        <f t="shared" si="3"/>
        <v>33</v>
      </c>
      <c r="Q36" s="12">
        <f t="shared" si="2"/>
        <v>41</v>
      </c>
    </row>
    <row r="37" spans="1:17" ht="15" customHeight="1" x14ac:dyDescent="0.2">
      <c r="A37" s="12" t="s">
        <v>18</v>
      </c>
      <c r="B37" s="36" t="s">
        <v>457</v>
      </c>
      <c r="C37" s="12">
        <f t="shared" si="4"/>
        <v>65</v>
      </c>
      <c r="D37" s="12">
        <v>1</v>
      </c>
      <c r="G37" s="14" t="s">
        <v>2225</v>
      </c>
      <c r="H37" s="12" t="s">
        <v>2284</v>
      </c>
      <c r="I37" s="12">
        <v>64277</v>
      </c>
      <c r="J37" s="12">
        <v>331</v>
      </c>
      <c r="K37" s="12" t="s">
        <v>20</v>
      </c>
      <c r="L37" s="12">
        <v>1</v>
      </c>
      <c r="M37" s="17">
        <v>408240</v>
      </c>
      <c r="N37" s="17">
        <f t="shared" si="5"/>
        <v>408240</v>
      </c>
      <c r="O37" s="12" t="s">
        <v>21</v>
      </c>
      <c r="P37" s="17">
        <f t="shared" si="3"/>
        <v>34</v>
      </c>
      <c r="Q37" s="12">
        <f t="shared" si="2"/>
        <v>41</v>
      </c>
    </row>
    <row r="38" spans="1:17" ht="15" customHeight="1" x14ac:dyDescent="0.2">
      <c r="A38" s="12" t="s">
        <v>18</v>
      </c>
      <c r="B38" s="36" t="s">
        <v>320</v>
      </c>
      <c r="C38" s="12">
        <f t="shared" si="4"/>
        <v>66</v>
      </c>
      <c r="D38" s="12">
        <v>1</v>
      </c>
      <c r="G38" s="14" t="s">
        <v>2228</v>
      </c>
      <c r="H38" s="12" t="s">
        <v>2285</v>
      </c>
      <c r="I38" s="12">
        <v>64277</v>
      </c>
      <c r="J38" s="12">
        <v>331</v>
      </c>
      <c r="K38" s="12" t="s">
        <v>20</v>
      </c>
      <c r="L38" s="12">
        <v>1</v>
      </c>
      <c r="M38" s="17">
        <v>495880</v>
      </c>
      <c r="N38" s="17">
        <f t="shared" si="5"/>
        <v>495880</v>
      </c>
      <c r="O38" s="12" t="s">
        <v>21</v>
      </c>
      <c r="P38" s="17">
        <f t="shared" si="3"/>
        <v>35</v>
      </c>
      <c r="Q38" s="12">
        <f t="shared" si="2"/>
        <v>41</v>
      </c>
    </row>
    <row r="39" spans="1:17" ht="15" customHeight="1" x14ac:dyDescent="0.2">
      <c r="A39" s="12" t="s">
        <v>18</v>
      </c>
      <c r="B39" s="36" t="s">
        <v>2045</v>
      </c>
      <c r="C39" s="12">
        <f t="shared" si="4"/>
        <v>67</v>
      </c>
      <c r="D39" s="12">
        <v>1</v>
      </c>
      <c r="G39" s="14" t="s">
        <v>2225</v>
      </c>
      <c r="H39" s="12" t="s">
        <v>2286</v>
      </c>
      <c r="I39" s="12">
        <v>64277</v>
      </c>
      <c r="J39" s="12">
        <v>331</v>
      </c>
      <c r="K39" s="12" t="s">
        <v>20</v>
      </c>
      <c r="L39" s="12">
        <v>1</v>
      </c>
      <c r="M39" s="17">
        <v>774360</v>
      </c>
      <c r="N39" s="17">
        <f t="shared" si="5"/>
        <v>774360</v>
      </c>
      <c r="O39" s="12" t="s">
        <v>21</v>
      </c>
      <c r="P39" s="17">
        <f t="shared" si="3"/>
        <v>36</v>
      </c>
      <c r="Q39" s="12">
        <f t="shared" si="2"/>
        <v>41</v>
      </c>
    </row>
    <row r="40" spans="1:17" ht="15" customHeight="1" x14ac:dyDescent="0.2">
      <c r="A40" s="12" t="s">
        <v>18</v>
      </c>
      <c r="B40" s="36" t="s">
        <v>2513</v>
      </c>
      <c r="C40" s="12">
        <f t="shared" ref="C40:C41" si="6">C39+D40</f>
        <v>68</v>
      </c>
      <c r="D40" s="12">
        <v>1</v>
      </c>
      <c r="G40" s="14" t="s">
        <v>25</v>
      </c>
      <c r="H40" s="12" t="s">
        <v>2669</v>
      </c>
      <c r="I40" s="12">
        <v>64277</v>
      </c>
      <c r="J40" s="12">
        <v>331</v>
      </c>
      <c r="K40" s="12" t="s">
        <v>20</v>
      </c>
      <c r="L40" s="12">
        <v>1</v>
      </c>
      <c r="M40" s="17">
        <v>1399680</v>
      </c>
      <c r="N40" s="17">
        <f t="shared" ref="N40" si="7">L40*M40</f>
        <v>1399680</v>
      </c>
      <c r="O40" s="12" t="s">
        <v>21</v>
      </c>
      <c r="P40" s="17">
        <f t="shared" si="3"/>
        <v>37</v>
      </c>
      <c r="Q40" s="12">
        <f t="shared" si="2"/>
        <v>44</v>
      </c>
    </row>
    <row r="41" spans="1:17" ht="15" customHeight="1" x14ac:dyDescent="0.2">
      <c r="A41" s="12" t="s">
        <v>18</v>
      </c>
      <c r="B41" s="36" t="s">
        <v>309</v>
      </c>
      <c r="C41" s="12">
        <f t="shared" si="6"/>
        <v>69</v>
      </c>
      <c r="D41" s="12">
        <v>1</v>
      </c>
      <c r="G41" s="14" t="s">
        <v>117</v>
      </c>
      <c r="H41" s="12" t="s">
        <v>2238</v>
      </c>
      <c r="I41" s="12">
        <v>131</v>
      </c>
      <c r="J41" s="12">
        <v>5113</v>
      </c>
      <c r="K41" s="12" t="s">
        <v>20</v>
      </c>
      <c r="L41" s="12">
        <v>1</v>
      </c>
      <c r="M41" s="17">
        <v>8602151</v>
      </c>
      <c r="N41" s="17">
        <f t="shared" si="5"/>
        <v>8602151</v>
      </c>
      <c r="O41" s="12" t="s">
        <v>3388</v>
      </c>
      <c r="P41" s="17">
        <f t="shared" si="3"/>
        <v>38</v>
      </c>
      <c r="Q41" s="12">
        <f t="shared" si="2"/>
        <v>164</v>
      </c>
    </row>
    <row r="42" spans="1:17" ht="15" customHeight="1" x14ac:dyDescent="0.2">
      <c r="A42" s="12" t="s">
        <v>18</v>
      </c>
      <c r="B42" s="36" t="s">
        <v>309</v>
      </c>
      <c r="C42" s="12">
        <f t="shared" si="4"/>
        <v>69</v>
      </c>
      <c r="D42" s="12">
        <v>0</v>
      </c>
      <c r="G42" s="14" t="s">
        <v>117</v>
      </c>
      <c r="H42" s="12" t="s">
        <v>2258</v>
      </c>
      <c r="I42" s="12">
        <v>333812</v>
      </c>
      <c r="J42" s="12">
        <v>131</v>
      </c>
      <c r="K42" s="20" t="s">
        <v>20</v>
      </c>
      <c r="L42" s="20">
        <v>1</v>
      </c>
      <c r="M42" s="17">
        <v>86022</v>
      </c>
      <c r="N42" s="34">
        <f t="shared" si="5"/>
        <v>86022</v>
      </c>
      <c r="O42" s="12" t="s">
        <v>3388</v>
      </c>
      <c r="P42" s="17">
        <f t="shared" si="3"/>
        <v>38</v>
      </c>
      <c r="Q42" s="12">
        <f t="shared" si="2"/>
        <v>180</v>
      </c>
    </row>
    <row r="43" spans="1:17" ht="15" customHeight="1" x14ac:dyDescent="0.2">
      <c r="A43" s="12" t="s">
        <v>18</v>
      </c>
      <c r="B43" s="36" t="s">
        <v>311</v>
      </c>
      <c r="C43" s="12">
        <f t="shared" si="4"/>
        <v>70</v>
      </c>
      <c r="D43" s="12">
        <v>1</v>
      </c>
      <c r="G43" s="14" t="s">
        <v>145</v>
      </c>
      <c r="H43" s="12" t="s">
        <v>3452</v>
      </c>
      <c r="I43" s="12">
        <v>131</v>
      </c>
      <c r="J43" s="12">
        <v>5113</v>
      </c>
      <c r="K43" s="12" t="s">
        <v>20</v>
      </c>
      <c r="L43" s="12">
        <v>1</v>
      </c>
      <c r="M43" s="17">
        <v>12848485</v>
      </c>
      <c r="N43" s="17">
        <f t="shared" si="5"/>
        <v>12848485</v>
      </c>
      <c r="O43" s="12" t="s">
        <v>21</v>
      </c>
      <c r="P43" s="17">
        <f t="shared" si="3"/>
        <v>39</v>
      </c>
      <c r="Q43" s="12">
        <f t="shared" si="2"/>
        <v>154</v>
      </c>
    </row>
    <row r="44" spans="1:17" ht="15" customHeight="1" x14ac:dyDescent="0.2">
      <c r="A44" s="12" t="s">
        <v>18</v>
      </c>
      <c r="B44" s="36" t="s">
        <v>311</v>
      </c>
      <c r="C44" s="12">
        <f t="shared" si="4"/>
        <v>70</v>
      </c>
      <c r="D44" s="12">
        <v>0</v>
      </c>
      <c r="G44" s="14" t="s">
        <v>145</v>
      </c>
      <c r="H44" s="12" t="s">
        <v>3453</v>
      </c>
      <c r="I44" s="12">
        <v>333821</v>
      </c>
      <c r="J44" s="12">
        <v>131</v>
      </c>
      <c r="K44" s="20" t="s">
        <v>20</v>
      </c>
      <c r="L44" s="20">
        <v>1</v>
      </c>
      <c r="M44" s="17">
        <v>128485</v>
      </c>
      <c r="N44" s="34">
        <f t="shared" si="5"/>
        <v>128485</v>
      </c>
      <c r="O44" s="12" t="s">
        <v>21</v>
      </c>
      <c r="P44" s="17">
        <f t="shared" si="3"/>
        <v>39</v>
      </c>
      <c r="Q44" s="12">
        <f t="shared" si="2"/>
        <v>170</v>
      </c>
    </row>
    <row r="45" spans="1:17" ht="15" customHeight="1" x14ac:dyDescent="0.2">
      <c r="A45" s="12" t="s">
        <v>18</v>
      </c>
      <c r="B45" s="63" t="s">
        <v>290</v>
      </c>
      <c r="C45" s="12">
        <f t="shared" si="4"/>
        <v>71</v>
      </c>
      <c r="D45" s="12">
        <v>1</v>
      </c>
      <c r="E45" s="20"/>
      <c r="G45" s="32" t="s">
        <v>2141</v>
      </c>
      <c r="H45" s="20" t="s">
        <v>2239</v>
      </c>
      <c r="I45" s="12">
        <v>131</v>
      </c>
      <c r="J45" s="12">
        <v>5113</v>
      </c>
      <c r="K45" s="20" t="s">
        <v>20</v>
      </c>
      <c r="L45" s="20">
        <v>1</v>
      </c>
      <c r="M45" s="34">
        <v>16129032</v>
      </c>
      <c r="N45" s="34">
        <f t="shared" si="5"/>
        <v>16129032</v>
      </c>
      <c r="O45" s="12" t="s">
        <v>21</v>
      </c>
      <c r="P45" s="17">
        <f t="shared" si="3"/>
        <v>40</v>
      </c>
      <c r="Q45" s="12">
        <f t="shared" si="2"/>
        <v>149</v>
      </c>
    </row>
    <row r="46" spans="1:17" ht="15" customHeight="1" x14ac:dyDescent="0.2">
      <c r="A46" s="12" t="s">
        <v>18</v>
      </c>
      <c r="B46" s="36" t="s">
        <v>290</v>
      </c>
      <c r="C46" s="12">
        <f t="shared" si="4"/>
        <v>71</v>
      </c>
      <c r="D46" s="12">
        <v>0</v>
      </c>
      <c r="G46" s="14" t="s">
        <v>2141</v>
      </c>
      <c r="H46" s="12" t="s">
        <v>2259</v>
      </c>
      <c r="I46" s="12">
        <v>333821</v>
      </c>
      <c r="J46" s="12">
        <v>131</v>
      </c>
      <c r="K46" s="20" t="s">
        <v>20</v>
      </c>
      <c r="L46" s="20">
        <v>1</v>
      </c>
      <c r="M46" s="17">
        <v>161290</v>
      </c>
      <c r="N46" s="34">
        <f t="shared" si="5"/>
        <v>161290</v>
      </c>
      <c r="O46" s="12" t="s">
        <v>21</v>
      </c>
      <c r="P46" s="17">
        <f t="shared" si="3"/>
        <v>40</v>
      </c>
      <c r="Q46" s="12">
        <f t="shared" si="2"/>
        <v>165</v>
      </c>
    </row>
    <row r="47" spans="1:17" ht="15" customHeight="1" x14ac:dyDescent="0.2">
      <c r="A47" s="12" t="s">
        <v>18</v>
      </c>
      <c r="B47" s="63" t="s">
        <v>290</v>
      </c>
      <c r="C47" s="12">
        <f t="shared" si="4"/>
        <v>72</v>
      </c>
      <c r="D47" s="12">
        <v>1</v>
      </c>
      <c r="E47" s="20"/>
      <c r="G47" s="32" t="s">
        <v>150</v>
      </c>
      <c r="H47" s="20" t="s">
        <v>2240</v>
      </c>
      <c r="I47" s="12">
        <v>131</v>
      </c>
      <c r="J47" s="12">
        <v>5113</v>
      </c>
      <c r="K47" s="20" t="s">
        <v>20</v>
      </c>
      <c r="L47" s="20">
        <v>1</v>
      </c>
      <c r="M47" s="34">
        <v>15053764</v>
      </c>
      <c r="N47" s="34">
        <f t="shared" si="5"/>
        <v>15053764</v>
      </c>
      <c r="O47" s="12" t="s">
        <v>21</v>
      </c>
      <c r="P47" s="17">
        <f t="shared" si="3"/>
        <v>41</v>
      </c>
      <c r="Q47" s="12">
        <f t="shared" si="2"/>
        <v>160</v>
      </c>
    </row>
    <row r="48" spans="1:17" ht="15" customHeight="1" x14ac:dyDescent="0.2">
      <c r="A48" s="12" t="s">
        <v>18</v>
      </c>
      <c r="B48" s="36" t="s">
        <v>290</v>
      </c>
      <c r="C48" s="12">
        <f t="shared" si="4"/>
        <v>72</v>
      </c>
      <c r="D48" s="12">
        <v>0</v>
      </c>
      <c r="G48" s="14" t="s">
        <v>150</v>
      </c>
      <c r="H48" s="12" t="s">
        <v>2260</v>
      </c>
      <c r="I48" s="12">
        <v>333821</v>
      </c>
      <c r="J48" s="12">
        <v>131</v>
      </c>
      <c r="K48" s="20" t="s">
        <v>20</v>
      </c>
      <c r="L48" s="20">
        <v>1</v>
      </c>
      <c r="M48" s="17">
        <v>150538</v>
      </c>
      <c r="N48" s="34">
        <f t="shared" si="5"/>
        <v>150538</v>
      </c>
      <c r="O48" s="12" t="s">
        <v>21</v>
      </c>
      <c r="P48" s="17">
        <f t="shared" si="3"/>
        <v>41</v>
      </c>
      <c r="Q48" s="12">
        <f t="shared" si="2"/>
        <v>176</v>
      </c>
    </row>
    <row r="49" spans="1:17" ht="15" customHeight="1" x14ac:dyDescent="0.2">
      <c r="A49" s="12" t="s">
        <v>18</v>
      </c>
      <c r="B49" s="36" t="s">
        <v>376</v>
      </c>
      <c r="C49" s="12">
        <f t="shared" si="4"/>
        <v>73</v>
      </c>
      <c r="D49" s="12">
        <v>1</v>
      </c>
      <c r="G49" s="14" t="s">
        <v>145</v>
      </c>
      <c r="H49" s="12" t="s">
        <v>3454</v>
      </c>
      <c r="I49" s="12">
        <v>131</v>
      </c>
      <c r="J49" s="12">
        <v>5113</v>
      </c>
      <c r="K49" s="20" t="s">
        <v>20</v>
      </c>
      <c r="L49" s="20">
        <v>1</v>
      </c>
      <c r="M49" s="17">
        <v>12848485</v>
      </c>
      <c r="N49" s="34">
        <f t="shared" si="5"/>
        <v>12848485</v>
      </c>
      <c r="O49" s="12" t="s">
        <v>21</v>
      </c>
      <c r="P49" s="17">
        <f t="shared" si="3"/>
        <v>42</v>
      </c>
      <c r="Q49" s="12">
        <f t="shared" si="2"/>
        <v>155</v>
      </c>
    </row>
    <row r="50" spans="1:17" ht="15" customHeight="1" x14ac:dyDescent="0.2">
      <c r="A50" s="12" t="s">
        <v>18</v>
      </c>
      <c r="B50" s="36" t="s">
        <v>376</v>
      </c>
      <c r="C50" s="12">
        <f t="shared" si="4"/>
        <v>73</v>
      </c>
      <c r="D50" s="12">
        <v>0</v>
      </c>
      <c r="G50" s="14" t="s">
        <v>145</v>
      </c>
      <c r="H50" s="12" t="s">
        <v>3455</v>
      </c>
      <c r="I50" s="12">
        <v>333821</v>
      </c>
      <c r="J50" s="12">
        <v>131</v>
      </c>
      <c r="K50" s="20" t="s">
        <v>20</v>
      </c>
      <c r="L50" s="20">
        <v>1</v>
      </c>
      <c r="M50" s="17">
        <v>128485</v>
      </c>
      <c r="N50" s="34">
        <f t="shared" si="5"/>
        <v>128485</v>
      </c>
      <c r="O50" s="12" t="s">
        <v>21</v>
      </c>
      <c r="P50" s="17">
        <f t="shared" si="3"/>
        <v>42</v>
      </c>
      <c r="Q50" s="12">
        <f t="shared" si="2"/>
        <v>171</v>
      </c>
    </row>
    <row r="51" spans="1:17" ht="15" customHeight="1" x14ac:dyDescent="0.2">
      <c r="A51" s="12" t="s">
        <v>18</v>
      </c>
      <c r="B51" s="36" t="s">
        <v>868</v>
      </c>
      <c r="C51" s="12">
        <f t="shared" si="4"/>
        <v>74</v>
      </c>
      <c r="D51" s="12">
        <v>1</v>
      </c>
      <c r="G51" s="14" t="s">
        <v>117</v>
      </c>
      <c r="H51" s="12" t="s">
        <v>2241</v>
      </c>
      <c r="I51" s="12">
        <v>131</v>
      </c>
      <c r="J51" s="12">
        <v>5113</v>
      </c>
      <c r="K51" s="20" t="s">
        <v>20</v>
      </c>
      <c r="L51" s="20">
        <v>1</v>
      </c>
      <c r="M51" s="17">
        <v>22580645</v>
      </c>
      <c r="N51" s="34">
        <f t="shared" si="5"/>
        <v>22580645</v>
      </c>
      <c r="O51" s="12" t="s">
        <v>21</v>
      </c>
      <c r="P51" s="17">
        <f t="shared" si="3"/>
        <v>43</v>
      </c>
      <c r="Q51" s="12">
        <f t="shared" si="2"/>
        <v>165</v>
      </c>
    </row>
    <row r="52" spans="1:17" ht="15" customHeight="1" x14ac:dyDescent="0.2">
      <c r="A52" s="12" t="s">
        <v>18</v>
      </c>
      <c r="B52" s="36" t="s">
        <v>868</v>
      </c>
      <c r="C52" s="12">
        <f t="shared" si="4"/>
        <v>74</v>
      </c>
      <c r="D52" s="12">
        <v>0</v>
      </c>
      <c r="G52" s="14" t="s">
        <v>117</v>
      </c>
      <c r="H52" s="12" t="s">
        <v>2261</v>
      </c>
      <c r="I52" s="12">
        <v>333821</v>
      </c>
      <c r="J52" s="12">
        <v>131</v>
      </c>
      <c r="K52" s="20" t="s">
        <v>20</v>
      </c>
      <c r="L52" s="20">
        <v>1</v>
      </c>
      <c r="M52" s="17">
        <v>225806</v>
      </c>
      <c r="N52" s="34">
        <f t="shared" si="5"/>
        <v>225806</v>
      </c>
      <c r="O52" s="12" t="s">
        <v>21</v>
      </c>
      <c r="P52" s="17">
        <f t="shared" si="3"/>
        <v>43</v>
      </c>
      <c r="Q52" s="12">
        <f t="shared" si="2"/>
        <v>181</v>
      </c>
    </row>
    <row r="53" spans="1:17" ht="15" customHeight="1" x14ac:dyDescent="0.2">
      <c r="A53" s="12" t="s">
        <v>18</v>
      </c>
      <c r="B53" s="36" t="s">
        <v>468</v>
      </c>
      <c r="C53" s="12">
        <f t="shared" si="4"/>
        <v>75</v>
      </c>
      <c r="D53" s="12">
        <v>1</v>
      </c>
      <c r="G53" s="32" t="s">
        <v>26</v>
      </c>
      <c r="H53" s="20" t="s">
        <v>2242</v>
      </c>
      <c r="I53" s="12">
        <v>131</v>
      </c>
      <c r="J53" s="12">
        <v>5113</v>
      </c>
      <c r="K53" s="20" t="s">
        <v>20</v>
      </c>
      <c r="L53" s="20">
        <v>1</v>
      </c>
      <c r="M53" s="17">
        <v>12903226</v>
      </c>
      <c r="N53" s="34">
        <f t="shared" si="5"/>
        <v>12903226</v>
      </c>
      <c r="O53" s="12" t="s">
        <v>21</v>
      </c>
      <c r="P53" s="17">
        <f t="shared" si="3"/>
        <v>44</v>
      </c>
      <c r="Q53" s="12">
        <f t="shared" si="2"/>
        <v>166</v>
      </c>
    </row>
    <row r="54" spans="1:17" ht="15" customHeight="1" x14ac:dyDescent="0.2">
      <c r="A54" s="12" t="s">
        <v>18</v>
      </c>
      <c r="B54" s="36" t="s">
        <v>468</v>
      </c>
      <c r="C54" s="12">
        <f t="shared" si="4"/>
        <v>75</v>
      </c>
      <c r="D54" s="12">
        <v>0</v>
      </c>
      <c r="G54" s="14" t="s">
        <v>26</v>
      </c>
      <c r="H54" s="12" t="s">
        <v>2262</v>
      </c>
      <c r="I54" s="12">
        <v>333821</v>
      </c>
      <c r="J54" s="12">
        <v>131</v>
      </c>
      <c r="K54" s="20" t="s">
        <v>20</v>
      </c>
      <c r="L54" s="20">
        <v>1</v>
      </c>
      <c r="M54" s="17">
        <v>129032</v>
      </c>
      <c r="N54" s="34">
        <f t="shared" si="5"/>
        <v>129032</v>
      </c>
      <c r="O54" s="12" t="s">
        <v>21</v>
      </c>
      <c r="P54" s="17">
        <f t="shared" si="3"/>
        <v>44</v>
      </c>
      <c r="Q54" s="12">
        <f t="shared" si="2"/>
        <v>182</v>
      </c>
    </row>
    <row r="55" spans="1:17" ht="15" customHeight="1" x14ac:dyDescent="0.2">
      <c r="A55" s="12" t="s">
        <v>18</v>
      </c>
      <c r="B55" s="36" t="s">
        <v>468</v>
      </c>
      <c r="C55" s="12">
        <f t="shared" si="4"/>
        <v>76</v>
      </c>
      <c r="D55" s="12">
        <v>1</v>
      </c>
      <c r="G55" s="32" t="s">
        <v>47</v>
      </c>
      <c r="H55" s="20" t="s">
        <v>2243</v>
      </c>
      <c r="I55" s="12">
        <v>131</v>
      </c>
      <c r="J55" s="12">
        <v>5113</v>
      </c>
      <c r="K55" s="20" t="s">
        <v>20</v>
      </c>
      <c r="L55" s="20">
        <v>1</v>
      </c>
      <c r="M55" s="17">
        <v>19354838</v>
      </c>
      <c r="N55" s="34">
        <f t="shared" si="5"/>
        <v>19354838</v>
      </c>
      <c r="O55" s="12" t="s">
        <v>21</v>
      </c>
      <c r="P55" s="17">
        <f t="shared" si="3"/>
        <v>45</v>
      </c>
      <c r="Q55" s="12">
        <f t="shared" si="2"/>
        <v>187</v>
      </c>
    </row>
    <row r="56" spans="1:17" ht="15" customHeight="1" x14ac:dyDescent="0.2">
      <c r="A56" s="12" t="s">
        <v>18</v>
      </c>
      <c r="B56" s="36" t="s">
        <v>468</v>
      </c>
      <c r="C56" s="12">
        <f t="shared" si="4"/>
        <v>76</v>
      </c>
      <c r="D56" s="12">
        <v>0</v>
      </c>
      <c r="G56" s="14" t="s">
        <v>47</v>
      </c>
      <c r="H56" s="12" t="s">
        <v>3456</v>
      </c>
      <c r="I56" s="12">
        <v>333821</v>
      </c>
      <c r="J56" s="12">
        <v>131</v>
      </c>
      <c r="K56" s="20" t="s">
        <v>20</v>
      </c>
      <c r="L56" s="20">
        <v>1</v>
      </c>
      <c r="M56" s="17">
        <v>193548</v>
      </c>
      <c r="N56" s="34">
        <f t="shared" si="5"/>
        <v>193548</v>
      </c>
      <c r="O56" s="12" t="s">
        <v>21</v>
      </c>
      <c r="P56" s="17">
        <f t="shared" si="3"/>
        <v>45</v>
      </c>
      <c r="Q56" s="12">
        <f t="shared" si="2"/>
        <v>122</v>
      </c>
    </row>
    <row r="57" spans="1:17" ht="15" customHeight="1" x14ac:dyDescent="0.2">
      <c r="A57" s="12" t="s">
        <v>18</v>
      </c>
      <c r="B57" s="36" t="s">
        <v>415</v>
      </c>
      <c r="C57" s="12">
        <f t="shared" si="4"/>
        <v>77</v>
      </c>
      <c r="D57" s="12">
        <v>1</v>
      </c>
      <c r="G57" s="32" t="s">
        <v>2229</v>
      </c>
      <c r="H57" s="20" t="s">
        <v>2244</v>
      </c>
      <c r="I57" s="12">
        <v>131</v>
      </c>
      <c r="J57" s="12">
        <v>5113</v>
      </c>
      <c r="K57" s="20" t="s">
        <v>20</v>
      </c>
      <c r="L57" s="20">
        <v>1</v>
      </c>
      <c r="M57" s="17">
        <v>16129032</v>
      </c>
      <c r="N57" s="34">
        <f t="shared" si="5"/>
        <v>16129032</v>
      </c>
      <c r="O57" s="12" t="s">
        <v>21</v>
      </c>
      <c r="P57" s="17">
        <f t="shared" si="3"/>
        <v>46</v>
      </c>
      <c r="Q57" s="12">
        <f t="shared" si="2"/>
        <v>143</v>
      </c>
    </row>
    <row r="58" spans="1:17" ht="15" customHeight="1" x14ac:dyDescent="0.2">
      <c r="A58" s="12" t="s">
        <v>18</v>
      </c>
      <c r="B58" s="36" t="s">
        <v>415</v>
      </c>
      <c r="C58" s="12">
        <f t="shared" si="4"/>
        <v>77</v>
      </c>
      <c r="D58" s="12">
        <v>0</v>
      </c>
      <c r="G58" s="14" t="s">
        <v>2229</v>
      </c>
      <c r="H58" s="12" t="s">
        <v>2263</v>
      </c>
      <c r="I58" s="12">
        <v>333821</v>
      </c>
      <c r="J58" s="12">
        <v>131</v>
      </c>
      <c r="K58" s="20" t="s">
        <v>20</v>
      </c>
      <c r="L58" s="20">
        <v>1</v>
      </c>
      <c r="M58" s="17">
        <v>161290</v>
      </c>
      <c r="N58" s="34">
        <f t="shared" si="5"/>
        <v>161290</v>
      </c>
      <c r="O58" s="12" t="s">
        <v>21</v>
      </c>
      <c r="P58" s="17">
        <f t="shared" si="3"/>
        <v>46</v>
      </c>
      <c r="Q58" s="12">
        <f t="shared" si="2"/>
        <v>159</v>
      </c>
    </row>
    <row r="59" spans="1:17" ht="15" customHeight="1" x14ac:dyDescent="0.2">
      <c r="A59" s="12" t="s">
        <v>18</v>
      </c>
      <c r="B59" s="36" t="s">
        <v>869</v>
      </c>
      <c r="C59" s="12">
        <f t="shared" si="4"/>
        <v>78</v>
      </c>
      <c r="D59" s="12">
        <v>1</v>
      </c>
      <c r="G59" s="32" t="s">
        <v>114</v>
      </c>
      <c r="H59" s="20" t="s">
        <v>2245</v>
      </c>
      <c r="I59" s="12">
        <v>131</v>
      </c>
      <c r="J59" s="12">
        <v>5113</v>
      </c>
      <c r="K59" s="20" t="s">
        <v>20</v>
      </c>
      <c r="L59" s="20">
        <v>1</v>
      </c>
      <c r="M59" s="17">
        <v>16129032</v>
      </c>
      <c r="N59" s="34">
        <f t="shared" si="5"/>
        <v>16129032</v>
      </c>
      <c r="O59" s="12" t="s">
        <v>21</v>
      </c>
      <c r="P59" s="17">
        <f t="shared" si="3"/>
        <v>47</v>
      </c>
      <c r="Q59" s="12">
        <f t="shared" si="2"/>
        <v>141</v>
      </c>
    </row>
    <row r="60" spans="1:17" ht="15" customHeight="1" x14ac:dyDescent="0.2">
      <c r="A60" s="12" t="s">
        <v>18</v>
      </c>
      <c r="B60" s="36" t="s">
        <v>869</v>
      </c>
      <c r="C60" s="12">
        <f t="shared" si="4"/>
        <v>78</v>
      </c>
      <c r="D60" s="12">
        <v>0</v>
      </c>
      <c r="G60" s="14" t="s">
        <v>114</v>
      </c>
      <c r="H60" s="12" t="s">
        <v>2264</v>
      </c>
      <c r="I60" s="12">
        <v>333821</v>
      </c>
      <c r="J60" s="12">
        <v>131</v>
      </c>
      <c r="K60" s="20" t="s">
        <v>20</v>
      </c>
      <c r="L60" s="20">
        <v>1</v>
      </c>
      <c r="M60" s="17">
        <v>161290</v>
      </c>
      <c r="N60" s="34">
        <f t="shared" si="5"/>
        <v>161290</v>
      </c>
      <c r="O60" s="12" t="s">
        <v>21</v>
      </c>
      <c r="P60" s="17">
        <f t="shared" si="3"/>
        <v>47</v>
      </c>
      <c r="Q60" s="12">
        <f t="shared" si="2"/>
        <v>157</v>
      </c>
    </row>
    <row r="61" spans="1:17" ht="15" customHeight="1" x14ac:dyDescent="0.2">
      <c r="A61" s="12" t="s">
        <v>18</v>
      </c>
      <c r="B61" s="36" t="s">
        <v>292</v>
      </c>
      <c r="C61" s="12">
        <f t="shared" si="4"/>
        <v>79</v>
      </c>
      <c r="D61" s="12">
        <v>1</v>
      </c>
      <c r="G61" s="32" t="s">
        <v>43</v>
      </c>
      <c r="H61" s="20" t="s">
        <v>3457</v>
      </c>
      <c r="I61" s="12">
        <v>131</v>
      </c>
      <c r="J61" s="12">
        <v>5113</v>
      </c>
      <c r="K61" s="20" t="s">
        <v>20</v>
      </c>
      <c r="L61" s="20">
        <v>1</v>
      </c>
      <c r="M61" s="17">
        <v>16129032</v>
      </c>
      <c r="N61" s="34">
        <f t="shared" si="5"/>
        <v>16129032</v>
      </c>
      <c r="O61" s="12" t="s">
        <v>21</v>
      </c>
      <c r="P61" s="17">
        <f t="shared" si="3"/>
        <v>48</v>
      </c>
      <c r="Q61" s="12">
        <f t="shared" si="2"/>
        <v>140</v>
      </c>
    </row>
    <row r="62" spans="1:17" ht="15" customHeight="1" x14ac:dyDescent="0.2">
      <c r="A62" s="12" t="s">
        <v>18</v>
      </c>
      <c r="B62" s="36" t="s">
        <v>292</v>
      </c>
      <c r="C62" s="12">
        <f t="shared" si="4"/>
        <v>79</v>
      </c>
      <c r="D62" s="12">
        <v>0</v>
      </c>
      <c r="G62" s="32" t="s">
        <v>43</v>
      </c>
      <c r="H62" s="12" t="s">
        <v>3458</v>
      </c>
      <c r="I62" s="12">
        <v>333821</v>
      </c>
      <c r="J62" s="12">
        <v>131</v>
      </c>
      <c r="K62" s="20" t="s">
        <v>20</v>
      </c>
      <c r="L62" s="20">
        <v>1</v>
      </c>
      <c r="M62" s="17">
        <v>161290</v>
      </c>
      <c r="N62" s="34">
        <f t="shared" si="5"/>
        <v>161290</v>
      </c>
      <c r="O62" s="12" t="s">
        <v>21</v>
      </c>
      <c r="P62" s="17">
        <f t="shared" si="3"/>
        <v>48</v>
      </c>
      <c r="Q62" s="12">
        <f t="shared" si="2"/>
        <v>156</v>
      </c>
    </row>
    <row r="63" spans="1:17" ht="15" customHeight="1" x14ac:dyDescent="0.2">
      <c r="A63" s="12" t="s">
        <v>18</v>
      </c>
      <c r="B63" s="36" t="s">
        <v>292</v>
      </c>
      <c r="C63" s="12">
        <f t="shared" si="4"/>
        <v>80</v>
      </c>
      <c r="D63" s="12">
        <v>1</v>
      </c>
      <c r="G63" s="32" t="s">
        <v>67</v>
      </c>
      <c r="H63" s="20" t="s">
        <v>2246</v>
      </c>
      <c r="I63" s="12">
        <v>131</v>
      </c>
      <c r="J63" s="12">
        <v>5113</v>
      </c>
      <c r="K63" s="20" t="s">
        <v>20</v>
      </c>
      <c r="L63" s="20">
        <v>1</v>
      </c>
      <c r="M63" s="17">
        <v>16129032</v>
      </c>
      <c r="N63" s="34">
        <f t="shared" si="5"/>
        <v>16129032</v>
      </c>
      <c r="O63" s="12" t="s">
        <v>21</v>
      </c>
      <c r="P63" s="17">
        <f t="shared" si="3"/>
        <v>49</v>
      </c>
      <c r="Q63" s="12">
        <f t="shared" si="2"/>
        <v>174</v>
      </c>
    </row>
    <row r="64" spans="1:17" ht="15" customHeight="1" x14ac:dyDescent="0.2">
      <c r="A64" s="12" t="s">
        <v>18</v>
      </c>
      <c r="B64" s="36" t="s">
        <v>292</v>
      </c>
      <c r="C64" s="12">
        <f t="shared" si="4"/>
        <v>80</v>
      </c>
      <c r="D64" s="12">
        <v>0</v>
      </c>
      <c r="G64" s="14" t="s">
        <v>67</v>
      </c>
      <c r="H64" s="12" t="s">
        <v>2265</v>
      </c>
      <c r="I64" s="12">
        <v>333821</v>
      </c>
      <c r="J64" s="12">
        <v>131</v>
      </c>
      <c r="K64" s="20" t="s">
        <v>20</v>
      </c>
      <c r="L64" s="20">
        <v>1</v>
      </c>
      <c r="M64" s="17">
        <v>161290</v>
      </c>
      <c r="N64" s="34">
        <f t="shared" si="5"/>
        <v>161290</v>
      </c>
      <c r="O64" s="12" t="s">
        <v>21</v>
      </c>
      <c r="P64" s="17">
        <f t="shared" si="3"/>
        <v>49</v>
      </c>
      <c r="Q64" s="12">
        <f t="shared" si="2"/>
        <v>190</v>
      </c>
    </row>
    <row r="65" spans="1:17" ht="15" customHeight="1" x14ac:dyDescent="0.2">
      <c r="A65" s="12" t="s">
        <v>18</v>
      </c>
      <c r="B65" s="36" t="s">
        <v>314</v>
      </c>
      <c r="C65" s="12">
        <f t="shared" si="4"/>
        <v>81</v>
      </c>
      <c r="D65" s="12">
        <v>1</v>
      </c>
      <c r="G65" s="14" t="s">
        <v>145</v>
      </c>
      <c r="H65" s="12" t="s">
        <v>3459</v>
      </c>
      <c r="I65" s="12">
        <v>131</v>
      </c>
      <c r="J65" s="12">
        <v>5113</v>
      </c>
      <c r="K65" s="20" t="s">
        <v>20</v>
      </c>
      <c r="L65" s="20">
        <v>1</v>
      </c>
      <c r="M65" s="17">
        <v>57818182</v>
      </c>
      <c r="N65" s="34">
        <f t="shared" si="5"/>
        <v>57818182</v>
      </c>
      <c r="O65" s="12" t="s">
        <v>21</v>
      </c>
      <c r="P65" s="17">
        <f t="shared" si="3"/>
        <v>50</v>
      </c>
      <c r="Q65" s="12">
        <f t="shared" si="2"/>
        <v>155</v>
      </c>
    </row>
    <row r="66" spans="1:17" ht="15" customHeight="1" x14ac:dyDescent="0.2">
      <c r="A66" s="12" t="s">
        <v>18</v>
      </c>
      <c r="B66" s="36" t="s">
        <v>314</v>
      </c>
      <c r="C66" s="12">
        <f t="shared" si="4"/>
        <v>81</v>
      </c>
      <c r="D66" s="12">
        <v>0</v>
      </c>
      <c r="G66" s="14" t="s">
        <v>145</v>
      </c>
      <c r="H66" s="12" t="s">
        <v>3460</v>
      </c>
      <c r="I66" s="12">
        <v>333821</v>
      </c>
      <c r="J66" s="12">
        <v>131</v>
      </c>
      <c r="K66" s="20" t="s">
        <v>20</v>
      </c>
      <c r="L66" s="20">
        <v>1</v>
      </c>
      <c r="M66" s="17">
        <v>578182</v>
      </c>
      <c r="N66" s="34">
        <f t="shared" si="5"/>
        <v>578182</v>
      </c>
      <c r="O66" s="12" t="s">
        <v>21</v>
      </c>
      <c r="P66" s="17">
        <f t="shared" si="3"/>
        <v>50</v>
      </c>
      <c r="Q66" s="12">
        <f t="shared" si="2"/>
        <v>171</v>
      </c>
    </row>
    <row r="67" spans="1:17" ht="15" customHeight="1" x14ac:dyDescent="0.2">
      <c r="A67" s="12" t="s">
        <v>18</v>
      </c>
      <c r="B67" s="36" t="s">
        <v>314</v>
      </c>
      <c r="C67" s="12">
        <f t="shared" ref="C67:C98" si="8">C66+D67</f>
        <v>82</v>
      </c>
      <c r="D67" s="12">
        <v>1</v>
      </c>
      <c r="G67" s="14" t="s">
        <v>145</v>
      </c>
      <c r="H67" s="12" t="s">
        <v>3461</v>
      </c>
      <c r="I67" s="12">
        <v>131</v>
      </c>
      <c r="J67" s="12">
        <v>5113</v>
      </c>
      <c r="K67" s="20" t="s">
        <v>20</v>
      </c>
      <c r="L67" s="20">
        <v>1</v>
      </c>
      <c r="M67" s="17">
        <v>12848485</v>
      </c>
      <c r="N67" s="34">
        <f t="shared" ref="N67:N98" si="9">L67*M67</f>
        <v>12848485</v>
      </c>
      <c r="O67" s="12" t="s">
        <v>21</v>
      </c>
      <c r="P67" s="17">
        <f t="shared" si="3"/>
        <v>51</v>
      </c>
      <c r="Q67" s="12">
        <f t="shared" si="2"/>
        <v>155</v>
      </c>
    </row>
    <row r="68" spans="1:17" ht="15" customHeight="1" x14ac:dyDescent="0.2">
      <c r="A68" s="12" t="s">
        <v>18</v>
      </c>
      <c r="B68" s="36" t="s">
        <v>314</v>
      </c>
      <c r="C68" s="12">
        <f t="shared" si="8"/>
        <v>82</v>
      </c>
      <c r="D68" s="12">
        <v>0</v>
      </c>
      <c r="G68" s="14" t="s">
        <v>145</v>
      </c>
      <c r="H68" s="12" t="s">
        <v>3462</v>
      </c>
      <c r="I68" s="12">
        <v>333821</v>
      </c>
      <c r="J68" s="12">
        <v>131</v>
      </c>
      <c r="K68" s="20" t="s">
        <v>20</v>
      </c>
      <c r="L68" s="20">
        <v>1</v>
      </c>
      <c r="M68" s="17">
        <v>128485</v>
      </c>
      <c r="N68" s="34">
        <f t="shared" si="9"/>
        <v>128485</v>
      </c>
      <c r="O68" s="12" t="s">
        <v>21</v>
      </c>
      <c r="P68" s="17">
        <f t="shared" ref="P68:P129" si="10">P67+D68</f>
        <v>51</v>
      </c>
      <c r="Q68" s="12">
        <f t="shared" si="2"/>
        <v>171</v>
      </c>
    </row>
    <row r="69" spans="1:17" ht="15" customHeight="1" x14ac:dyDescent="0.2">
      <c r="A69" s="12" t="s">
        <v>18</v>
      </c>
      <c r="B69" s="36" t="s">
        <v>314</v>
      </c>
      <c r="C69" s="12">
        <f t="shared" si="8"/>
        <v>83</v>
      </c>
      <c r="D69" s="12">
        <v>1</v>
      </c>
      <c r="G69" s="14" t="s">
        <v>145</v>
      </c>
      <c r="H69" s="12" t="s">
        <v>3463</v>
      </c>
      <c r="I69" s="12">
        <v>131</v>
      </c>
      <c r="J69" s="12">
        <v>5113</v>
      </c>
      <c r="K69" s="20" t="s">
        <v>20</v>
      </c>
      <c r="L69" s="20">
        <v>1</v>
      </c>
      <c r="M69" s="17">
        <v>25696970</v>
      </c>
      <c r="N69" s="34">
        <f t="shared" si="9"/>
        <v>25696970</v>
      </c>
      <c r="O69" s="12" t="s">
        <v>21</v>
      </c>
      <c r="P69" s="17">
        <f t="shared" si="10"/>
        <v>52</v>
      </c>
      <c r="Q69" s="12">
        <f t="shared" ref="Q69:Q132" si="11">LEN(H69)</f>
        <v>155</v>
      </c>
    </row>
    <row r="70" spans="1:17" ht="15" customHeight="1" x14ac:dyDescent="0.2">
      <c r="A70" s="12" t="s">
        <v>18</v>
      </c>
      <c r="B70" s="36" t="s">
        <v>314</v>
      </c>
      <c r="C70" s="12">
        <f t="shared" si="8"/>
        <v>83</v>
      </c>
      <c r="D70" s="12">
        <v>0</v>
      </c>
      <c r="G70" s="14" t="s">
        <v>145</v>
      </c>
      <c r="H70" s="12" t="s">
        <v>3464</v>
      </c>
      <c r="I70" s="12">
        <v>333821</v>
      </c>
      <c r="J70" s="12">
        <v>131</v>
      </c>
      <c r="K70" s="20" t="s">
        <v>20</v>
      </c>
      <c r="L70" s="20">
        <v>1</v>
      </c>
      <c r="M70" s="17">
        <v>256970</v>
      </c>
      <c r="N70" s="34">
        <f t="shared" si="9"/>
        <v>256970</v>
      </c>
      <c r="O70" s="12" t="s">
        <v>21</v>
      </c>
      <c r="P70" s="17">
        <f t="shared" si="10"/>
        <v>52</v>
      </c>
      <c r="Q70" s="12">
        <f t="shared" si="11"/>
        <v>171</v>
      </c>
    </row>
    <row r="71" spans="1:17" ht="15" customHeight="1" x14ac:dyDescent="0.2">
      <c r="A71" s="12" t="s">
        <v>18</v>
      </c>
      <c r="B71" s="36" t="s">
        <v>318</v>
      </c>
      <c r="C71" s="12">
        <f t="shared" si="8"/>
        <v>84</v>
      </c>
      <c r="D71" s="12">
        <v>1</v>
      </c>
      <c r="G71" s="14" t="s">
        <v>150</v>
      </c>
      <c r="H71" s="12" t="s">
        <v>2247</v>
      </c>
      <c r="I71" s="12">
        <v>131</v>
      </c>
      <c r="J71" s="12">
        <v>5113</v>
      </c>
      <c r="K71" s="20" t="s">
        <v>20</v>
      </c>
      <c r="L71" s="20">
        <v>1</v>
      </c>
      <c r="M71" s="17">
        <v>12903226</v>
      </c>
      <c r="N71" s="34">
        <f t="shared" si="9"/>
        <v>12903226</v>
      </c>
      <c r="O71" s="12" t="s">
        <v>21</v>
      </c>
      <c r="P71" s="17">
        <f t="shared" si="10"/>
        <v>53</v>
      </c>
      <c r="Q71" s="12">
        <f t="shared" si="11"/>
        <v>158</v>
      </c>
    </row>
    <row r="72" spans="1:17" ht="15" customHeight="1" x14ac:dyDescent="0.2">
      <c r="A72" s="12" t="s">
        <v>18</v>
      </c>
      <c r="B72" s="36" t="s">
        <v>318</v>
      </c>
      <c r="C72" s="12">
        <f t="shared" si="8"/>
        <v>84</v>
      </c>
      <c r="D72" s="12">
        <v>0</v>
      </c>
      <c r="G72" s="14" t="s">
        <v>150</v>
      </c>
      <c r="H72" s="12" t="s">
        <v>2266</v>
      </c>
      <c r="I72" s="12">
        <v>333821</v>
      </c>
      <c r="J72" s="12">
        <v>131</v>
      </c>
      <c r="K72" s="20" t="s">
        <v>20</v>
      </c>
      <c r="L72" s="20">
        <v>1</v>
      </c>
      <c r="M72" s="17">
        <v>129032</v>
      </c>
      <c r="N72" s="34">
        <f t="shared" si="9"/>
        <v>129032</v>
      </c>
      <c r="O72" s="12" t="s">
        <v>21</v>
      </c>
      <c r="P72" s="17">
        <f t="shared" si="10"/>
        <v>53</v>
      </c>
      <c r="Q72" s="12">
        <f t="shared" si="11"/>
        <v>174</v>
      </c>
    </row>
    <row r="73" spans="1:17" ht="15" customHeight="1" x14ac:dyDescent="0.2">
      <c r="A73" s="12" t="s">
        <v>18</v>
      </c>
      <c r="B73" s="36" t="s">
        <v>601</v>
      </c>
      <c r="C73" s="12">
        <f t="shared" si="8"/>
        <v>85</v>
      </c>
      <c r="D73" s="12">
        <v>1</v>
      </c>
      <c r="G73" s="14" t="s">
        <v>127</v>
      </c>
      <c r="H73" s="12" t="s">
        <v>2248</v>
      </c>
      <c r="I73" s="12">
        <v>131</v>
      </c>
      <c r="J73" s="12">
        <v>5113</v>
      </c>
      <c r="K73" s="20" t="s">
        <v>20</v>
      </c>
      <c r="L73" s="20">
        <v>1</v>
      </c>
      <c r="M73" s="17">
        <v>16129032</v>
      </c>
      <c r="N73" s="34">
        <f t="shared" si="9"/>
        <v>16129032</v>
      </c>
      <c r="O73" s="12" t="s">
        <v>21</v>
      </c>
      <c r="P73" s="17">
        <f t="shared" si="10"/>
        <v>54</v>
      </c>
      <c r="Q73" s="12">
        <f t="shared" si="11"/>
        <v>148</v>
      </c>
    </row>
    <row r="74" spans="1:17" ht="15" customHeight="1" x14ac:dyDescent="0.2">
      <c r="A74" s="12" t="s">
        <v>18</v>
      </c>
      <c r="B74" s="36" t="s">
        <v>601</v>
      </c>
      <c r="C74" s="12">
        <f t="shared" si="8"/>
        <v>85</v>
      </c>
      <c r="D74" s="12">
        <v>0</v>
      </c>
      <c r="G74" s="14" t="s">
        <v>127</v>
      </c>
      <c r="H74" s="12" t="s">
        <v>2267</v>
      </c>
      <c r="I74" s="12">
        <v>333821</v>
      </c>
      <c r="J74" s="12">
        <v>131</v>
      </c>
      <c r="K74" s="20" t="s">
        <v>20</v>
      </c>
      <c r="L74" s="20">
        <v>1</v>
      </c>
      <c r="M74" s="17">
        <v>161290</v>
      </c>
      <c r="N74" s="34">
        <f t="shared" si="9"/>
        <v>161290</v>
      </c>
      <c r="O74" s="12" t="s">
        <v>21</v>
      </c>
      <c r="P74" s="17">
        <f t="shared" si="10"/>
        <v>54</v>
      </c>
      <c r="Q74" s="12">
        <f t="shared" si="11"/>
        <v>164</v>
      </c>
    </row>
    <row r="75" spans="1:17" ht="15" customHeight="1" x14ac:dyDescent="0.2">
      <c r="A75" s="12" t="s">
        <v>18</v>
      </c>
      <c r="B75" s="36" t="s">
        <v>601</v>
      </c>
      <c r="C75" s="12">
        <f t="shared" si="8"/>
        <v>86</v>
      </c>
      <c r="D75" s="12">
        <v>1</v>
      </c>
      <c r="G75" s="32" t="s">
        <v>145</v>
      </c>
      <c r="H75" s="20" t="s">
        <v>3465</v>
      </c>
      <c r="I75" s="12">
        <v>131</v>
      </c>
      <c r="J75" s="12">
        <v>5113</v>
      </c>
      <c r="K75" s="20" t="s">
        <v>20</v>
      </c>
      <c r="L75" s="20">
        <v>1</v>
      </c>
      <c r="M75" s="17">
        <v>13978495</v>
      </c>
      <c r="N75" s="34">
        <f t="shared" si="9"/>
        <v>13978495</v>
      </c>
      <c r="O75" s="12" t="s">
        <v>21</v>
      </c>
      <c r="P75" s="17">
        <f t="shared" si="10"/>
        <v>55</v>
      </c>
      <c r="Q75" s="12">
        <f t="shared" si="11"/>
        <v>155</v>
      </c>
    </row>
    <row r="76" spans="1:17" ht="15" customHeight="1" x14ac:dyDescent="0.2">
      <c r="A76" s="12" t="s">
        <v>18</v>
      </c>
      <c r="B76" s="36" t="s">
        <v>601</v>
      </c>
      <c r="C76" s="12">
        <f t="shared" si="8"/>
        <v>86</v>
      </c>
      <c r="D76" s="12">
        <v>0</v>
      </c>
      <c r="G76" s="14" t="s">
        <v>145</v>
      </c>
      <c r="H76" s="12" t="s">
        <v>3466</v>
      </c>
      <c r="I76" s="12">
        <v>333821</v>
      </c>
      <c r="J76" s="12">
        <v>131</v>
      </c>
      <c r="K76" s="20" t="s">
        <v>20</v>
      </c>
      <c r="L76" s="20">
        <v>1</v>
      </c>
      <c r="M76" s="17">
        <v>139785</v>
      </c>
      <c r="N76" s="34">
        <f t="shared" si="9"/>
        <v>139785</v>
      </c>
      <c r="O76" s="12" t="s">
        <v>21</v>
      </c>
      <c r="P76" s="17">
        <f t="shared" si="10"/>
        <v>55</v>
      </c>
      <c r="Q76" s="12">
        <f t="shared" si="11"/>
        <v>171</v>
      </c>
    </row>
    <row r="77" spans="1:17" ht="15" customHeight="1" x14ac:dyDescent="0.2">
      <c r="A77" s="12" t="s">
        <v>18</v>
      </c>
      <c r="B77" s="36" t="s">
        <v>713</v>
      </c>
      <c r="C77" s="12">
        <f t="shared" si="8"/>
        <v>87</v>
      </c>
      <c r="D77" s="12">
        <v>1</v>
      </c>
      <c r="G77" s="14" t="s">
        <v>70</v>
      </c>
      <c r="H77" s="12" t="s">
        <v>2249</v>
      </c>
      <c r="I77" s="12">
        <v>131</v>
      </c>
      <c r="J77" s="12">
        <v>5113</v>
      </c>
      <c r="K77" s="20" t="s">
        <v>20</v>
      </c>
      <c r="L77" s="20">
        <v>1</v>
      </c>
      <c r="M77" s="17">
        <v>19354839</v>
      </c>
      <c r="N77" s="34">
        <f t="shared" si="9"/>
        <v>19354839</v>
      </c>
      <c r="O77" s="12" t="s">
        <v>21</v>
      </c>
      <c r="P77" s="17">
        <f t="shared" si="10"/>
        <v>56</v>
      </c>
      <c r="Q77" s="12">
        <f t="shared" si="11"/>
        <v>160</v>
      </c>
    </row>
    <row r="78" spans="1:17" ht="15" customHeight="1" x14ac:dyDescent="0.2">
      <c r="A78" s="12" t="s">
        <v>18</v>
      </c>
      <c r="B78" s="36" t="s">
        <v>713</v>
      </c>
      <c r="C78" s="12">
        <f t="shared" si="8"/>
        <v>87</v>
      </c>
      <c r="D78" s="12">
        <v>0</v>
      </c>
      <c r="G78" s="14" t="s">
        <v>70</v>
      </c>
      <c r="H78" s="12" t="s">
        <v>2268</v>
      </c>
      <c r="I78" s="12">
        <v>333821</v>
      </c>
      <c r="J78" s="12">
        <v>131</v>
      </c>
      <c r="K78" s="20" t="s">
        <v>20</v>
      </c>
      <c r="L78" s="20">
        <v>1</v>
      </c>
      <c r="M78" s="17">
        <v>193549</v>
      </c>
      <c r="N78" s="34">
        <f t="shared" si="9"/>
        <v>193549</v>
      </c>
      <c r="O78" s="12" t="s">
        <v>21</v>
      </c>
      <c r="P78" s="17">
        <f t="shared" si="10"/>
        <v>56</v>
      </c>
      <c r="Q78" s="12">
        <f t="shared" si="11"/>
        <v>176</v>
      </c>
    </row>
    <row r="79" spans="1:17" ht="15" customHeight="1" x14ac:dyDescent="0.2">
      <c r="A79" s="12" t="s">
        <v>18</v>
      </c>
      <c r="B79" s="36" t="s">
        <v>602</v>
      </c>
      <c r="C79" s="12">
        <f t="shared" si="8"/>
        <v>88</v>
      </c>
      <c r="D79" s="12">
        <v>1</v>
      </c>
      <c r="G79" s="32" t="s">
        <v>2230</v>
      </c>
      <c r="H79" s="20" t="s">
        <v>2250</v>
      </c>
      <c r="I79" s="12">
        <v>131</v>
      </c>
      <c r="J79" s="12">
        <v>5113</v>
      </c>
      <c r="K79" s="20" t="s">
        <v>20</v>
      </c>
      <c r="L79" s="20">
        <v>1</v>
      </c>
      <c r="M79" s="17">
        <v>29032258</v>
      </c>
      <c r="N79" s="34">
        <f t="shared" si="9"/>
        <v>29032258</v>
      </c>
      <c r="O79" s="12" t="s">
        <v>21</v>
      </c>
      <c r="P79" s="17">
        <f t="shared" si="10"/>
        <v>57</v>
      </c>
      <c r="Q79" s="12">
        <f t="shared" si="11"/>
        <v>144</v>
      </c>
    </row>
    <row r="80" spans="1:17" ht="15" customHeight="1" x14ac:dyDescent="0.2">
      <c r="A80" s="12" t="s">
        <v>18</v>
      </c>
      <c r="B80" s="36" t="s">
        <v>602</v>
      </c>
      <c r="C80" s="12">
        <f t="shared" si="8"/>
        <v>88</v>
      </c>
      <c r="D80" s="12">
        <v>0</v>
      </c>
      <c r="G80" s="14" t="s">
        <v>2230</v>
      </c>
      <c r="H80" s="12" t="s">
        <v>2269</v>
      </c>
      <c r="I80" s="12">
        <v>333821</v>
      </c>
      <c r="J80" s="12">
        <v>131</v>
      </c>
      <c r="K80" s="20" t="s">
        <v>20</v>
      </c>
      <c r="L80" s="20">
        <v>1</v>
      </c>
      <c r="M80" s="17">
        <v>290323</v>
      </c>
      <c r="N80" s="34">
        <f t="shared" si="9"/>
        <v>290323</v>
      </c>
      <c r="O80" s="12" t="s">
        <v>21</v>
      </c>
      <c r="P80" s="17">
        <f t="shared" si="10"/>
        <v>57</v>
      </c>
      <c r="Q80" s="12">
        <f t="shared" si="11"/>
        <v>160</v>
      </c>
    </row>
    <row r="81" spans="1:17" ht="15" customHeight="1" x14ac:dyDescent="0.2">
      <c r="A81" s="12" t="s">
        <v>18</v>
      </c>
      <c r="B81" s="36" t="s">
        <v>453</v>
      </c>
      <c r="C81" s="12">
        <f t="shared" si="8"/>
        <v>89</v>
      </c>
      <c r="D81" s="12">
        <v>1</v>
      </c>
      <c r="G81" s="32" t="s">
        <v>145</v>
      </c>
      <c r="H81" s="20" t="s">
        <v>3467</v>
      </c>
      <c r="I81" s="12">
        <v>131</v>
      </c>
      <c r="J81" s="12">
        <v>5113</v>
      </c>
      <c r="K81" s="20" t="s">
        <v>20</v>
      </c>
      <c r="L81" s="20">
        <v>1</v>
      </c>
      <c r="M81" s="17">
        <v>3225806</v>
      </c>
      <c r="N81" s="34">
        <f t="shared" si="9"/>
        <v>3225806</v>
      </c>
      <c r="O81" s="12" t="s">
        <v>21</v>
      </c>
      <c r="P81" s="17">
        <f t="shared" si="10"/>
        <v>58</v>
      </c>
      <c r="Q81" s="12">
        <f t="shared" si="11"/>
        <v>155</v>
      </c>
    </row>
    <row r="82" spans="1:17" ht="15" customHeight="1" x14ac:dyDescent="0.2">
      <c r="A82" s="12" t="s">
        <v>18</v>
      </c>
      <c r="B82" s="36" t="s">
        <v>453</v>
      </c>
      <c r="C82" s="12">
        <f t="shared" si="8"/>
        <v>89</v>
      </c>
      <c r="D82" s="12">
        <v>0</v>
      </c>
      <c r="G82" s="14" t="s">
        <v>145</v>
      </c>
      <c r="H82" s="12" t="s">
        <v>3468</v>
      </c>
      <c r="I82" s="12">
        <v>333821</v>
      </c>
      <c r="J82" s="12">
        <v>131</v>
      </c>
      <c r="K82" s="20" t="s">
        <v>20</v>
      </c>
      <c r="L82" s="20">
        <v>1</v>
      </c>
      <c r="M82" s="17">
        <v>32258</v>
      </c>
      <c r="N82" s="34">
        <f t="shared" si="9"/>
        <v>32258</v>
      </c>
      <c r="O82" s="12" t="s">
        <v>21</v>
      </c>
      <c r="P82" s="17">
        <f t="shared" si="10"/>
        <v>58</v>
      </c>
      <c r="Q82" s="12">
        <f t="shared" si="11"/>
        <v>171</v>
      </c>
    </row>
    <row r="83" spans="1:17" ht="15" customHeight="1" x14ac:dyDescent="0.2">
      <c r="A83" s="12" t="s">
        <v>18</v>
      </c>
      <c r="B83" s="36" t="s">
        <v>453</v>
      </c>
      <c r="C83" s="12">
        <f t="shared" si="8"/>
        <v>90</v>
      </c>
      <c r="D83" s="12">
        <v>1</v>
      </c>
      <c r="G83" s="32" t="s">
        <v>145</v>
      </c>
      <c r="H83" s="20" t="s">
        <v>3469</v>
      </c>
      <c r="I83" s="12">
        <v>131</v>
      </c>
      <c r="J83" s="12">
        <v>5113</v>
      </c>
      <c r="K83" s="20" t="s">
        <v>20</v>
      </c>
      <c r="L83" s="20">
        <v>1</v>
      </c>
      <c r="M83" s="17">
        <v>13978495</v>
      </c>
      <c r="N83" s="34">
        <f t="shared" si="9"/>
        <v>13978495</v>
      </c>
      <c r="O83" s="12" t="s">
        <v>21</v>
      </c>
      <c r="P83" s="17">
        <f t="shared" si="10"/>
        <v>59</v>
      </c>
      <c r="Q83" s="12">
        <f t="shared" si="11"/>
        <v>155</v>
      </c>
    </row>
    <row r="84" spans="1:17" ht="15" customHeight="1" x14ac:dyDescent="0.2">
      <c r="A84" s="12" t="s">
        <v>18</v>
      </c>
      <c r="B84" s="36" t="s">
        <v>453</v>
      </c>
      <c r="C84" s="12">
        <f t="shared" si="8"/>
        <v>90</v>
      </c>
      <c r="D84" s="12">
        <v>0</v>
      </c>
      <c r="G84" s="14" t="s">
        <v>145</v>
      </c>
      <c r="H84" s="12" t="s">
        <v>3470</v>
      </c>
      <c r="I84" s="12">
        <v>333821</v>
      </c>
      <c r="J84" s="12">
        <v>131</v>
      </c>
      <c r="K84" s="20" t="s">
        <v>20</v>
      </c>
      <c r="L84" s="20">
        <v>1</v>
      </c>
      <c r="M84" s="17">
        <v>139785</v>
      </c>
      <c r="N84" s="34">
        <f t="shared" si="9"/>
        <v>139785</v>
      </c>
      <c r="O84" s="12" t="s">
        <v>21</v>
      </c>
      <c r="P84" s="17">
        <f t="shared" si="10"/>
        <v>59</v>
      </c>
      <c r="Q84" s="12">
        <f t="shared" si="11"/>
        <v>171</v>
      </c>
    </row>
    <row r="85" spans="1:17" ht="15" customHeight="1" x14ac:dyDescent="0.2">
      <c r="A85" s="12" t="s">
        <v>18</v>
      </c>
      <c r="B85" s="36" t="s">
        <v>523</v>
      </c>
      <c r="C85" s="12">
        <f t="shared" si="8"/>
        <v>91</v>
      </c>
      <c r="D85" s="12">
        <v>1</v>
      </c>
      <c r="G85" s="32" t="s">
        <v>127</v>
      </c>
      <c r="H85" s="20" t="s">
        <v>2251</v>
      </c>
      <c r="I85" s="12">
        <v>131</v>
      </c>
      <c r="J85" s="12">
        <v>5113</v>
      </c>
      <c r="K85" s="20" t="s">
        <v>20</v>
      </c>
      <c r="L85" s="20">
        <v>1</v>
      </c>
      <c r="M85" s="17">
        <v>16129032</v>
      </c>
      <c r="N85" s="34">
        <f t="shared" si="9"/>
        <v>16129032</v>
      </c>
      <c r="O85" s="12" t="s">
        <v>21</v>
      </c>
      <c r="P85" s="17">
        <f t="shared" si="10"/>
        <v>60</v>
      </c>
      <c r="Q85" s="12">
        <f t="shared" si="11"/>
        <v>148</v>
      </c>
    </row>
    <row r="86" spans="1:17" ht="15" customHeight="1" x14ac:dyDescent="0.2">
      <c r="A86" s="12" t="s">
        <v>18</v>
      </c>
      <c r="B86" s="36" t="s">
        <v>523</v>
      </c>
      <c r="C86" s="12">
        <f t="shared" si="8"/>
        <v>91</v>
      </c>
      <c r="D86" s="12">
        <v>0</v>
      </c>
      <c r="G86" s="14" t="s">
        <v>127</v>
      </c>
      <c r="H86" s="12" t="s">
        <v>2270</v>
      </c>
      <c r="I86" s="12">
        <v>333821</v>
      </c>
      <c r="J86" s="12">
        <v>131</v>
      </c>
      <c r="K86" s="20" t="s">
        <v>20</v>
      </c>
      <c r="L86" s="20">
        <v>1</v>
      </c>
      <c r="M86" s="17">
        <v>161290</v>
      </c>
      <c r="N86" s="34">
        <f t="shared" si="9"/>
        <v>161290</v>
      </c>
      <c r="O86" s="12" t="s">
        <v>21</v>
      </c>
      <c r="P86" s="17">
        <f t="shared" si="10"/>
        <v>60</v>
      </c>
      <c r="Q86" s="12">
        <f t="shared" si="11"/>
        <v>164</v>
      </c>
    </row>
    <row r="87" spans="1:17" ht="15" customHeight="1" x14ac:dyDescent="0.2">
      <c r="A87" s="12" t="s">
        <v>18</v>
      </c>
      <c r="B87" s="36" t="s">
        <v>515</v>
      </c>
      <c r="C87" s="12">
        <f t="shared" si="8"/>
        <v>92</v>
      </c>
      <c r="D87" s="12">
        <v>1</v>
      </c>
      <c r="G87" s="14" t="s">
        <v>1664</v>
      </c>
      <c r="H87" s="12" t="s">
        <v>2252</v>
      </c>
      <c r="I87" s="12">
        <v>131</v>
      </c>
      <c r="J87" s="12">
        <v>5113</v>
      </c>
      <c r="K87" s="20" t="s">
        <v>20</v>
      </c>
      <c r="L87" s="20">
        <v>1</v>
      </c>
      <c r="M87" s="17">
        <v>12903226</v>
      </c>
      <c r="N87" s="34">
        <f t="shared" si="9"/>
        <v>12903226</v>
      </c>
      <c r="O87" s="12" t="s">
        <v>21</v>
      </c>
      <c r="P87" s="17">
        <f t="shared" si="10"/>
        <v>61</v>
      </c>
      <c r="Q87" s="12">
        <f t="shared" si="11"/>
        <v>156</v>
      </c>
    </row>
    <row r="88" spans="1:17" ht="15" customHeight="1" x14ac:dyDescent="0.2">
      <c r="A88" s="12" t="s">
        <v>18</v>
      </c>
      <c r="B88" s="36" t="s">
        <v>515</v>
      </c>
      <c r="C88" s="12">
        <f t="shared" si="8"/>
        <v>92</v>
      </c>
      <c r="D88" s="12">
        <v>0</v>
      </c>
      <c r="G88" s="14" t="s">
        <v>1664</v>
      </c>
      <c r="H88" s="12" t="s">
        <v>2271</v>
      </c>
      <c r="I88" s="12">
        <v>333821</v>
      </c>
      <c r="J88" s="12">
        <v>131</v>
      </c>
      <c r="K88" s="20" t="s">
        <v>20</v>
      </c>
      <c r="L88" s="20">
        <v>1</v>
      </c>
      <c r="M88" s="17">
        <v>129032</v>
      </c>
      <c r="N88" s="34">
        <f t="shared" si="9"/>
        <v>129032</v>
      </c>
      <c r="O88" s="12" t="s">
        <v>21</v>
      </c>
      <c r="P88" s="17">
        <f t="shared" si="10"/>
        <v>61</v>
      </c>
      <c r="Q88" s="12">
        <f t="shared" si="11"/>
        <v>172</v>
      </c>
    </row>
    <row r="89" spans="1:17" ht="15" customHeight="1" x14ac:dyDescent="0.2">
      <c r="A89" s="12" t="s">
        <v>18</v>
      </c>
      <c r="B89" s="36" t="s">
        <v>456</v>
      </c>
      <c r="C89" s="12">
        <f t="shared" si="8"/>
        <v>93</v>
      </c>
      <c r="D89" s="12">
        <v>1</v>
      </c>
      <c r="G89" s="14" t="s">
        <v>82</v>
      </c>
      <c r="H89" s="12" t="s">
        <v>2253</v>
      </c>
      <c r="I89" s="12">
        <v>131</v>
      </c>
      <c r="J89" s="12">
        <v>5113</v>
      </c>
      <c r="K89" s="20" t="s">
        <v>20</v>
      </c>
      <c r="L89" s="20">
        <v>1</v>
      </c>
      <c r="M89" s="17">
        <v>16129032</v>
      </c>
      <c r="N89" s="34">
        <f t="shared" si="9"/>
        <v>16129032</v>
      </c>
      <c r="O89" s="12" t="s">
        <v>21</v>
      </c>
      <c r="P89" s="17">
        <f t="shared" si="10"/>
        <v>62</v>
      </c>
      <c r="Q89" s="12">
        <f t="shared" si="11"/>
        <v>164</v>
      </c>
    </row>
    <row r="90" spans="1:17" ht="15" customHeight="1" x14ac:dyDescent="0.2">
      <c r="A90" s="12" t="s">
        <v>18</v>
      </c>
      <c r="B90" s="36" t="s">
        <v>456</v>
      </c>
      <c r="C90" s="12">
        <f t="shared" si="8"/>
        <v>93</v>
      </c>
      <c r="D90" s="12">
        <v>0</v>
      </c>
      <c r="G90" s="14" t="s">
        <v>82</v>
      </c>
      <c r="H90" s="12" t="s">
        <v>2272</v>
      </c>
      <c r="I90" s="12">
        <v>333821</v>
      </c>
      <c r="J90" s="12">
        <v>131</v>
      </c>
      <c r="K90" s="20" t="s">
        <v>20</v>
      </c>
      <c r="L90" s="20">
        <v>1</v>
      </c>
      <c r="M90" s="17">
        <v>161290</v>
      </c>
      <c r="N90" s="34">
        <f t="shared" si="9"/>
        <v>161290</v>
      </c>
      <c r="O90" s="12" t="s">
        <v>21</v>
      </c>
      <c r="P90" s="17">
        <f t="shared" si="10"/>
        <v>62</v>
      </c>
      <c r="Q90" s="12">
        <f t="shared" si="11"/>
        <v>180</v>
      </c>
    </row>
    <row r="91" spans="1:17" ht="15" customHeight="1" x14ac:dyDescent="0.2">
      <c r="A91" s="12" t="s">
        <v>18</v>
      </c>
      <c r="B91" s="36" t="s">
        <v>382</v>
      </c>
      <c r="C91" s="12">
        <f t="shared" si="8"/>
        <v>94</v>
      </c>
      <c r="D91" s="12">
        <v>1</v>
      </c>
      <c r="G91" s="14" t="s">
        <v>910</v>
      </c>
      <c r="H91" s="12" t="s">
        <v>2254</v>
      </c>
      <c r="I91" s="12">
        <v>131</v>
      </c>
      <c r="J91" s="12">
        <v>5113</v>
      </c>
      <c r="K91" s="20" t="s">
        <v>20</v>
      </c>
      <c r="L91" s="20">
        <v>1</v>
      </c>
      <c r="M91" s="17">
        <v>20978495</v>
      </c>
      <c r="N91" s="34">
        <f t="shared" si="9"/>
        <v>20978495</v>
      </c>
      <c r="O91" s="12" t="s">
        <v>21</v>
      </c>
      <c r="P91" s="17">
        <f t="shared" si="10"/>
        <v>63</v>
      </c>
      <c r="Q91" s="12">
        <f t="shared" si="11"/>
        <v>148</v>
      </c>
    </row>
    <row r="92" spans="1:17" ht="15" customHeight="1" x14ac:dyDescent="0.2">
      <c r="A92" s="12" t="s">
        <v>18</v>
      </c>
      <c r="B92" s="36" t="s">
        <v>382</v>
      </c>
      <c r="C92" s="12">
        <f t="shared" si="8"/>
        <v>94</v>
      </c>
      <c r="D92" s="12">
        <v>0</v>
      </c>
      <c r="G92" s="14" t="s">
        <v>910</v>
      </c>
      <c r="H92" s="12" t="s">
        <v>2273</v>
      </c>
      <c r="I92" s="12">
        <v>333821</v>
      </c>
      <c r="J92" s="12">
        <v>131</v>
      </c>
      <c r="K92" s="20" t="s">
        <v>20</v>
      </c>
      <c r="L92" s="20">
        <v>1</v>
      </c>
      <c r="M92" s="17">
        <v>209785</v>
      </c>
      <c r="N92" s="34">
        <f t="shared" si="9"/>
        <v>209785</v>
      </c>
      <c r="O92" s="12" t="s">
        <v>21</v>
      </c>
      <c r="P92" s="17">
        <f t="shared" si="10"/>
        <v>63</v>
      </c>
      <c r="Q92" s="12">
        <f t="shared" si="11"/>
        <v>164</v>
      </c>
    </row>
    <row r="93" spans="1:17" ht="15" customHeight="1" x14ac:dyDescent="0.2">
      <c r="A93" s="12" t="s">
        <v>18</v>
      </c>
      <c r="B93" s="36" t="s">
        <v>603</v>
      </c>
      <c r="C93" s="12">
        <f t="shared" si="8"/>
        <v>95</v>
      </c>
      <c r="D93" s="12">
        <v>1</v>
      </c>
      <c r="G93" s="14" t="s">
        <v>127</v>
      </c>
      <c r="H93" s="12" t="s">
        <v>2255</v>
      </c>
      <c r="I93" s="12">
        <v>131</v>
      </c>
      <c r="J93" s="12">
        <v>5113</v>
      </c>
      <c r="K93" s="20" t="s">
        <v>20</v>
      </c>
      <c r="L93" s="20">
        <v>1</v>
      </c>
      <c r="M93" s="17">
        <v>16129032</v>
      </c>
      <c r="N93" s="34">
        <f t="shared" si="9"/>
        <v>16129032</v>
      </c>
      <c r="O93" s="12" t="s">
        <v>21</v>
      </c>
      <c r="P93" s="17">
        <f t="shared" si="10"/>
        <v>64</v>
      </c>
      <c r="Q93" s="12">
        <f t="shared" si="11"/>
        <v>185</v>
      </c>
    </row>
    <row r="94" spans="1:17" ht="15" customHeight="1" x14ac:dyDescent="0.2">
      <c r="A94" s="12" t="s">
        <v>18</v>
      </c>
      <c r="B94" s="36" t="s">
        <v>603</v>
      </c>
      <c r="C94" s="12">
        <f t="shared" si="8"/>
        <v>95</v>
      </c>
      <c r="D94" s="12">
        <v>0</v>
      </c>
      <c r="G94" s="14" t="s">
        <v>127</v>
      </c>
      <c r="H94" s="12" t="s">
        <v>3471</v>
      </c>
      <c r="I94" s="12">
        <v>333821</v>
      </c>
      <c r="J94" s="12">
        <v>131</v>
      </c>
      <c r="K94" s="20" t="s">
        <v>20</v>
      </c>
      <c r="L94" s="20">
        <v>1</v>
      </c>
      <c r="M94" s="17">
        <v>161290</v>
      </c>
      <c r="N94" s="34">
        <f t="shared" si="9"/>
        <v>161290</v>
      </c>
      <c r="O94" s="12" t="s">
        <v>21</v>
      </c>
      <c r="P94" s="17">
        <f t="shared" si="10"/>
        <v>64</v>
      </c>
      <c r="Q94" s="12">
        <f t="shared" si="11"/>
        <v>122</v>
      </c>
    </row>
    <row r="95" spans="1:17" ht="15" customHeight="1" x14ac:dyDescent="0.2">
      <c r="A95" s="12" t="s">
        <v>18</v>
      </c>
      <c r="B95" s="36" t="s">
        <v>320</v>
      </c>
      <c r="C95" s="12">
        <f t="shared" si="8"/>
        <v>96</v>
      </c>
      <c r="D95" s="12">
        <v>1</v>
      </c>
      <c r="G95" s="14" t="s">
        <v>145</v>
      </c>
      <c r="H95" s="12" t="s">
        <v>3472</v>
      </c>
      <c r="I95" s="12">
        <v>131</v>
      </c>
      <c r="J95" s="12">
        <v>5113</v>
      </c>
      <c r="K95" s="20" t="s">
        <v>20</v>
      </c>
      <c r="L95" s="20">
        <v>1</v>
      </c>
      <c r="M95" s="17">
        <v>13978495</v>
      </c>
      <c r="N95" s="34">
        <f t="shared" si="9"/>
        <v>13978495</v>
      </c>
      <c r="O95" s="12" t="s">
        <v>21</v>
      </c>
      <c r="P95" s="17">
        <f t="shared" si="10"/>
        <v>65</v>
      </c>
      <c r="Q95" s="12">
        <f t="shared" si="11"/>
        <v>155</v>
      </c>
    </row>
    <row r="96" spans="1:17" ht="15" customHeight="1" x14ac:dyDescent="0.2">
      <c r="A96" s="12" t="s">
        <v>18</v>
      </c>
      <c r="B96" s="36" t="s">
        <v>320</v>
      </c>
      <c r="C96" s="12">
        <f t="shared" si="8"/>
        <v>96</v>
      </c>
      <c r="D96" s="12">
        <v>0</v>
      </c>
      <c r="G96" s="14" t="s">
        <v>145</v>
      </c>
      <c r="H96" s="12" t="s">
        <v>3473</v>
      </c>
      <c r="I96" s="12">
        <v>333821</v>
      </c>
      <c r="J96" s="12">
        <v>131</v>
      </c>
      <c r="K96" s="20" t="s">
        <v>20</v>
      </c>
      <c r="L96" s="20">
        <v>1</v>
      </c>
      <c r="M96" s="17">
        <v>139785</v>
      </c>
      <c r="N96" s="34">
        <f t="shared" si="9"/>
        <v>139785</v>
      </c>
      <c r="O96" s="12" t="s">
        <v>21</v>
      </c>
      <c r="P96" s="17">
        <f t="shared" si="10"/>
        <v>65</v>
      </c>
      <c r="Q96" s="12">
        <f t="shared" si="11"/>
        <v>171</v>
      </c>
    </row>
    <row r="97" spans="1:17" ht="15" customHeight="1" x14ac:dyDescent="0.2">
      <c r="A97" s="12" t="s">
        <v>18</v>
      </c>
      <c r="B97" s="36" t="s">
        <v>320</v>
      </c>
      <c r="C97" s="12">
        <f t="shared" si="8"/>
        <v>97</v>
      </c>
      <c r="D97" s="12">
        <v>1</v>
      </c>
      <c r="G97" s="14" t="s">
        <v>145</v>
      </c>
      <c r="H97" s="12" t="s">
        <v>3474</v>
      </c>
      <c r="I97" s="12">
        <v>131</v>
      </c>
      <c r="J97" s="12">
        <v>5113</v>
      </c>
      <c r="K97" s="20" t="s">
        <v>20</v>
      </c>
      <c r="L97" s="20">
        <v>1</v>
      </c>
      <c r="M97" s="17">
        <v>23655914</v>
      </c>
      <c r="N97" s="34">
        <f t="shared" si="9"/>
        <v>23655914</v>
      </c>
      <c r="O97" s="12" t="s">
        <v>21</v>
      </c>
      <c r="P97" s="17">
        <f t="shared" si="10"/>
        <v>66</v>
      </c>
      <c r="Q97" s="12">
        <f t="shared" si="11"/>
        <v>155</v>
      </c>
    </row>
    <row r="98" spans="1:17" ht="15" customHeight="1" x14ac:dyDescent="0.2">
      <c r="A98" s="12" t="s">
        <v>18</v>
      </c>
      <c r="B98" s="36" t="s">
        <v>320</v>
      </c>
      <c r="C98" s="12">
        <f t="shared" si="8"/>
        <v>97</v>
      </c>
      <c r="D98" s="12">
        <v>0</v>
      </c>
      <c r="G98" s="14" t="s">
        <v>145</v>
      </c>
      <c r="H98" s="12" t="s">
        <v>3475</v>
      </c>
      <c r="I98" s="12">
        <v>333821</v>
      </c>
      <c r="J98" s="12">
        <v>131</v>
      </c>
      <c r="K98" s="20" t="s">
        <v>20</v>
      </c>
      <c r="L98" s="20">
        <v>1</v>
      </c>
      <c r="M98" s="17">
        <v>236559</v>
      </c>
      <c r="N98" s="34">
        <f t="shared" si="9"/>
        <v>236559</v>
      </c>
      <c r="O98" s="12" t="s">
        <v>21</v>
      </c>
      <c r="P98" s="17">
        <f t="shared" si="10"/>
        <v>66</v>
      </c>
      <c r="Q98" s="12">
        <f t="shared" si="11"/>
        <v>171</v>
      </c>
    </row>
    <row r="99" spans="1:17" ht="15" customHeight="1" x14ac:dyDescent="0.2">
      <c r="A99" s="12" t="s">
        <v>18</v>
      </c>
      <c r="B99" s="36" t="s">
        <v>320</v>
      </c>
      <c r="C99" s="12">
        <f t="shared" ref="C99:C105" si="12">C98+D99</f>
        <v>98</v>
      </c>
      <c r="D99" s="12">
        <v>1</v>
      </c>
      <c r="G99" s="14" t="s">
        <v>537</v>
      </c>
      <c r="H99" s="12" t="s">
        <v>2256</v>
      </c>
      <c r="I99" s="12">
        <v>131</v>
      </c>
      <c r="J99" s="12">
        <v>5113</v>
      </c>
      <c r="K99" s="20" t="s">
        <v>20</v>
      </c>
      <c r="L99" s="20">
        <v>1</v>
      </c>
      <c r="M99" s="17">
        <v>12903226</v>
      </c>
      <c r="N99" s="34">
        <f t="shared" ref="N99:N104" si="13">L99*M99</f>
        <v>12903226</v>
      </c>
      <c r="O99" s="12" t="s">
        <v>21</v>
      </c>
      <c r="P99" s="17">
        <f t="shared" si="10"/>
        <v>67</v>
      </c>
      <c r="Q99" s="12">
        <f t="shared" si="11"/>
        <v>126</v>
      </c>
    </row>
    <row r="100" spans="1:17" ht="15" customHeight="1" x14ac:dyDescent="0.2">
      <c r="A100" s="12" t="s">
        <v>18</v>
      </c>
      <c r="B100" s="36" t="s">
        <v>320</v>
      </c>
      <c r="C100" s="12">
        <f t="shared" si="12"/>
        <v>98</v>
      </c>
      <c r="D100" s="12">
        <v>0</v>
      </c>
      <c r="G100" s="14" t="s">
        <v>537</v>
      </c>
      <c r="H100" s="12" t="s">
        <v>2274</v>
      </c>
      <c r="I100" s="12">
        <v>333821</v>
      </c>
      <c r="J100" s="12">
        <v>131</v>
      </c>
      <c r="K100" s="20" t="s">
        <v>20</v>
      </c>
      <c r="L100" s="20">
        <v>1</v>
      </c>
      <c r="M100" s="17">
        <v>129032</v>
      </c>
      <c r="N100" s="34">
        <f t="shared" si="13"/>
        <v>129032</v>
      </c>
      <c r="O100" s="12" t="s">
        <v>21</v>
      </c>
      <c r="P100" s="17">
        <f t="shared" si="10"/>
        <v>67</v>
      </c>
      <c r="Q100" s="12">
        <f t="shared" si="11"/>
        <v>142</v>
      </c>
    </row>
    <row r="101" spans="1:17" ht="15" customHeight="1" x14ac:dyDescent="0.2">
      <c r="A101" s="12" t="s">
        <v>18</v>
      </c>
      <c r="B101" s="36" t="s">
        <v>320</v>
      </c>
      <c r="C101" s="12">
        <f t="shared" si="12"/>
        <v>99</v>
      </c>
      <c r="D101" s="12">
        <v>1</v>
      </c>
      <c r="G101" s="14" t="s">
        <v>2231</v>
      </c>
      <c r="H101" s="12" t="s">
        <v>2257</v>
      </c>
      <c r="I101" s="12">
        <v>131</v>
      </c>
      <c r="J101" s="12">
        <v>5113</v>
      </c>
      <c r="K101" s="20" t="s">
        <v>20</v>
      </c>
      <c r="L101" s="20">
        <v>1</v>
      </c>
      <c r="M101" s="17">
        <v>16129032</v>
      </c>
      <c r="N101" s="34">
        <f t="shared" si="13"/>
        <v>16129032</v>
      </c>
      <c r="O101" s="12" t="s">
        <v>21</v>
      </c>
      <c r="P101" s="17">
        <f t="shared" si="10"/>
        <v>68</v>
      </c>
      <c r="Q101" s="12">
        <f t="shared" si="11"/>
        <v>169</v>
      </c>
    </row>
    <row r="102" spans="1:17" ht="15" customHeight="1" x14ac:dyDescent="0.2">
      <c r="A102" s="12" t="s">
        <v>18</v>
      </c>
      <c r="B102" s="36" t="s">
        <v>320</v>
      </c>
      <c r="C102" s="12">
        <f t="shared" si="12"/>
        <v>99</v>
      </c>
      <c r="D102" s="12">
        <v>0</v>
      </c>
      <c r="G102" s="14" t="s">
        <v>2231</v>
      </c>
      <c r="H102" s="12" t="s">
        <v>2275</v>
      </c>
      <c r="I102" s="12">
        <v>333821</v>
      </c>
      <c r="J102" s="12">
        <v>131</v>
      </c>
      <c r="K102" s="20" t="s">
        <v>20</v>
      </c>
      <c r="L102" s="20">
        <v>1</v>
      </c>
      <c r="M102" s="17">
        <v>161290</v>
      </c>
      <c r="N102" s="34">
        <f t="shared" si="13"/>
        <v>161290</v>
      </c>
      <c r="O102" s="12" t="s">
        <v>21</v>
      </c>
      <c r="P102" s="17">
        <f t="shared" si="10"/>
        <v>68</v>
      </c>
      <c r="Q102" s="12">
        <f t="shared" si="11"/>
        <v>185</v>
      </c>
    </row>
    <row r="103" spans="1:17" ht="15" customHeight="1" x14ac:dyDescent="0.2">
      <c r="A103" s="12" t="s">
        <v>18</v>
      </c>
      <c r="B103" s="36" t="s">
        <v>2045</v>
      </c>
      <c r="C103" s="12">
        <f t="shared" si="12"/>
        <v>100</v>
      </c>
      <c r="D103" s="12">
        <v>1</v>
      </c>
      <c r="G103" s="32" t="s">
        <v>43</v>
      </c>
      <c r="H103" s="12" t="s">
        <v>3476</v>
      </c>
      <c r="I103" s="12">
        <v>131</v>
      </c>
      <c r="J103" s="12">
        <v>5113</v>
      </c>
      <c r="K103" s="20" t="s">
        <v>20</v>
      </c>
      <c r="L103" s="20">
        <v>1</v>
      </c>
      <c r="M103" s="17">
        <v>16129032</v>
      </c>
      <c r="N103" s="34">
        <f t="shared" si="13"/>
        <v>16129032</v>
      </c>
      <c r="O103" s="12" t="s">
        <v>21</v>
      </c>
      <c r="P103" s="17">
        <f t="shared" si="10"/>
        <v>69</v>
      </c>
      <c r="Q103" s="12">
        <f t="shared" si="11"/>
        <v>144</v>
      </c>
    </row>
    <row r="104" spans="1:17" ht="15" customHeight="1" x14ac:dyDescent="0.2">
      <c r="A104" s="12" t="s">
        <v>18</v>
      </c>
      <c r="B104" s="36" t="s">
        <v>2045</v>
      </c>
      <c r="C104" s="12">
        <f t="shared" si="12"/>
        <v>100</v>
      </c>
      <c r="D104" s="12">
        <v>0</v>
      </c>
      <c r="G104" s="32" t="s">
        <v>43</v>
      </c>
      <c r="H104" s="12" t="s">
        <v>3477</v>
      </c>
      <c r="I104" s="12">
        <v>333821</v>
      </c>
      <c r="J104" s="12">
        <v>131</v>
      </c>
      <c r="K104" s="20" t="s">
        <v>20</v>
      </c>
      <c r="L104" s="20">
        <v>1</v>
      </c>
      <c r="M104" s="17">
        <v>161290</v>
      </c>
      <c r="N104" s="34">
        <f t="shared" si="13"/>
        <v>161290</v>
      </c>
      <c r="O104" s="12" t="s">
        <v>21</v>
      </c>
      <c r="P104" s="17">
        <f t="shared" si="10"/>
        <v>69</v>
      </c>
      <c r="Q104" s="12">
        <f t="shared" si="11"/>
        <v>160</v>
      </c>
    </row>
    <row r="105" spans="1:17" ht="15" customHeight="1" x14ac:dyDescent="0.2">
      <c r="A105" s="12" t="s">
        <v>18</v>
      </c>
      <c r="B105" s="13">
        <v>45961</v>
      </c>
      <c r="C105" s="12">
        <f t="shared" si="12"/>
        <v>101</v>
      </c>
      <c r="D105" s="12">
        <v>1</v>
      </c>
      <c r="G105" s="14" t="s">
        <v>93</v>
      </c>
      <c r="H105" s="12" t="s">
        <v>371</v>
      </c>
      <c r="I105" s="12">
        <v>64271</v>
      </c>
      <c r="J105" s="12">
        <v>3383</v>
      </c>
      <c r="K105" s="12" t="s">
        <v>20</v>
      </c>
      <c r="L105" s="12">
        <v>1</v>
      </c>
      <c r="M105" s="17">
        <v>690300</v>
      </c>
      <c r="N105" s="34">
        <f t="shared" ref="N105:N170" si="14">L105*M105</f>
        <v>690300</v>
      </c>
      <c r="O105" s="12" t="s">
        <v>21</v>
      </c>
      <c r="P105" s="17">
        <f t="shared" si="10"/>
        <v>70</v>
      </c>
      <c r="Q105" s="12">
        <f t="shared" si="11"/>
        <v>30</v>
      </c>
    </row>
    <row r="106" spans="1:17" ht="15" customHeight="1" x14ac:dyDescent="0.2">
      <c r="A106" s="12" t="s">
        <v>18</v>
      </c>
      <c r="B106" s="13">
        <v>45991</v>
      </c>
      <c r="C106" s="12">
        <f t="shared" ref="C106:C144" si="15">C105+D106</f>
        <v>102</v>
      </c>
      <c r="D106" s="12">
        <v>1</v>
      </c>
      <c r="G106" s="14" t="s">
        <v>93</v>
      </c>
      <c r="H106" s="12" t="s">
        <v>372</v>
      </c>
      <c r="I106" s="12">
        <v>64271</v>
      </c>
      <c r="J106" s="12">
        <v>3383</v>
      </c>
      <c r="K106" s="12" t="s">
        <v>20</v>
      </c>
      <c r="L106" s="12">
        <v>1</v>
      </c>
      <c r="M106" s="17">
        <v>690300</v>
      </c>
      <c r="N106" s="34">
        <f t="shared" si="14"/>
        <v>690300</v>
      </c>
      <c r="O106" s="12" t="s">
        <v>21</v>
      </c>
      <c r="P106" s="17">
        <f t="shared" si="10"/>
        <v>71</v>
      </c>
      <c r="Q106" s="12">
        <f t="shared" si="11"/>
        <v>30</v>
      </c>
    </row>
    <row r="107" spans="1:17" ht="15" customHeight="1" x14ac:dyDescent="0.2">
      <c r="A107" s="12" t="s">
        <v>18</v>
      </c>
      <c r="B107" s="13">
        <v>46022</v>
      </c>
      <c r="C107" s="12">
        <f t="shared" si="15"/>
        <v>103</v>
      </c>
      <c r="D107" s="12">
        <v>1</v>
      </c>
      <c r="G107" s="14" t="s">
        <v>93</v>
      </c>
      <c r="H107" s="12" t="s">
        <v>373</v>
      </c>
      <c r="I107" s="12">
        <v>64271</v>
      </c>
      <c r="J107" s="12">
        <v>3383</v>
      </c>
      <c r="K107" s="12" t="s">
        <v>20</v>
      </c>
      <c r="L107" s="12">
        <v>1</v>
      </c>
      <c r="M107" s="17">
        <v>690300</v>
      </c>
      <c r="N107" s="34">
        <f t="shared" si="14"/>
        <v>690300</v>
      </c>
      <c r="O107" s="12" t="s">
        <v>21</v>
      </c>
      <c r="P107" s="17">
        <f t="shared" si="10"/>
        <v>72</v>
      </c>
      <c r="Q107" s="12">
        <f t="shared" si="11"/>
        <v>30</v>
      </c>
    </row>
    <row r="108" spans="1:17" ht="15" customHeight="1" x14ac:dyDescent="0.2">
      <c r="A108" s="12" t="s">
        <v>18</v>
      </c>
      <c r="B108" s="36" t="s">
        <v>309</v>
      </c>
      <c r="C108" s="12">
        <f t="shared" si="15"/>
        <v>104</v>
      </c>
      <c r="D108" s="12">
        <v>1</v>
      </c>
      <c r="G108" s="14" t="s">
        <v>37</v>
      </c>
      <c r="H108" s="12" t="s">
        <v>3389</v>
      </c>
      <c r="I108" s="12">
        <v>331</v>
      </c>
      <c r="J108" s="12">
        <v>1111</v>
      </c>
      <c r="K108" s="12" t="s">
        <v>20</v>
      </c>
      <c r="L108" s="12">
        <v>1</v>
      </c>
      <c r="M108" s="17">
        <v>3240000</v>
      </c>
      <c r="N108" s="17">
        <f t="shared" si="14"/>
        <v>3240000</v>
      </c>
      <c r="O108" s="12" t="s">
        <v>21</v>
      </c>
      <c r="P108" s="17">
        <f t="shared" si="10"/>
        <v>73</v>
      </c>
      <c r="Q108" s="12">
        <f t="shared" si="11"/>
        <v>53</v>
      </c>
    </row>
    <row r="109" spans="1:17" ht="15" customHeight="1" x14ac:dyDescent="0.2">
      <c r="A109" s="12" t="s">
        <v>18</v>
      </c>
      <c r="B109" s="36" t="s">
        <v>443</v>
      </c>
      <c r="C109" s="12">
        <f t="shared" si="15"/>
        <v>105</v>
      </c>
      <c r="D109" s="12">
        <v>1</v>
      </c>
      <c r="G109" s="14" t="s">
        <v>48</v>
      </c>
      <c r="H109" s="12" t="s">
        <v>3390</v>
      </c>
      <c r="I109" s="12">
        <v>331</v>
      </c>
      <c r="J109" s="12">
        <v>1111</v>
      </c>
      <c r="K109" s="12" t="s">
        <v>20</v>
      </c>
      <c r="L109" s="12">
        <v>1</v>
      </c>
      <c r="M109" s="17">
        <v>97409</v>
      </c>
      <c r="N109" s="17">
        <f t="shared" si="14"/>
        <v>97409</v>
      </c>
      <c r="O109" s="12" t="s">
        <v>21</v>
      </c>
      <c r="P109" s="17">
        <f t="shared" si="10"/>
        <v>74</v>
      </c>
      <c r="Q109" s="12">
        <f t="shared" si="11"/>
        <v>65</v>
      </c>
    </row>
    <row r="110" spans="1:17" ht="15" customHeight="1" x14ac:dyDescent="0.2">
      <c r="A110" s="12" t="s">
        <v>18</v>
      </c>
      <c r="B110" s="36" t="s">
        <v>443</v>
      </c>
      <c r="C110" s="12">
        <f t="shared" si="15"/>
        <v>106</v>
      </c>
      <c r="D110" s="12">
        <v>1</v>
      </c>
      <c r="G110" s="14" t="s">
        <v>2225</v>
      </c>
      <c r="H110" s="12" t="s">
        <v>3391</v>
      </c>
      <c r="I110" s="12">
        <v>331</v>
      </c>
      <c r="J110" s="12">
        <v>1111</v>
      </c>
      <c r="K110" s="12" t="s">
        <v>20</v>
      </c>
      <c r="L110" s="12">
        <v>1</v>
      </c>
      <c r="M110" s="17">
        <v>516240</v>
      </c>
      <c r="N110" s="17">
        <f t="shared" si="14"/>
        <v>516240</v>
      </c>
      <c r="O110" s="12" t="s">
        <v>21</v>
      </c>
      <c r="P110" s="17">
        <f t="shared" si="10"/>
        <v>75</v>
      </c>
      <c r="Q110" s="12">
        <f t="shared" si="11"/>
        <v>51</v>
      </c>
    </row>
    <row r="111" spans="1:17" ht="15" customHeight="1" x14ac:dyDescent="0.2">
      <c r="A111" s="12" t="s">
        <v>18</v>
      </c>
      <c r="B111" s="36" t="s">
        <v>444</v>
      </c>
      <c r="C111" s="12">
        <f t="shared" si="15"/>
        <v>107</v>
      </c>
      <c r="D111" s="12">
        <v>1</v>
      </c>
      <c r="G111" s="14" t="s">
        <v>2226</v>
      </c>
      <c r="H111" s="12" t="s">
        <v>3392</v>
      </c>
      <c r="I111" s="12">
        <v>331</v>
      </c>
      <c r="J111" s="12">
        <v>1111</v>
      </c>
      <c r="K111" s="12" t="s">
        <v>20</v>
      </c>
      <c r="L111" s="12">
        <v>1</v>
      </c>
      <c r="M111" s="17">
        <v>993600</v>
      </c>
      <c r="N111" s="17">
        <f t="shared" si="14"/>
        <v>993600</v>
      </c>
      <c r="O111" s="12" t="s">
        <v>21</v>
      </c>
      <c r="P111" s="17">
        <f t="shared" si="10"/>
        <v>76</v>
      </c>
      <c r="Q111" s="12">
        <f t="shared" si="11"/>
        <v>53</v>
      </c>
    </row>
    <row r="112" spans="1:17" ht="15" customHeight="1" x14ac:dyDescent="0.2">
      <c r="A112" s="12" t="s">
        <v>18</v>
      </c>
      <c r="B112" s="36" t="s">
        <v>444</v>
      </c>
      <c r="C112" s="12">
        <f t="shared" si="15"/>
        <v>108</v>
      </c>
      <c r="D112" s="12">
        <v>1</v>
      </c>
      <c r="G112" s="14" t="s">
        <v>24</v>
      </c>
      <c r="H112" s="12" t="s">
        <v>3393</v>
      </c>
      <c r="I112" s="12">
        <v>331</v>
      </c>
      <c r="J112" s="12">
        <v>1111</v>
      </c>
      <c r="K112" s="12" t="s">
        <v>20</v>
      </c>
      <c r="L112" s="12">
        <v>1</v>
      </c>
      <c r="M112" s="17">
        <v>25000</v>
      </c>
      <c r="N112" s="17">
        <f t="shared" si="14"/>
        <v>25000</v>
      </c>
      <c r="O112" s="12" t="s">
        <v>21</v>
      </c>
      <c r="P112" s="17">
        <f t="shared" si="10"/>
        <v>77</v>
      </c>
      <c r="Q112" s="12">
        <f t="shared" si="11"/>
        <v>51</v>
      </c>
    </row>
    <row r="113" spans="1:17" ht="15" customHeight="1" x14ac:dyDescent="0.2">
      <c r="A113" s="12" t="s">
        <v>18</v>
      </c>
      <c r="B113" s="36" t="s">
        <v>446</v>
      </c>
      <c r="C113" s="12">
        <f t="shared" si="15"/>
        <v>109</v>
      </c>
      <c r="D113" s="12">
        <v>1</v>
      </c>
      <c r="G113" s="14" t="s">
        <v>19</v>
      </c>
      <c r="H113" s="12" t="s">
        <v>3394</v>
      </c>
      <c r="I113" s="12">
        <v>331</v>
      </c>
      <c r="J113" s="12">
        <v>1111</v>
      </c>
      <c r="K113" s="12" t="s">
        <v>20</v>
      </c>
      <c r="L113" s="12">
        <v>1</v>
      </c>
      <c r="M113" s="17">
        <v>28000</v>
      </c>
      <c r="N113" s="17">
        <f t="shared" si="14"/>
        <v>28000</v>
      </c>
      <c r="O113" s="12" t="s">
        <v>21</v>
      </c>
      <c r="P113" s="17">
        <f t="shared" si="10"/>
        <v>78</v>
      </c>
      <c r="Q113" s="12">
        <f t="shared" si="11"/>
        <v>51</v>
      </c>
    </row>
    <row r="114" spans="1:17" ht="15" customHeight="1" x14ac:dyDescent="0.2">
      <c r="A114" s="12" t="s">
        <v>18</v>
      </c>
      <c r="B114" s="36" t="s">
        <v>290</v>
      </c>
      <c r="C114" s="12">
        <f t="shared" si="15"/>
        <v>110</v>
      </c>
      <c r="D114" s="12">
        <v>1</v>
      </c>
      <c r="G114" s="14" t="s">
        <v>2225</v>
      </c>
      <c r="H114" s="12" t="s">
        <v>3395</v>
      </c>
      <c r="I114" s="12">
        <v>331</v>
      </c>
      <c r="J114" s="12">
        <v>1111</v>
      </c>
      <c r="K114" s="12" t="s">
        <v>20</v>
      </c>
      <c r="L114" s="12">
        <v>1</v>
      </c>
      <c r="M114" s="17">
        <v>516240</v>
      </c>
      <c r="N114" s="17">
        <f t="shared" si="14"/>
        <v>516240</v>
      </c>
      <c r="O114" s="12" t="s">
        <v>21</v>
      </c>
      <c r="P114" s="17">
        <f t="shared" si="10"/>
        <v>79</v>
      </c>
      <c r="Q114" s="12">
        <f t="shared" si="11"/>
        <v>51</v>
      </c>
    </row>
    <row r="115" spans="1:17" ht="15" customHeight="1" x14ac:dyDescent="0.2">
      <c r="A115" s="12" t="s">
        <v>18</v>
      </c>
      <c r="B115" s="36" t="s">
        <v>413</v>
      </c>
      <c r="C115" s="12">
        <f t="shared" si="15"/>
        <v>111</v>
      </c>
      <c r="D115" s="12">
        <v>1</v>
      </c>
      <c r="G115" s="14" t="s">
        <v>24</v>
      </c>
      <c r="H115" s="12" t="s">
        <v>3396</v>
      </c>
      <c r="I115" s="12">
        <v>331</v>
      </c>
      <c r="J115" s="12">
        <v>1111</v>
      </c>
      <c r="K115" s="12" t="s">
        <v>20</v>
      </c>
      <c r="L115" s="12">
        <v>1</v>
      </c>
      <c r="M115" s="17">
        <v>22000</v>
      </c>
      <c r="N115" s="17">
        <f t="shared" si="14"/>
        <v>22000</v>
      </c>
      <c r="O115" s="12" t="s">
        <v>21</v>
      </c>
      <c r="P115" s="17">
        <f t="shared" si="10"/>
        <v>80</v>
      </c>
      <c r="Q115" s="12">
        <f t="shared" si="11"/>
        <v>51</v>
      </c>
    </row>
    <row r="116" spans="1:17" ht="15" customHeight="1" x14ac:dyDescent="0.2">
      <c r="A116" s="12" t="s">
        <v>18</v>
      </c>
      <c r="B116" s="36" t="s">
        <v>413</v>
      </c>
      <c r="C116" s="12">
        <f t="shared" si="15"/>
        <v>112</v>
      </c>
      <c r="D116" s="12">
        <v>1</v>
      </c>
      <c r="G116" s="14" t="s">
        <v>19</v>
      </c>
      <c r="H116" s="12" t="s">
        <v>3397</v>
      </c>
      <c r="I116" s="12">
        <v>331</v>
      </c>
      <c r="J116" s="12">
        <v>1111</v>
      </c>
      <c r="K116" s="12" t="s">
        <v>20</v>
      </c>
      <c r="L116" s="12">
        <v>1</v>
      </c>
      <c r="M116" s="17">
        <v>12000</v>
      </c>
      <c r="N116" s="17">
        <f t="shared" si="14"/>
        <v>12000</v>
      </c>
      <c r="O116" s="12" t="s">
        <v>21</v>
      </c>
      <c r="P116" s="17">
        <f t="shared" si="10"/>
        <v>81</v>
      </c>
      <c r="Q116" s="12">
        <f t="shared" si="11"/>
        <v>51</v>
      </c>
    </row>
    <row r="117" spans="1:17" ht="15" customHeight="1" x14ac:dyDescent="0.2">
      <c r="A117" s="12" t="s">
        <v>18</v>
      </c>
      <c r="B117" s="36" t="s">
        <v>413</v>
      </c>
      <c r="C117" s="12">
        <f t="shared" si="15"/>
        <v>113</v>
      </c>
      <c r="D117" s="12">
        <v>1</v>
      </c>
      <c r="G117" s="14" t="s">
        <v>19</v>
      </c>
      <c r="H117" s="12" t="s">
        <v>3398</v>
      </c>
      <c r="I117" s="12">
        <v>331</v>
      </c>
      <c r="J117" s="12">
        <v>1111</v>
      </c>
      <c r="K117" s="12" t="s">
        <v>20</v>
      </c>
      <c r="L117" s="12">
        <v>1</v>
      </c>
      <c r="M117" s="17">
        <v>19000</v>
      </c>
      <c r="N117" s="17">
        <f t="shared" si="14"/>
        <v>19000</v>
      </c>
      <c r="O117" s="12" t="s">
        <v>21</v>
      </c>
      <c r="P117" s="17">
        <f t="shared" si="10"/>
        <v>82</v>
      </c>
      <c r="Q117" s="12">
        <f t="shared" si="11"/>
        <v>51</v>
      </c>
    </row>
    <row r="118" spans="1:17" ht="15" customHeight="1" x14ac:dyDescent="0.2">
      <c r="A118" s="12" t="s">
        <v>18</v>
      </c>
      <c r="B118" s="36" t="s">
        <v>511</v>
      </c>
      <c r="C118" s="12">
        <f t="shared" si="15"/>
        <v>114</v>
      </c>
      <c r="D118" s="12">
        <v>1</v>
      </c>
      <c r="G118" s="14" t="s">
        <v>871</v>
      </c>
      <c r="H118" s="12" t="s">
        <v>3399</v>
      </c>
      <c r="I118" s="12">
        <v>331</v>
      </c>
      <c r="J118" s="12">
        <v>1111</v>
      </c>
      <c r="K118" s="12" t="s">
        <v>20</v>
      </c>
      <c r="L118" s="12">
        <v>1</v>
      </c>
      <c r="M118" s="17">
        <v>658800</v>
      </c>
      <c r="N118" s="17">
        <f t="shared" si="14"/>
        <v>658800</v>
      </c>
      <c r="O118" s="12" t="s">
        <v>21</v>
      </c>
      <c r="P118" s="17">
        <f t="shared" si="10"/>
        <v>83</v>
      </c>
      <c r="Q118" s="12">
        <f t="shared" si="11"/>
        <v>53</v>
      </c>
    </row>
    <row r="119" spans="1:17" ht="15" customHeight="1" x14ac:dyDescent="0.2">
      <c r="A119" s="12" t="s">
        <v>18</v>
      </c>
      <c r="B119" s="36" t="s">
        <v>511</v>
      </c>
      <c r="C119" s="12">
        <f t="shared" si="15"/>
        <v>115</v>
      </c>
      <c r="D119" s="12">
        <v>1</v>
      </c>
      <c r="G119" s="14" t="s">
        <v>19</v>
      </c>
      <c r="H119" s="12" t="s">
        <v>3400</v>
      </c>
      <c r="I119" s="12">
        <v>331</v>
      </c>
      <c r="J119" s="12">
        <v>1111</v>
      </c>
      <c r="K119" s="12" t="s">
        <v>20</v>
      </c>
      <c r="L119" s="12">
        <v>1</v>
      </c>
      <c r="M119" s="17">
        <v>22000</v>
      </c>
      <c r="N119" s="17">
        <f t="shared" si="14"/>
        <v>22000</v>
      </c>
      <c r="O119" s="12" t="s">
        <v>21</v>
      </c>
      <c r="P119" s="17">
        <f t="shared" si="10"/>
        <v>84</v>
      </c>
      <c r="Q119" s="12">
        <f t="shared" si="11"/>
        <v>51</v>
      </c>
    </row>
    <row r="120" spans="1:17" ht="15" customHeight="1" x14ac:dyDescent="0.2">
      <c r="A120" s="12" t="s">
        <v>18</v>
      </c>
      <c r="B120" s="36" t="s">
        <v>511</v>
      </c>
      <c r="C120" s="12">
        <f t="shared" si="15"/>
        <v>116</v>
      </c>
      <c r="D120" s="12">
        <v>1</v>
      </c>
      <c r="G120" s="14" t="s">
        <v>19</v>
      </c>
      <c r="H120" s="12" t="s">
        <v>3401</v>
      </c>
      <c r="I120" s="12">
        <v>331</v>
      </c>
      <c r="J120" s="12">
        <v>1111</v>
      </c>
      <c r="K120" s="12" t="s">
        <v>20</v>
      </c>
      <c r="L120" s="12">
        <v>1</v>
      </c>
      <c r="M120" s="17">
        <v>29000</v>
      </c>
      <c r="N120" s="17">
        <f t="shared" si="14"/>
        <v>29000</v>
      </c>
      <c r="O120" s="12" t="s">
        <v>21</v>
      </c>
      <c r="P120" s="17">
        <f t="shared" si="10"/>
        <v>85</v>
      </c>
      <c r="Q120" s="12">
        <f t="shared" si="11"/>
        <v>51</v>
      </c>
    </row>
    <row r="121" spans="1:17" ht="15" customHeight="1" x14ac:dyDescent="0.2">
      <c r="A121" s="12" t="s">
        <v>18</v>
      </c>
      <c r="B121" s="36" t="s">
        <v>448</v>
      </c>
      <c r="C121" s="12">
        <f t="shared" si="15"/>
        <v>117</v>
      </c>
      <c r="D121" s="12">
        <v>1</v>
      </c>
      <c r="G121" s="14" t="s">
        <v>120</v>
      </c>
      <c r="H121" s="12" t="s">
        <v>3402</v>
      </c>
      <c r="I121" s="12">
        <v>331</v>
      </c>
      <c r="J121" s="12">
        <v>1111</v>
      </c>
      <c r="K121" s="12" t="s">
        <v>20</v>
      </c>
      <c r="L121" s="12">
        <v>1</v>
      </c>
      <c r="M121" s="17">
        <v>4490000</v>
      </c>
      <c r="N121" s="17">
        <f t="shared" si="14"/>
        <v>4490000</v>
      </c>
      <c r="O121" s="12" t="s">
        <v>21</v>
      </c>
      <c r="P121" s="17">
        <f t="shared" si="10"/>
        <v>86</v>
      </c>
      <c r="Q121" s="12">
        <f t="shared" si="11"/>
        <v>49</v>
      </c>
    </row>
    <row r="122" spans="1:17" ht="15" customHeight="1" x14ac:dyDescent="0.2">
      <c r="A122" s="12" t="s">
        <v>18</v>
      </c>
      <c r="B122" s="36" t="s">
        <v>448</v>
      </c>
      <c r="C122" s="12">
        <f t="shared" si="15"/>
        <v>118</v>
      </c>
      <c r="D122" s="12">
        <v>1</v>
      </c>
      <c r="G122" s="14" t="s">
        <v>19</v>
      </c>
      <c r="H122" s="12" t="s">
        <v>3403</v>
      </c>
      <c r="I122" s="12">
        <v>331</v>
      </c>
      <c r="J122" s="12">
        <v>1111</v>
      </c>
      <c r="K122" s="12" t="s">
        <v>20</v>
      </c>
      <c r="L122" s="12">
        <v>1</v>
      </c>
      <c r="M122" s="17">
        <v>61000</v>
      </c>
      <c r="N122" s="17">
        <f t="shared" si="14"/>
        <v>61000</v>
      </c>
      <c r="O122" s="12" t="s">
        <v>21</v>
      </c>
      <c r="P122" s="17">
        <f t="shared" si="10"/>
        <v>87</v>
      </c>
      <c r="Q122" s="12">
        <f t="shared" si="11"/>
        <v>51</v>
      </c>
    </row>
    <row r="123" spans="1:17" ht="15" customHeight="1" x14ac:dyDescent="0.2">
      <c r="A123" s="12" t="s">
        <v>18</v>
      </c>
      <c r="B123" s="36" t="s">
        <v>448</v>
      </c>
      <c r="C123" s="12">
        <f t="shared" si="15"/>
        <v>119</v>
      </c>
      <c r="D123" s="12">
        <v>1</v>
      </c>
      <c r="G123" s="14" t="s">
        <v>19</v>
      </c>
      <c r="H123" s="12" t="s">
        <v>3404</v>
      </c>
      <c r="I123" s="12">
        <v>331</v>
      </c>
      <c r="J123" s="12">
        <v>1111</v>
      </c>
      <c r="K123" s="12" t="s">
        <v>20</v>
      </c>
      <c r="L123" s="12">
        <v>1</v>
      </c>
      <c r="M123" s="17">
        <v>19000</v>
      </c>
      <c r="N123" s="17">
        <f t="shared" si="14"/>
        <v>19000</v>
      </c>
      <c r="O123" s="12" t="s">
        <v>21</v>
      </c>
      <c r="P123" s="17">
        <f t="shared" si="10"/>
        <v>88</v>
      </c>
      <c r="Q123" s="12">
        <f t="shared" si="11"/>
        <v>51</v>
      </c>
    </row>
    <row r="124" spans="1:17" ht="15" customHeight="1" x14ac:dyDescent="0.2">
      <c r="A124" s="12" t="s">
        <v>18</v>
      </c>
      <c r="B124" s="36" t="s">
        <v>449</v>
      </c>
      <c r="C124" s="12">
        <f t="shared" si="15"/>
        <v>120</v>
      </c>
      <c r="D124" s="12">
        <v>1</v>
      </c>
      <c r="G124" s="14" t="s">
        <v>37</v>
      </c>
      <c r="H124" s="12" t="s">
        <v>3405</v>
      </c>
      <c r="I124" s="12">
        <v>331</v>
      </c>
      <c r="J124" s="12">
        <v>1111</v>
      </c>
      <c r="K124" s="12" t="s">
        <v>20</v>
      </c>
      <c r="L124" s="12">
        <v>1</v>
      </c>
      <c r="M124" s="17">
        <v>3240000</v>
      </c>
      <c r="N124" s="17">
        <f t="shared" si="14"/>
        <v>3240000</v>
      </c>
      <c r="O124" s="12" t="s">
        <v>21</v>
      </c>
      <c r="P124" s="17">
        <f t="shared" si="10"/>
        <v>89</v>
      </c>
      <c r="Q124" s="12">
        <f t="shared" si="11"/>
        <v>53</v>
      </c>
    </row>
    <row r="125" spans="1:17" ht="15" customHeight="1" x14ac:dyDescent="0.2">
      <c r="A125" s="12" t="s">
        <v>18</v>
      </c>
      <c r="B125" s="36" t="s">
        <v>292</v>
      </c>
      <c r="C125" s="12">
        <f t="shared" si="15"/>
        <v>121</v>
      </c>
      <c r="D125" s="12">
        <v>1</v>
      </c>
      <c r="G125" s="14" t="s">
        <v>48</v>
      </c>
      <c r="H125" s="12" t="s">
        <v>3406</v>
      </c>
      <c r="I125" s="12">
        <v>331</v>
      </c>
      <c r="J125" s="12">
        <v>1111</v>
      </c>
      <c r="K125" s="12" t="s">
        <v>20</v>
      </c>
      <c r="L125" s="12">
        <v>1</v>
      </c>
      <c r="M125" s="17">
        <v>122107</v>
      </c>
      <c r="N125" s="17">
        <f t="shared" si="14"/>
        <v>122107</v>
      </c>
      <c r="O125" s="12" t="s">
        <v>21</v>
      </c>
      <c r="P125" s="17">
        <f t="shared" si="10"/>
        <v>90</v>
      </c>
      <c r="Q125" s="12">
        <f t="shared" si="11"/>
        <v>66</v>
      </c>
    </row>
    <row r="126" spans="1:17" ht="15" customHeight="1" x14ac:dyDescent="0.2">
      <c r="A126" s="12" t="s">
        <v>18</v>
      </c>
      <c r="B126" s="36" t="s">
        <v>713</v>
      </c>
      <c r="C126" s="12">
        <f t="shared" si="15"/>
        <v>122</v>
      </c>
      <c r="D126" s="12">
        <v>1</v>
      </c>
      <c r="G126" s="14" t="s">
        <v>25</v>
      </c>
      <c r="H126" s="12" t="s">
        <v>3407</v>
      </c>
      <c r="I126" s="12">
        <v>331</v>
      </c>
      <c r="J126" s="12">
        <v>1111</v>
      </c>
      <c r="K126" s="12" t="s">
        <v>20</v>
      </c>
      <c r="L126" s="12">
        <v>1</v>
      </c>
      <c r="M126" s="17">
        <v>860760</v>
      </c>
      <c r="N126" s="17">
        <f t="shared" si="14"/>
        <v>860760</v>
      </c>
      <c r="O126" s="12" t="s">
        <v>21</v>
      </c>
      <c r="P126" s="17">
        <f t="shared" si="10"/>
        <v>91</v>
      </c>
      <c r="Q126" s="12">
        <f t="shared" si="11"/>
        <v>55</v>
      </c>
    </row>
    <row r="127" spans="1:17" ht="15" customHeight="1" x14ac:dyDescent="0.2">
      <c r="A127" s="12" t="s">
        <v>18</v>
      </c>
      <c r="B127" s="36" t="s">
        <v>453</v>
      </c>
      <c r="C127" s="12">
        <f t="shared" si="15"/>
        <v>123</v>
      </c>
      <c r="D127" s="12">
        <v>1</v>
      </c>
      <c r="G127" s="14" t="s">
        <v>37</v>
      </c>
      <c r="H127" s="12" t="s">
        <v>3408</v>
      </c>
      <c r="I127" s="12">
        <v>331</v>
      </c>
      <c r="J127" s="12">
        <v>1111</v>
      </c>
      <c r="K127" s="12" t="s">
        <v>20</v>
      </c>
      <c r="L127" s="12">
        <v>1</v>
      </c>
      <c r="M127" s="17">
        <v>3240000</v>
      </c>
      <c r="N127" s="17">
        <f t="shared" si="14"/>
        <v>3240000</v>
      </c>
      <c r="O127" s="12" t="s">
        <v>21</v>
      </c>
      <c r="P127" s="17">
        <f t="shared" si="10"/>
        <v>92</v>
      </c>
      <c r="Q127" s="12">
        <f t="shared" si="11"/>
        <v>53</v>
      </c>
    </row>
    <row r="128" spans="1:17" ht="15" customHeight="1" x14ac:dyDescent="0.2">
      <c r="A128" s="12" t="s">
        <v>18</v>
      </c>
      <c r="B128" s="36" t="s">
        <v>524</v>
      </c>
      <c r="C128" s="12">
        <f t="shared" si="15"/>
        <v>124</v>
      </c>
      <c r="D128" s="12">
        <v>1</v>
      </c>
      <c r="G128" s="14" t="s">
        <v>48</v>
      </c>
      <c r="H128" s="12" t="s">
        <v>3409</v>
      </c>
      <c r="I128" s="12">
        <v>331</v>
      </c>
      <c r="J128" s="12">
        <v>1111</v>
      </c>
      <c r="K128" s="12" t="s">
        <v>20</v>
      </c>
      <c r="L128" s="12">
        <v>1</v>
      </c>
      <c r="M128" s="17">
        <v>93110</v>
      </c>
      <c r="N128" s="17">
        <f t="shared" si="14"/>
        <v>93110</v>
      </c>
      <c r="O128" s="12" t="s">
        <v>21</v>
      </c>
      <c r="P128" s="17">
        <f t="shared" si="10"/>
        <v>93</v>
      </c>
      <c r="Q128" s="12">
        <f t="shared" si="11"/>
        <v>66</v>
      </c>
    </row>
    <row r="129" spans="1:26" ht="15" customHeight="1" x14ac:dyDescent="0.2">
      <c r="A129" s="12" t="s">
        <v>18</v>
      </c>
      <c r="B129" s="36" t="s">
        <v>455</v>
      </c>
      <c r="C129" s="12">
        <f t="shared" si="15"/>
        <v>125</v>
      </c>
      <c r="D129" s="12">
        <v>1</v>
      </c>
      <c r="G129" s="14" t="s">
        <v>19</v>
      </c>
      <c r="H129" s="12" t="s">
        <v>3410</v>
      </c>
      <c r="I129" s="12">
        <v>331</v>
      </c>
      <c r="J129" s="12">
        <v>1111</v>
      </c>
      <c r="K129" s="12" t="s">
        <v>20</v>
      </c>
      <c r="L129" s="12">
        <v>1</v>
      </c>
      <c r="M129" s="17">
        <v>12000</v>
      </c>
      <c r="N129" s="17">
        <f t="shared" si="14"/>
        <v>12000</v>
      </c>
      <c r="O129" s="12" t="s">
        <v>21</v>
      </c>
      <c r="P129" s="17">
        <f t="shared" si="10"/>
        <v>94</v>
      </c>
      <c r="Q129" s="12">
        <f t="shared" si="11"/>
        <v>51</v>
      </c>
    </row>
    <row r="130" spans="1:26" ht="15" customHeight="1" x14ac:dyDescent="0.2">
      <c r="A130" s="12" t="s">
        <v>18</v>
      </c>
      <c r="B130" s="36" t="s">
        <v>672</v>
      </c>
      <c r="C130" s="12">
        <f t="shared" si="15"/>
        <v>126</v>
      </c>
      <c r="D130" s="12">
        <v>1</v>
      </c>
      <c r="G130" s="14" t="s">
        <v>19</v>
      </c>
      <c r="H130" s="12" t="s">
        <v>3411</v>
      </c>
      <c r="I130" s="12">
        <v>331</v>
      </c>
      <c r="J130" s="12">
        <v>1111</v>
      </c>
      <c r="K130" s="12" t="s">
        <v>20</v>
      </c>
      <c r="L130" s="12">
        <v>1</v>
      </c>
      <c r="M130" s="17">
        <v>79000</v>
      </c>
      <c r="N130" s="17">
        <f t="shared" si="14"/>
        <v>79000</v>
      </c>
      <c r="O130" s="12" t="s">
        <v>21</v>
      </c>
      <c r="P130" s="17">
        <f t="shared" ref="P130:P199" si="16">P129+D130</f>
        <v>95</v>
      </c>
      <c r="Q130" s="12">
        <f t="shared" si="11"/>
        <v>51</v>
      </c>
    </row>
    <row r="131" spans="1:26" ht="15" customHeight="1" x14ac:dyDescent="0.2">
      <c r="A131" s="12" t="s">
        <v>18</v>
      </c>
      <c r="B131" s="36" t="s">
        <v>515</v>
      </c>
      <c r="C131" s="12">
        <f t="shared" si="15"/>
        <v>127</v>
      </c>
      <c r="D131" s="12">
        <v>1</v>
      </c>
      <c r="G131" s="14" t="s">
        <v>19</v>
      </c>
      <c r="H131" s="12" t="s">
        <v>3412</v>
      </c>
      <c r="I131" s="12">
        <v>331</v>
      </c>
      <c r="J131" s="12">
        <v>1111</v>
      </c>
      <c r="K131" s="12" t="s">
        <v>20</v>
      </c>
      <c r="L131" s="12">
        <v>1</v>
      </c>
      <c r="M131" s="17">
        <v>217000</v>
      </c>
      <c r="N131" s="17">
        <f t="shared" si="14"/>
        <v>217000</v>
      </c>
      <c r="O131" s="12" t="s">
        <v>21</v>
      </c>
      <c r="P131" s="17">
        <f t="shared" si="16"/>
        <v>96</v>
      </c>
      <c r="Q131" s="12">
        <f t="shared" si="11"/>
        <v>51</v>
      </c>
    </row>
    <row r="132" spans="1:26" ht="15" customHeight="1" x14ac:dyDescent="0.2">
      <c r="A132" s="12" t="s">
        <v>2719</v>
      </c>
      <c r="B132" s="36" t="s">
        <v>381</v>
      </c>
      <c r="C132" s="12">
        <f t="shared" si="15"/>
        <v>128</v>
      </c>
      <c r="D132" s="12">
        <v>1</v>
      </c>
      <c r="G132" s="14" t="s">
        <v>2227</v>
      </c>
      <c r="H132" s="12" t="s">
        <v>3414</v>
      </c>
      <c r="I132" s="12">
        <v>331</v>
      </c>
      <c r="J132" s="12">
        <v>1111</v>
      </c>
      <c r="K132" s="12" t="s">
        <v>20</v>
      </c>
      <c r="L132" s="12">
        <v>1</v>
      </c>
      <c r="M132" s="17">
        <v>995760</v>
      </c>
      <c r="N132" s="17">
        <f t="shared" si="14"/>
        <v>995760</v>
      </c>
      <c r="O132" s="12" t="s">
        <v>21</v>
      </c>
      <c r="P132" s="17">
        <f t="shared" si="16"/>
        <v>97</v>
      </c>
      <c r="Q132" s="12">
        <f t="shared" si="11"/>
        <v>52</v>
      </c>
    </row>
    <row r="133" spans="1:26" ht="15" customHeight="1" x14ac:dyDescent="0.2">
      <c r="A133" s="12" t="s">
        <v>2719</v>
      </c>
      <c r="B133" s="36" t="s">
        <v>381</v>
      </c>
      <c r="C133" s="12">
        <f t="shared" si="15"/>
        <v>129</v>
      </c>
      <c r="D133" s="12">
        <v>1</v>
      </c>
      <c r="G133" s="14" t="s">
        <v>19</v>
      </c>
      <c r="H133" s="12" t="s">
        <v>3415</v>
      </c>
      <c r="I133" s="12">
        <v>331</v>
      </c>
      <c r="J133" s="12">
        <v>1111</v>
      </c>
      <c r="K133" s="12" t="s">
        <v>20</v>
      </c>
      <c r="L133" s="12">
        <v>1</v>
      </c>
      <c r="M133" s="17">
        <v>40000</v>
      </c>
      <c r="N133" s="17">
        <f t="shared" si="14"/>
        <v>40000</v>
      </c>
      <c r="O133" s="12" t="s">
        <v>21</v>
      </c>
      <c r="P133" s="17">
        <f t="shared" si="16"/>
        <v>98</v>
      </c>
      <c r="Q133" s="12">
        <f t="shared" ref="Q133:Q196" si="17">LEN(H133)</f>
        <v>51</v>
      </c>
    </row>
    <row r="134" spans="1:26" ht="15" customHeight="1" x14ac:dyDescent="0.2">
      <c r="A134" s="12" t="s">
        <v>2719</v>
      </c>
      <c r="B134" s="36" t="s">
        <v>381</v>
      </c>
      <c r="C134" s="12">
        <f t="shared" si="15"/>
        <v>130</v>
      </c>
      <c r="D134" s="12">
        <v>1</v>
      </c>
      <c r="G134" s="14" t="s">
        <v>19</v>
      </c>
      <c r="H134" s="12" t="s">
        <v>3416</v>
      </c>
      <c r="I134" s="12">
        <v>331</v>
      </c>
      <c r="J134" s="12">
        <v>1111</v>
      </c>
      <c r="K134" s="12" t="s">
        <v>20</v>
      </c>
      <c r="L134" s="12">
        <v>1</v>
      </c>
      <c r="M134" s="17">
        <v>108000</v>
      </c>
      <c r="N134" s="17">
        <f t="shared" si="14"/>
        <v>108000</v>
      </c>
      <c r="O134" s="12" t="s">
        <v>21</v>
      </c>
      <c r="P134" s="17">
        <f t="shared" si="16"/>
        <v>99</v>
      </c>
      <c r="Q134" s="12">
        <f t="shared" si="17"/>
        <v>51</v>
      </c>
    </row>
    <row r="135" spans="1:26" ht="15" customHeight="1" x14ac:dyDescent="0.2">
      <c r="A135" s="12" t="s">
        <v>2719</v>
      </c>
      <c r="B135" s="36" t="s">
        <v>381</v>
      </c>
      <c r="C135" s="12">
        <f t="shared" si="15"/>
        <v>131</v>
      </c>
      <c r="D135" s="12">
        <v>1</v>
      </c>
      <c r="G135" s="14" t="s">
        <v>19</v>
      </c>
      <c r="H135" s="12" t="s">
        <v>3417</v>
      </c>
      <c r="I135" s="12">
        <v>331</v>
      </c>
      <c r="J135" s="12">
        <v>1111</v>
      </c>
      <c r="K135" s="12" t="s">
        <v>20</v>
      </c>
      <c r="L135" s="12">
        <v>1</v>
      </c>
      <c r="M135" s="17">
        <v>119000</v>
      </c>
      <c r="N135" s="17">
        <f t="shared" si="14"/>
        <v>119000</v>
      </c>
      <c r="O135" s="12" t="s">
        <v>21</v>
      </c>
      <c r="P135" s="17">
        <f t="shared" si="16"/>
        <v>100</v>
      </c>
      <c r="Q135" s="12">
        <f t="shared" si="17"/>
        <v>51</v>
      </c>
    </row>
    <row r="136" spans="1:26" ht="15" customHeight="1" x14ac:dyDescent="0.2">
      <c r="A136" s="12" t="s">
        <v>2719</v>
      </c>
      <c r="B136" s="36" t="s">
        <v>516</v>
      </c>
      <c r="C136" s="12">
        <f t="shared" si="15"/>
        <v>132</v>
      </c>
      <c r="D136" s="12">
        <v>1</v>
      </c>
      <c r="G136" s="14" t="s">
        <v>19</v>
      </c>
      <c r="H136" s="12" t="s">
        <v>3418</v>
      </c>
      <c r="I136" s="12">
        <v>331</v>
      </c>
      <c r="J136" s="12">
        <v>1111</v>
      </c>
      <c r="K136" s="12" t="s">
        <v>20</v>
      </c>
      <c r="L136" s="12">
        <v>1</v>
      </c>
      <c r="M136" s="17">
        <v>24000</v>
      </c>
      <c r="N136" s="17">
        <f t="shared" si="14"/>
        <v>24000</v>
      </c>
      <c r="O136" s="12" t="s">
        <v>21</v>
      </c>
      <c r="P136" s="17">
        <f t="shared" si="16"/>
        <v>101</v>
      </c>
      <c r="Q136" s="12">
        <f t="shared" si="17"/>
        <v>51</v>
      </c>
    </row>
    <row r="137" spans="1:26" ht="15" customHeight="1" x14ac:dyDescent="0.2">
      <c r="A137" s="12" t="s">
        <v>2719</v>
      </c>
      <c r="B137" s="36" t="s">
        <v>2043</v>
      </c>
      <c r="C137" s="12">
        <f t="shared" si="15"/>
        <v>133</v>
      </c>
      <c r="D137" s="12">
        <v>1</v>
      </c>
      <c r="G137" s="14" t="s">
        <v>19</v>
      </c>
      <c r="H137" s="12" t="s">
        <v>3419</v>
      </c>
      <c r="I137" s="12">
        <v>331</v>
      </c>
      <c r="J137" s="12">
        <v>1111</v>
      </c>
      <c r="K137" s="12" t="s">
        <v>20</v>
      </c>
      <c r="L137" s="12">
        <v>1</v>
      </c>
      <c r="M137" s="17">
        <v>24000</v>
      </c>
      <c r="N137" s="17">
        <f t="shared" si="14"/>
        <v>24000</v>
      </c>
      <c r="O137" s="12" t="s">
        <v>21</v>
      </c>
      <c r="P137" s="17">
        <f t="shared" si="16"/>
        <v>102</v>
      </c>
      <c r="Q137" s="12">
        <f t="shared" si="17"/>
        <v>51</v>
      </c>
    </row>
    <row r="138" spans="1:26" ht="15" customHeight="1" x14ac:dyDescent="0.2">
      <c r="A138" s="12" t="s">
        <v>2719</v>
      </c>
      <c r="B138" s="36" t="s">
        <v>383</v>
      </c>
      <c r="C138" s="12">
        <f t="shared" si="15"/>
        <v>134</v>
      </c>
      <c r="D138" s="12">
        <v>1</v>
      </c>
      <c r="G138" s="14" t="s">
        <v>1015</v>
      </c>
      <c r="H138" s="12" t="s">
        <v>3420</v>
      </c>
      <c r="I138" s="12">
        <v>331</v>
      </c>
      <c r="J138" s="12">
        <v>1111</v>
      </c>
      <c r="K138" s="12" t="s">
        <v>20</v>
      </c>
      <c r="L138" s="12">
        <v>1</v>
      </c>
      <c r="M138" s="17">
        <v>402570</v>
      </c>
      <c r="N138" s="17">
        <f t="shared" si="14"/>
        <v>402570</v>
      </c>
      <c r="O138" s="12" t="s">
        <v>21</v>
      </c>
      <c r="P138" s="17">
        <f t="shared" si="16"/>
        <v>103</v>
      </c>
      <c r="Q138" s="12">
        <f t="shared" si="17"/>
        <v>52</v>
      </c>
    </row>
    <row r="139" spans="1:26" ht="15" customHeight="1" x14ac:dyDescent="0.2">
      <c r="A139" s="12" t="s">
        <v>2719</v>
      </c>
      <c r="B139" s="36" t="s">
        <v>383</v>
      </c>
      <c r="C139" s="12">
        <f t="shared" si="15"/>
        <v>135</v>
      </c>
      <c r="D139" s="12">
        <v>1</v>
      </c>
      <c r="G139" s="14" t="s">
        <v>1015</v>
      </c>
      <c r="H139" s="12" t="s">
        <v>3421</v>
      </c>
      <c r="I139" s="12">
        <v>331</v>
      </c>
      <c r="J139" s="12">
        <v>1111</v>
      </c>
      <c r="K139" s="12" t="s">
        <v>20</v>
      </c>
      <c r="L139" s="12">
        <v>1</v>
      </c>
      <c r="M139" s="17">
        <v>2988090</v>
      </c>
      <c r="N139" s="17">
        <f t="shared" si="14"/>
        <v>2988090</v>
      </c>
      <c r="O139" s="12" t="s">
        <v>21</v>
      </c>
      <c r="P139" s="17">
        <f t="shared" si="16"/>
        <v>104</v>
      </c>
      <c r="Q139" s="12">
        <f t="shared" si="17"/>
        <v>52</v>
      </c>
    </row>
    <row r="140" spans="1:26" ht="15" customHeight="1" x14ac:dyDescent="0.2">
      <c r="A140" s="12" t="s">
        <v>2719</v>
      </c>
      <c r="B140" s="36" t="s">
        <v>457</v>
      </c>
      <c r="C140" s="12">
        <f t="shared" si="15"/>
        <v>136</v>
      </c>
      <c r="D140" s="12">
        <v>1</v>
      </c>
      <c r="G140" s="14" t="s">
        <v>2225</v>
      </c>
      <c r="H140" s="12" t="s">
        <v>3422</v>
      </c>
      <c r="I140" s="12">
        <v>331</v>
      </c>
      <c r="J140" s="12">
        <v>1111</v>
      </c>
      <c r="K140" s="12" t="s">
        <v>20</v>
      </c>
      <c r="L140" s="12">
        <v>1</v>
      </c>
      <c r="M140" s="17">
        <v>408240</v>
      </c>
      <c r="N140" s="17">
        <f t="shared" si="14"/>
        <v>408240</v>
      </c>
      <c r="O140" s="12" t="s">
        <v>21</v>
      </c>
      <c r="P140" s="17">
        <f t="shared" si="16"/>
        <v>105</v>
      </c>
      <c r="Q140" s="12">
        <f t="shared" si="17"/>
        <v>52</v>
      </c>
    </row>
    <row r="141" spans="1:26" ht="15" customHeight="1" x14ac:dyDescent="0.2">
      <c r="A141" s="12" t="s">
        <v>2719</v>
      </c>
      <c r="B141" s="36" t="s">
        <v>320</v>
      </c>
      <c r="C141" s="12">
        <f t="shared" si="15"/>
        <v>137</v>
      </c>
      <c r="D141" s="12">
        <v>1</v>
      </c>
      <c r="G141" s="14" t="s">
        <v>2228</v>
      </c>
      <c r="H141" s="12" t="s">
        <v>3423</v>
      </c>
      <c r="I141" s="12">
        <v>331</v>
      </c>
      <c r="J141" s="12">
        <v>1111</v>
      </c>
      <c r="K141" s="12" t="s">
        <v>20</v>
      </c>
      <c r="L141" s="12">
        <v>1</v>
      </c>
      <c r="M141" s="17">
        <v>495880</v>
      </c>
      <c r="N141" s="17">
        <f t="shared" si="14"/>
        <v>495880</v>
      </c>
      <c r="O141" s="12" t="s">
        <v>21</v>
      </c>
      <c r="P141" s="17">
        <f t="shared" si="16"/>
        <v>106</v>
      </c>
      <c r="Q141" s="12">
        <f t="shared" si="17"/>
        <v>52</v>
      </c>
    </row>
    <row r="142" spans="1:26" ht="15" customHeight="1" x14ac:dyDescent="0.2">
      <c r="A142" s="12" t="s">
        <v>2719</v>
      </c>
      <c r="B142" s="36" t="s">
        <v>2045</v>
      </c>
      <c r="C142" s="12">
        <f t="shared" si="15"/>
        <v>138</v>
      </c>
      <c r="D142" s="12">
        <v>1</v>
      </c>
      <c r="G142" s="14" t="s">
        <v>2225</v>
      </c>
      <c r="H142" s="12" t="s">
        <v>3424</v>
      </c>
      <c r="I142" s="12">
        <v>331</v>
      </c>
      <c r="J142" s="12">
        <v>1111</v>
      </c>
      <c r="K142" s="12" t="s">
        <v>20</v>
      </c>
      <c r="L142" s="12">
        <v>1</v>
      </c>
      <c r="M142" s="17">
        <v>774360</v>
      </c>
      <c r="N142" s="17">
        <f t="shared" si="14"/>
        <v>774360</v>
      </c>
      <c r="O142" s="12" t="s">
        <v>21</v>
      </c>
      <c r="P142" s="17">
        <f t="shared" si="16"/>
        <v>107</v>
      </c>
      <c r="Q142" s="12">
        <f t="shared" si="17"/>
        <v>52</v>
      </c>
    </row>
    <row r="143" spans="1:26" ht="15" customHeight="1" x14ac:dyDescent="0.2">
      <c r="A143" s="12" t="s">
        <v>2719</v>
      </c>
      <c r="B143" s="36" t="s">
        <v>2513</v>
      </c>
      <c r="C143" s="12">
        <f t="shared" si="15"/>
        <v>139</v>
      </c>
      <c r="D143" s="12">
        <v>1</v>
      </c>
      <c r="G143" s="14" t="s">
        <v>25</v>
      </c>
      <c r="H143" s="12" t="s">
        <v>3425</v>
      </c>
      <c r="I143" s="12">
        <v>331</v>
      </c>
      <c r="J143" s="12">
        <v>1111</v>
      </c>
      <c r="K143" s="12" t="s">
        <v>20</v>
      </c>
      <c r="L143" s="12">
        <v>1</v>
      </c>
      <c r="M143" s="17">
        <v>1399680</v>
      </c>
      <c r="N143" s="17">
        <f t="shared" si="14"/>
        <v>1399680</v>
      </c>
      <c r="O143" s="12" t="s">
        <v>21</v>
      </c>
      <c r="P143" s="17">
        <f t="shared" si="16"/>
        <v>108</v>
      </c>
      <c r="Q143" s="12">
        <f t="shared" si="17"/>
        <v>55</v>
      </c>
    </row>
    <row r="144" spans="1:26" ht="15" customHeight="1" x14ac:dyDescent="0.25">
      <c r="A144" s="12" t="s">
        <v>2679</v>
      </c>
      <c r="B144" s="36">
        <v>45939</v>
      </c>
      <c r="C144" s="12">
        <f t="shared" si="15"/>
        <v>140</v>
      </c>
      <c r="D144" s="12">
        <v>1</v>
      </c>
      <c r="G144" s="14" t="s">
        <v>45</v>
      </c>
      <c r="H144" s="12" t="s">
        <v>3019</v>
      </c>
      <c r="I144" s="12">
        <v>112111</v>
      </c>
      <c r="J144" s="12">
        <v>3388</v>
      </c>
      <c r="K144" s="12" t="s">
        <v>20</v>
      </c>
      <c r="L144" s="12">
        <v>1</v>
      </c>
      <c r="M144" s="17">
        <v>12000000</v>
      </c>
      <c r="N144" s="17">
        <f t="shared" si="14"/>
        <v>12000000</v>
      </c>
      <c r="O144" s="12" t="s">
        <v>21</v>
      </c>
      <c r="P144" s="17">
        <f t="shared" si="16"/>
        <v>109</v>
      </c>
      <c r="Q144" s="12">
        <f t="shared" si="17"/>
        <v>27</v>
      </c>
      <c r="S144"/>
      <c r="T144"/>
      <c r="U144"/>
      <c r="V144"/>
      <c r="W144"/>
      <c r="X144"/>
      <c r="Y144"/>
      <c r="Z144"/>
    </row>
    <row r="145" spans="1:26" ht="15" customHeight="1" x14ac:dyDescent="0.25">
      <c r="A145" s="12" t="s">
        <v>2679</v>
      </c>
      <c r="B145" s="36">
        <v>45940</v>
      </c>
      <c r="C145" s="12">
        <f t="shared" ref="C145:C219" si="18">C144+D145</f>
        <v>141</v>
      </c>
      <c r="D145" s="12">
        <v>1</v>
      </c>
      <c r="G145" s="14" t="s">
        <v>145</v>
      </c>
      <c r="H145" s="12" t="s">
        <v>3478</v>
      </c>
      <c r="I145" s="12">
        <v>112111</v>
      </c>
      <c r="J145" s="12">
        <v>131</v>
      </c>
      <c r="K145" s="12" t="s">
        <v>20</v>
      </c>
      <c r="L145" s="12">
        <v>1</v>
      </c>
      <c r="M145" s="17">
        <v>12720000</v>
      </c>
      <c r="N145" s="17">
        <f t="shared" si="14"/>
        <v>12720000</v>
      </c>
      <c r="O145" s="12" t="s">
        <v>21</v>
      </c>
      <c r="P145" s="17">
        <f t="shared" si="16"/>
        <v>110</v>
      </c>
      <c r="Q145" s="12">
        <f t="shared" si="17"/>
        <v>159</v>
      </c>
      <c r="S145"/>
      <c r="T145"/>
      <c r="U145"/>
      <c r="V145"/>
      <c r="W145"/>
      <c r="X145"/>
      <c r="Y145"/>
      <c r="Z145"/>
    </row>
    <row r="146" spans="1:26" ht="15" customHeight="1" x14ac:dyDescent="0.25">
      <c r="A146" s="12" t="s">
        <v>2679</v>
      </c>
      <c r="B146" s="36">
        <v>45944</v>
      </c>
      <c r="C146" s="12">
        <f t="shared" si="18"/>
        <v>142</v>
      </c>
      <c r="D146" s="12">
        <v>1</v>
      </c>
      <c r="G146" s="14" t="s">
        <v>288</v>
      </c>
      <c r="H146" s="12" t="s">
        <v>3429</v>
      </c>
      <c r="I146" s="12">
        <v>112111</v>
      </c>
      <c r="J146" s="12">
        <v>131</v>
      </c>
      <c r="K146" s="12" t="s">
        <v>20</v>
      </c>
      <c r="L146" s="12">
        <v>1</v>
      </c>
      <c r="M146" s="17">
        <v>15967742</v>
      </c>
      <c r="N146" s="17">
        <f t="shared" si="14"/>
        <v>15967742</v>
      </c>
      <c r="O146" s="12" t="s">
        <v>21</v>
      </c>
      <c r="P146" s="17">
        <f t="shared" si="16"/>
        <v>111</v>
      </c>
      <c r="Q146" s="12">
        <f t="shared" si="17"/>
        <v>162</v>
      </c>
      <c r="S146"/>
      <c r="T146"/>
      <c r="U146"/>
      <c r="V146"/>
      <c r="W146"/>
      <c r="X146"/>
      <c r="Y146"/>
      <c r="Z146"/>
    </row>
    <row r="147" spans="1:26" ht="15" customHeight="1" x14ac:dyDescent="0.25">
      <c r="A147" s="12" t="s">
        <v>2679</v>
      </c>
      <c r="B147" s="36">
        <v>45947</v>
      </c>
      <c r="C147" s="12">
        <f t="shared" si="18"/>
        <v>143</v>
      </c>
      <c r="D147" s="12">
        <v>1</v>
      </c>
      <c r="G147" s="14" t="s">
        <v>117</v>
      </c>
      <c r="H147" s="12" t="s">
        <v>3430</v>
      </c>
      <c r="I147" s="12">
        <v>112111</v>
      </c>
      <c r="J147" s="12">
        <v>131</v>
      </c>
      <c r="K147" s="12" t="s">
        <v>20</v>
      </c>
      <c r="L147" s="12">
        <v>1</v>
      </c>
      <c r="M147" s="17">
        <v>8516129</v>
      </c>
      <c r="N147" s="17">
        <f t="shared" si="14"/>
        <v>8516129</v>
      </c>
      <c r="O147" s="12" t="s">
        <v>21</v>
      </c>
      <c r="P147" s="17">
        <f t="shared" si="16"/>
        <v>112</v>
      </c>
      <c r="Q147" s="12">
        <f t="shared" si="17"/>
        <v>169</v>
      </c>
      <c r="S147"/>
      <c r="T147"/>
      <c r="U147"/>
      <c r="V147"/>
      <c r="W147"/>
      <c r="X147"/>
      <c r="Y147"/>
      <c r="Z147"/>
    </row>
    <row r="148" spans="1:26" ht="15" customHeight="1" x14ac:dyDescent="0.25">
      <c r="A148" s="12" t="s">
        <v>2679</v>
      </c>
      <c r="B148" s="36">
        <v>45947</v>
      </c>
      <c r="C148" s="12">
        <f t="shared" si="18"/>
        <v>144</v>
      </c>
      <c r="D148" s="12">
        <v>1</v>
      </c>
      <c r="G148" s="14" t="s">
        <v>67</v>
      </c>
      <c r="H148" s="12" t="s">
        <v>3450</v>
      </c>
      <c r="I148" s="12">
        <v>112111</v>
      </c>
      <c r="J148" s="12">
        <v>131</v>
      </c>
      <c r="K148" s="12" t="s">
        <v>20</v>
      </c>
      <c r="L148" s="12">
        <v>1</v>
      </c>
      <c r="M148" s="17">
        <v>19161290</v>
      </c>
      <c r="N148" s="17">
        <f t="shared" si="14"/>
        <v>19161290</v>
      </c>
      <c r="O148" s="12" t="s">
        <v>21</v>
      </c>
      <c r="P148" s="17">
        <f t="shared" si="16"/>
        <v>113</v>
      </c>
      <c r="Q148" s="12">
        <f t="shared" si="17"/>
        <v>168</v>
      </c>
      <c r="S148"/>
      <c r="T148"/>
      <c r="U148"/>
      <c r="V148"/>
      <c r="W148"/>
      <c r="X148"/>
      <c r="Y148"/>
      <c r="Z148"/>
    </row>
    <row r="149" spans="1:26" ht="15" customHeight="1" x14ac:dyDescent="0.25">
      <c r="A149" s="12" t="s">
        <v>2679</v>
      </c>
      <c r="B149" s="36">
        <v>45950</v>
      </c>
      <c r="C149" s="12">
        <f t="shared" si="18"/>
        <v>145</v>
      </c>
      <c r="D149" s="12">
        <v>1</v>
      </c>
      <c r="G149" s="14" t="s">
        <v>2141</v>
      </c>
      <c r="H149" s="12" t="s">
        <v>3431</v>
      </c>
      <c r="I149" s="12">
        <v>112111</v>
      </c>
      <c r="J149" s="12">
        <v>131</v>
      </c>
      <c r="K149" s="12" t="s">
        <v>20</v>
      </c>
      <c r="L149" s="12">
        <v>1</v>
      </c>
      <c r="M149" s="17">
        <v>15967742</v>
      </c>
      <c r="N149" s="17">
        <f t="shared" si="14"/>
        <v>15967742</v>
      </c>
      <c r="O149" s="12" t="s">
        <v>21</v>
      </c>
      <c r="P149" s="17">
        <f t="shared" si="16"/>
        <v>114</v>
      </c>
      <c r="Q149" s="12">
        <f t="shared" si="17"/>
        <v>154</v>
      </c>
      <c r="S149"/>
      <c r="T149"/>
      <c r="U149"/>
      <c r="V149"/>
      <c r="W149"/>
      <c r="X149"/>
      <c r="Y149"/>
      <c r="Z149"/>
    </row>
    <row r="150" spans="1:26" ht="15" customHeight="1" x14ac:dyDescent="0.25">
      <c r="A150" s="12" t="s">
        <v>2678</v>
      </c>
      <c r="B150" s="36">
        <v>45951</v>
      </c>
      <c r="C150" s="12">
        <f t="shared" si="18"/>
        <v>146</v>
      </c>
      <c r="D150" s="12">
        <v>1</v>
      </c>
      <c r="G150" s="14" t="s">
        <v>284</v>
      </c>
      <c r="H150" s="12" t="s">
        <v>3017</v>
      </c>
      <c r="I150" s="12">
        <v>1111</v>
      </c>
      <c r="J150" s="12">
        <v>112111</v>
      </c>
      <c r="K150" s="12" t="s">
        <v>20</v>
      </c>
      <c r="L150" s="12">
        <v>1</v>
      </c>
      <c r="M150" s="17">
        <v>161000000</v>
      </c>
      <c r="N150" s="17">
        <f t="shared" si="14"/>
        <v>161000000</v>
      </c>
      <c r="O150" s="12" t="s">
        <v>21</v>
      </c>
      <c r="P150" s="17">
        <f t="shared" si="16"/>
        <v>115</v>
      </c>
      <c r="Q150" s="12">
        <f t="shared" si="17"/>
        <v>40</v>
      </c>
      <c r="S150"/>
      <c r="T150"/>
      <c r="U150"/>
      <c r="V150"/>
      <c r="W150"/>
      <c r="X150"/>
      <c r="Y150"/>
      <c r="Z150"/>
    </row>
    <row r="151" spans="1:26" ht="15" customHeight="1" x14ac:dyDescent="0.25">
      <c r="A151" s="12" t="s">
        <v>18</v>
      </c>
      <c r="B151" s="36">
        <v>45951</v>
      </c>
      <c r="C151" s="12">
        <f t="shared" ref="C151:C153" si="19">C150+D151</f>
        <v>147</v>
      </c>
      <c r="D151" s="12">
        <v>1</v>
      </c>
      <c r="G151" s="14" t="s">
        <v>3003</v>
      </c>
      <c r="H151" s="12" t="s">
        <v>3432</v>
      </c>
      <c r="I151" s="12">
        <v>131</v>
      </c>
      <c r="J151" s="12">
        <v>5113</v>
      </c>
      <c r="K151" s="12" t="s">
        <v>20</v>
      </c>
      <c r="L151" s="12">
        <v>1</v>
      </c>
      <c r="M151" s="17">
        <v>77087134</v>
      </c>
      <c r="N151" s="17">
        <f t="shared" ref="N151:N152" si="20">L151*M151</f>
        <v>77087134</v>
      </c>
      <c r="O151" s="12" t="s">
        <v>21</v>
      </c>
      <c r="P151" s="17">
        <f t="shared" si="16"/>
        <v>116</v>
      </c>
      <c r="Q151" s="12">
        <f t="shared" si="17"/>
        <v>36</v>
      </c>
      <c r="S151"/>
      <c r="T151"/>
      <c r="U151"/>
      <c r="V151"/>
      <c r="W151"/>
      <c r="X151"/>
      <c r="Y151"/>
      <c r="Z151"/>
    </row>
    <row r="152" spans="1:26" ht="15" customHeight="1" x14ac:dyDescent="0.25">
      <c r="A152" s="12" t="s">
        <v>18</v>
      </c>
      <c r="B152" s="36">
        <v>45951</v>
      </c>
      <c r="C152" s="12">
        <f t="shared" si="19"/>
        <v>148</v>
      </c>
      <c r="D152" s="12">
        <v>1</v>
      </c>
      <c r="G152" s="14" t="s">
        <v>3003</v>
      </c>
      <c r="H152" s="12" t="s">
        <v>3432</v>
      </c>
      <c r="I152" s="12">
        <v>131</v>
      </c>
      <c r="J152" s="12">
        <v>5113</v>
      </c>
      <c r="K152" s="12" t="s">
        <v>20</v>
      </c>
      <c r="L152" s="12">
        <v>1</v>
      </c>
      <c r="M152" s="17">
        <v>40138904</v>
      </c>
      <c r="N152" s="17">
        <f t="shared" si="20"/>
        <v>40138904</v>
      </c>
      <c r="O152" s="12" t="s">
        <v>21</v>
      </c>
      <c r="P152" s="17">
        <f t="shared" si="16"/>
        <v>117</v>
      </c>
      <c r="Q152" s="12">
        <f t="shared" si="17"/>
        <v>36</v>
      </c>
      <c r="S152"/>
      <c r="T152"/>
      <c r="U152"/>
      <c r="V152"/>
      <c r="W152"/>
      <c r="X152"/>
      <c r="Y152"/>
      <c r="Z152"/>
    </row>
    <row r="153" spans="1:26" ht="15" customHeight="1" x14ac:dyDescent="0.25">
      <c r="A153" s="12" t="s">
        <v>2679</v>
      </c>
      <c r="B153" s="36">
        <v>45951</v>
      </c>
      <c r="C153" s="12">
        <f t="shared" si="19"/>
        <v>149</v>
      </c>
      <c r="D153" s="12">
        <v>1</v>
      </c>
      <c r="G153" s="14" t="s">
        <v>3003</v>
      </c>
      <c r="H153" s="12" t="s">
        <v>3433</v>
      </c>
      <c r="I153" s="12">
        <v>112111</v>
      </c>
      <c r="J153" s="12">
        <v>131</v>
      </c>
      <c r="K153" s="12" t="s">
        <v>20</v>
      </c>
      <c r="L153" s="12">
        <v>1</v>
      </c>
      <c r="M153" s="17">
        <v>77087134</v>
      </c>
      <c r="N153" s="17">
        <f t="shared" si="14"/>
        <v>77087134</v>
      </c>
      <c r="O153" s="12" t="s">
        <v>21</v>
      </c>
      <c r="P153" s="17">
        <f t="shared" si="16"/>
        <v>118</v>
      </c>
      <c r="Q153" s="12">
        <f t="shared" si="17"/>
        <v>41</v>
      </c>
      <c r="S153"/>
      <c r="T153"/>
      <c r="U153"/>
      <c r="V153"/>
      <c r="W153"/>
      <c r="X153"/>
      <c r="Y153"/>
      <c r="Z153"/>
    </row>
    <row r="154" spans="1:26" ht="15" customHeight="1" x14ac:dyDescent="0.25">
      <c r="A154" s="12" t="s">
        <v>2679</v>
      </c>
      <c r="B154" s="36">
        <v>45951</v>
      </c>
      <c r="C154" s="12">
        <f t="shared" si="18"/>
        <v>150</v>
      </c>
      <c r="D154" s="12">
        <v>1</v>
      </c>
      <c r="G154" s="14" t="s">
        <v>3003</v>
      </c>
      <c r="H154" s="12" t="s">
        <v>3433</v>
      </c>
      <c r="I154" s="12">
        <v>112111</v>
      </c>
      <c r="J154" s="12">
        <v>131</v>
      </c>
      <c r="K154" s="12" t="s">
        <v>20</v>
      </c>
      <c r="L154" s="12">
        <v>1</v>
      </c>
      <c r="M154" s="17">
        <v>40138904</v>
      </c>
      <c r="N154" s="17">
        <f t="shared" si="14"/>
        <v>40138904</v>
      </c>
      <c r="O154" s="12" t="s">
        <v>21</v>
      </c>
      <c r="P154" s="17">
        <f t="shared" si="16"/>
        <v>119</v>
      </c>
      <c r="Q154" s="12">
        <f t="shared" si="17"/>
        <v>41</v>
      </c>
      <c r="S154"/>
      <c r="T154"/>
      <c r="U154"/>
      <c r="V154"/>
      <c r="W154"/>
      <c r="X154"/>
      <c r="Y154"/>
      <c r="Z154"/>
    </row>
    <row r="155" spans="1:26" ht="15" customHeight="1" x14ac:dyDescent="0.25">
      <c r="A155" s="12" t="s">
        <v>2678</v>
      </c>
      <c r="B155" s="36">
        <v>45951</v>
      </c>
      <c r="C155" s="12">
        <f t="shared" si="18"/>
        <v>151</v>
      </c>
      <c r="D155" s="12">
        <v>1</v>
      </c>
      <c r="G155" s="14" t="s">
        <v>284</v>
      </c>
      <c r="H155" s="12" t="s">
        <v>3017</v>
      </c>
      <c r="I155" s="12">
        <v>1111</v>
      </c>
      <c r="J155" s="12">
        <v>112111</v>
      </c>
      <c r="K155" s="12" t="s">
        <v>20</v>
      </c>
      <c r="L155" s="12">
        <v>1</v>
      </c>
      <c r="M155" s="17">
        <v>117300000</v>
      </c>
      <c r="N155" s="17">
        <f t="shared" si="14"/>
        <v>117300000</v>
      </c>
      <c r="O155" s="12" t="s">
        <v>21</v>
      </c>
      <c r="P155" s="17">
        <f t="shared" si="16"/>
        <v>120</v>
      </c>
      <c r="Q155" s="12">
        <f t="shared" si="17"/>
        <v>40</v>
      </c>
      <c r="S155"/>
      <c r="T155"/>
      <c r="U155"/>
      <c r="V155"/>
      <c r="W155"/>
      <c r="X155"/>
      <c r="Y155"/>
      <c r="Z155"/>
    </row>
    <row r="156" spans="1:26" ht="15" customHeight="1" x14ac:dyDescent="0.25">
      <c r="A156" s="12" t="s">
        <v>2679</v>
      </c>
      <c r="B156" s="36">
        <v>45956</v>
      </c>
      <c r="C156" s="12">
        <f t="shared" si="18"/>
        <v>152</v>
      </c>
      <c r="D156" s="12">
        <v>1</v>
      </c>
      <c r="G156" s="14" t="s">
        <v>3263</v>
      </c>
      <c r="H156" s="12" t="s">
        <v>2687</v>
      </c>
      <c r="I156" s="12">
        <v>112111</v>
      </c>
      <c r="J156" s="12">
        <v>5154</v>
      </c>
      <c r="K156" s="12" t="s">
        <v>20</v>
      </c>
      <c r="L156" s="12">
        <v>1</v>
      </c>
      <c r="M156" s="17">
        <v>29431</v>
      </c>
      <c r="N156" s="17">
        <f t="shared" si="14"/>
        <v>29431</v>
      </c>
      <c r="O156" s="12" t="s">
        <v>21</v>
      </c>
      <c r="P156" s="17">
        <f t="shared" si="16"/>
        <v>121</v>
      </c>
      <c r="Q156" s="12">
        <f t="shared" si="17"/>
        <v>12</v>
      </c>
      <c r="S156"/>
      <c r="T156"/>
      <c r="U156"/>
      <c r="V156"/>
      <c r="W156"/>
      <c r="X156"/>
      <c r="Y156"/>
      <c r="Z156"/>
    </row>
    <row r="157" spans="1:26" ht="15" customHeight="1" x14ac:dyDescent="0.25">
      <c r="A157" s="12" t="s">
        <v>2679</v>
      </c>
      <c r="B157" s="36">
        <v>45957</v>
      </c>
      <c r="C157" s="12">
        <f t="shared" si="18"/>
        <v>153</v>
      </c>
      <c r="D157" s="12">
        <v>1</v>
      </c>
      <c r="G157" s="14" t="s">
        <v>47</v>
      </c>
      <c r="H157" s="12" t="s">
        <v>3434</v>
      </c>
      <c r="I157" s="12">
        <v>112111</v>
      </c>
      <c r="J157" s="12">
        <v>131</v>
      </c>
      <c r="K157" s="12" t="s">
        <v>20</v>
      </c>
      <c r="L157" s="12">
        <v>1</v>
      </c>
      <c r="M157" s="17">
        <v>19161290</v>
      </c>
      <c r="N157" s="17">
        <f t="shared" si="14"/>
        <v>19161290</v>
      </c>
      <c r="O157" s="12" t="s">
        <v>21</v>
      </c>
      <c r="P157" s="17">
        <f t="shared" si="16"/>
        <v>122</v>
      </c>
      <c r="Q157" s="12">
        <f t="shared" si="17"/>
        <v>192</v>
      </c>
      <c r="S157"/>
      <c r="T157"/>
      <c r="U157"/>
      <c r="V157"/>
      <c r="W157"/>
      <c r="X157"/>
      <c r="Y157"/>
      <c r="Z157"/>
    </row>
    <row r="158" spans="1:26" ht="15" customHeight="1" x14ac:dyDescent="0.25">
      <c r="A158" s="12" t="s">
        <v>2679</v>
      </c>
      <c r="B158" s="36">
        <v>45958</v>
      </c>
      <c r="C158" s="12">
        <f t="shared" si="18"/>
        <v>154</v>
      </c>
      <c r="D158" s="12">
        <v>1</v>
      </c>
      <c r="G158" s="14" t="s">
        <v>2229</v>
      </c>
      <c r="H158" s="12" t="s">
        <v>3435</v>
      </c>
      <c r="I158" s="12">
        <v>112111</v>
      </c>
      <c r="J158" s="12">
        <v>131</v>
      </c>
      <c r="K158" s="12" t="s">
        <v>20</v>
      </c>
      <c r="L158" s="12">
        <v>1</v>
      </c>
      <c r="M158" s="17">
        <v>15967742</v>
      </c>
      <c r="N158" s="17">
        <f t="shared" si="14"/>
        <v>15967742</v>
      </c>
      <c r="O158" s="12" t="s">
        <v>21</v>
      </c>
      <c r="P158" s="17">
        <f t="shared" si="16"/>
        <v>123</v>
      </c>
      <c r="Q158" s="12">
        <f t="shared" si="17"/>
        <v>148</v>
      </c>
      <c r="S158"/>
      <c r="T158"/>
      <c r="U158"/>
      <c r="V158"/>
      <c r="W158"/>
      <c r="X158"/>
      <c r="Y158"/>
      <c r="Z158"/>
    </row>
    <row r="159" spans="1:26" ht="15" customHeight="1" x14ac:dyDescent="0.25">
      <c r="A159" s="12" t="s">
        <v>2679</v>
      </c>
      <c r="B159" s="36">
        <v>45959</v>
      </c>
      <c r="C159" s="12">
        <f t="shared" si="18"/>
        <v>155</v>
      </c>
      <c r="D159" s="12">
        <v>1</v>
      </c>
      <c r="G159" s="14" t="s">
        <v>130</v>
      </c>
      <c r="H159" s="12" t="s">
        <v>3436</v>
      </c>
      <c r="I159" s="12">
        <v>112111</v>
      </c>
      <c r="J159" s="12">
        <v>131</v>
      </c>
      <c r="K159" s="12" t="s">
        <v>20</v>
      </c>
      <c r="L159" s="12">
        <v>1</v>
      </c>
      <c r="M159" s="17">
        <v>31935484</v>
      </c>
      <c r="N159" s="17">
        <f t="shared" si="14"/>
        <v>31935484</v>
      </c>
      <c r="O159" s="12" t="s">
        <v>21</v>
      </c>
      <c r="P159" s="17">
        <f t="shared" si="16"/>
        <v>124</v>
      </c>
      <c r="Q159" s="12">
        <f t="shared" si="17"/>
        <v>170</v>
      </c>
      <c r="S159"/>
      <c r="T159"/>
      <c r="U159"/>
      <c r="V159"/>
      <c r="W159"/>
      <c r="X159"/>
      <c r="Y159"/>
      <c r="Z159"/>
    </row>
    <row r="160" spans="1:26" ht="15" customHeight="1" x14ac:dyDescent="0.25">
      <c r="A160" s="12" t="s">
        <v>18</v>
      </c>
      <c r="B160" s="36">
        <v>45961</v>
      </c>
      <c r="C160" s="12">
        <f t="shared" ref="C160:C162" si="21">C159+D160</f>
        <v>156</v>
      </c>
      <c r="D160" s="12">
        <v>1</v>
      </c>
      <c r="G160" s="14" t="s">
        <v>3003</v>
      </c>
      <c r="H160" s="12" t="s">
        <v>3432</v>
      </c>
      <c r="I160" s="12">
        <v>131</v>
      </c>
      <c r="J160" s="12">
        <v>5118</v>
      </c>
      <c r="K160" s="12" t="s">
        <v>20</v>
      </c>
      <c r="L160" s="12">
        <v>1</v>
      </c>
      <c r="M160" s="17">
        <v>33483821</v>
      </c>
      <c r="N160" s="17">
        <f t="shared" ref="N160:N162" si="22">L160*M160</f>
        <v>33483821</v>
      </c>
      <c r="O160" s="12" t="s">
        <v>21</v>
      </c>
      <c r="P160" s="17">
        <f t="shared" si="16"/>
        <v>125</v>
      </c>
      <c r="Q160" s="12">
        <f t="shared" si="17"/>
        <v>36</v>
      </c>
      <c r="S160"/>
      <c r="T160"/>
      <c r="U160"/>
      <c r="V160"/>
      <c r="W160"/>
      <c r="X160"/>
      <c r="Y160"/>
      <c r="Z160"/>
    </row>
    <row r="161" spans="1:26" ht="15" customHeight="1" x14ac:dyDescent="0.25">
      <c r="A161" s="12" t="s">
        <v>18</v>
      </c>
      <c r="B161" s="36">
        <v>45961</v>
      </c>
      <c r="C161" s="12">
        <f t="shared" si="21"/>
        <v>157</v>
      </c>
      <c r="D161" s="12">
        <v>1</v>
      </c>
      <c r="G161" s="14" t="s">
        <v>3003</v>
      </c>
      <c r="H161" s="12" t="s">
        <v>3432</v>
      </c>
      <c r="I161" s="12">
        <v>131</v>
      </c>
      <c r="J161" s="12">
        <v>5118</v>
      </c>
      <c r="K161" s="12" t="s">
        <v>20</v>
      </c>
      <c r="L161" s="12">
        <v>1</v>
      </c>
      <c r="M161" s="17">
        <v>20424573</v>
      </c>
      <c r="N161" s="17">
        <f t="shared" si="22"/>
        <v>20424573</v>
      </c>
      <c r="O161" s="12" t="s">
        <v>21</v>
      </c>
      <c r="P161" s="17">
        <f t="shared" si="16"/>
        <v>126</v>
      </c>
      <c r="Q161" s="12">
        <f t="shared" si="17"/>
        <v>36</v>
      </c>
      <c r="S161"/>
      <c r="T161"/>
      <c r="U161"/>
      <c r="V161"/>
      <c r="W161"/>
      <c r="X161"/>
      <c r="Y161"/>
      <c r="Z161"/>
    </row>
    <row r="162" spans="1:26" ht="15" customHeight="1" x14ac:dyDescent="0.25">
      <c r="A162" s="12" t="s">
        <v>2679</v>
      </c>
      <c r="B162" s="36">
        <v>45961</v>
      </c>
      <c r="C162" s="12">
        <f t="shared" si="21"/>
        <v>158</v>
      </c>
      <c r="D162" s="12">
        <v>1</v>
      </c>
      <c r="G162" s="14" t="s">
        <v>3003</v>
      </c>
      <c r="H162" s="12" t="s">
        <v>3433</v>
      </c>
      <c r="I162" s="12">
        <v>112111</v>
      </c>
      <c r="J162" s="12">
        <v>131</v>
      </c>
      <c r="K162" s="12" t="s">
        <v>20</v>
      </c>
      <c r="L162" s="12">
        <v>1</v>
      </c>
      <c r="M162" s="17">
        <v>33483821</v>
      </c>
      <c r="N162" s="17">
        <f t="shared" si="22"/>
        <v>33483821</v>
      </c>
      <c r="O162" s="12" t="s">
        <v>21</v>
      </c>
      <c r="P162" s="17">
        <f t="shared" si="16"/>
        <v>127</v>
      </c>
      <c r="Q162" s="12">
        <f t="shared" si="17"/>
        <v>41</v>
      </c>
      <c r="S162"/>
      <c r="T162"/>
      <c r="U162"/>
      <c r="V162"/>
      <c r="W162"/>
      <c r="X162"/>
      <c r="Y162"/>
      <c r="Z162"/>
    </row>
    <row r="163" spans="1:26" ht="15" customHeight="1" x14ac:dyDescent="0.25">
      <c r="A163" s="12" t="s">
        <v>2679</v>
      </c>
      <c r="B163" s="36">
        <v>45961</v>
      </c>
      <c r="C163" s="12">
        <f t="shared" si="18"/>
        <v>159</v>
      </c>
      <c r="D163" s="12">
        <v>1</v>
      </c>
      <c r="G163" s="14" t="s">
        <v>3003</v>
      </c>
      <c r="H163" s="12" t="s">
        <v>3433</v>
      </c>
      <c r="I163" s="12">
        <v>112111</v>
      </c>
      <c r="J163" s="12">
        <v>131</v>
      </c>
      <c r="K163" s="12" t="s">
        <v>20</v>
      </c>
      <c r="L163" s="12">
        <v>1</v>
      </c>
      <c r="M163" s="17">
        <v>20424573</v>
      </c>
      <c r="N163" s="17">
        <f t="shared" si="14"/>
        <v>20424573</v>
      </c>
      <c r="O163" s="12" t="s">
        <v>21</v>
      </c>
      <c r="P163" s="17">
        <f t="shared" si="16"/>
        <v>128</v>
      </c>
      <c r="Q163" s="12">
        <f t="shared" si="17"/>
        <v>41</v>
      </c>
      <c r="S163"/>
      <c r="T163"/>
      <c r="U163"/>
      <c r="V163"/>
      <c r="W163"/>
      <c r="X163"/>
      <c r="Y163"/>
      <c r="Z163"/>
    </row>
    <row r="164" spans="1:26" ht="15" customHeight="1" x14ac:dyDescent="0.25">
      <c r="A164" s="12" t="s">
        <v>2678</v>
      </c>
      <c r="B164" s="36">
        <v>45961</v>
      </c>
      <c r="C164" s="12">
        <f t="shared" si="18"/>
        <v>160</v>
      </c>
      <c r="D164" s="12">
        <v>1</v>
      </c>
      <c r="G164" s="14" t="s">
        <v>284</v>
      </c>
      <c r="H164" s="12" t="s">
        <v>3017</v>
      </c>
      <c r="I164" s="12">
        <v>1111</v>
      </c>
      <c r="J164" s="12">
        <v>112111</v>
      </c>
      <c r="K164" s="12" t="s">
        <v>20</v>
      </c>
      <c r="L164" s="12">
        <v>1</v>
      </c>
      <c r="M164" s="17">
        <v>121000000</v>
      </c>
      <c r="N164" s="17">
        <f t="shared" si="14"/>
        <v>121000000</v>
      </c>
      <c r="O164" s="12" t="s">
        <v>21</v>
      </c>
      <c r="P164" s="17">
        <f t="shared" si="16"/>
        <v>129</v>
      </c>
      <c r="Q164" s="12">
        <f t="shared" si="17"/>
        <v>40</v>
      </c>
      <c r="S164"/>
      <c r="T164"/>
      <c r="U164"/>
      <c r="V164"/>
      <c r="W164"/>
      <c r="X164"/>
      <c r="Y164"/>
      <c r="Z164"/>
    </row>
    <row r="165" spans="1:26" ht="15" customHeight="1" x14ac:dyDescent="0.25">
      <c r="A165" s="12" t="s">
        <v>2679</v>
      </c>
      <c r="B165" s="36">
        <v>45964</v>
      </c>
      <c r="C165" s="12">
        <f t="shared" si="18"/>
        <v>161</v>
      </c>
      <c r="D165" s="12">
        <v>1</v>
      </c>
      <c r="G165" s="14" t="s">
        <v>145</v>
      </c>
      <c r="H165" s="12" t="s">
        <v>3479</v>
      </c>
      <c r="I165" s="12">
        <v>112111</v>
      </c>
      <c r="J165" s="12">
        <v>131</v>
      </c>
      <c r="K165" s="12" t="s">
        <v>20</v>
      </c>
      <c r="L165" s="12">
        <v>1</v>
      </c>
      <c r="M165" s="17">
        <v>12720000</v>
      </c>
      <c r="N165" s="17">
        <f t="shared" si="14"/>
        <v>12720000</v>
      </c>
      <c r="O165" s="12" t="s">
        <v>21</v>
      </c>
      <c r="P165" s="17">
        <f t="shared" si="16"/>
        <v>130</v>
      </c>
      <c r="Q165" s="12">
        <f t="shared" si="17"/>
        <v>160</v>
      </c>
      <c r="S165"/>
      <c r="T165"/>
      <c r="U165"/>
      <c r="V165"/>
      <c r="W165"/>
      <c r="X165"/>
      <c r="Y165"/>
      <c r="Z165"/>
    </row>
    <row r="166" spans="1:26" ht="15" customHeight="1" x14ac:dyDescent="0.25">
      <c r="A166" s="12" t="s">
        <v>2679</v>
      </c>
      <c r="B166" s="36">
        <v>45964</v>
      </c>
      <c r="C166" s="12">
        <f t="shared" si="18"/>
        <v>162</v>
      </c>
      <c r="D166" s="12">
        <v>1</v>
      </c>
      <c r="G166" s="14" t="s">
        <v>145</v>
      </c>
      <c r="H166" s="12" t="s">
        <v>3480</v>
      </c>
      <c r="I166" s="12">
        <v>112111</v>
      </c>
      <c r="J166" s="12">
        <v>131</v>
      </c>
      <c r="K166" s="12" t="s">
        <v>20</v>
      </c>
      <c r="L166" s="12">
        <v>1</v>
      </c>
      <c r="M166" s="17">
        <v>57240000</v>
      </c>
      <c r="N166" s="17">
        <f t="shared" si="14"/>
        <v>57240000</v>
      </c>
      <c r="O166" s="12" t="s">
        <v>21</v>
      </c>
      <c r="P166" s="17">
        <f t="shared" si="16"/>
        <v>131</v>
      </c>
      <c r="Q166" s="12">
        <f t="shared" si="17"/>
        <v>160</v>
      </c>
      <c r="S166"/>
      <c r="T166"/>
      <c r="U166"/>
      <c r="V166"/>
      <c r="W166"/>
      <c r="X166"/>
      <c r="Y166"/>
      <c r="Z166"/>
    </row>
    <row r="167" spans="1:26" ht="15" customHeight="1" x14ac:dyDescent="0.25">
      <c r="A167" s="12" t="s">
        <v>2679</v>
      </c>
      <c r="B167" s="36">
        <v>45965</v>
      </c>
      <c r="C167" s="12">
        <f t="shared" si="18"/>
        <v>163</v>
      </c>
      <c r="D167" s="12">
        <v>1</v>
      </c>
      <c r="G167" s="14" t="s">
        <v>145</v>
      </c>
      <c r="H167" s="12" t="s">
        <v>3481</v>
      </c>
      <c r="I167" s="12">
        <v>112111</v>
      </c>
      <c r="J167" s="12">
        <v>131</v>
      </c>
      <c r="K167" s="12" t="s">
        <v>20</v>
      </c>
      <c r="L167" s="12">
        <v>1</v>
      </c>
      <c r="M167" s="17">
        <v>25440000</v>
      </c>
      <c r="N167" s="17">
        <f t="shared" si="14"/>
        <v>25440000</v>
      </c>
      <c r="O167" s="12" t="s">
        <v>21</v>
      </c>
      <c r="P167" s="17">
        <f t="shared" si="16"/>
        <v>132</v>
      </c>
      <c r="Q167" s="12">
        <f t="shared" si="17"/>
        <v>160</v>
      </c>
      <c r="S167"/>
      <c r="T167"/>
      <c r="U167"/>
      <c r="V167"/>
      <c r="W167"/>
      <c r="X167"/>
      <c r="Y167"/>
      <c r="Z167"/>
    </row>
    <row r="168" spans="1:26" ht="15" customHeight="1" x14ac:dyDescent="0.25">
      <c r="A168" s="12" t="s">
        <v>2678</v>
      </c>
      <c r="B168" s="36">
        <v>45965</v>
      </c>
      <c r="C168" s="12">
        <f t="shared" si="18"/>
        <v>164</v>
      </c>
      <c r="D168" s="12">
        <v>1</v>
      </c>
      <c r="G168" s="14" t="s">
        <v>145</v>
      </c>
      <c r="H168" s="12" t="s">
        <v>3482</v>
      </c>
      <c r="I168" s="12">
        <v>131</v>
      </c>
      <c r="J168" s="12">
        <v>112111</v>
      </c>
      <c r="K168" s="12" t="s">
        <v>20</v>
      </c>
      <c r="L168" s="12">
        <v>1</v>
      </c>
      <c r="M168" s="17">
        <v>12720000</v>
      </c>
      <c r="N168" s="17">
        <f t="shared" si="14"/>
        <v>12720000</v>
      </c>
      <c r="O168" s="12" t="s">
        <v>21</v>
      </c>
      <c r="P168" s="17">
        <f t="shared" si="16"/>
        <v>133</v>
      </c>
      <c r="Q168" s="12">
        <f t="shared" si="17"/>
        <v>165</v>
      </c>
      <c r="S168"/>
      <c r="T168"/>
      <c r="U168"/>
      <c r="V168"/>
      <c r="W168"/>
      <c r="X168"/>
      <c r="Y168"/>
      <c r="Z168"/>
    </row>
    <row r="169" spans="1:26" ht="15" customHeight="1" x14ac:dyDescent="0.25">
      <c r="A169" s="12" t="s">
        <v>2678</v>
      </c>
      <c r="B169" s="36">
        <v>45965</v>
      </c>
      <c r="C169" s="12">
        <f t="shared" si="18"/>
        <v>165</v>
      </c>
      <c r="D169" s="12">
        <v>1</v>
      </c>
      <c r="G169" s="14" t="s">
        <v>145</v>
      </c>
      <c r="H169" s="12" t="s">
        <v>3483</v>
      </c>
      <c r="I169" s="12">
        <v>131</v>
      </c>
      <c r="J169" s="12">
        <v>112111</v>
      </c>
      <c r="K169" s="12" t="s">
        <v>20</v>
      </c>
      <c r="L169" s="12">
        <v>1</v>
      </c>
      <c r="M169" s="17">
        <v>57240000</v>
      </c>
      <c r="N169" s="17">
        <f t="shared" si="14"/>
        <v>57240000</v>
      </c>
      <c r="O169" s="12" t="s">
        <v>21</v>
      </c>
      <c r="P169" s="17">
        <f t="shared" si="16"/>
        <v>134</v>
      </c>
      <c r="Q169" s="12">
        <f t="shared" si="17"/>
        <v>165</v>
      </c>
      <c r="S169"/>
      <c r="T169"/>
      <c r="U169"/>
      <c r="V169"/>
      <c r="W169"/>
      <c r="X169"/>
      <c r="Y169"/>
      <c r="Z169"/>
    </row>
    <row r="170" spans="1:26" ht="15" customHeight="1" x14ac:dyDescent="0.25">
      <c r="A170" s="12" t="s">
        <v>2678</v>
      </c>
      <c r="B170" s="36">
        <v>45965</v>
      </c>
      <c r="C170" s="12">
        <f t="shared" si="18"/>
        <v>166</v>
      </c>
      <c r="D170" s="12">
        <v>1</v>
      </c>
      <c r="G170" s="14" t="s">
        <v>145</v>
      </c>
      <c r="H170" s="12" t="s">
        <v>3484</v>
      </c>
      <c r="I170" s="12">
        <v>131</v>
      </c>
      <c r="J170" s="12">
        <v>112111</v>
      </c>
      <c r="K170" s="12" t="s">
        <v>20</v>
      </c>
      <c r="L170" s="12">
        <v>1</v>
      </c>
      <c r="M170" s="17">
        <v>25440000</v>
      </c>
      <c r="N170" s="17">
        <f t="shared" si="14"/>
        <v>25440000</v>
      </c>
      <c r="O170" s="12" t="s">
        <v>21</v>
      </c>
      <c r="P170" s="17">
        <f t="shared" si="16"/>
        <v>135</v>
      </c>
      <c r="Q170" s="12">
        <f t="shared" si="17"/>
        <v>165</v>
      </c>
      <c r="S170"/>
      <c r="T170"/>
      <c r="U170"/>
      <c r="V170"/>
      <c r="W170"/>
      <c r="X170"/>
      <c r="Y170"/>
      <c r="Z170"/>
    </row>
    <row r="171" spans="1:26" ht="15" customHeight="1" x14ac:dyDescent="0.25">
      <c r="A171" s="12" t="s">
        <v>2679</v>
      </c>
      <c r="B171" s="36">
        <v>45966</v>
      </c>
      <c r="C171" s="12">
        <f t="shared" si="18"/>
        <v>167</v>
      </c>
      <c r="D171" s="12">
        <v>1</v>
      </c>
      <c r="G171" s="14" t="s">
        <v>67</v>
      </c>
      <c r="H171" s="12" t="s">
        <v>3451</v>
      </c>
      <c r="I171" s="12">
        <v>112111</v>
      </c>
      <c r="J171" s="12">
        <v>131</v>
      </c>
      <c r="K171" s="12" t="s">
        <v>20</v>
      </c>
      <c r="L171" s="12">
        <v>1</v>
      </c>
      <c r="M171" s="17">
        <v>15967742</v>
      </c>
      <c r="N171" s="17">
        <f t="shared" ref="N171:N221" si="23">L171*M171</f>
        <v>15967742</v>
      </c>
      <c r="O171" s="12" t="s">
        <v>21</v>
      </c>
      <c r="P171" s="17">
        <f t="shared" si="16"/>
        <v>136</v>
      </c>
      <c r="Q171" s="12">
        <f t="shared" si="17"/>
        <v>179</v>
      </c>
      <c r="S171"/>
      <c r="T171"/>
      <c r="U171"/>
      <c r="V171"/>
      <c r="W171"/>
      <c r="X171"/>
      <c r="Y171"/>
      <c r="Z171"/>
    </row>
    <row r="172" spans="1:26" ht="15" customHeight="1" x14ac:dyDescent="0.25">
      <c r="A172" s="12" t="s">
        <v>2679</v>
      </c>
      <c r="B172" s="36">
        <v>45967</v>
      </c>
      <c r="C172" s="12">
        <f t="shared" si="18"/>
        <v>168</v>
      </c>
      <c r="D172" s="12">
        <v>1</v>
      </c>
      <c r="G172" s="14" t="s">
        <v>114</v>
      </c>
      <c r="H172" s="12" t="s">
        <v>3437</v>
      </c>
      <c r="I172" s="12">
        <v>112111</v>
      </c>
      <c r="J172" s="12">
        <v>131</v>
      </c>
      <c r="K172" s="12" t="s">
        <v>20</v>
      </c>
      <c r="L172" s="12">
        <v>1</v>
      </c>
      <c r="M172" s="17">
        <v>15967742</v>
      </c>
      <c r="N172" s="17">
        <f t="shared" si="23"/>
        <v>15967742</v>
      </c>
      <c r="O172" s="12" t="s">
        <v>21</v>
      </c>
      <c r="P172" s="17">
        <f t="shared" si="16"/>
        <v>137</v>
      </c>
      <c r="Q172" s="12">
        <f t="shared" si="17"/>
        <v>146</v>
      </c>
      <c r="S172"/>
      <c r="T172"/>
      <c r="U172"/>
      <c r="V172"/>
      <c r="W172"/>
      <c r="X172"/>
      <c r="Y172"/>
      <c r="Z172"/>
    </row>
    <row r="173" spans="1:26" ht="15" customHeight="1" x14ac:dyDescent="0.25">
      <c r="A173" s="12" t="s">
        <v>2678</v>
      </c>
      <c r="B173" s="36">
        <v>45972</v>
      </c>
      <c r="C173" s="12">
        <f t="shared" si="18"/>
        <v>169</v>
      </c>
      <c r="D173" s="12">
        <v>1</v>
      </c>
      <c r="G173" s="14" t="s">
        <v>45</v>
      </c>
      <c r="H173" s="12" t="s">
        <v>3428</v>
      </c>
      <c r="I173" s="12">
        <v>3388</v>
      </c>
      <c r="J173" s="12">
        <v>112111</v>
      </c>
      <c r="K173" s="12" t="s">
        <v>20</v>
      </c>
      <c r="L173" s="12">
        <v>1</v>
      </c>
      <c r="M173" s="17">
        <v>12000000</v>
      </c>
      <c r="N173" s="17">
        <f t="shared" si="23"/>
        <v>12000000</v>
      </c>
      <c r="O173" s="12" t="s">
        <v>21</v>
      </c>
      <c r="P173" s="17">
        <f t="shared" si="16"/>
        <v>138</v>
      </c>
      <c r="Q173" s="12">
        <f t="shared" si="17"/>
        <v>27</v>
      </c>
      <c r="S173"/>
      <c r="T173"/>
      <c r="U173"/>
      <c r="V173"/>
      <c r="W173"/>
      <c r="X173"/>
      <c r="Y173"/>
      <c r="Z173"/>
    </row>
    <row r="174" spans="1:26" ht="15" customHeight="1" x14ac:dyDescent="0.25">
      <c r="A174" s="12" t="s">
        <v>2679</v>
      </c>
      <c r="B174" s="36">
        <v>45973</v>
      </c>
      <c r="C174" s="12">
        <f t="shared" si="18"/>
        <v>170</v>
      </c>
      <c r="D174" s="12">
        <v>1</v>
      </c>
      <c r="G174" s="14" t="s">
        <v>150</v>
      </c>
      <c r="H174" s="12" t="s">
        <v>3427</v>
      </c>
      <c r="I174" s="12">
        <v>112111</v>
      </c>
      <c r="J174" s="12">
        <v>131</v>
      </c>
      <c r="K174" s="12" t="s">
        <v>20</v>
      </c>
      <c r="L174" s="12">
        <v>1</v>
      </c>
      <c r="M174" s="17">
        <v>14903226</v>
      </c>
      <c r="N174" s="17">
        <f t="shared" si="23"/>
        <v>14903226</v>
      </c>
      <c r="O174" s="12" t="s">
        <v>21</v>
      </c>
      <c r="P174" s="17">
        <f t="shared" si="16"/>
        <v>139</v>
      </c>
      <c r="Q174" s="12">
        <f t="shared" si="17"/>
        <v>165</v>
      </c>
      <c r="S174"/>
      <c r="T174"/>
      <c r="U174"/>
      <c r="V174"/>
      <c r="W174"/>
      <c r="X174"/>
      <c r="Y174"/>
      <c r="Z174"/>
    </row>
    <row r="175" spans="1:26" ht="15" customHeight="1" x14ac:dyDescent="0.25">
      <c r="A175" s="12" t="s">
        <v>2679</v>
      </c>
      <c r="B175" s="36">
        <v>45974</v>
      </c>
      <c r="C175" s="12">
        <f t="shared" si="18"/>
        <v>171</v>
      </c>
      <c r="D175" s="12">
        <v>1</v>
      </c>
      <c r="G175" s="14" t="s">
        <v>43</v>
      </c>
      <c r="H175" s="12" t="s">
        <v>3485</v>
      </c>
      <c r="I175" s="12">
        <v>112111</v>
      </c>
      <c r="J175" s="12">
        <v>131</v>
      </c>
      <c r="K175" s="12" t="s">
        <v>20</v>
      </c>
      <c r="L175" s="12">
        <v>1</v>
      </c>
      <c r="M175" s="17">
        <v>15967742</v>
      </c>
      <c r="N175" s="17">
        <f t="shared" si="23"/>
        <v>15967742</v>
      </c>
      <c r="O175" s="12" t="s">
        <v>21</v>
      </c>
      <c r="P175" s="17">
        <f t="shared" si="16"/>
        <v>140</v>
      </c>
      <c r="Q175" s="12">
        <f t="shared" si="17"/>
        <v>145</v>
      </c>
      <c r="S175"/>
      <c r="T175"/>
      <c r="U175"/>
      <c r="V175"/>
      <c r="W175"/>
      <c r="X175"/>
      <c r="Y175"/>
      <c r="Z175"/>
    </row>
    <row r="176" spans="1:26" ht="15" customHeight="1" x14ac:dyDescent="0.25">
      <c r="A176" s="12" t="s">
        <v>2679</v>
      </c>
      <c r="B176" s="36">
        <v>45976</v>
      </c>
      <c r="C176" s="12">
        <f t="shared" si="18"/>
        <v>172</v>
      </c>
      <c r="D176" s="12">
        <v>1</v>
      </c>
      <c r="G176" s="14" t="s">
        <v>145</v>
      </c>
      <c r="H176" s="12" t="s">
        <v>3479</v>
      </c>
      <c r="I176" s="12">
        <v>112111</v>
      </c>
      <c r="J176" s="12">
        <v>131</v>
      </c>
      <c r="K176" s="12" t="s">
        <v>20</v>
      </c>
      <c r="L176" s="12">
        <v>1</v>
      </c>
      <c r="M176" s="17">
        <v>12720000</v>
      </c>
      <c r="N176" s="17">
        <f t="shared" si="23"/>
        <v>12720000</v>
      </c>
      <c r="O176" s="12" t="s">
        <v>21</v>
      </c>
      <c r="P176" s="17">
        <f t="shared" si="16"/>
        <v>141</v>
      </c>
      <c r="Q176" s="12">
        <f t="shared" si="17"/>
        <v>160</v>
      </c>
      <c r="S176"/>
      <c r="T176"/>
      <c r="U176"/>
      <c r="V176"/>
      <c r="W176"/>
      <c r="X176"/>
      <c r="Y176"/>
      <c r="Z176"/>
    </row>
    <row r="177" spans="1:26" ht="15" customHeight="1" x14ac:dyDescent="0.25">
      <c r="A177" s="12" t="s">
        <v>2679</v>
      </c>
      <c r="B177" s="36">
        <v>45976</v>
      </c>
      <c r="C177" s="12">
        <f t="shared" si="18"/>
        <v>173</v>
      </c>
      <c r="D177" s="12">
        <v>1</v>
      </c>
      <c r="G177" s="14" t="s">
        <v>145</v>
      </c>
      <c r="H177" s="12" t="s">
        <v>3481</v>
      </c>
      <c r="I177" s="12">
        <v>112111</v>
      </c>
      <c r="J177" s="12">
        <v>131</v>
      </c>
      <c r="K177" s="12" t="s">
        <v>20</v>
      </c>
      <c r="L177" s="12">
        <v>1</v>
      </c>
      <c r="M177" s="17">
        <v>25440000</v>
      </c>
      <c r="N177" s="17">
        <f t="shared" si="23"/>
        <v>25440000</v>
      </c>
      <c r="O177" s="12" t="s">
        <v>21</v>
      </c>
      <c r="P177" s="17">
        <f t="shared" si="16"/>
        <v>142</v>
      </c>
      <c r="Q177" s="12">
        <f t="shared" si="17"/>
        <v>160</v>
      </c>
      <c r="S177"/>
      <c r="T177"/>
      <c r="U177"/>
      <c r="V177"/>
      <c r="W177"/>
      <c r="X177"/>
      <c r="Y177"/>
      <c r="Z177"/>
    </row>
    <row r="178" spans="1:26" ht="15" customHeight="1" x14ac:dyDescent="0.25">
      <c r="A178" s="12" t="s">
        <v>2679</v>
      </c>
      <c r="B178" s="36">
        <v>45976</v>
      </c>
      <c r="C178" s="12">
        <f t="shared" si="18"/>
        <v>174</v>
      </c>
      <c r="D178" s="12">
        <v>1</v>
      </c>
      <c r="G178" s="14" t="s">
        <v>145</v>
      </c>
      <c r="H178" s="12" t="s">
        <v>3480</v>
      </c>
      <c r="I178" s="12">
        <v>112111</v>
      </c>
      <c r="J178" s="12">
        <v>131</v>
      </c>
      <c r="K178" s="12" t="s">
        <v>20</v>
      </c>
      <c r="L178" s="12">
        <v>1</v>
      </c>
      <c r="M178" s="17">
        <v>57240000</v>
      </c>
      <c r="N178" s="17">
        <f t="shared" si="23"/>
        <v>57240000</v>
      </c>
      <c r="O178" s="12" t="s">
        <v>21</v>
      </c>
      <c r="P178" s="17">
        <f t="shared" si="16"/>
        <v>143</v>
      </c>
      <c r="Q178" s="12">
        <f t="shared" si="17"/>
        <v>160</v>
      </c>
      <c r="S178"/>
      <c r="T178"/>
      <c r="U178"/>
      <c r="V178"/>
      <c r="W178"/>
      <c r="X178"/>
      <c r="Y178"/>
      <c r="Z178"/>
    </row>
    <row r="179" spans="1:26" ht="15" customHeight="1" x14ac:dyDescent="0.25">
      <c r="A179" s="12" t="s">
        <v>2679</v>
      </c>
      <c r="B179" s="36">
        <v>45980</v>
      </c>
      <c r="C179" s="12">
        <f t="shared" si="18"/>
        <v>175</v>
      </c>
      <c r="D179" s="12">
        <v>1</v>
      </c>
      <c r="G179" s="14" t="s">
        <v>26</v>
      </c>
      <c r="H179" s="12" t="s">
        <v>3438</v>
      </c>
      <c r="I179" s="12">
        <v>112111</v>
      </c>
      <c r="J179" s="12">
        <v>131</v>
      </c>
      <c r="K179" s="12" t="s">
        <v>20</v>
      </c>
      <c r="L179" s="12">
        <v>1</v>
      </c>
      <c r="M179" s="17">
        <v>12774194</v>
      </c>
      <c r="N179" s="17">
        <f t="shared" si="23"/>
        <v>12774194</v>
      </c>
      <c r="O179" s="12" t="s">
        <v>21</v>
      </c>
      <c r="P179" s="17">
        <f t="shared" si="16"/>
        <v>144</v>
      </c>
      <c r="Q179" s="12">
        <f t="shared" si="17"/>
        <v>171</v>
      </c>
      <c r="S179"/>
      <c r="T179"/>
      <c r="U179"/>
      <c r="V179"/>
      <c r="W179"/>
      <c r="X179"/>
      <c r="Y179"/>
      <c r="Z179"/>
    </row>
    <row r="180" spans="1:26" ht="15" customHeight="1" x14ac:dyDescent="0.25">
      <c r="A180" s="12" t="s">
        <v>18</v>
      </c>
      <c r="B180" s="36">
        <v>45982</v>
      </c>
      <c r="C180" s="12">
        <f t="shared" si="18"/>
        <v>176</v>
      </c>
      <c r="D180" s="12">
        <v>1</v>
      </c>
      <c r="G180" s="14" t="s">
        <v>3003</v>
      </c>
      <c r="H180" s="12" t="s">
        <v>3432</v>
      </c>
      <c r="I180" s="12">
        <v>131</v>
      </c>
      <c r="J180" s="12">
        <v>5118</v>
      </c>
      <c r="K180" s="12" t="s">
        <v>20</v>
      </c>
      <c r="L180" s="12">
        <v>1</v>
      </c>
      <c r="M180" s="17">
        <v>87015595</v>
      </c>
      <c r="N180" s="17">
        <f t="shared" ref="N180:N181" si="24">L180*M180</f>
        <v>87015595</v>
      </c>
      <c r="O180" s="12" t="s">
        <v>21</v>
      </c>
      <c r="P180" s="17">
        <f t="shared" si="16"/>
        <v>145</v>
      </c>
      <c r="Q180" s="12">
        <f t="shared" si="17"/>
        <v>36</v>
      </c>
      <c r="S180"/>
      <c r="T180"/>
      <c r="U180"/>
      <c r="V180"/>
      <c r="W180"/>
      <c r="X180"/>
      <c r="Y180"/>
      <c r="Z180"/>
    </row>
    <row r="181" spans="1:26" ht="15" customHeight="1" x14ac:dyDescent="0.25">
      <c r="A181" s="12" t="s">
        <v>18</v>
      </c>
      <c r="B181" s="36">
        <v>45982</v>
      </c>
      <c r="C181" s="12">
        <f t="shared" ref="C181:C182" si="25">C180+D181</f>
        <v>177</v>
      </c>
      <c r="D181" s="12">
        <v>1</v>
      </c>
      <c r="G181" s="14" t="s">
        <v>3003</v>
      </c>
      <c r="H181" s="12" t="s">
        <v>3432</v>
      </c>
      <c r="I181" s="12">
        <v>131</v>
      </c>
      <c r="J181" s="12">
        <v>5118</v>
      </c>
      <c r="K181" s="12" t="s">
        <v>20</v>
      </c>
      <c r="L181" s="12">
        <v>1</v>
      </c>
      <c r="M181" s="17">
        <v>57877235</v>
      </c>
      <c r="N181" s="17">
        <f t="shared" si="24"/>
        <v>57877235</v>
      </c>
      <c r="O181" s="12" t="s">
        <v>21</v>
      </c>
      <c r="P181" s="17">
        <f t="shared" si="16"/>
        <v>146</v>
      </c>
      <c r="Q181" s="12">
        <f t="shared" si="17"/>
        <v>36</v>
      </c>
      <c r="S181"/>
      <c r="T181"/>
      <c r="U181"/>
      <c r="V181"/>
      <c r="W181"/>
      <c r="X181"/>
      <c r="Y181"/>
      <c r="Z181"/>
    </row>
    <row r="182" spans="1:26" ht="15" customHeight="1" x14ac:dyDescent="0.25">
      <c r="A182" s="12" t="s">
        <v>2679</v>
      </c>
      <c r="B182" s="36">
        <v>45982</v>
      </c>
      <c r="C182" s="12">
        <f t="shared" si="25"/>
        <v>178</v>
      </c>
      <c r="D182" s="12">
        <v>1</v>
      </c>
      <c r="G182" s="14" t="s">
        <v>3003</v>
      </c>
      <c r="H182" s="12" t="s">
        <v>3433</v>
      </c>
      <c r="I182" s="12">
        <v>112111</v>
      </c>
      <c r="J182" s="12">
        <v>131</v>
      </c>
      <c r="K182" s="12" t="s">
        <v>20</v>
      </c>
      <c r="L182" s="12">
        <v>1</v>
      </c>
      <c r="M182" s="17">
        <v>87015595</v>
      </c>
      <c r="N182" s="17">
        <f t="shared" si="23"/>
        <v>87015595</v>
      </c>
      <c r="O182" s="12" t="s">
        <v>21</v>
      </c>
      <c r="P182" s="17">
        <f t="shared" si="16"/>
        <v>147</v>
      </c>
      <c r="Q182" s="12">
        <f t="shared" si="17"/>
        <v>41</v>
      </c>
      <c r="S182"/>
      <c r="T182"/>
      <c r="U182"/>
      <c r="V182"/>
      <c r="W182"/>
      <c r="X182"/>
      <c r="Y182"/>
      <c r="Z182"/>
    </row>
    <row r="183" spans="1:26" ht="15" customHeight="1" x14ac:dyDescent="0.25">
      <c r="A183" s="12" t="s">
        <v>2679</v>
      </c>
      <c r="B183" s="36">
        <v>45982</v>
      </c>
      <c r="C183" s="12">
        <f t="shared" si="18"/>
        <v>179</v>
      </c>
      <c r="D183" s="12">
        <v>1</v>
      </c>
      <c r="G183" s="14" t="s">
        <v>3003</v>
      </c>
      <c r="H183" s="12" t="s">
        <v>3433</v>
      </c>
      <c r="I183" s="12">
        <v>112111</v>
      </c>
      <c r="J183" s="12">
        <v>131</v>
      </c>
      <c r="K183" s="12" t="s">
        <v>20</v>
      </c>
      <c r="L183" s="12">
        <v>1</v>
      </c>
      <c r="M183" s="17">
        <v>57877235</v>
      </c>
      <c r="N183" s="17">
        <f t="shared" si="23"/>
        <v>57877235</v>
      </c>
      <c r="O183" s="12" t="s">
        <v>21</v>
      </c>
      <c r="P183" s="17">
        <f t="shared" si="16"/>
        <v>148</v>
      </c>
      <c r="Q183" s="12">
        <f t="shared" si="17"/>
        <v>41</v>
      </c>
      <c r="S183"/>
      <c r="T183"/>
      <c r="U183"/>
      <c r="V183"/>
      <c r="W183"/>
      <c r="X183"/>
      <c r="Y183"/>
      <c r="Z183"/>
    </row>
    <row r="184" spans="1:26" ht="15" customHeight="1" x14ac:dyDescent="0.25">
      <c r="A184" s="12" t="s">
        <v>2678</v>
      </c>
      <c r="B184" s="36">
        <v>45982</v>
      </c>
      <c r="C184" s="12">
        <f t="shared" si="18"/>
        <v>180</v>
      </c>
      <c r="D184" s="12">
        <v>1</v>
      </c>
      <c r="G184" s="14" t="s">
        <v>284</v>
      </c>
      <c r="H184" s="12" t="s">
        <v>3017</v>
      </c>
      <c r="I184" s="12">
        <v>1111</v>
      </c>
      <c r="J184" s="12">
        <v>112111</v>
      </c>
      <c r="K184" s="12" t="s">
        <v>20</v>
      </c>
      <c r="L184" s="12">
        <v>1</v>
      </c>
      <c r="M184" s="17">
        <v>303000000</v>
      </c>
      <c r="N184" s="17">
        <f t="shared" si="23"/>
        <v>303000000</v>
      </c>
      <c r="O184" s="12" t="s">
        <v>21</v>
      </c>
      <c r="P184" s="17">
        <f t="shared" si="16"/>
        <v>149</v>
      </c>
      <c r="Q184" s="12">
        <f t="shared" si="17"/>
        <v>40</v>
      </c>
      <c r="S184"/>
      <c r="T184"/>
      <c r="U184"/>
      <c r="V184"/>
      <c r="W184"/>
      <c r="X184"/>
      <c r="Y184"/>
      <c r="Z184"/>
    </row>
    <row r="185" spans="1:26" ht="15" customHeight="1" x14ac:dyDescent="0.25">
      <c r="A185" s="12" t="s">
        <v>2679</v>
      </c>
      <c r="B185" s="36">
        <v>45982</v>
      </c>
      <c r="C185" s="12">
        <f t="shared" si="18"/>
        <v>181</v>
      </c>
      <c r="D185" s="12">
        <v>1</v>
      </c>
      <c r="G185" s="14" t="s">
        <v>117</v>
      </c>
      <c r="H185" s="12" t="s">
        <v>3439</v>
      </c>
      <c r="I185" s="12">
        <v>112111</v>
      </c>
      <c r="J185" s="12">
        <v>131</v>
      </c>
      <c r="K185" s="12" t="s">
        <v>20</v>
      </c>
      <c r="L185" s="12">
        <v>1</v>
      </c>
      <c r="M185" s="17">
        <v>30870968</v>
      </c>
      <c r="N185" s="17">
        <f t="shared" si="23"/>
        <v>30870968</v>
      </c>
      <c r="O185" s="12" t="s">
        <v>21</v>
      </c>
      <c r="P185" s="17">
        <f t="shared" si="16"/>
        <v>150</v>
      </c>
      <c r="Q185" s="12">
        <f t="shared" si="17"/>
        <v>166</v>
      </c>
      <c r="S185"/>
      <c r="T185"/>
      <c r="U185"/>
      <c r="V185"/>
      <c r="W185"/>
      <c r="X185"/>
      <c r="Y185"/>
      <c r="Z185"/>
    </row>
    <row r="186" spans="1:26" ht="15" customHeight="1" x14ac:dyDescent="0.25">
      <c r="A186" s="12" t="s">
        <v>2679</v>
      </c>
      <c r="B186" s="36">
        <v>45985</v>
      </c>
      <c r="C186" s="12">
        <f t="shared" si="18"/>
        <v>182</v>
      </c>
      <c r="D186" s="12">
        <v>1</v>
      </c>
      <c r="G186" s="14" t="s">
        <v>127</v>
      </c>
      <c r="H186" s="12" t="s">
        <v>3440</v>
      </c>
      <c r="I186" s="12">
        <v>112111</v>
      </c>
      <c r="J186" s="12">
        <v>131</v>
      </c>
      <c r="K186" s="12" t="s">
        <v>20</v>
      </c>
      <c r="L186" s="12">
        <v>1</v>
      </c>
      <c r="M186" s="17">
        <v>15967742</v>
      </c>
      <c r="N186" s="17">
        <f t="shared" si="23"/>
        <v>15967742</v>
      </c>
      <c r="O186" s="12" t="s">
        <v>21</v>
      </c>
      <c r="P186" s="17">
        <f t="shared" si="16"/>
        <v>151</v>
      </c>
      <c r="Q186" s="12">
        <f t="shared" si="17"/>
        <v>153</v>
      </c>
      <c r="S186"/>
      <c r="T186"/>
      <c r="U186"/>
      <c r="V186"/>
      <c r="W186"/>
      <c r="X186"/>
      <c r="Y186"/>
      <c r="Z186"/>
    </row>
    <row r="187" spans="1:26" ht="15" customHeight="1" x14ac:dyDescent="0.25">
      <c r="A187" s="12" t="s">
        <v>2679</v>
      </c>
      <c r="B187" s="36">
        <v>45986</v>
      </c>
      <c r="C187" s="12">
        <f t="shared" si="18"/>
        <v>183</v>
      </c>
      <c r="D187" s="12">
        <v>1</v>
      </c>
      <c r="G187" s="14" t="s">
        <v>117</v>
      </c>
      <c r="H187" s="12" t="s">
        <v>3441</v>
      </c>
      <c r="I187" s="12">
        <v>112111</v>
      </c>
      <c r="J187" s="12">
        <v>131</v>
      </c>
      <c r="K187" s="12" t="s">
        <v>20</v>
      </c>
      <c r="L187" s="12">
        <v>1</v>
      </c>
      <c r="M187" s="17">
        <v>22354839</v>
      </c>
      <c r="N187" s="17">
        <f t="shared" si="23"/>
        <v>22354839</v>
      </c>
      <c r="O187" s="12" t="s">
        <v>21</v>
      </c>
      <c r="P187" s="17">
        <f t="shared" si="16"/>
        <v>152</v>
      </c>
      <c r="Q187" s="12">
        <f t="shared" si="17"/>
        <v>170</v>
      </c>
      <c r="S187"/>
      <c r="T187"/>
      <c r="U187"/>
      <c r="V187"/>
      <c r="W187"/>
      <c r="X187"/>
      <c r="Y187"/>
      <c r="Z187"/>
    </row>
    <row r="188" spans="1:26" ht="15" customHeight="1" x14ac:dyDescent="0.25">
      <c r="A188" s="12" t="s">
        <v>2679</v>
      </c>
      <c r="B188" s="36">
        <v>45987</v>
      </c>
      <c r="C188" s="12">
        <f t="shared" si="18"/>
        <v>184</v>
      </c>
      <c r="D188" s="12">
        <v>1</v>
      </c>
      <c r="G188" s="14" t="s">
        <v>3263</v>
      </c>
      <c r="H188" s="12" t="s">
        <v>2687</v>
      </c>
      <c r="I188" s="12">
        <v>112111</v>
      </c>
      <c r="J188" s="12">
        <v>5154</v>
      </c>
      <c r="K188" s="12" t="s">
        <v>20</v>
      </c>
      <c r="L188" s="12">
        <v>1</v>
      </c>
      <c r="M188" s="17">
        <v>23400</v>
      </c>
      <c r="N188" s="17">
        <f t="shared" si="23"/>
        <v>23400</v>
      </c>
      <c r="O188" s="12" t="s">
        <v>21</v>
      </c>
      <c r="P188" s="17">
        <f t="shared" si="16"/>
        <v>153</v>
      </c>
      <c r="Q188" s="12">
        <f t="shared" si="17"/>
        <v>12</v>
      </c>
      <c r="S188"/>
      <c r="T188"/>
      <c r="U188"/>
      <c r="V188"/>
      <c r="W188"/>
      <c r="X188"/>
      <c r="Y188"/>
      <c r="Z188"/>
    </row>
    <row r="189" spans="1:26" ht="15" customHeight="1" x14ac:dyDescent="0.25">
      <c r="A189" s="12" t="s">
        <v>2678</v>
      </c>
      <c r="B189" s="36">
        <v>45987</v>
      </c>
      <c r="C189" s="12">
        <f t="shared" si="18"/>
        <v>185</v>
      </c>
      <c r="D189" s="12">
        <v>1</v>
      </c>
      <c r="G189" s="14" t="s">
        <v>93</v>
      </c>
      <c r="H189" s="12" t="s">
        <v>2685</v>
      </c>
      <c r="I189" s="12">
        <v>3383</v>
      </c>
      <c r="J189" s="12">
        <v>112111</v>
      </c>
      <c r="K189" s="12" t="s">
        <v>20</v>
      </c>
      <c r="L189" s="12">
        <v>1</v>
      </c>
      <c r="M189" s="17">
        <v>690300</v>
      </c>
      <c r="N189" s="34">
        <f t="shared" si="23"/>
        <v>690300</v>
      </c>
      <c r="O189" s="12" t="s">
        <v>21</v>
      </c>
      <c r="P189" s="17">
        <f t="shared" si="16"/>
        <v>154</v>
      </c>
      <c r="Q189" s="12">
        <f t="shared" si="17"/>
        <v>34</v>
      </c>
      <c r="S189"/>
      <c r="T189"/>
      <c r="U189"/>
      <c r="V189"/>
      <c r="W189"/>
      <c r="X189"/>
      <c r="Y189"/>
      <c r="Z189"/>
    </row>
    <row r="190" spans="1:26" ht="15" customHeight="1" x14ac:dyDescent="0.25">
      <c r="A190" s="12" t="s">
        <v>2679</v>
      </c>
      <c r="B190" s="36">
        <v>45987</v>
      </c>
      <c r="C190" s="12">
        <f t="shared" si="18"/>
        <v>186</v>
      </c>
      <c r="D190" s="12">
        <v>1</v>
      </c>
      <c r="G190" s="14" t="s">
        <v>145</v>
      </c>
      <c r="H190" s="12" t="s">
        <v>3486</v>
      </c>
      <c r="I190" s="12">
        <v>112111</v>
      </c>
      <c r="J190" s="12">
        <v>131</v>
      </c>
      <c r="K190" s="12" t="s">
        <v>20</v>
      </c>
      <c r="L190" s="12">
        <v>1</v>
      </c>
      <c r="M190" s="17">
        <v>13838710</v>
      </c>
      <c r="N190" s="17">
        <f t="shared" si="23"/>
        <v>13838710</v>
      </c>
      <c r="O190" s="12" t="s">
        <v>21</v>
      </c>
      <c r="P190" s="17">
        <f t="shared" si="16"/>
        <v>155</v>
      </c>
      <c r="Q190" s="12">
        <f t="shared" si="17"/>
        <v>160</v>
      </c>
      <c r="S190"/>
      <c r="T190"/>
      <c r="U190"/>
      <c r="V190"/>
      <c r="W190"/>
      <c r="X190"/>
      <c r="Y190"/>
      <c r="Z190"/>
    </row>
    <row r="191" spans="1:26" ht="15" customHeight="1" x14ac:dyDescent="0.25">
      <c r="A191" s="12" t="s">
        <v>18</v>
      </c>
      <c r="B191" s="36">
        <v>45991</v>
      </c>
      <c r="C191" s="12">
        <f t="shared" ref="C191:C193" si="26">C190+D191</f>
        <v>187</v>
      </c>
      <c r="D191" s="12">
        <v>1</v>
      </c>
      <c r="G191" s="14" t="s">
        <v>3003</v>
      </c>
      <c r="H191" s="12" t="s">
        <v>3432</v>
      </c>
      <c r="I191" s="12">
        <v>131</v>
      </c>
      <c r="J191" s="12">
        <v>5118</v>
      </c>
      <c r="K191" s="12" t="s">
        <v>20</v>
      </c>
      <c r="L191" s="12">
        <v>1</v>
      </c>
      <c r="M191" s="17">
        <v>39530541</v>
      </c>
      <c r="N191" s="17">
        <f t="shared" ref="N191:N192" si="27">L191*M191</f>
        <v>39530541</v>
      </c>
      <c r="O191" s="12" t="s">
        <v>21</v>
      </c>
      <c r="P191" s="17">
        <f t="shared" si="16"/>
        <v>156</v>
      </c>
      <c r="Q191" s="12">
        <f t="shared" si="17"/>
        <v>36</v>
      </c>
      <c r="S191"/>
      <c r="T191"/>
      <c r="U191"/>
      <c r="V191"/>
      <c r="W191"/>
      <c r="X191"/>
      <c r="Y191"/>
      <c r="Z191"/>
    </row>
    <row r="192" spans="1:26" ht="15" customHeight="1" x14ac:dyDescent="0.25">
      <c r="A192" s="12" t="s">
        <v>18</v>
      </c>
      <c r="B192" s="36">
        <v>45991</v>
      </c>
      <c r="C192" s="12">
        <f t="shared" si="26"/>
        <v>188</v>
      </c>
      <c r="D192" s="12">
        <v>1</v>
      </c>
      <c r="G192" s="14" t="s">
        <v>3003</v>
      </c>
      <c r="H192" s="12" t="s">
        <v>3432</v>
      </c>
      <c r="I192" s="12">
        <v>131</v>
      </c>
      <c r="J192" s="12">
        <v>5118</v>
      </c>
      <c r="K192" s="12" t="s">
        <v>20</v>
      </c>
      <c r="L192" s="12">
        <v>1</v>
      </c>
      <c r="M192" s="17">
        <v>62438012</v>
      </c>
      <c r="N192" s="17">
        <f t="shared" si="27"/>
        <v>62438012</v>
      </c>
      <c r="O192" s="12" t="s">
        <v>21</v>
      </c>
      <c r="P192" s="17">
        <f t="shared" si="16"/>
        <v>157</v>
      </c>
      <c r="Q192" s="12">
        <f t="shared" si="17"/>
        <v>36</v>
      </c>
      <c r="S192"/>
      <c r="T192"/>
      <c r="U192"/>
      <c r="V192"/>
      <c r="W192"/>
      <c r="X192"/>
      <c r="Y192"/>
      <c r="Z192"/>
    </row>
    <row r="193" spans="1:26" ht="15" customHeight="1" x14ac:dyDescent="0.25">
      <c r="A193" s="12" t="s">
        <v>2679</v>
      </c>
      <c r="B193" s="36">
        <v>45991</v>
      </c>
      <c r="C193" s="12">
        <f t="shared" si="26"/>
        <v>189</v>
      </c>
      <c r="D193" s="12">
        <v>1</v>
      </c>
      <c r="G193" s="14" t="s">
        <v>3003</v>
      </c>
      <c r="H193" s="12" t="s">
        <v>3433</v>
      </c>
      <c r="I193" s="12">
        <v>112111</v>
      </c>
      <c r="J193" s="12">
        <v>131</v>
      </c>
      <c r="K193" s="12" t="s">
        <v>20</v>
      </c>
      <c r="L193" s="12">
        <v>1</v>
      </c>
      <c r="M193" s="17">
        <v>39530541</v>
      </c>
      <c r="N193" s="17">
        <f t="shared" si="23"/>
        <v>39530541</v>
      </c>
      <c r="O193" s="12" t="s">
        <v>21</v>
      </c>
      <c r="P193" s="17">
        <f t="shared" si="16"/>
        <v>158</v>
      </c>
      <c r="Q193" s="12">
        <f t="shared" si="17"/>
        <v>41</v>
      </c>
      <c r="S193"/>
      <c r="T193"/>
      <c r="U193"/>
      <c r="V193"/>
      <c r="W193"/>
      <c r="X193"/>
      <c r="Y193"/>
      <c r="Z193"/>
    </row>
    <row r="194" spans="1:26" ht="15" customHeight="1" x14ac:dyDescent="0.25">
      <c r="A194" s="12" t="s">
        <v>2679</v>
      </c>
      <c r="B194" s="36">
        <v>45991</v>
      </c>
      <c r="C194" s="12">
        <f t="shared" si="18"/>
        <v>190</v>
      </c>
      <c r="D194" s="12">
        <v>1</v>
      </c>
      <c r="G194" s="14" t="s">
        <v>3003</v>
      </c>
      <c r="H194" s="12" t="s">
        <v>3433</v>
      </c>
      <c r="I194" s="12">
        <v>112111</v>
      </c>
      <c r="J194" s="12">
        <v>131</v>
      </c>
      <c r="K194" s="12" t="s">
        <v>20</v>
      </c>
      <c r="L194" s="12">
        <v>1</v>
      </c>
      <c r="M194" s="17">
        <v>62438012</v>
      </c>
      <c r="N194" s="17">
        <f t="shared" si="23"/>
        <v>62438012</v>
      </c>
      <c r="O194" s="12" t="s">
        <v>21</v>
      </c>
      <c r="P194" s="17">
        <f t="shared" si="16"/>
        <v>159</v>
      </c>
      <c r="Q194" s="12">
        <f t="shared" si="17"/>
        <v>41</v>
      </c>
      <c r="S194"/>
      <c r="T194"/>
      <c r="U194"/>
      <c r="V194"/>
      <c r="W194"/>
      <c r="X194"/>
      <c r="Y194"/>
      <c r="Z194"/>
    </row>
    <row r="195" spans="1:26" ht="15" customHeight="1" x14ac:dyDescent="0.25">
      <c r="A195" s="12" t="s">
        <v>2678</v>
      </c>
      <c r="B195" s="36">
        <v>45992</v>
      </c>
      <c r="C195" s="12">
        <f t="shared" si="18"/>
        <v>191</v>
      </c>
      <c r="D195" s="12">
        <v>1</v>
      </c>
      <c r="G195" s="14" t="s">
        <v>284</v>
      </c>
      <c r="H195" s="12" t="s">
        <v>3017</v>
      </c>
      <c r="I195" s="12">
        <v>1111</v>
      </c>
      <c r="J195" s="12">
        <v>112111</v>
      </c>
      <c r="K195" s="12" t="s">
        <v>20</v>
      </c>
      <c r="L195" s="12">
        <v>1</v>
      </c>
      <c r="M195" s="17">
        <v>185000000</v>
      </c>
      <c r="N195" s="17">
        <f t="shared" si="23"/>
        <v>185000000</v>
      </c>
      <c r="O195" s="12" t="s">
        <v>21</v>
      </c>
      <c r="P195" s="17">
        <f t="shared" si="16"/>
        <v>160</v>
      </c>
      <c r="Q195" s="12">
        <f t="shared" si="17"/>
        <v>40</v>
      </c>
      <c r="S195"/>
      <c r="T195"/>
      <c r="U195"/>
      <c r="V195"/>
      <c r="W195"/>
      <c r="X195"/>
      <c r="Y195"/>
      <c r="Z195"/>
    </row>
    <row r="196" spans="1:26" ht="15" customHeight="1" x14ac:dyDescent="0.25">
      <c r="A196" s="12" t="s">
        <v>2679</v>
      </c>
      <c r="B196" s="36">
        <v>45992</v>
      </c>
      <c r="C196" s="12">
        <f t="shared" si="18"/>
        <v>192</v>
      </c>
      <c r="D196" s="12">
        <v>1</v>
      </c>
      <c r="G196" s="14" t="s">
        <v>2230</v>
      </c>
      <c r="H196" s="12" t="s">
        <v>3442</v>
      </c>
      <c r="I196" s="12">
        <v>112111</v>
      </c>
      <c r="J196" s="12">
        <v>131</v>
      </c>
      <c r="K196" s="12" t="s">
        <v>20</v>
      </c>
      <c r="L196" s="12">
        <v>1</v>
      </c>
      <c r="M196" s="17">
        <v>28741935</v>
      </c>
      <c r="N196" s="17">
        <f t="shared" si="23"/>
        <v>28741935</v>
      </c>
      <c r="O196" s="12" t="s">
        <v>21</v>
      </c>
      <c r="P196" s="17">
        <f t="shared" si="16"/>
        <v>161</v>
      </c>
      <c r="Q196" s="12">
        <f t="shared" si="17"/>
        <v>149</v>
      </c>
      <c r="S196"/>
      <c r="T196"/>
      <c r="U196"/>
      <c r="V196"/>
      <c r="W196"/>
      <c r="X196"/>
      <c r="Y196"/>
      <c r="Z196"/>
    </row>
    <row r="197" spans="1:26" ht="15" customHeight="1" x14ac:dyDescent="0.25">
      <c r="A197" s="12" t="s">
        <v>2679</v>
      </c>
      <c r="B197" s="36">
        <v>45994</v>
      </c>
      <c r="C197" s="12">
        <f t="shared" si="18"/>
        <v>193</v>
      </c>
      <c r="D197" s="12">
        <v>1</v>
      </c>
      <c r="G197" s="14" t="s">
        <v>70</v>
      </c>
      <c r="H197" s="12" t="s">
        <v>3443</v>
      </c>
      <c r="I197" s="12">
        <v>112111</v>
      </c>
      <c r="J197" s="12">
        <v>131</v>
      </c>
      <c r="K197" s="12" t="s">
        <v>20</v>
      </c>
      <c r="L197" s="12">
        <v>1</v>
      </c>
      <c r="M197" s="17">
        <v>19161290</v>
      </c>
      <c r="N197" s="17">
        <f t="shared" si="23"/>
        <v>19161290</v>
      </c>
      <c r="O197" s="12" t="s">
        <v>21</v>
      </c>
      <c r="P197" s="17">
        <f t="shared" si="16"/>
        <v>162</v>
      </c>
      <c r="Q197" s="12">
        <f t="shared" ref="Q197:Q222" si="28">LEN(H197)</f>
        <v>165</v>
      </c>
      <c r="S197"/>
      <c r="T197"/>
      <c r="U197"/>
      <c r="V197"/>
      <c r="W197"/>
      <c r="X197"/>
      <c r="Y197"/>
      <c r="Z197"/>
    </row>
    <row r="198" spans="1:26" ht="15" customHeight="1" x14ac:dyDescent="0.25">
      <c r="A198" s="12" t="s">
        <v>2679</v>
      </c>
      <c r="B198" s="36">
        <v>45996</v>
      </c>
      <c r="C198" s="12">
        <f t="shared" si="18"/>
        <v>194</v>
      </c>
      <c r="D198" s="12">
        <v>1</v>
      </c>
      <c r="G198" s="14" t="s">
        <v>145</v>
      </c>
      <c r="H198" s="12" t="s">
        <v>3487</v>
      </c>
      <c r="I198" s="12">
        <v>112111</v>
      </c>
      <c r="J198" s="12">
        <v>131</v>
      </c>
      <c r="K198" s="12" t="s">
        <v>20</v>
      </c>
      <c r="L198" s="12">
        <v>1</v>
      </c>
      <c r="M198" s="17">
        <v>3193548</v>
      </c>
      <c r="N198" s="17">
        <f t="shared" si="23"/>
        <v>3193548</v>
      </c>
      <c r="O198" s="12" t="s">
        <v>21</v>
      </c>
      <c r="P198" s="17">
        <f t="shared" si="16"/>
        <v>163</v>
      </c>
      <c r="Q198" s="12">
        <f t="shared" si="28"/>
        <v>160</v>
      </c>
      <c r="S198"/>
      <c r="T198"/>
      <c r="U198"/>
      <c r="V198"/>
      <c r="W198"/>
      <c r="X198"/>
      <c r="Y198"/>
      <c r="Z198"/>
    </row>
    <row r="199" spans="1:26" ht="15" customHeight="1" x14ac:dyDescent="0.25">
      <c r="A199" s="12" t="s">
        <v>2679</v>
      </c>
      <c r="B199" s="36">
        <v>45996</v>
      </c>
      <c r="C199" s="12">
        <f t="shared" si="18"/>
        <v>195</v>
      </c>
      <c r="D199" s="12">
        <v>1</v>
      </c>
      <c r="G199" s="14" t="s">
        <v>145</v>
      </c>
      <c r="H199" s="12" t="s">
        <v>3488</v>
      </c>
      <c r="I199" s="12">
        <v>112111</v>
      </c>
      <c r="J199" s="12">
        <v>131</v>
      </c>
      <c r="K199" s="12" t="s">
        <v>20</v>
      </c>
      <c r="L199" s="12">
        <v>1</v>
      </c>
      <c r="M199" s="17">
        <v>13838710</v>
      </c>
      <c r="N199" s="17">
        <f t="shared" si="23"/>
        <v>13838710</v>
      </c>
      <c r="O199" s="12" t="s">
        <v>21</v>
      </c>
      <c r="P199" s="17">
        <f t="shared" si="16"/>
        <v>164</v>
      </c>
      <c r="Q199" s="12">
        <f t="shared" si="28"/>
        <v>160</v>
      </c>
      <c r="S199"/>
      <c r="T199"/>
      <c r="U199"/>
      <c r="V199"/>
      <c r="W199"/>
      <c r="X199"/>
      <c r="Y199"/>
      <c r="Z199"/>
    </row>
    <row r="200" spans="1:26" ht="15" customHeight="1" x14ac:dyDescent="0.25">
      <c r="A200" s="12" t="s">
        <v>2679</v>
      </c>
      <c r="B200" s="36">
        <v>45999</v>
      </c>
      <c r="C200" s="12">
        <f t="shared" si="18"/>
        <v>196</v>
      </c>
      <c r="D200" s="12">
        <v>1</v>
      </c>
      <c r="G200" s="14" t="s">
        <v>127</v>
      </c>
      <c r="H200" s="12" t="s">
        <v>3444</v>
      </c>
      <c r="I200" s="12">
        <v>112111</v>
      </c>
      <c r="J200" s="12">
        <v>131</v>
      </c>
      <c r="K200" s="12" t="s">
        <v>20</v>
      </c>
      <c r="L200" s="12">
        <v>1</v>
      </c>
      <c r="M200" s="17">
        <v>15967742</v>
      </c>
      <c r="N200" s="17">
        <f t="shared" si="23"/>
        <v>15967742</v>
      </c>
      <c r="O200" s="12" t="s">
        <v>21</v>
      </c>
      <c r="P200" s="17">
        <f t="shared" ref="P200:P221" si="29">P199+D200</f>
        <v>165</v>
      </c>
      <c r="Q200" s="12">
        <f t="shared" si="28"/>
        <v>153</v>
      </c>
      <c r="S200"/>
      <c r="T200"/>
      <c r="U200"/>
      <c r="V200"/>
      <c r="W200"/>
      <c r="X200"/>
      <c r="Y200"/>
      <c r="Z200"/>
    </row>
    <row r="201" spans="1:26" ht="15" customHeight="1" x14ac:dyDescent="0.25">
      <c r="A201" s="12" t="s">
        <v>2679</v>
      </c>
      <c r="B201" s="36">
        <v>46002</v>
      </c>
      <c r="C201" s="12">
        <f t="shared" si="18"/>
        <v>197</v>
      </c>
      <c r="D201" s="12">
        <v>1</v>
      </c>
      <c r="G201" s="14" t="s">
        <v>150</v>
      </c>
      <c r="H201" s="12" t="s">
        <v>3445</v>
      </c>
      <c r="I201" s="12">
        <v>112111</v>
      </c>
      <c r="J201" s="12">
        <v>131</v>
      </c>
      <c r="K201" s="12" t="s">
        <v>20</v>
      </c>
      <c r="L201" s="12">
        <v>1</v>
      </c>
      <c r="M201" s="17">
        <v>12774194</v>
      </c>
      <c r="N201" s="17">
        <f t="shared" si="23"/>
        <v>12774194</v>
      </c>
      <c r="O201" s="12" t="s">
        <v>21</v>
      </c>
      <c r="P201" s="17">
        <f t="shared" si="29"/>
        <v>166</v>
      </c>
      <c r="Q201" s="12">
        <f t="shared" si="28"/>
        <v>163</v>
      </c>
      <c r="S201"/>
      <c r="T201"/>
      <c r="U201"/>
      <c r="V201"/>
      <c r="W201"/>
      <c r="X201"/>
      <c r="Y201"/>
      <c r="Z201"/>
    </row>
    <row r="202" spans="1:26" ht="15" customHeight="1" x14ac:dyDescent="0.25">
      <c r="A202" s="12" t="s">
        <v>2679</v>
      </c>
      <c r="B202" s="36">
        <v>46002</v>
      </c>
      <c r="C202" s="12">
        <f t="shared" si="18"/>
        <v>198</v>
      </c>
      <c r="D202" s="12">
        <v>1</v>
      </c>
      <c r="G202" s="14" t="s">
        <v>1664</v>
      </c>
      <c r="H202" s="12" t="s">
        <v>3446</v>
      </c>
      <c r="I202" s="12">
        <v>112111</v>
      </c>
      <c r="J202" s="12">
        <v>131</v>
      </c>
      <c r="K202" s="12" t="s">
        <v>20</v>
      </c>
      <c r="L202" s="12">
        <v>1</v>
      </c>
      <c r="M202" s="17">
        <v>12774194</v>
      </c>
      <c r="N202" s="17">
        <f t="shared" si="23"/>
        <v>12774194</v>
      </c>
      <c r="O202" s="12" t="s">
        <v>21</v>
      </c>
      <c r="P202" s="17">
        <f t="shared" si="29"/>
        <v>167</v>
      </c>
      <c r="Q202" s="12">
        <f t="shared" si="28"/>
        <v>161</v>
      </c>
      <c r="S202"/>
      <c r="T202"/>
      <c r="U202"/>
      <c r="V202"/>
      <c r="W202"/>
      <c r="X202"/>
      <c r="Y202"/>
      <c r="Z202"/>
    </row>
    <row r="203" spans="1:26" ht="15" customHeight="1" x14ac:dyDescent="0.25">
      <c r="A203" s="12" t="s">
        <v>2678</v>
      </c>
      <c r="B203" s="36">
        <v>46006</v>
      </c>
      <c r="C203" s="12">
        <f t="shared" si="18"/>
        <v>199</v>
      </c>
      <c r="D203" s="12">
        <v>1</v>
      </c>
      <c r="G203" s="14" t="s">
        <v>1024</v>
      </c>
      <c r="H203" s="12" t="s">
        <v>3413</v>
      </c>
      <c r="I203" s="12">
        <v>331</v>
      </c>
      <c r="J203" s="12">
        <v>112111</v>
      </c>
      <c r="K203" s="12" t="s">
        <v>20</v>
      </c>
      <c r="L203" s="12">
        <v>1</v>
      </c>
      <c r="M203" s="17">
        <v>44490000</v>
      </c>
      <c r="N203" s="17">
        <f t="shared" si="23"/>
        <v>44490000</v>
      </c>
      <c r="O203" s="12" t="s">
        <v>21</v>
      </c>
      <c r="P203" s="17">
        <f t="shared" si="29"/>
        <v>168</v>
      </c>
      <c r="Q203" s="12">
        <f t="shared" si="28"/>
        <v>51</v>
      </c>
      <c r="S203"/>
      <c r="T203"/>
      <c r="U203"/>
      <c r="V203"/>
      <c r="W203"/>
      <c r="X203"/>
      <c r="Y203"/>
      <c r="Z203"/>
    </row>
    <row r="204" spans="1:26" ht="15" customHeight="1" x14ac:dyDescent="0.25">
      <c r="A204" s="12" t="s">
        <v>2678</v>
      </c>
      <c r="B204" s="36">
        <v>46012</v>
      </c>
      <c r="C204" s="12">
        <f t="shared" si="18"/>
        <v>200</v>
      </c>
      <c r="D204" s="12">
        <v>1</v>
      </c>
      <c r="G204" s="14" t="s">
        <v>284</v>
      </c>
      <c r="H204" s="12" t="s">
        <v>3017</v>
      </c>
      <c r="I204" s="12">
        <v>1111</v>
      </c>
      <c r="J204" s="12">
        <v>112111</v>
      </c>
      <c r="K204" s="12" t="s">
        <v>20</v>
      </c>
      <c r="L204" s="12">
        <v>1</v>
      </c>
      <c r="M204" s="17">
        <v>62000000</v>
      </c>
      <c r="N204" s="17">
        <f t="shared" si="23"/>
        <v>62000000</v>
      </c>
      <c r="O204" s="12" t="s">
        <v>21</v>
      </c>
      <c r="P204" s="17">
        <f t="shared" si="29"/>
        <v>169</v>
      </c>
      <c r="Q204" s="12">
        <f t="shared" si="28"/>
        <v>40</v>
      </c>
      <c r="S204"/>
      <c r="T204"/>
      <c r="U204"/>
      <c r="V204"/>
      <c r="W204"/>
      <c r="X204"/>
      <c r="Y204"/>
      <c r="Z204"/>
    </row>
    <row r="205" spans="1:26" ht="15" customHeight="1" x14ac:dyDescent="0.25">
      <c r="A205" s="12" t="s">
        <v>18</v>
      </c>
      <c r="B205" s="36">
        <v>46012</v>
      </c>
      <c r="C205" s="12">
        <f t="shared" si="18"/>
        <v>201</v>
      </c>
      <c r="D205" s="12">
        <v>1</v>
      </c>
      <c r="G205" s="14" t="s">
        <v>3003</v>
      </c>
      <c r="H205" s="12" t="s">
        <v>3432</v>
      </c>
      <c r="I205" s="12">
        <v>131</v>
      </c>
      <c r="J205" s="12">
        <v>5118</v>
      </c>
      <c r="K205" s="12" t="s">
        <v>20</v>
      </c>
      <c r="L205" s="12">
        <v>1</v>
      </c>
      <c r="M205" s="17">
        <v>156515002</v>
      </c>
      <c r="N205" s="17">
        <f t="shared" ref="N205:N206" si="30">L205*M205</f>
        <v>156515002</v>
      </c>
      <c r="O205" s="12" t="s">
        <v>21</v>
      </c>
      <c r="P205" s="17">
        <f t="shared" si="29"/>
        <v>170</v>
      </c>
      <c r="Q205" s="12">
        <f t="shared" si="28"/>
        <v>36</v>
      </c>
      <c r="S205"/>
      <c r="T205"/>
      <c r="U205"/>
      <c r="V205"/>
      <c r="W205"/>
      <c r="X205"/>
      <c r="Y205"/>
      <c r="Z205"/>
    </row>
    <row r="206" spans="1:26" ht="15" customHeight="1" x14ac:dyDescent="0.25">
      <c r="A206" s="12" t="s">
        <v>18</v>
      </c>
      <c r="B206" s="36">
        <v>46012</v>
      </c>
      <c r="C206" s="12">
        <f t="shared" ref="C206:C207" si="31">C205+D206</f>
        <v>202</v>
      </c>
      <c r="D206" s="12">
        <v>1</v>
      </c>
      <c r="G206" s="14" t="s">
        <v>3003</v>
      </c>
      <c r="H206" s="12" t="s">
        <v>3432</v>
      </c>
      <c r="I206" s="12">
        <v>131</v>
      </c>
      <c r="J206" s="12">
        <v>5118</v>
      </c>
      <c r="K206" s="12" t="s">
        <v>20</v>
      </c>
      <c r="L206" s="12">
        <v>1</v>
      </c>
      <c r="M206" s="17">
        <v>90884576</v>
      </c>
      <c r="N206" s="17">
        <f t="shared" si="30"/>
        <v>90884576</v>
      </c>
      <c r="O206" s="12" t="s">
        <v>21</v>
      </c>
      <c r="P206" s="17">
        <f t="shared" si="29"/>
        <v>171</v>
      </c>
      <c r="Q206" s="12">
        <f t="shared" si="28"/>
        <v>36</v>
      </c>
      <c r="S206"/>
      <c r="T206"/>
      <c r="U206"/>
      <c r="V206"/>
      <c r="W206"/>
      <c r="X206"/>
      <c r="Y206"/>
      <c r="Z206"/>
    </row>
    <row r="207" spans="1:26" ht="15" customHeight="1" x14ac:dyDescent="0.25">
      <c r="A207" s="12" t="s">
        <v>2679</v>
      </c>
      <c r="B207" s="36">
        <v>46012</v>
      </c>
      <c r="C207" s="12">
        <f t="shared" si="31"/>
        <v>203</v>
      </c>
      <c r="D207" s="12">
        <v>1</v>
      </c>
      <c r="G207" s="14" t="s">
        <v>3003</v>
      </c>
      <c r="H207" s="12" t="s">
        <v>3433</v>
      </c>
      <c r="I207" s="12">
        <v>112111</v>
      </c>
      <c r="J207" s="12">
        <v>131</v>
      </c>
      <c r="K207" s="12" t="s">
        <v>20</v>
      </c>
      <c r="L207" s="12">
        <v>1</v>
      </c>
      <c r="M207" s="17">
        <v>156515002</v>
      </c>
      <c r="N207" s="17">
        <f t="shared" si="23"/>
        <v>156515002</v>
      </c>
      <c r="O207" s="12" t="s">
        <v>21</v>
      </c>
      <c r="P207" s="17">
        <f t="shared" si="29"/>
        <v>172</v>
      </c>
      <c r="Q207" s="12">
        <f t="shared" si="28"/>
        <v>41</v>
      </c>
      <c r="S207"/>
      <c r="T207"/>
      <c r="U207"/>
      <c r="V207"/>
      <c r="W207"/>
      <c r="X207"/>
      <c r="Y207"/>
      <c r="Z207"/>
    </row>
    <row r="208" spans="1:26" ht="15" customHeight="1" x14ac:dyDescent="0.25">
      <c r="A208" s="12" t="s">
        <v>2679</v>
      </c>
      <c r="B208" s="36">
        <v>46012</v>
      </c>
      <c r="C208" s="12">
        <f t="shared" si="18"/>
        <v>204</v>
      </c>
      <c r="D208" s="12">
        <v>1</v>
      </c>
      <c r="G208" s="14" t="s">
        <v>3003</v>
      </c>
      <c r="H208" s="12" t="s">
        <v>3433</v>
      </c>
      <c r="I208" s="12">
        <v>112111</v>
      </c>
      <c r="J208" s="12">
        <v>131</v>
      </c>
      <c r="K208" s="12" t="s">
        <v>20</v>
      </c>
      <c r="L208" s="12">
        <v>1</v>
      </c>
      <c r="M208" s="17">
        <v>90884576</v>
      </c>
      <c r="N208" s="17">
        <f t="shared" si="23"/>
        <v>90884576</v>
      </c>
      <c r="O208" s="12" t="s">
        <v>21</v>
      </c>
      <c r="P208" s="17">
        <f t="shared" si="29"/>
        <v>173</v>
      </c>
      <c r="Q208" s="12">
        <f t="shared" si="28"/>
        <v>41</v>
      </c>
      <c r="S208"/>
      <c r="T208"/>
      <c r="U208"/>
      <c r="V208"/>
      <c r="W208"/>
      <c r="X208"/>
      <c r="Y208"/>
      <c r="Z208"/>
    </row>
    <row r="209" spans="1:26" ht="15" customHeight="1" x14ac:dyDescent="0.25">
      <c r="A209" s="12" t="s">
        <v>2678</v>
      </c>
      <c r="B209" s="36">
        <v>46012</v>
      </c>
      <c r="C209" s="12">
        <f t="shared" si="18"/>
        <v>205</v>
      </c>
      <c r="D209" s="12">
        <v>1</v>
      </c>
      <c r="G209" s="14" t="s">
        <v>284</v>
      </c>
      <c r="H209" s="12" t="s">
        <v>3017</v>
      </c>
      <c r="I209" s="12">
        <v>1111</v>
      </c>
      <c r="J209" s="12">
        <v>112111</v>
      </c>
      <c r="K209" s="12" t="s">
        <v>20</v>
      </c>
      <c r="L209" s="12">
        <v>1</v>
      </c>
      <c r="M209" s="17">
        <v>247000000</v>
      </c>
      <c r="N209" s="17">
        <f t="shared" si="23"/>
        <v>247000000</v>
      </c>
      <c r="O209" s="12" t="s">
        <v>21</v>
      </c>
      <c r="P209" s="17">
        <f t="shared" si="29"/>
        <v>174</v>
      </c>
      <c r="Q209" s="12">
        <f t="shared" si="28"/>
        <v>40</v>
      </c>
      <c r="S209"/>
      <c r="T209"/>
      <c r="U209"/>
      <c r="V209"/>
      <c r="W209"/>
      <c r="X209"/>
      <c r="Y209"/>
      <c r="Z209"/>
    </row>
    <row r="210" spans="1:26" ht="15" customHeight="1" x14ac:dyDescent="0.25">
      <c r="A210" s="12" t="s">
        <v>2679</v>
      </c>
      <c r="B210" s="36">
        <v>46016</v>
      </c>
      <c r="C210" s="12">
        <f t="shared" si="18"/>
        <v>206</v>
      </c>
      <c r="D210" s="12">
        <v>1</v>
      </c>
      <c r="G210" s="14" t="s">
        <v>127</v>
      </c>
      <c r="H210" s="12" t="s">
        <v>3447</v>
      </c>
      <c r="I210" s="12">
        <v>112111</v>
      </c>
      <c r="J210" s="12">
        <v>131</v>
      </c>
      <c r="K210" s="12" t="s">
        <v>20</v>
      </c>
      <c r="L210" s="12">
        <v>1</v>
      </c>
      <c r="M210" s="17">
        <v>15967742</v>
      </c>
      <c r="N210" s="17">
        <f t="shared" si="23"/>
        <v>15967742</v>
      </c>
      <c r="O210" s="12" t="s">
        <v>21</v>
      </c>
      <c r="P210" s="17">
        <f t="shared" si="29"/>
        <v>175</v>
      </c>
      <c r="Q210" s="12">
        <f t="shared" si="28"/>
        <v>190</v>
      </c>
      <c r="S210"/>
      <c r="T210"/>
      <c r="U210"/>
      <c r="V210"/>
      <c r="W210"/>
      <c r="X210"/>
      <c r="Y210"/>
      <c r="Z210"/>
    </row>
    <row r="211" spans="1:26" ht="15" customHeight="1" x14ac:dyDescent="0.25">
      <c r="A211" s="12" t="s">
        <v>2679</v>
      </c>
      <c r="B211" s="36">
        <v>46017</v>
      </c>
      <c r="C211" s="12">
        <f t="shared" si="18"/>
        <v>207</v>
      </c>
      <c r="D211" s="12">
        <v>1</v>
      </c>
      <c r="G211" s="14" t="s">
        <v>3263</v>
      </c>
      <c r="H211" s="12" t="s">
        <v>2687</v>
      </c>
      <c r="I211" s="12">
        <v>112111</v>
      </c>
      <c r="J211" s="12">
        <v>5154</v>
      </c>
      <c r="K211" s="12" t="s">
        <v>20</v>
      </c>
      <c r="L211" s="12">
        <v>1</v>
      </c>
      <c r="M211" s="17">
        <v>26456</v>
      </c>
      <c r="N211" s="17">
        <f t="shared" si="23"/>
        <v>26456</v>
      </c>
      <c r="O211" s="12" t="s">
        <v>21</v>
      </c>
      <c r="P211" s="17">
        <f t="shared" si="29"/>
        <v>176</v>
      </c>
      <c r="Q211" s="12">
        <f t="shared" si="28"/>
        <v>12</v>
      </c>
      <c r="S211"/>
      <c r="T211"/>
      <c r="U211"/>
      <c r="V211"/>
      <c r="W211"/>
      <c r="X211"/>
      <c r="Y211"/>
      <c r="Z211"/>
    </row>
    <row r="212" spans="1:26" ht="15" customHeight="1" x14ac:dyDescent="0.25">
      <c r="A212" s="12" t="s">
        <v>2679</v>
      </c>
      <c r="B212" s="36">
        <v>46017</v>
      </c>
      <c r="C212" s="12">
        <f t="shared" si="18"/>
        <v>208</v>
      </c>
      <c r="D212" s="12">
        <v>1</v>
      </c>
      <c r="G212" s="14" t="s">
        <v>910</v>
      </c>
      <c r="H212" s="12" t="s">
        <v>3448</v>
      </c>
      <c r="I212" s="12">
        <v>112111</v>
      </c>
      <c r="J212" s="12">
        <v>131</v>
      </c>
      <c r="K212" s="12" t="s">
        <v>20</v>
      </c>
      <c r="L212" s="12">
        <v>1</v>
      </c>
      <c r="M212" s="17">
        <v>20768710</v>
      </c>
      <c r="N212" s="17">
        <f t="shared" si="23"/>
        <v>20768710</v>
      </c>
      <c r="O212" s="12" t="s">
        <v>21</v>
      </c>
      <c r="P212" s="17">
        <f t="shared" si="29"/>
        <v>177</v>
      </c>
      <c r="Q212" s="12">
        <f t="shared" si="28"/>
        <v>153</v>
      </c>
      <c r="S212"/>
      <c r="T212"/>
      <c r="U212"/>
      <c r="V212"/>
      <c r="W212"/>
      <c r="X212"/>
      <c r="Y212"/>
      <c r="Z212"/>
    </row>
    <row r="213" spans="1:26" ht="15" customHeight="1" x14ac:dyDescent="0.25">
      <c r="A213" s="12" t="s">
        <v>2679</v>
      </c>
      <c r="B213" s="36">
        <v>46020</v>
      </c>
      <c r="C213" s="12">
        <f t="shared" si="18"/>
        <v>209</v>
      </c>
      <c r="D213" s="12">
        <v>1</v>
      </c>
      <c r="G213" s="14" t="s">
        <v>43</v>
      </c>
      <c r="H213" s="12" t="s">
        <v>3489</v>
      </c>
      <c r="I213" s="12">
        <v>112111</v>
      </c>
      <c r="J213" s="12">
        <v>131</v>
      </c>
      <c r="K213" s="12" t="s">
        <v>20</v>
      </c>
      <c r="L213" s="12">
        <v>1</v>
      </c>
      <c r="M213" s="17">
        <v>15967742</v>
      </c>
      <c r="N213" s="17">
        <f t="shared" si="23"/>
        <v>15967742</v>
      </c>
      <c r="O213" s="12" t="s">
        <v>21</v>
      </c>
      <c r="P213" s="17">
        <f t="shared" si="29"/>
        <v>178</v>
      </c>
      <c r="Q213" s="12">
        <f t="shared" si="28"/>
        <v>149</v>
      </c>
      <c r="S213"/>
      <c r="T213"/>
      <c r="U213"/>
      <c r="V213"/>
      <c r="W213"/>
      <c r="X213"/>
      <c r="Y213"/>
      <c r="Z213"/>
    </row>
    <row r="214" spans="1:26" ht="15" customHeight="1" x14ac:dyDescent="0.25">
      <c r="A214" s="12" t="s">
        <v>2679</v>
      </c>
      <c r="B214" s="36">
        <v>46022</v>
      </c>
      <c r="C214" s="12">
        <f t="shared" si="18"/>
        <v>210</v>
      </c>
      <c r="D214" s="12">
        <v>1</v>
      </c>
      <c r="G214" s="14" t="s">
        <v>145</v>
      </c>
      <c r="H214" s="12" t="s">
        <v>3490</v>
      </c>
      <c r="I214" s="12">
        <v>112111</v>
      </c>
      <c r="J214" s="12">
        <v>131</v>
      </c>
      <c r="K214" s="12" t="s">
        <v>20</v>
      </c>
      <c r="L214" s="12">
        <v>1</v>
      </c>
      <c r="M214" s="17">
        <v>23419355</v>
      </c>
      <c r="N214" s="17">
        <f t="shared" si="23"/>
        <v>23419355</v>
      </c>
      <c r="O214" s="12" t="s">
        <v>21</v>
      </c>
      <c r="P214" s="17">
        <f t="shared" si="29"/>
        <v>179</v>
      </c>
      <c r="Q214" s="12">
        <f t="shared" si="28"/>
        <v>160</v>
      </c>
      <c r="S214"/>
      <c r="T214"/>
      <c r="U214"/>
      <c r="V214"/>
      <c r="W214"/>
      <c r="X214"/>
      <c r="Y214"/>
      <c r="Z214"/>
    </row>
    <row r="215" spans="1:26" ht="15" customHeight="1" x14ac:dyDescent="0.25">
      <c r="A215" s="12" t="s">
        <v>2679</v>
      </c>
      <c r="B215" s="36">
        <v>46022</v>
      </c>
      <c r="C215" s="12">
        <f t="shared" si="18"/>
        <v>211</v>
      </c>
      <c r="D215" s="12">
        <v>1</v>
      </c>
      <c r="G215" s="14" t="s">
        <v>145</v>
      </c>
      <c r="H215" s="12" t="s">
        <v>3491</v>
      </c>
      <c r="I215" s="12">
        <v>112111</v>
      </c>
      <c r="J215" s="12">
        <v>131</v>
      </c>
      <c r="K215" s="12" t="s">
        <v>20</v>
      </c>
      <c r="L215" s="12">
        <v>1</v>
      </c>
      <c r="M215" s="17">
        <v>13838710</v>
      </c>
      <c r="N215" s="17">
        <f t="shared" si="23"/>
        <v>13838710</v>
      </c>
      <c r="O215" s="12" t="s">
        <v>21</v>
      </c>
      <c r="P215" s="17">
        <f t="shared" si="29"/>
        <v>180</v>
      </c>
      <c r="Q215" s="12">
        <f t="shared" si="28"/>
        <v>160</v>
      </c>
      <c r="S215"/>
      <c r="T215"/>
      <c r="U215"/>
      <c r="V215"/>
      <c r="W215"/>
      <c r="X215"/>
      <c r="Y215"/>
      <c r="Z215"/>
    </row>
    <row r="216" spans="1:26" ht="15" customHeight="1" x14ac:dyDescent="0.25">
      <c r="A216" s="12" t="s">
        <v>18</v>
      </c>
      <c r="B216" s="36">
        <v>46022</v>
      </c>
      <c r="C216" s="12">
        <f t="shared" si="18"/>
        <v>212</v>
      </c>
      <c r="D216" s="12">
        <v>1</v>
      </c>
      <c r="G216" s="14" t="s">
        <v>3003</v>
      </c>
      <c r="H216" s="12" t="s">
        <v>3432</v>
      </c>
      <c r="I216" s="12">
        <v>131</v>
      </c>
      <c r="J216" s="12">
        <v>5118</v>
      </c>
      <c r="K216" s="12" t="s">
        <v>20</v>
      </c>
      <c r="L216" s="12">
        <v>1</v>
      </c>
      <c r="M216" s="17">
        <v>39460928</v>
      </c>
      <c r="N216" s="17">
        <f t="shared" ref="N216:N217" si="32">L216*M216</f>
        <v>39460928</v>
      </c>
      <c r="O216" s="12" t="s">
        <v>21</v>
      </c>
      <c r="P216" s="17">
        <f t="shared" si="29"/>
        <v>181</v>
      </c>
      <c r="Q216" s="12">
        <f t="shared" si="28"/>
        <v>36</v>
      </c>
      <c r="S216"/>
      <c r="T216"/>
      <c r="U216"/>
      <c r="V216"/>
      <c r="W216"/>
      <c r="X216"/>
      <c r="Y216"/>
      <c r="Z216"/>
    </row>
    <row r="217" spans="1:26" ht="15" customHeight="1" x14ac:dyDescent="0.25">
      <c r="A217" s="12" t="s">
        <v>18</v>
      </c>
      <c r="B217" s="36">
        <v>46022</v>
      </c>
      <c r="C217" s="12">
        <f t="shared" si="18"/>
        <v>213</v>
      </c>
      <c r="D217" s="12">
        <v>1</v>
      </c>
      <c r="G217" s="14" t="s">
        <v>3003</v>
      </c>
      <c r="H217" s="12" t="s">
        <v>3432</v>
      </c>
      <c r="I217" s="12">
        <v>131</v>
      </c>
      <c r="J217" s="12">
        <v>5118</v>
      </c>
      <c r="K217" s="12" t="s">
        <v>20</v>
      </c>
      <c r="L217" s="12">
        <v>1</v>
      </c>
      <c r="M217" s="17">
        <v>57558794</v>
      </c>
      <c r="N217" s="17">
        <f t="shared" si="32"/>
        <v>57558794</v>
      </c>
      <c r="O217" s="12" t="s">
        <v>21</v>
      </c>
      <c r="P217" s="17">
        <f t="shared" si="29"/>
        <v>182</v>
      </c>
      <c r="Q217" s="12">
        <f t="shared" si="28"/>
        <v>36</v>
      </c>
      <c r="S217"/>
      <c r="T217"/>
      <c r="U217"/>
      <c r="V217"/>
      <c r="W217"/>
      <c r="X217"/>
      <c r="Y217"/>
      <c r="Z217"/>
    </row>
    <row r="218" spans="1:26" ht="15" customHeight="1" x14ac:dyDescent="0.25">
      <c r="A218" s="12" t="s">
        <v>2679</v>
      </c>
      <c r="B218" s="36">
        <v>46022</v>
      </c>
      <c r="C218" s="12">
        <f t="shared" si="18"/>
        <v>214</v>
      </c>
      <c r="D218" s="12">
        <v>1</v>
      </c>
      <c r="G218" s="14" t="s">
        <v>3003</v>
      </c>
      <c r="H218" s="12" t="s">
        <v>3433</v>
      </c>
      <c r="I218" s="12">
        <v>112111</v>
      </c>
      <c r="J218" s="12">
        <v>131</v>
      </c>
      <c r="K218" s="12" t="s">
        <v>20</v>
      </c>
      <c r="L218" s="12">
        <v>1</v>
      </c>
      <c r="M218" s="17">
        <v>39460928</v>
      </c>
      <c r="N218" s="17">
        <f t="shared" si="23"/>
        <v>39460928</v>
      </c>
      <c r="O218" s="12" t="s">
        <v>21</v>
      </c>
      <c r="P218" s="17">
        <f t="shared" si="29"/>
        <v>183</v>
      </c>
      <c r="Q218" s="12">
        <f t="shared" si="28"/>
        <v>41</v>
      </c>
      <c r="S218"/>
      <c r="T218"/>
      <c r="U218"/>
      <c r="V218"/>
      <c r="W218"/>
      <c r="X218"/>
      <c r="Y218"/>
      <c r="Z218"/>
    </row>
    <row r="219" spans="1:26" ht="15" customHeight="1" x14ac:dyDescent="0.25">
      <c r="A219" s="12" t="s">
        <v>2679</v>
      </c>
      <c r="B219" s="36">
        <v>46022</v>
      </c>
      <c r="C219" s="12">
        <f t="shared" si="18"/>
        <v>215</v>
      </c>
      <c r="D219" s="12">
        <v>1</v>
      </c>
      <c r="G219" s="14" t="s">
        <v>3003</v>
      </c>
      <c r="H219" s="12" t="s">
        <v>3433</v>
      </c>
      <c r="I219" s="12">
        <v>112111</v>
      </c>
      <c r="J219" s="12">
        <v>131</v>
      </c>
      <c r="K219" s="12" t="s">
        <v>20</v>
      </c>
      <c r="L219" s="12">
        <v>1</v>
      </c>
      <c r="M219" s="17">
        <v>57558794</v>
      </c>
      <c r="N219" s="17">
        <f t="shared" si="23"/>
        <v>57558794</v>
      </c>
      <c r="O219" s="12" t="s">
        <v>21</v>
      </c>
      <c r="P219" s="17">
        <f t="shared" si="29"/>
        <v>184</v>
      </c>
      <c r="Q219" s="12">
        <f t="shared" si="28"/>
        <v>41</v>
      </c>
      <c r="S219"/>
      <c r="T219"/>
      <c r="U219"/>
      <c r="V219"/>
      <c r="W219"/>
      <c r="X219"/>
      <c r="Y219"/>
      <c r="Z219"/>
    </row>
    <row r="220" spans="1:26" ht="15" customHeight="1" x14ac:dyDescent="0.25">
      <c r="A220" s="12" t="s">
        <v>2679</v>
      </c>
      <c r="B220" s="36">
        <v>46022</v>
      </c>
      <c r="C220" s="12">
        <f t="shared" ref="C220:C221" si="33">C219+D220</f>
        <v>216</v>
      </c>
      <c r="D220" s="12">
        <v>1</v>
      </c>
      <c r="G220" s="14" t="s">
        <v>82</v>
      </c>
      <c r="H220" s="12" t="s">
        <v>3449</v>
      </c>
      <c r="I220" s="12">
        <v>112111</v>
      </c>
      <c r="J220" s="12">
        <v>131</v>
      </c>
      <c r="K220" s="12" t="s">
        <v>20</v>
      </c>
      <c r="L220" s="12">
        <v>1</v>
      </c>
      <c r="M220" s="17">
        <v>15967742</v>
      </c>
      <c r="N220" s="17">
        <f t="shared" si="23"/>
        <v>15967742</v>
      </c>
      <c r="O220" s="12" t="s">
        <v>21</v>
      </c>
      <c r="P220" s="17">
        <f t="shared" si="29"/>
        <v>185</v>
      </c>
      <c r="Q220" s="12">
        <f t="shared" si="28"/>
        <v>169</v>
      </c>
      <c r="S220"/>
      <c r="T220"/>
      <c r="U220"/>
      <c r="V220"/>
      <c r="W220"/>
      <c r="X220"/>
      <c r="Y220"/>
      <c r="Z220"/>
    </row>
    <row r="221" spans="1:26" ht="15" customHeight="1" x14ac:dyDescent="0.2">
      <c r="A221" s="12" t="s">
        <v>2719</v>
      </c>
      <c r="B221" s="13">
        <v>45961</v>
      </c>
      <c r="C221" s="12">
        <f t="shared" si="33"/>
        <v>217</v>
      </c>
      <c r="D221" s="12">
        <v>1</v>
      </c>
      <c r="G221" s="14" t="s">
        <v>93</v>
      </c>
      <c r="H221" s="12" t="s">
        <v>2684</v>
      </c>
      <c r="I221" s="12">
        <v>3383</v>
      </c>
      <c r="J221" s="12">
        <v>1111</v>
      </c>
      <c r="K221" s="12" t="s">
        <v>20</v>
      </c>
      <c r="L221" s="12">
        <v>1</v>
      </c>
      <c r="M221" s="17">
        <v>690300</v>
      </c>
      <c r="N221" s="34">
        <f t="shared" si="23"/>
        <v>690300</v>
      </c>
      <c r="O221" s="12" t="s">
        <v>21</v>
      </c>
      <c r="P221" s="17">
        <f t="shared" si="29"/>
        <v>186</v>
      </c>
      <c r="Q221" s="12">
        <f t="shared" si="28"/>
        <v>34</v>
      </c>
    </row>
    <row r="222" spans="1:26" ht="15" customHeight="1" x14ac:dyDescent="0.2">
      <c r="A222" s="12" t="s">
        <v>2719</v>
      </c>
      <c r="B222" s="13">
        <v>46022</v>
      </c>
      <c r="C222" s="12">
        <f t="shared" ref="C222" si="34">C221+D222</f>
        <v>218</v>
      </c>
      <c r="D222" s="12">
        <v>1</v>
      </c>
      <c r="G222" s="14" t="s">
        <v>93</v>
      </c>
      <c r="H222" s="12" t="s">
        <v>3036</v>
      </c>
      <c r="I222" s="12">
        <v>3383</v>
      </c>
      <c r="J222" s="12">
        <v>1111</v>
      </c>
      <c r="K222" s="12" t="s">
        <v>20</v>
      </c>
      <c r="L222" s="12">
        <v>1</v>
      </c>
      <c r="M222" s="17">
        <v>690300</v>
      </c>
      <c r="N222" s="34">
        <f t="shared" ref="N222" si="35">L222*M222</f>
        <v>690300</v>
      </c>
      <c r="O222" s="12" t="s">
        <v>21</v>
      </c>
      <c r="P222" s="17">
        <f t="shared" ref="P222" si="36">P221+D222</f>
        <v>187</v>
      </c>
      <c r="Q222" s="12">
        <f t="shared" si="28"/>
        <v>34</v>
      </c>
    </row>
  </sheetData>
  <autoFilter ref="A3:Q222" xr:uid="{00000000-0009-0000-0000-000014000000}"/>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Q1" location="Summary!A1" display="Back to summary" xr:uid="{00000000-0004-0000-1400-000000000000}"/>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AB141"/>
  <sheetViews>
    <sheetView topLeftCell="A82" workbookViewId="0">
      <selection activeCell="L111" sqref="L111"/>
    </sheetView>
  </sheetViews>
  <sheetFormatPr defaultRowHeight="15" customHeight="1" x14ac:dyDescent="0.2"/>
  <cols>
    <col min="1" max="1" width="9.140625" style="12"/>
    <col min="2" max="2" width="9.140625" style="90"/>
    <col min="3" max="5" width="9.140625" style="12"/>
    <col min="6" max="6" width="9.85546875" style="12" bestFit="1" customWidth="1"/>
    <col min="7" max="7" width="9.140625" style="12"/>
    <col min="8" max="8" width="28.28515625" style="12" customWidth="1"/>
    <col min="9" max="12" width="9.140625" style="12"/>
    <col min="13" max="13" width="12" style="17" bestFit="1" customWidth="1"/>
    <col min="14" max="14" width="10.7109375" style="17" bestFit="1" customWidth="1"/>
    <col min="15" max="17" width="9.140625" style="12"/>
    <col min="18" max="28" width="9.140625" style="14"/>
    <col min="29" max="16384" width="9.140625" style="12"/>
  </cols>
  <sheetData>
    <row r="1" spans="1:21" ht="15" customHeight="1" thickBot="1" x14ac:dyDescent="0.25">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21" ht="15" customHeight="1" thickBot="1" x14ac:dyDescent="0.25">
      <c r="A2" s="205"/>
      <c r="B2" s="220"/>
      <c r="C2" s="205"/>
      <c r="D2" s="208"/>
      <c r="E2" s="208"/>
      <c r="F2" s="203"/>
      <c r="G2" s="212"/>
      <c r="H2" s="214"/>
      <c r="I2" s="46" t="s">
        <v>13</v>
      </c>
      <c r="J2" s="47" t="s">
        <v>14</v>
      </c>
      <c r="K2" s="205"/>
      <c r="L2" s="205"/>
      <c r="M2" s="218"/>
      <c r="N2" s="218"/>
      <c r="O2" s="38" t="s">
        <v>100</v>
      </c>
      <c r="P2" s="38"/>
    </row>
    <row r="3" spans="1:21" ht="15" customHeight="1" x14ac:dyDescent="0.2">
      <c r="A3" s="48"/>
      <c r="B3" s="83"/>
      <c r="C3" s="48">
        <v>28</v>
      </c>
      <c r="D3" s="49"/>
      <c r="E3" s="49"/>
      <c r="F3" s="49"/>
      <c r="G3" s="51" t="s">
        <v>15</v>
      </c>
      <c r="H3" s="52"/>
      <c r="I3" s="52"/>
      <c r="J3" s="52"/>
      <c r="K3" s="48"/>
      <c r="L3" s="48"/>
      <c r="M3" s="84"/>
      <c r="N3" s="84"/>
      <c r="O3" s="38" t="s">
        <v>16</v>
      </c>
      <c r="P3" s="38" t="s">
        <v>17</v>
      </c>
    </row>
    <row r="4" spans="1:21" ht="15" customHeight="1" x14ac:dyDescent="0.2">
      <c r="A4" s="12" t="s">
        <v>18</v>
      </c>
      <c r="B4" s="36">
        <v>45934</v>
      </c>
      <c r="C4" s="12">
        <f t="shared" ref="C4:C35" si="0">C3+D4</f>
        <v>29</v>
      </c>
      <c r="D4" s="12">
        <v>1</v>
      </c>
      <c r="G4" s="12" t="s">
        <v>1350</v>
      </c>
      <c r="H4" s="12" t="s">
        <v>2355</v>
      </c>
      <c r="I4" s="12">
        <v>64277</v>
      </c>
      <c r="J4" s="12">
        <v>331</v>
      </c>
      <c r="K4" s="12" t="s">
        <v>20</v>
      </c>
      <c r="L4" s="12">
        <v>1</v>
      </c>
      <c r="M4" s="17">
        <v>1339200</v>
      </c>
      <c r="N4" s="17">
        <f t="shared" ref="N4:N35" si="1">L4*M4</f>
        <v>1339200</v>
      </c>
      <c r="O4" s="12" t="s">
        <v>21</v>
      </c>
      <c r="P4" s="12">
        <v>1</v>
      </c>
      <c r="U4" s="12"/>
    </row>
    <row r="5" spans="1:21" ht="15" customHeight="1" x14ac:dyDescent="0.2">
      <c r="A5" s="12" t="s">
        <v>18</v>
      </c>
      <c r="B5" s="36">
        <v>45936</v>
      </c>
      <c r="C5" s="12">
        <f t="shared" si="0"/>
        <v>30</v>
      </c>
      <c r="D5" s="12">
        <v>1</v>
      </c>
      <c r="G5" s="12" t="s">
        <v>37</v>
      </c>
      <c r="H5" s="12" t="s">
        <v>2306</v>
      </c>
      <c r="I5" s="12">
        <v>64277</v>
      </c>
      <c r="J5" s="12">
        <v>331</v>
      </c>
      <c r="K5" s="12" t="s">
        <v>20</v>
      </c>
      <c r="L5" s="12">
        <v>1</v>
      </c>
      <c r="M5" s="17">
        <v>3240000</v>
      </c>
      <c r="N5" s="17">
        <f t="shared" si="1"/>
        <v>3240000</v>
      </c>
      <c r="O5" s="12" t="s">
        <v>21</v>
      </c>
      <c r="P5" s="12">
        <f>P4+D5</f>
        <v>2</v>
      </c>
      <c r="U5" s="12"/>
    </row>
    <row r="6" spans="1:21" ht="15" customHeight="1" x14ac:dyDescent="0.2">
      <c r="A6" s="12" t="s">
        <v>18</v>
      </c>
      <c r="B6" s="36">
        <v>45939</v>
      </c>
      <c r="C6" s="12">
        <f t="shared" si="0"/>
        <v>31</v>
      </c>
      <c r="D6" s="12">
        <v>1</v>
      </c>
      <c r="G6" s="12" t="s">
        <v>2370</v>
      </c>
      <c r="H6" s="12" t="s">
        <v>2356</v>
      </c>
      <c r="I6" s="12">
        <v>64277</v>
      </c>
      <c r="J6" s="12">
        <v>331</v>
      </c>
      <c r="K6" s="12" t="s">
        <v>20</v>
      </c>
      <c r="L6" s="12">
        <v>1</v>
      </c>
      <c r="M6" s="17">
        <v>697680</v>
      </c>
      <c r="N6" s="17">
        <f t="shared" si="1"/>
        <v>697680</v>
      </c>
      <c r="O6" s="12" t="s">
        <v>21</v>
      </c>
      <c r="P6" s="12">
        <f t="shared" ref="P6:P69" si="2">P5+D6</f>
        <v>3</v>
      </c>
      <c r="U6" s="12"/>
    </row>
    <row r="7" spans="1:21" ht="15" customHeight="1" x14ac:dyDescent="0.2">
      <c r="A7" s="12" t="s">
        <v>18</v>
      </c>
      <c r="B7" s="36">
        <v>45950</v>
      </c>
      <c r="C7" s="12">
        <f t="shared" si="0"/>
        <v>32</v>
      </c>
      <c r="D7" s="12">
        <v>1</v>
      </c>
      <c r="G7" s="12" t="s">
        <v>2371</v>
      </c>
      <c r="H7" s="12" t="s">
        <v>2357</v>
      </c>
      <c r="I7" s="12">
        <v>64277</v>
      </c>
      <c r="J7" s="12">
        <v>331</v>
      </c>
      <c r="K7" s="12" t="s">
        <v>20</v>
      </c>
      <c r="L7" s="12">
        <v>1</v>
      </c>
      <c r="M7" s="17">
        <v>854658</v>
      </c>
      <c r="N7" s="17">
        <f t="shared" si="1"/>
        <v>854658</v>
      </c>
      <c r="O7" s="12" t="s">
        <v>21</v>
      </c>
      <c r="P7" s="12">
        <f t="shared" si="2"/>
        <v>4</v>
      </c>
      <c r="U7" s="12"/>
    </row>
    <row r="8" spans="1:21" ht="15" customHeight="1" x14ac:dyDescent="0.2">
      <c r="A8" s="12" t="s">
        <v>18</v>
      </c>
      <c r="B8" s="36">
        <v>45953</v>
      </c>
      <c r="C8" s="12">
        <f t="shared" si="0"/>
        <v>33</v>
      </c>
      <c r="D8" s="12">
        <v>1</v>
      </c>
      <c r="G8" s="12" t="s">
        <v>2372</v>
      </c>
      <c r="H8" s="12" t="s">
        <v>2499</v>
      </c>
      <c r="I8" s="12">
        <v>64277</v>
      </c>
      <c r="J8" s="12">
        <v>331</v>
      </c>
      <c r="K8" s="12" t="s">
        <v>20</v>
      </c>
      <c r="L8" s="12">
        <v>1</v>
      </c>
      <c r="M8" s="17">
        <v>2000000</v>
      </c>
      <c r="N8" s="17">
        <f t="shared" si="1"/>
        <v>2000000</v>
      </c>
      <c r="O8" s="12" t="s">
        <v>21</v>
      </c>
      <c r="P8" s="12">
        <f t="shared" si="2"/>
        <v>5</v>
      </c>
      <c r="U8" s="12"/>
    </row>
    <row r="9" spans="1:21" ht="15" customHeight="1" x14ac:dyDescent="0.2">
      <c r="A9" s="12" t="s">
        <v>18</v>
      </c>
      <c r="B9" s="36">
        <v>45954</v>
      </c>
      <c r="C9" s="12">
        <f t="shared" si="0"/>
        <v>34</v>
      </c>
      <c r="D9" s="12">
        <v>1</v>
      </c>
      <c r="G9" s="12" t="s">
        <v>2373</v>
      </c>
      <c r="H9" s="12" t="s">
        <v>2500</v>
      </c>
      <c r="I9" s="12">
        <v>64276</v>
      </c>
      <c r="J9" s="12">
        <v>331</v>
      </c>
      <c r="K9" s="12" t="s">
        <v>20</v>
      </c>
      <c r="L9" s="12">
        <v>1</v>
      </c>
      <c r="M9" s="17">
        <v>6820000</v>
      </c>
      <c r="N9" s="17">
        <f t="shared" si="1"/>
        <v>6820000</v>
      </c>
      <c r="O9" s="12" t="s">
        <v>21</v>
      </c>
      <c r="P9" s="12">
        <f t="shared" si="2"/>
        <v>6</v>
      </c>
      <c r="U9" s="12"/>
    </row>
    <row r="10" spans="1:21" ht="15" customHeight="1" x14ac:dyDescent="0.2">
      <c r="A10" s="12" t="s">
        <v>18</v>
      </c>
      <c r="B10" s="36">
        <v>45954</v>
      </c>
      <c r="C10" s="12">
        <f t="shared" si="0"/>
        <v>35</v>
      </c>
      <c r="D10" s="12">
        <v>1</v>
      </c>
      <c r="G10" s="12" t="s">
        <v>2374</v>
      </c>
      <c r="H10" s="12" t="s">
        <v>2358</v>
      </c>
      <c r="I10" s="12">
        <v>64277</v>
      </c>
      <c r="J10" s="12">
        <v>331</v>
      </c>
      <c r="K10" s="12" t="s">
        <v>20</v>
      </c>
      <c r="L10" s="12">
        <v>1</v>
      </c>
      <c r="M10" s="17">
        <v>570240</v>
      </c>
      <c r="N10" s="17">
        <f t="shared" si="1"/>
        <v>570240</v>
      </c>
      <c r="O10" s="12" t="s">
        <v>21</v>
      </c>
      <c r="P10" s="12">
        <f t="shared" si="2"/>
        <v>7</v>
      </c>
      <c r="U10" s="12"/>
    </row>
    <row r="11" spans="1:21" ht="15" customHeight="1" x14ac:dyDescent="0.2">
      <c r="A11" s="12" t="s">
        <v>18</v>
      </c>
      <c r="B11" s="36">
        <v>45954</v>
      </c>
      <c r="C11" s="12">
        <f t="shared" si="0"/>
        <v>36</v>
      </c>
      <c r="D11" s="12">
        <v>1</v>
      </c>
      <c r="G11" s="12" t="s">
        <v>1353</v>
      </c>
      <c r="H11" s="12" t="s">
        <v>2501</v>
      </c>
      <c r="I11" s="12">
        <v>64276</v>
      </c>
      <c r="J11" s="12">
        <v>331</v>
      </c>
      <c r="K11" s="12" t="s">
        <v>20</v>
      </c>
      <c r="L11" s="12">
        <v>1</v>
      </c>
      <c r="M11" s="17">
        <v>1050000</v>
      </c>
      <c r="N11" s="17">
        <f t="shared" si="1"/>
        <v>1050000</v>
      </c>
      <c r="O11" s="12" t="s">
        <v>21</v>
      </c>
      <c r="P11" s="12">
        <f t="shared" si="2"/>
        <v>8</v>
      </c>
      <c r="U11" s="12"/>
    </row>
    <row r="12" spans="1:21" ht="15" customHeight="1" x14ac:dyDescent="0.2">
      <c r="A12" s="12" t="s">
        <v>18</v>
      </c>
      <c r="B12" s="36">
        <v>45959</v>
      </c>
      <c r="C12" s="12">
        <f t="shared" si="0"/>
        <v>37</v>
      </c>
      <c r="D12" s="12">
        <v>1</v>
      </c>
      <c r="G12" s="12" t="s">
        <v>123</v>
      </c>
      <c r="H12" s="12" t="s">
        <v>2359</v>
      </c>
      <c r="I12" s="12">
        <v>64277</v>
      </c>
      <c r="J12" s="12">
        <v>331</v>
      </c>
      <c r="K12" s="12" t="s">
        <v>20</v>
      </c>
      <c r="L12" s="12">
        <v>1</v>
      </c>
      <c r="M12" s="17">
        <v>908280</v>
      </c>
      <c r="N12" s="17">
        <f t="shared" si="1"/>
        <v>908280</v>
      </c>
      <c r="O12" s="12" t="s">
        <v>21</v>
      </c>
      <c r="P12" s="12">
        <f t="shared" si="2"/>
        <v>9</v>
      </c>
      <c r="U12" s="12"/>
    </row>
    <row r="13" spans="1:21" ht="15" customHeight="1" x14ac:dyDescent="0.2">
      <c r="A13" s="12" t="s">
        <v>18</v>
      </c>
      <c r="B13" s="36">
        <v>45960</v>
      </c>
      <c r="C13" s="12">
        <f t="shared" si="0"/>
        <v>38</v>
      </c>
      <c r="D13" s="12">
        <v>1</v>
      </c>
      <c r="G13" s="12" t="s">
        <v>998</v>
      </c>
      <c r="H13" s="12" t="s">
        <v>2360</v>
      </c>
      <c r="I13" s="12">
        <v>64277</v>
      </c>
      <c r="J13" s="12">
        <v>331</v>
      </c>
      <c r="K13" s="12" t="s">
        <v>20</v>
      </c>
      <c r="L13" s="12">
        <v>1</v>
      </c>
      <c r="M13" s="17">
        <v>2477790</v>
      </c>
      <c r="N13" s="17">
        <f t="shared" si="1"/>
        <v>2477790</v>
      </c>
      <c r="O13" s="12" t="s">
        <v>21</v>
      </c>
      <c r="P13" s="12">
        <f t="shared" si="2"/>
        <v>10</v>
      </c>
      <c r="U13" s="12"/>
    </row>
    <row r="14" spans="1:21" ht="15" customHeight="1" x14ac:dyDescent="0.2">
      <c r="A14" s="12" t="s">
        <v>18</v>
      </c>
      <c r="B14" s="36">
        <v>45963</v>
      </c>
      <c r="C14" s="12">
        <f t="shared" si="0"/>
        <v>39</v>
      </c>
      <c r="D14" s="12">
        <v>1</v>
      </c>
      <c r="G14" s="12" t="s">
        <v>1852</v>
      </c>
      <c r="H14" s="12" t="s">
        <v>2361</v>
      </c>
      <c r="I14" s="12">
        <v>64277</v>
      </c>
      <c r="J14" s="12">
        <v>331</v>
      </c>
      <c r="K14" s="12" t="s">
        <v>20</v>
      </c>
      <c r="L14" s="12">
        <v>1</v>
      </c>
      <c r="M14" s="17">
        <v>677160</v>
      </c>
      <c r="N14" s="17">
        <f t="shared" si="1"/>
        <v>677160</v>
      </c>
      <c r="O14" s="12" t="s">
        <v>21</v>
      </c>
      <c r="P14" s="12">
        <f t="shared" si="2"/>
        <v>11</v>
      </c>
      <c r="U14" s="12"/>
    </row>
    <row r="15" spans="1:21" ht="15" customHeight="1" x14ac:dyDescent="0.2">
      <c r="A15" s="12" t="s">
        <v>18</v>
      </c>
      <c r="B15" s="36">
        <v>45966</v>
      </c>
      <c r="C15" s="12">
        <f t="shared" si="0"/>
        <v>40</v>
      </c>
      <c r="D15" s="12">
        <v>1</v>
      </c>
      <c r="G15" s="12" t="s">
        <v>1359</v>
      </c>
      <c r="H15" s="12" t="s">
        <v>2362</v>
      </c>
      <c r="I15" s="12">
        <v>64277</v>
      </c>
      <c r="J15" s="12">
        <v>331</v>
      </c>
      <c r="K15" s="12" t="s">
        <v>20</v>
      </c>
      <c r="L15" s="12">
        <v>1</v>
      </c>
      <c r="M15" s="17">
        <v>924210</v>
      </c>
      <c r="N15" s="17">
        <f t="shared" si="1"/>
        <v>924210</v>
      </c>
      <c r="O15" s="12" t="s">
        <v>21</v>
      </c>
      <c r="P15" s="12">
        <f t="shared" si="2"/>
        <v>12</v>
      </c>
      <c r="U15" s="12"/>
    </row>
    <row r="16" spans="1:21" ht="15" customHeight="1" x14ac:dyDescent="0.2">
      <c r="A16" s="12" t="s">
        <v>18</v>
      </c>
      <c r="B16" s="36">
        <v>45967</v>
      </c>
      <c r="C16" s="12">
        <f t="shared" si="0"/>
        <v>41</v>
      </c>
      <c r="D16" s="12">
        <v>1</v>
      </c>
      <c r="G16" s="12" t="s">
        <v>2375</v>
      </c>
      <c r="H16" s="12" t="s">
        <v>2363</v>
      </c>
      <c r="I16" s="12">
        <v>64277</v>
      </c>
      <c r="J16" s="12">
        <v>331</v>
      </c>
      <c r="K16" s="12" t="s">
        <v>20</v>
      </c>
      <c r="L16" s="12">
        <v>1</v>
      </c>
      <c r="M16" s="17">
        <v>2048400</v>
      </c>
      <c r="N16" s="17">
        <f t="shared" si="1"/>
        <v>2048400</v>
      </c>
      <c r="O16" s="12" t="s">
        <v>21</v>
      </c>
      <c r="P16" s="12">
        <f t="shared" si="2"/>
        <v>13</v>
      </c>
      <c r="U16" s="12"/>
    </row>
    <row r="17" spans="1:21" ht="15" customHeight="1" x14ac:dyDescent="0.2">
      <c r="A17" s="12" t="s">
        <v>18</v>
      </c>
      <c r="B17" s="36">
        <v>45968</v>
      </c>
      <c r="C17" s="12">
        <f t="shared" si="0"/>
        <v>42</v>
      </c>
      <c r="D17" s="12">
        <v>1</v>
      </c>
      <c r="G17" s="12" t="s">
        <v>2376</v>
      </c>
      <c r="H17" s="12" t="s">
        <v>2364</v>
      </c>
      <c r="I17" s="12">
        <v>64277</v>
      </c>
      <c r="J17" s="12">
        <v>331</v>
      </c>
      <c r="K17" s="12" t="s">
        <v>20</v>
      </c>
      <c r="L17" s="12">
        <v>1</v>
      </c>
      <c r="M17" s="17">
        <v>497880</v>
      </c>
      <c r="N17" s="17">
        <f t="shared" si="1"/>
        <v>497880</v>
      </c>
      <c r="O17" s="12" t="s">
        <v>21</v>
      </c>
      <c r="P17" s="12">
        <f t="shared" si="2"/>
        <v>14</v>
      </c>
      <c r="U17" s="12"/>
    </row>
    <row r="18" spans="1:21" ht="15" customHeight="1" x14ac:dyDescent="0.2">
      <c r="A18" s="12" t="s">
        <v>18</v>
      </c>
      <c r="B18" s="36">
        <v>45972</v>
      </c>
      <c r="C18" s="12">
        <f t="shared" si="0"/>
        <v>43</v>
      </c>
      <c r="D18" s="12">
        <v>1</v>
      </c>
      <c r="G18" s="12" t="s">
        <v>37</v>
      </c>
      <c r="H18" s="12" t="s">
        <v>2307</v>
      </c>
      <c r="I18" s="12">
        <v>64277</v>
      </c>
      <c r="J18" s="12">
        <v>331</v>
      </c>
      <c r="K18" s="12" t="s">
        <v>20</v>
      </c>
      <c r="L18" s="12">
        <v>1</v>
      </c>
      <c r="M18" s="17">
        <v>3240000</v>
      </c>
      <c r="N18" s="17">
        <f t="shared" si="1"/>
        <v>3240000</v>
      </c>
      <c r="O18" s="12" t="s">
        <v>21</v>
      </c>
      <c r="P18" s="12">
        <f t="shared" si="2"/>
        <v>15</v>
      </c>
      <c r="U18" s="12"/>
    </row>
    <row r="19" spans="1:21" ht="15" customHeight="1" x14ac:dyDescent="0.2">
      <c r="A19" s="12" t="s">
        <v>18</v>
      </c>
      <c r="B19" s="36">
        <v>45978</v>
      </c>
      <c r="C19" s="12">
        <f t="shared" si="0"/>
        <v>44</v>
      </c>
      <c r="D19" s="12">
        <v>1</v>
      </c>
      <c r="G19" s="12" t="s">
        <v>2377</v>
      </c>
      <c r="H19" s="12" t="s">
        <v>2365</v>
      </c>
      <c r="I19" s="12">
        <v>64277</v>
      </c>
      <c r="J19" s="12">
        <v>331</v>
      </c>
      <c r="K19" s="12" t="s">
        <v>20</v>
      </c>
      <c r="L19" s="12">
        <v>1</v>
      </c>
      <c r="M19" s="17">
        <v>710000</v>
      </c>
      <c r="N19" s="17">
        <f t="shared" si="1"/>
        <v>710000</v>
      </c>
      <c r="O19" s="12" t="s">
        <v>21</v>
      </c>
      <c r="P19" s="12">
        <f t="shared" si="2"/>
        <v>16</v>
      </c>
      <c r="U19" s="12"/>
    </row>
    <row r="20" spans="1:21" ht="15" customHeight="1" x14ac:dyDescent="0.2">
      <c r="A20" s="12" t="s">
        <v>18</v>
      </c>
      <c r="B20" s="36">
        <v>45985</v>
      </c>
      <c r="C20" s="12">
        <f t="shared" si="0"/>
        <v>45</v>
      </c>
      <c r="D20" s="12">
        <v>1</v>
      </c>
      <c r="G20" s="12" t="s">
        <v>2371</v>
      </c>
      <c r="H20" s="12" t="s">
        <v>2366</v>
      </c>
      <c r="I20" s="12">
        <v>64277</v>
      </c>
      <c r="J20" s="12">
        <v>331</v>
      </c>
      <c r="K20" s="12" t="s">
        <v>20</v>
      </c>
      <c r="L20" s="12">
        <v>1</v>
      </c>
      <c r="M20" s="17">
        <v>991440</v>
      </c>
      <c r="N20" s="17">
        <f t="shared" si="1"/>
        <v>991440</v>
      </c>
      <c r="O20" s="12" t="s">
        <v>21</v>
      </c>
      <c r="P20" s="12">
        <f t="shared" si="2"/>
        <v>17</v>
      </c>
      <c r="U20" s="12"/>
    </row>
    <row r="21" spans="1:21" ht="15" customHeight="1" x14ac:dyDescent="0.2">
      <c r="A21" s="12" t="s">
        <v>18</v>
      </c>
      <c r="B21" s="36">
        <v>45990</v>
      </c>
      <c r="C21" s="12">
        <f t="shared" si="0"/>
        <v>46</v>
      </c>
      <c r="D21" s="12">
        <v>1</v>
      </c>
      <c r="G21" s="12" t="s">
        <v>2378</v>
      </c>
      <c r="H21" s="12" t="s">
        <v>2367</v>
      </c>
      <c r="I21" s="12">
        <v>64277</v>
      </c>
      <c r="J21" s="12">
        <v>331</v>
      </c>
      <c r="K21" s="12" t="s">
        <v>20</v>
      </c>
      <c r="L21" s="12">
        <v>1</v>
      </c>
      <c r="M21" s="17">
        <v>1287360</v>
      </c>
      <c r="N21" s="17">
        <f t="shared" si="1"/>
        <v>1287360</v>
      </c>
      <c r="O21" s="12" t="s">
        <v>21</v>
      </c>
      <c r="P21" s="12">
        <f t="shared" si="2"/>
        <v>18</v>
      </c>
      <c r="U21" s="12"/>
    </row>
    <row r="22" spans="1:21" ht="15" customHeight="1" x14ac:dyDescent="0.2">
      <c r="A22" s="12" t="s">
        <v>18</v>
      </c>
      <c r="B22" s="36">
        <v>45991</v>
      </c>
      <c r="C22" s="12">
        <f t="shared" si="0"/>
        <v>47</v>
      </c>
      <c r="D22" s="12">
        <v>1</v>
      </c>
      <c r="G22" s="12" t="s">
        <v>41</v>
      </c>
      <c r="H22" s="12" t="s">
        <v>2368</v>
      </c>
      <c r="I22" s="12">
        <v>64277</v>
      </c>
      <c r="J22" s="12">
        <v>331</v>
      </c>
      <c r="K22" s="12" t="s">
        <v>20</v>
      </c>
      <c r="L22" s="12">
        <v>1</v>
      </c>
      <c r="M22" s="17">
        <v>3159000</v>
      </c>
      <c r="N22" s="17">
        <f t="shared" si="1"/>
        <v>3159000</v>
      </c>
      <c r="O22" s="12" t="s">
        <v>21</v>
      </c>
      <c r="P22" s="12">
        <f t="shared" si="2"/>
        <v>19</v>
      </c>
      <c r="U22" s="12"/>
    </row>
    <row r="23" spans="1:21" ht="15" customHeight="1" x14ac:dyDescent="0.2">
      <c r="A23" s="12" t="s">
        <v>18</v>
      </c>
      <c r="B23" s="36">
        <v>45995</v>
      </c>
      <c r="C23" s="12">
        <f t="shared" si="0"/>
        <v>48</v>
      </c>
      <c r="D23" s="12">
        <v>1</v>
      </c>
      <c r="G23" s="12" t="s">
        <v>37</v>
      </c>
      <c r="H23" s="12" t="s">
        <v>2308</v>
      </c>
      <c r="I23" s="12">
        <v>64277</v>
      </c>
      <c r="J23" s="12">
        <v>331</v>
      </c>
      <c r="K23" s="12" t="s">
        <v>20</v>
      </c>
      <c r="L23" s="12">
        <v>1</v>
      </c>
      <c r="M23" s="17">
        <v>3240000</v>
      </c>
      <c r="N23" s="17">
        <f t="shared" si="1"/>
        <v>3240000</v>
      </c>
      <c r="O23" s="12" t="s">
        <v>21</v>
      </c>
      <c r="P23" s="12">
        <f t="shared" si="2"/>
        <v>20</v>
      </c>
      <c r="U23" s="12"/>
    </row>
    <row r="24" spans="1:21" ht="15" customHeight="1" x14ac:dyDescent="0.2">
      <c r="A24" s="12" t="s">
        <v>18</v>
      </c>
      <c r="B24" s="36">
        <v>46001</v>
      </c>
      <c r="C24" s="12">
        <f t="shared" si="0"/>
        <v>49</v>
      </c>
      <c r="D24" s="12">
        <v>1</v>
      </c>
      <c r="G24" s="12" t="s">
        <v>41</v>
      </c>
      <c r="H24" s="12" t="s">
        <v>2369</v>
      </c>
      <c r="I24" s="12">
        <v>64277</v>
      </c>
      <c r="J24" s="12">
        <v>331</v>
      </c>
      <c r="K24" s="12" t="s">
        <v>20</v>
      </c>
      <c r="L24" s="12">
        <v>1</v>
      </c>
      <c r="M24" s="17">
        <v>2545560</v>
      </c>
      <c r="N24" s="17">
        <f t="shared" si="1"/>
        <v>2545560</v>
      </c>
      <c r="O24" s="12" t="s">
        <v>21</v>
      </c>
      <c r="P24" s="12">
        <f t="shared" si="2"/>
        <v>21</v>
      </c>
      <c r="U24" s="12"/>
    </row>
    <row r="25" spans="1:21" ht="15" customHeight="1" x14ac:dyDescent="0.2">
      <c r="A25" s="12" t="s">
        <v>18</v>
      </c>
      <c r="B25" s="36">
        <v>46003</v>
      </c>
      <c r="C25" s="12">
        <f t="shared" si="0"/>
        <v>50</v>
      </c>
      <c r="D25" s="12">
        <v>1</v>
      </c>
      <c r="G25" s="12" t="s">
        <v>30</v>
      </c>
      <c r="H25" s="12" t="s">
        <v>2502</v>
      </c>
      <c r="I25" s="12">
        <v>64276</v>
      </c>
      <c r="J25" s="12">
        <v>331</v>
      </c>
      <c r="K25" s="12" t="s">
        <v>20</v>
      </c>
      <c r="L25" s="12">
        <v>1</v>
      </c>
      <c r="M25" s="17">
        <v>6695000</v>
      </c>
      <c r="N25" s="17">
        <f t="shared" si="1"/>
        <v>6695000</v>
      </c>
      <c r="O25" s="12" t="s">
        <v>21</v>
      </c>
      <c r="P25" s="12">
        <f t="shared" si="2"/>
        <v>22</v>
      </c>
      <c r="U25" s="12"/>
    </row>
    <row r="26" spans="1:21" ht="15" customHeight="1" x14ac:dyDescent="0.2">
      <c r="A26" s="12" t="s">
        <v>18</v>
      </c>
      <c r="B26" s="36">
        <v>46003</v>
      </c>
      <c r="C26" s="12">
        <f t="shared" si="0"/>
        <v>51</v>
      </c>
      <c r="D26" s="12">
        <v>1</v>
      </c>
      <c r="G26" s="12" t="s">
        <v>75</v>
      </c>
      <c r="H26" s="12" t="s">
        <v>2503</v>
      </c>
      <c r="I26" s="12">
        <v>64276</v>
      </c>
      <c r="J26" s="12">
        <v>331</v>
      </c>
      <c r="K26" s="12" t="s">
        <v>20</v>
      </c>
      <c r="L26" s="12">
        <v>1</v>
      </c>
      <c r="M26" s="17">
        <v>900000</v>
      </c>
      <c r="N26" s="17">
        <f t="shared" si="1"/>
        <v>900000</v>
      </c>
      <c r="O26" s="12" t="s">
        <v>21</v>
      </c>
      <c r="P26" s="12">
        <f t="shared" si="2"/>
        <v>23</v>
      </c>
      <c r="U26" s="12"/>
    </row>
    <row r="27" spans="1:21" ht="15" customHeight="1" x14ac:dyDescent="0.2">
      <c r="A27" s="12" t="s">
        <v>18</v>
      </c>
      <c r="B27" s="36" t="s">
        <v>2513</v>
      </c>
      <c r="C27" s="12">
        <f t="shared" si="0"/>
        <v>52</v>
      </c>
      <c r="D27" s="12">
        <v>1</v>
      </c>
      <c r="G27" s="12" t="s">
        <v>41</v>
      </c>
      <c r="H27" s="12" t="s">
        <v>2670</v>
      </c>
      <c r="I27" s="12">
        <v>64277</v>
      </c>
      <c r="J27" s="12">
        <v>331</v>
      </c>
      <c r="K27" s="12" t="s">
        <v>20</v>
      </c>
      <c r="L27" s="12">
        <v>1</v>
      </c>
      <c r="M27" s="17">
        <v>1933200</v>
      </c>
      <c r="N27" s="17">
        <f t="shared" si="1"/>
        <v>1933200</v>
      </c>
      <c r="O27" s="12" t="s">
        <v>21</v>
      </c>
      <c r="P27" s="12">
        <f t="shared" si="2"/>
        <v>24</v>
      </c>
      <c r="U27" s="12"/>
    </row>
    <row r="28" spans="1:21" ht="15" customHeight="1" x14ac:dyDescent="0.2">
      <c r="A28" s="12" t="s">
        <v>18</v>
      </c>
      <c r="B28" s="36">
        <v>45947</v>
      </c>
      <c r="C28" s="12">
        <f t="shared" si="0"/>
        <v>53</v>
      </c>
      <c r="D28" s="12">
        <v>1</v>
      </c>
      <c r="F28" s="17">
        <f>M28-M29</f>
        <v>53225807</v>
      </c>
      <c r="G28" s="12" t="s">
        <v>59</v>
      </c>
      <c r="H28" s="12" t="s">
        <v>2309</v>
      </c>
      <c r="I28" s="12">
        <v>131</v>
      </c>
      <c r="J28" s="12">
        <v>5113</v>
      </c>
      <c r="K28" s="12" t="s">
        <v>20</v>
      </c>
      <c r="L28" s="12">
        <v>1</v>
      </c>
      <c r="M28" s="17">
        <v>53763441</v>
      </c>
      <c r="N28" s="17">
        <f t="shared" si="1"/>
        <v>53763441</v>
      </c>
      <c r="O28" s="12" t="s">
        <v>21</v>
      </c>
      <c r="P28" s="12">
        <f t="shared" si="2"/>
        <v>25</v>
      </c>
      <c r="U28" s="12"/>
    </row>
    <row r="29" spans="1:21" ht="15" customHeight="1" x14ac:dyDescent="0.2">
      <c r="A29" s="12" t="s">
        <v>18</v>
      </c>
      <c r="B29" s="36">
        <v>45947</v>
      </c>
      <c r="C29" s="12">
        <f t="shared" si="0"/>
        <v>53</v>
      </c>
      <c r="D29" s="12">
        <v>0</v>
      </c>
      <c r="G29" s="12" t="s">
        <v>59</v>
      </c>
      <c r="H29" s="12" t="s">
        <v>2332</v>
      </c>
      <c r="I29" s="12">
        <v>333821</v>
      </c>
      <c r="J29" s="12">
        <v>131</v>
      </c>
      <c r="K29" s="20" t="s">
        <v>20</v>
      </c>
      <c r="L29" s="20">
        <v>1</v>
      </c>
      <c r="M29" s="17">
        <v>537634</v>
      </c>
      <c r="N29" s="134">
        <f t="shared" si="1"/>
        <v>537634</v>
      </c>
      <c r="O29" s="12" t="s">
        <v>21</v>
      </c>
      <c r="P29" s="12">
        <f t="shared" si="2"/>
        <v>25</v>
      </c>
      <c r="U29" s="12"/>
    </row>
    <row r="30" spans="1:21" ht="15" customHeight="1" x14ac:dyDescent="0.2">
      <c r="A30" s="12" t="s">
        <v>18</v>
      </c>
      <c r="B30" s="36">
        <v>45951</v>
      </c>
      <c r="C30" s="12">
        <f t="shared" si="0"/>
        <v>54</v>
      </c>
      <c r="D30" s="12">
        <v>1</v>
      </c>
      <c r="F30" s="17">
        <f>M30-M31</f>
        <v>15967742</v>
      </c>
      <c r="G30" s="12" t="s">
        <v>1353</v>
      </c>
      <c r="H30" s="12" t="s">
        <v>2310</v>
      </c>
      <c r="I30" s="12">
        <v>131</v>
      </c>
      <c r="J30" s="12">
        <v>5113</v>
      </c>
      <c r="K30" s="12" t="s">
        <v>20</v>
      </c>
      <c r="L30" s="12">
        <v>1</v>
      </c>
      <c r="M30" s="17">
        <v>16129032</v>
      </c>
      <c r="N30" s="17">
        <f t="shared" si="1"/>
        <v>16129032</v>
      </c>
      <c r="O30" s="12" t="s">
        <v>21</v>
      </c>
      <c r="P30" s="12">
        <f t="shared" si="2"/>
        <v>26</v>
      </c>
      <c r="U30" s="12"/>
    </row>
    <row r="31" spans="1:21" ht="15" customHeight="1" x14ac:dyDescent="0.2">
      <c r="A31" s="12" t="s">
        <v>18</v>
      </c>
      <c r="B31" s="36">
        <v>45951</v>
      </c>
      <c r="C31" s="12">
        <f t="shared" si="0"/>
        <v>54</v>
      </c>
      <c r="D31" s="12">
        <v>0</v>
      </c>
      <c r="G31" s="12" t="s">
        <v>1353</v>
      </c>
      <c r="H31" s="12" t="s">
        <v>2333</v>
      </c>
      <c r="I31" s="12">
        <v>333821</v>
      </c>
      <c r="J31" s="12">
        <v>131</v>
      </c>
      <c r="K31" s="20" t="s">
        <v>20</v>
      </c>
      <c r="L31" s="20">
        <v>1</v>
      </c>
      <c r="M31" s="17">
        <v>161290</v>
      </c>
      <c r="N31" s="134">
        <f t="shared" si="1"/>
        <v>161290</v>
      </c>
      <c r="O31" s="12" t="s">
        <v>21</v>
      </c>
      <c r="P31" s="12">
        <f t="shared" si="2"/>
        <v>26</v>
      </c>
      <c r="U31" s="12"/>
    </row>
    <row r="32" spans="1:21" ht="15" customHeight="1" x14ac:dyDescent="0.2">
      <c r="A32" s="12" t="s">
        <v>18</v>
      </c>
      <c r="B32" s="36">
        <v>45951</v>
      </c>
      <c r="C32" s="12">
        <f t="shared" si="0"/>
        <v>55</v>
      </c>
      <c r="D32" s="12">
        <v>1</v>
      </c>
      <c r="F32" s="17">
        <f>M32-M33</f>
        <v>18096774</v>
      </c>
      <c r="G32" s="12" t="s">
        <v>54</v>
      </c>
      <c r="H32" s="12" t="s">
        <v>2311</v>
      </c>
      <c r="I32" s="12">
        <v>131</v>
      </c>
      <c r="J32" s="12">
        <v>5113</v>
      </c>
      <c r="K32" s="12" t="s">
        <v>20</v>
      </c>
      <c r="L32" s="12">
        <v>1</v>
      </c>
      <c r="M32" s="17">
        <v>18279570</v>
      </c>
      <c r="N32" s="17">
        <f t="shared" si="1"/>
        <v>18279570</v>
      </c>
      <c r="O32" s="12" t="s">
        <v>21</v>
      </c>
      <c r="P32" s="12">
        <f t="shared" si="2"/>
        <v>27</v>
      </c>
      <c r="U32" s="12"/>
    </row>
    <row r="33" spans="1:21" ht="15" customHeight="1" x14ac:dyDescent="0.2">
      <c r="A33" s="12" t="s">
        <v>18</v>
      </c>
      <c r="B33" s="36">
        <v>45951</v>
      </c>
      <c r="C33" s="12">
        <f t="shared" si="0"/>
        <v>55</v>
      </c>
      <c r="D33" s="12">
        <v>0</v>
      </c>
      <c r="G33" s="12" t="s">
        <v>54</v>
      </c>
      <c r="H33" s="12" t="s">
        <v>2334</v>
      </c>
      <c r="I33" s="12">
        <v>333821</v>
      </c>
      <c r="J33" s="12">
        <v>131</v>
      </c>
      <c r="K33" s="20" t="s">
        <v>20</v>
      </c>
      <c r="L33" s="20">
        <v>1</v>
      </c>
      <c r="M33" s="17">
        <v>182796</v>
      </c>
      <c r="N33" s="134">
        <f t="shared" si="1"/>
        <v>182796</v>
      </c>
      <c r="O33" s="12" t="s">
        <v>21</v>
      </c>
      <c r="P33" s="12">
        <f t="shared" si="2"/>
        <v>27</v>
      </c>
      <c r="U33" s="12"/>
    </row>
    <row r="34" spans="1:21" ht="15" customHeight="1" x14ac:dyDescent="0.2">
      <c r="A34" s="12" t="s">
        <v>18</v>
      </c>
      <c r="B34" s="36">
        <v>45957</v>
      </c>
      <c r="C34" s="12">
        <f t="shared" si="0"/>
        <v>56</v>
      </c>
      <c r="D34" s="12">
        <v>1</v>
      </c>
      <c r="E34" s="20"/>
      <c r="F34" s="17">
        <f>M34-M35</f>
        <v>15967742</v>
      </c>
      <c r="G34" s="12" t="s">
        <v>66</v>
      </c>
      <c r="H34" s="20" t="s">
        <v>2312</v>
      </c>
      <c r="I34" s="12">
        <v>131</v>
      </c>
      <c r="J34" s="12">
        <v>5113</v>
      </c>
      <c r="K34" s="20" t="s">
        <v>20</v>
      </c>
      <c r="L34" s="20">
        <v>1</v>
      </c>
      <c r="M34" s="134">
        <v>16129032</v>
      </c>
      <c r="N34" s="134">
        <f t="shared" si="1"/>
        <v>16129032</v>
      </c>
      <c r="O34" s="12" t="s">
        <v>21</v>
      </c>
      <c r="P34" s="12">
        <f t="shared" si="2"/>
        <v>28</v>
      </c>
      <c r="U34" s="12"/>
    </row>
    <row r="35" spans="1:21" ht="15" customHeight="1" x14ac:dyDescent="0.2">
      <c r="A35" s="12" t="s">
        <v>18</v>
      </c>
      <c r="B35" s="36">
        <v>45957</v>
      </c>
      <c r="C35" s="12">
        <f t="shared" si="0"/>
        <v>56</v>
      </c>
      <c r="D35" s="12">
        <v>0</v>
      </c>
      <c r="G35" s="12" t="s">
        <v>66</v>
      </c>
      <c r="H35" s="12" t="s">
        <v>2335</v>
      </c>
      <c r="I35" s="12">
        <v>333821</v>
      </c>
      <c r="J35" s="12">
        <v>131</v>
      </c>
      <c r="K35" s="20" t="s">
        <v>20</v>
      </c>
      <c r="L35" s="20">
        <v>1</v>
      </c>
      <c r="M35" s="17">
        <v>161290</v>
      </c>
      <c r="N35" s="134">
        <f t="shared" si="1"/>
        <v>161290</v>
      </c>
      <c r="O35" s="12" t="s">
        <v>21</v>
      </c>
      <c r="P35" s="12">
        <f t="shared" si="2"/>
        <v>28</v>
      </c>
      <c r="U35" s="12"/>
    </row>
    <row r="36" spans="1:21" ht="15" customHeight="1" x14ac:dyDescent="0.2">
      <c r="A36" s="12" t="s">
        <v>18</v>
      </c>
      <c r="B36" s="36">
        <v>45957</v>
      </c>
      <c r="C36" s="12">
        <f t="shared" ref="C36:C67" si="3">C35+D36</f>
        <v>57</v>
      </c>
      <c r="D36" s="12">
        <v>1</v>
      </c>
      <c r="F36" s="17">
        <f>M36-M37</f>
        <v>26612903</v>
      </c>
      <c r="G36" s="12" t="s">
        <v>90</v>
      </c>
      <c r="H36" s="12" t="s">
        <v>2313</v>
      </c>
      <c r="I36" s="12">
        <v>131</v>
      </c>
      <c r="J36" s="12">
        <v>5113</v>
      </c>
      <c r="K36" s="20" t="s">
        <v>20</v>
      </c>
      <c r="L36" s="20">
        <v>1</v>
      </c>
      <c r="M36" s="17">
        <v>26881720</v>
      </c>
      <c r="N36" s="134">
        <f t="shared" ref="N36:N67" si="4">L36*M36</f>
        <v>26881720</v>
      </c>
      <c r="O36" s="12" t="s">
        <v>21</v>
      </c>
      <c r="P36" s="12">
        <f t="shared" si="2"/>
        <v>29</v>
      </c>
      <c r="U36" s="12"/>
    </row>
    <row r="37" spans="1:21" ht="15" customHeight="1" x14ac:dyDescent="0.2">
      <c r="A37" s="12" t="s">
        <v>18</v>
      </c>
      <c r="B37" s="36">
        <v>45957</v>
      </c>
      <c r="C37" s="12">
        <f t="shared" si="3"/>
        <v>57</v>
      </c>
      <c r="D37" s="12">
        <v>0</v>
      </c>
      <c r="G37" s="12" t="s">
        <v>90</v>
      </c>
      <c r="H37" s="12" t="s">
        <v>2336</v>
      </c>
      <c r="I37" s="12">
        <v>333821</v>
      </c>
      <c r="J37" s="12">
        <v>131</v>
      </c>
      <c r="K37" s="20" t="s">
        <v>20</v>
      </c>
      <c r="L37" s="20">
        <v>1</v>
      </c>
      <c r="M37" s="17">
        <v>268817</v>
      </c>
      <c r="N37" s="134">
        <f t="shared" si="4"/>
        <v>268817</v>
      </c>
      <c r="O37" s="12" t="s">
        <v>21</v>
      </c>
      <c r="P37" s="12">
        <f t="shared" si="2"/>
        <v>29</v>
      </c>
      <c r="U37" s="12"/>
    </row>
    <row r="38" spans="1:21" ht="15" customHeight="1" x14ac:dyDescent="0.2">
      <c r="A38" s="12" t="s">
        <v>18</v>
      </c>
      <c r="B38" s="36">
        <v>45972</v>
      </c>
      <c r="C38" s="12">
        <f t="shared" si="3"/>
        <v>58</v>
      </c>
      <c r="D38" s="12">
        <v>1</v>
      </c>
      <c r="F38" s="17">
        <f>M38-M39</f>
        <v>18096774</v>
      </c>
      <c r="G38" s="12" t="s">
        <v>144</v>
      </c>
      <c r="H38" s="12" t="s">
        <v>2314</v>
      </c>
      <c r="I38" s="12">
        <v>131</v>
      </c>
      <c r="J38" s="12">
        <v>5113</v>
      </c>
      <c r="K38" s="20" t="s">
        <v>20</v>
      </c>
      <c r="L38" s="20">
        <v>1</v>
      </c>
      <c r="M38" s="17">
        <v>18279570</v>
      </c>
      <c r="N38" s="134">
        <f t="shared" si="4"/>
        <v>18279570</v>
      </c>
      <c r="O38" s="12" t="s">
        <v>21</v>
      </c>
      <c r="P38" s="12">
        <f t="shared" si="2"/>
        <v>30</v>
      </c>
      <c r="U38" s="12"/>
    </row>
    <row r="39" spans="1:21" ht="15" customHeight="1" x14ac:dyDescent="0.2">
      <c r="A39" s="12" t="s">
        <v>18</v>
      </c>
      <c r="B39" s="36">
        <v>45972</v>
      </c>
      <c r="C39" s="12">
        <f t="shared" si="3"/>
        <v>58</v>
      </c>
      <c r="D39" s="12">
        <v>0</v>
      </c>
      <c r="G39" s="12" t="s">
        <v>144</v>
      </c>
      <c r="H39" s="12" t="s">
        <v>2337</v>
      </c>
      <c r="I39" s="12">
        <v>333821</v>
      </c>
      <c r="J39" s="12">
        <v>131</v>
      </c>
      <c r="K39" s="20" t="s">
        <v>20</v>
      </c>
      <c r="L39" s="20">
        <v>1</v>
      </c>
      <c r="M39" s="17">
        <v>182796</v>
      </c>
      <c r="N39" s="134">
        <f t="shared" si="4"/>
        <v>182796</v>
      </c>
      <c r="O39" s="12" t="s">
        <v>21</v>
      </c>
      <c r="P39" s="12">
        <f t="shared" si="2"/>
        <v>30</v>
      </c>
      <c r="U39" s="12"/>
    </row>
    <row r="40" spans="1:21" ht="15" customHeight="1" x14ac:dyDescent="0.2">
      <c r="A40" s="12" t="s">
        <v>18</v>
      </c>
      <c r="B40" s="36">
        <v>45972</v>
      </c>
      <c r="C40" s="12">
        <f t="shared" si="3"/>
        <v>59</v>
      </c>
      <c r="D40" s="12">
        <v>1</v>
      </c>
      <c r="F40" s="17">
        <f>M40-M41</f>
        <v>18096774</v>
      </c>
      <c r="G40" s="12" t="s">
        <v>2379</v>
      </c>
      <c r="H40" s="12" t="s">
        <v>2315</v>
      </c>
      <c r="I40" s="12">
        <v>131</v>
      </c>
      <c r="J40" s="12">
        <v>5113</v>
      </c>
      <c r="K40" s="20" t="s">
        <v>20</v>
      </c>
      <c r="L40" s="20">
        <v>1</v>
      </c>
      <c r="M40" s="17">
        <v>18279570</v>
      </c>
      <c r="N40" s="134">
        <f t="shared" si="4"/>
        <v>18279570</v>
      </c>
      <c r="O40" s="12" t="s">
        <v>21</v>
      </c>
      <c r="P40" s="12">
        <f t="shared" si="2"/>
        <v>31</v>
      </c>
      <c r="U40" s="12"/>
    </row>
    <row r="41" spans="1:21" ht="15" customHeight="1" x14ac:dyDescent="0.2">
      <c r="A41" s="12" t="s">
        <v>18</v>
      </c>
      <c r="B41" s="36">
        <v>45972</v>
      </c>
      <c r="C41" s="12">
        <f t="shared" si="3"/>
        <v>59</v>
      </c>
      <c r="D41" s="12">
        <v>0</v>
      </c>
      <c r="G41" s="12" t="s">
        <v>2379</v>
      </c>
      <c r="H41" s="12" t="s">
        <v>2338</v>
      </c>
      <c r="I41" s="12">
        <v>333821</v>
      </c>
      <c r="J41" s="12">
        <v>131</v>
      </c>
      <c r="K41" s="20" t="s">
        <v>20</v>
      </c>
      <c r="L41" s="20">
        <v>1</v>
      </c>
      <c r="M41" s="17">
        <v>182796</v>
      </c>
      <c r="N41" s="134">
        <f t="shared" si="4"/>
        <v>182796</v>
      </c>
      <c r="O41" s="12" t="s">
        <v>21</v>
      </c>
      <c r="P41" s="12">
        <f t="shared" si="2"/>
        <v>31</v>
      </c>
      <c r="U41" s="12"/>
    </row>
    <row r="42" spans="1:21" ht="15" customHeight="1" x14ac:dyDescent="0.2">
      <c r="A42" s="12" t="s">
        <v>18</v>
      </c>
      <c r="B42" s="36">
        <v>45973</v>
      </c>
      <c r="C42" s="12">
        <f t="shared" si="3"/>
        <v>60</v>
      </c>
      <c r="D42" s="12">
        <v>1</v>
      </c>
      <c r="F42" s="17">
        <f>M42-M43</f>
        <v>26612903</v>
      </c>
      <c r="G42" s="12" t="s">
        <v>150</v>
      </c>
      <c r="H42" s="12" t="s">
        <v>2316</v>
      </c>
      <c r="I42" s="12">
        <v>131</v>
      </c>
      <c r="J42" s="12">
        <v>5113</v>
      </c>
      <c r="K42" s="20" t="s">
        <v>20</v>
      </c>
      <c r="L42" s="20">
        <v>1</v>
      </c>
      <c r="M42" s="17">
        <v>26881720</v>
      </c>
      <c r="N42" s="134">
        <f t="shared" si="4"/>
        <v>26881720</v>
      </c>
      <c r="O42" s="12" t="s">
        <v>21</v>
      </c>
      <c r="P42" s="12">
        <f t="shared" si="2"/>
        <v>32</v>
      </c>
      <c r="U42" s="12"/>
    </row>
    <row r="43" spans="1:21" ht="15" customHeight="1" x14ac:dyDescent="0.2">
      <c r="A43" s="12" t="s">
        <v>18</v>
      </c>
      <c r="B43" s="36">
        <v>45973</v>
      </c>
      <c r="C43" s="12">
        <f t="shared" si="3"/>
        <v>60</v>
      </c>
      <c r="D43" s="12">
        <v>0</v>
      </c>
      <c r="G43" s="12" t="s">
        <v>150</v>
      </c>
      <c r="H43" s="12" t="s">
        <v>2339</v>
      </c>
      <c r="I43" s="12">
        <v>333821</v>
      </c>
      <c r="J43" s="12">
        <v>131</v>
      </c>
      <c r="K43" s="20" t="s">
        <v>20</v>
      </c>
      <c r="L43" s="20">
        <v>1</v>
      </c>
      <c r="M43" s="17">
        <v>268817</v>
      </c>
      <c r="N43" s="134">
        <f t="shared" si="4"/>
        <v>268817</v>
      </c>
      <c r="O43" s="12" t="s">
        <v>21</v>
      </c>
      <c r="P43" s="12">
        <f t="shared" si="2"/>
        <v>32</v>
      </c>
      <c r="U43" s="12"/>
    </row>
    <row r="44" spans="1:21" ht="15" customHeight="1" x14ac:dyDescent="0.2">
      <c r="A44" s="12" t="s">
        <v>18</v>
      </c>
      <c r="B44" s="36">
        <v>45974</v>
      </c>
      <c r="C44" s="12">
        <f t="shared" si="3"/>
        <v>61</v>
      </c>
      <c r="D44" s="12">
        <v>1</v>
      </c>
      <c r="F44" s="17">
        <f>M44-M45</f>
        <v>18096774</v>
      </c>
      <c r="G44" s="12" t="s">
        <v>66</v>
      </c>
      <c r="H44" s="12" t="s">
        <v>2317</v>
      </c>
      <c r="I44" s="12">
        <v>131</v>
      </c>
      <c r="J44" s="12">
        <v>5113</v>
      </c>
      <c r="K44" s="20" t="s">
        <v>20</v>
      </c>
      <c r="L44" s="20">
        <v>1</v>
      </c>
      <c r="M44" s="17">
        <v>18279570</v>
      </c>
      <c r="N44" s="134">
        <f t="shared" si="4"/>
        <v>18279570</v>
      </c>
      <c r="O44" s="12" t="s">
        <v>21</v>
      </c>
      <c r="P44" s="12">
        <f t="shared" si="2"/>
        <v>33</v>
      </c>
      <c r="U44" s="12"/>
    </row>
    <row r="45" spans="1:21" ht="15" customHeight="1" x14ac:dyDescent="0.2">
      <c r="A45" s="12" t="s">
        <v>18</v>
      </c>
      <c r="B45" s="36">
        <v>45974</v>
      </c>
      <c r="C45" s="12">
        <f t="shared" si="3"/>
        <v>61</v>
      </c>
      <c r="D45" s="12">
        <v>0</v>
      </c>
      <c r="G45" s="12" t="s">
        <v>66</v>
      </c>
      <c r="H45" s="12" t="s">
        <v>2340</v>
      </c>
      <c r="I45" s="12">
        <v>333821</v>
      </c>
      <c r="J45" s="12">
        <v>131</v>
      </c>
      <c r="K45" s="20" t="s">
        <v>20</v>
      </c>
      <c r="L45" s="20">
        <v>1</v>
      </c>
      <c r="M45" s="17">
        <v>182796</v>
      </c>
      <c r="N45" s="134">
        <f t="shared" si="4"/>
        <v>182796</v>
      </c>
      <c r="O45" s="12" t="s">
        <v>21</v>
      </c>
      <c r="P45" s="12">
        <f t="shared" si="2"/>
        <v>33</v>
      </c>
      <c r="U45" s="12"/>
    </row>
    <row r="46" spans="1:21" ht="15" customHeight="1" x14ac:dyDescent="0.2">
      <c r="A46" s="12" t="s">
        <v>18</v>
      </c>
      <c r="B46" s="36">
        <v>45978</v>
      </c>
      <c r="C46" s="12">
        <f t="shared" si="3"/>
        <v>62</v>
      </c>
      <c r="D46" s="12">
        <v>1</v>
      </c>
      <c r="F46" s="17">
        <f>M46-M47</f>
        <v>18096774</v>
      </c>
      <c r="G46" s="136" t="s">
        <v>43</v>
      </c>
      <c r="H46" s="12" t="s">
        <v>2318</v>
      </c>
      <c r="I46" s="12">
        <v>131</v>
      </c>
      <c r="J46" s="12">
        <v>5113</v>
      </c>
      <c r="K46" s="20" t="s">
        <v>20</v>
      </c>
      <c r="L46" s="20">
        <v>1</v>
      </c>
      <c r="M46" s="17">
        <v>18279570</v>
      </c>
      <c r="N46" s="134">
        <f t="shared" si="4"/>
        <v>18279570</v>
      </c>
      <c r="O46" s="12" t="s">
        <v>21</v>
      </c>
      <c r="P46" s="12">
        <f t="shared" si="2"/>
        <v>34</v>
      </c>
      <c r="U46" s="12"/>
    </row>
    <row r="47" spans="1:21" ht="15" customHeight="1" x14ac:dyDescent="0.2">
      <c r="A47" s="12" t="s">
        <v>18</v>
      </c>
      <c r="B47" s="36">
        <v>45978</v>
      </c>
      <c r="C47" s="12">
        <f t="shared" si="3"/>
        <v>62</v>
      </c>
      <c r="D47" s="12">
        <v>0</v>
      </c>
      <c r="G47" s="136" t="s">
        <v>43</v>
      </c>
      <c r="H47" s="12" t="s">
        <v>2341</v>
      </c>
      <c r="I47" s="12">
        <v>333821</v>
      </c>
      <c r="J47" s="12">
        <v>131</v>
      </c>
      <c r="K47" s="20" t="s">
        <v>20</v>
      </c>
      <c r="L47" s="20">
        <v>1</v>
      </c>
      <c r="M47" s="17">
        <v>182796</v>
      </c>
      <c r="N47" s="134">
        <f t="shared" si="4"/>
        <v>182796</v>
      </c>
      <c r="O47" s="12" t="s">
        <v>21</v>
      </c>
      <c r="P47" s="12">
        <f t="shared" si="2"/>
        <v>34</v>
      </c>
      <c r="U47" s="12"/>
    </row>
    <row r="48" spans="1:21" ht="15" customHeight="1" x14ac:dyDescent="0.2">
      <c r="A48" s="12" t="s">
        <v>18</v>
      </c>
      <c r="B48" s="36">
        <v>45982</v>
      </c>
      <c r="C48" s="12">
        <f t="shared" si="3"/>
        <v>63</v>
      </c>
      <c r="D48" s="12">
        <v>1</v>
      </c>
      <c r="F48" s="17">
        <f>M48-M49</f>
        <v>22580645</v>
      </c>
      <c r="G48" s="12" t="s">
        <v>29</v>
      </c>
      <c r="H48" s="12" t="s">
        <v>2319</v>
      </c>
      <c r="I48" s="12">
        <v>131</v>
      </c>
      <c r="J48" s="12">
        <v>5113</v>
      </c>
      <c r="K48" s="20" t="s">
        <v>20</v>
      </c>
      <c r="L48" s="20">
        <v>1</v>
      </c>
      <c r="M48" s="17">
        <v>22580645</v>
      </c>
      <c r="N48" s="134">
        <f t="shared" si="4"/>
        <v>22580645</v>
      </c>
      <c r="O48" s="12" t="s">
        <v>21</v>
      </c>
      <c r="P48" s="12">
        <f t="shared" si="2"/>
        <v>35</v>
      </c>
      <c r="U48" s="12"/>
    </row>
    <row r="49" spans="1:21" ht="15" customHeight="1" x14ac:dyDescent="0.2">
      <c r="A49" s="12" t="s">
        <v>18</v>
      </c>
      <c r="B49" s="36">
        <v>45982</v>
      </c>
      <c r="C49" s="12">
        <f t="shared" si="3"/>
        <v>63</v>
      </c>
      <c r="D49" s="12">
        <v>0</v>
      </c>
      <c r="G49" s="12" t="s">
        <v>29</v>
      </c>
      <c r="H49" s="12" t="s">
        <v>2342</v>
      </c>
      <c r="I49" s="12">
        <v>333821</v>
      </c>
      <c r="J49" s="12">
        <v>131</v>
      </c>
      <c r="K49" s="20" t="s">
        <v>20</v>
      </c>
      <c r="L49" s="20">
        <v>1</v>
      </c>
      <c r="M49" s="17">
        <v>0</v>
      </c>
      <c r="N49" s="134">
        <f t="shared" si="4"/>
        <v>0</v>
      </c>
      <c r="O49" s="12" t="s">
        <v>21</v>
      </c>
      <c r="P49" s="12">
        <f t="shared" si="2"/>
        <v>35</v>
      </c>
      <c r="U49" s="12"/>
    </row>
    <row r="50" spans="1:21" ht="15" customHeight="1" x14ac:dyDescent="0.2">
      <c r="A50" s="12" t="s">
        <v>18</v>
      </c>
      <c r="B50" s="36">
        <v>45992</v>
      </c>
      <c r="C50" s="12">
        <f t="shared" si="3"/>
        <v>64</v>
      </c>
      <c r="D50" s="12">
        <v>1</v>
      </c>
      <c r="F50" s="17">
        <f>M50-M51</f>
        <v>29806452</v>
      </c>
      <c r="G50" s="12" t="s">
        <v>58</v>
      </c>
      <c r="H50" s="12" t="s">
        <v>2320</v>
      </c>
      <c r="I50" s="12">
        <v>131</v>
      </c>
      <c r="J50" s="12">
        <v>5113</v>
      </c>
      <c r="K50" s="20" t="s">
        <v>20</v>
      </c>
      <c r="L50" s="20">
        <v>1</v>
      </c>
      <c r="M50" s="17">
        <v>30107527</v>
      </c>
      <c r="N50" s="134">
        <f t="shared" si="4"/>
        <v>30107527</v>
      </c>
      <c r="O50" s="12" t="s">
        <v>21</v>
      </c>
      <c r="P50" s="12">
        <f t="shared" si="2"/>
        <v>36</v>
      </c>
      <c r="U50" s="12"/>
    </row>
    <row r="51" spans="1:21" ht="15" customHeight="1" x14ac:dyDescent="0.2">
      <c r="A51" s="12" t="s">
        <v>18</v>
      </c>
      <c r="B51" s="36">
        <v>45992</v>
      </c>
      <c r="C51" s="12">
        <f t="shared" si="3"/>
        <v>64</v>
      </c>
      <c r="D51" s="12">
        <v>0</v>
      </c>
      <c r="G51" s="12" t="s">
        <v>58</v>
      </c>
      <c r="H51" s="12" t="s">
        <v>2343</v>
      </c>
      <c r="I51" s="12">
        <v>333821</v>
      </c>
      <c r="J51" s="12">
        <v>131</v>
      </c>
      <c r="K51" s="20" t="s">
        <v>20</v>
      </c>
      <c r="L51" s="20">
        <v>1</v>
      </c>
      <c r="M51" s="17">
        <v>301075</v>
      </c>
      <c r="N51" s="134">
        <f t="shared" si="4"/>
        <v>301075</v>
      </c>
      <c r="O51" s="12" t="s">
        <v>21</v>
      </c>
      <c r="P51" s="12">
        <f t="shared" si="2"/>
        <v>36</v>
      </c>
    </row>
    <row r="52" spans="1:21" ht="15" customHeight="1" x14ac:dyDescent="0.2">
      <c r="A52" s="12" t="s">
        <v>18</v>
      </c>
      <c r="B52" s="36">
        <v>45994</v>
      </c>
      <c r="C52" s="12">
        <f t="shared" si="3"/>
        <v>65</v>
      </c>
      <c r="D52" s="12">
        <v>1</v>
      </c>
      <c r="F52" s="17">
        <f>M52-M53</f>
        <v>28741935</v>
      </c>
      <c r="G52" s="12" t="s">
        <v>50</v>
      </c>
      <c r="H52" s="12" t="s">
        <v>2321</v>
      </c>
      <c r="I52" s="12">
        <v>131</v>
      </c>
      <c r="J52" s="12">
        <v>5113</v>
      </c>
      <c r="K52" s="20" t="s">
        <v>20</v>
      </c>
      <c r="L52" s="20">
        <v>1</v>
      </c>
      <c r="M52" s="17">
        <v>29032258</v>
      </c>
      <c r="N52" s="134">
        <f t="shared" si="4"/>
        <v>29032258</v>
      </c>
      <c r="O52" s="12" t="s">
        <v>21</v>
      </c>
      <c r="P52" s="12">
        <f t="shared" si="2"/>
        <v>37</v>
      </c>
    </row>
    <row r="53" spans="1:21" ht="15" customHeight="1" x14ac:dyDescent="0.2">
      <c r="A53" s="12" t="s">
        <v>18</v>
      </c>
      <c r="B53" s="36">
        <v>45994</v>
      </c>
      <c r="C53" s="12">
        <f t="shared" si="3"/>
        <v>65</v>
      </c>
      <c r="D53" s="12">
        <v>0</v>
      </c>
      <c r="G53" s="12" t="s">
        <v>50</v>
      </c>
      <c r="H53" s="12" t="s">
        <v>2344</v>
      </c>
      <c r="I53" s="12">
        <v>333821</v>
      </c>
      <c r="J53" s="12">
        <v>131</v>
      </c>
      <c r="K53" s="20" t="s">
        <v>20</v>
      </c>
      <c r="L53" s="20">
        <v>1</v>
      </c>
      <c r="M53" s="17">
        <v>290323</v>
      </c>
      <c r="N53" s="134">
        <f t="shared" si="4"/>
        <v>290323</v>
      </c>
      <c r="O53" s="12" t="s">
        <v>21</v>
      </c>
      <c r="P53" s="12">
        <f t="shared" si="2"/>
        <v>37</v>
      </c>
    </row>
    <row r="54" spans="1:21" ht="15" customHeight="1" x14ac:dyDescent="0.2">
      <c r="A54" s="12" t="s">
        <v>18</v>
      </c>
      <c r="B54" s="36">
        <v>45999</v>
      </c>
      <c r="C54" s="12">
        <f t="shared" si="3"/>
        <v>66</v>
      </c>
      <c r="D54" s="12">
        <v>1</v>
      </c>
      <c r="F54" s="17">
        <f>M54-M55</f>
        <v>18096774</v>
      </c>
      <c r="G54" s="12" t="s">
        <v>144</v>
      </c>
      <c r="H54" s="12" t="s">
        <v>2322</v>
      </c>
      <c r="I54" s="12">
        <v>131</v>
      </c>
      <c r="J54" s="12">
        <v>5113</v>
      </c>
      <c r="K54" s="20" t="s">
        <v>20</v>
      </c>
      <c r="L54" s="20">
        <v>1</v>
      </c>
      <c r="M54" s="17">
        <v>18279570</v>
      </c>
      <c r="N54" s="134">
        <f t="shared" si="4"/>
        <v>18279570</v>
      </c>
      <c r="O54" s="12" t="s">
        <v>21</v>
      </c>
      <c r="P54" s="12">
        <f t="shared" si="2"/>
        <v>38</v>
      </c>
    </row>
    <row r="55" spans="1:21" ht="15" customHeight="1" x14ac:dyDescent="0.2">
      <c r="A55" s="12" t="s">
        <v>18</v>
      </c>
      <c r="B55" s="36">
        <v>45999</v>
      </c>
      <c r="C55" s="12">
        <f t="shared" si="3"/>
        <v>66</v>
      </c>
      <c r="D55" s="12">
        <v>0</v>
      </c>
      <c r="G55" s="12" t="s">
        <v>144</v>
      </c>
      <c r="H55" s="12" t="s">
        <v>2345</v>
      </c>
      <c r="I55" s="12">
        <v>333821</v>
      </c>
      <c r="J55" s="12">
        <v>131</v>
      </c>
      <c r="K55" s="20" t="s">
        <v>20</v>
      </c>
      <c r="L55" s="20">
        <v>1</v>
      </c>
      <c r="M55" s="17">
        <v>182796</v>
      </c>
      <c r="N55" s="134">
        <f t="shared" si="4"/>
        <v>182796</v>
      </c>
      <c r="O55" s="12" t="s">
        <v>21</v>
      </c>
      <c r="P55" s="12">
        <f t="shared" si="2"/>
        <v>38</v>
      </c>
    </row>
    <row r="56" spans="1:21" ht="15" customHeight="1" x14ac:dyDescent="0.2">
      <c r="A56" s="12" t="s">
        <v>18</v>
      </c>
      <c r="B56" s="36">
        <v>46010</v>
      </c>
      <c r="C56" s="12">
        <f t="shared" si="3"/>
        <v>67</v>
      </c>
      <c r="D56" s="12">
        <v>1</v>
      </c>
      <c r="F56" s="17">
        <f>M56-M57</f>
        <v>58548387</v>
      </c>
      <c r="G56" s="12" t="s">
        <v>47</v>
      </c>
      <c r="H56" s="12" t="s">
        <v>2323</v>
      </c>
      <c r="I56" s="12">
        <v>131</v>
      </c>
      <c r="J56" s="12">
        <v>5113</v>
      </c>
      <c r="K56" s="20" t="s">
        <v>20</v>
      </c>
      <c r="L56" s="20">
        <v>1</v>
      </c>
      <c r="M56" s="17">
        <v>59139785</v>
      </c>
      <c r="N56" s="134">
        <f t="shared" si="4"/>
        <v>59139785</v>
      </c>
      <c r="O56" s="12" t="s">
        <v>21</v>
      </c>
      <c r="P56" s="12">
        <f t="shared" si="2"/>
        <v>39</v>
      </c>
    </row>
    <row r="57" spans="1:21" ht="15" customHeight="1" x14ac:dyDescent="0.2">
      <c r="A57" s="12" t="s">
        <v>18</v>
      </c>
      <c r="B57" s="36">
        <v>46010</v>
      </c>
      <c r="C57" s="12">
        <f t="shared" si="3"/>
        <v>67</v>
      </c>
      <c r="D57" s="12">
        <v>0</v>
      </c>
      <c r="G57" s="12" t="s">
        <v>47</v>
      </c>
      <c r="H57" s="12" t="s">
        <v>2346</v>
      </c>
      <c r="I57" s="12">
        <v>333821</v>
      </c>
      <c r="J57" s="12">
        <v>131</v>
      </c>
      <c r="K57" s="20" t="s">
        <v>20</v>
      </c>
      <c r="L57" s="20">
        <v>1</v>
      </c>
      <c r="M57" s="17">
        <v>591398</v>
      </c>
      <c r="N57" s="134">
        <f t="shared" si="4"/>
        <v>591398</v>
      </c>
      <c r="O57" s="12" t="s">
        <v>21</v>
      </c>
      <c r="P57" s="12">
        <f t="shared" si="2"/>
        <v>39</v>
      </c>
    </row>
    <row r="58" spans="1:21" ht="15" customHeight="1" x14ac:dyDescent="0.2">
      <c r="A58" s="12" t="s">
        <v>18</v>
      </c>
      <c r="B58" s="36">
        <v>46013</v>
      </c>
      <c r="C58" s="12">
        <f t="shared" si="3"/>
        <v>68</v>
      </c>
      <c r="D58" s="12">
        <v>1</v>
      </c>
      <c r="F58" s="17">
        <f>M58-M59</f>
        <v>53225806</v>
      </c>
      <c r="G58" s="12" t="s">
        <v>90</v>
      </c>
      <c r="H58" s="12" t="s">
        <v>2324</v>
      </c>
      <c r="I58" s="12">
        <v>131</v>
      </c>
      <c r="J58" s="12">
        <v>5113</v>
      </c>
      <c r="K58" s="20" t="s">
        <v>20</v>
      </c>
      <c r="L58" s="20">
        <v>1</v>
      </c>
      <c r="M58" s="17">
        <v>53763441</v>
      </c>
      <c r="N58" s="134">
        <f t="shared" si="4"/>
        <v>53763441</v>
      </c>
      <c r="O58" s="12" t="s">
        <v>21</v>
      </c>
      <c r="P58" s="12">
        <f t="shared" si="2"/>
        <v>40</v>
      </c>
    </row>
    <row r="59" spans="1:21" ht="15" customHeight="1" x14ac:dyDescent="0.2">
      <c r="A59" s="12" t="s">
        <v>18</v>
      </c>
      <c r="B59" s="36">
        <v>46013</v>
      </c>
      <c r="C59" s="12">
        <f t="shared" si="3"/>
        <v>68</v>
      </c>
      <c r="D59" s="12">
        <v>0</v>
      </c>
      <c r="G59" s="12" t="s">
        <v>90</v>
      </c>
      <c r="H59" s="12" t="s">
        <v>2347</v>
      </c>
      <c r="I59" s="12">
        <v>333821</v>
      </c>
      <c r="J59" s="12">
        <v>131</v>
      </c>
      <c r="K59" s="20" t="s">
        <v>20</v>
      </c>
      <c r="L59" s="20">
        <v>1</v>
      </c>
      <c r="M59" s="17">
        <v>537635</v>
      </c>
      <c r="N59" s="134">
        <f t="shared" si="4"/>
        <v>537635</v>
      </c>
      <c r="O59" s="12" t="s">
        <v>21</v>
      </c>
      <c r="P59" s="12">
        <f t="shared" si="2"/>
        <v>40</v>
      </c>
    </row>
    <row r="60" spans="1:21" ht="15" customHeight="1" x14ac:dyDescent="0.2">
      <c r="A60" s="12" t="s">
        <v>18</v>
      </c>
      <c r="B60" s="36">
        <v>46016</v>
      </c>
      <c r="C60" s="12">
        <f t="shared" si="3"/>
        <v>69</v>
      </c>
      <c r="D60" s="12">
        <v>1</v>
      </c>
      <c r="F60" s="17">
        <f>M60-M61</f>
        <v>26612903</v>
      </c>
      <c r="G60" s="12" t="s">
        <v>2059</v>
      </c>
      <c r="H60" s="12" t="s">
        <v>2325</v>
      </c>
      <c r="I60" s="12">
        <v>131</v>
      </c>
      <c r="J60" s="12">
        <v>5113</v>
      </c>
      <c r="K60" s="20" t="s">
        <v>20</v>
      </c>
      <c r="L60" s="20">
        <v>1</v>
      </c>
      <c r="M60" s="17">
        <v>26881720</v>
      </c>
      <c r="N60" s="134">
        <f t="shared" si="4"/>
        <v>26881720</v>
      </c>
      <c r="O60" s="12" t="s">
        <v>21</v>
      </c>
      <c r="P60" s="12">
        <f t="shared" si="2"/>
        <v>41</v>
      </c>
    </row>
    <row r="61" spans="1:21" ht="15" customHeight="1" x14ac:dyDescent="0.2">
      <c r="A61" s="12" t="s">
        <v>18</v>
      </c>
      <c r="B61" s="36">
        <v>46016</v>
      </c>
      <c r="C61" s="12">
        <f t="shared" si="3"/>
        <v>69</v>
      </c>
      <c r="D61" s="12">
        <v>0</v>
      </c>
      <c r="G61" s="12" t="s">
        <v>2059</v>
      </c>
      <c r="H61" s="12" t="s">
        <v>2348</v>
      </c>
      <c r="I61" s="12">
        <v>333821</v>
      </c>
      <c r="J61" s="12">
        <v>131</v>
      </c>
      <c r="K61" s="20" t="s">
        <v>20</v>
      </c>
      <c r="L61" s="20">
        <v>1</v>
      </c>
      <c r="M61" s="17">
        <v>268817</v>
      </c>
      <c r="N61" s="134">
        <f t="shared" si="4"/>
        <v>268817</v>
      </c>
      <c r="O61" s="12" t="s">
        <v>21</v>
      </c>
      <c r="P61" s="12">
        <f t="shared" si="2"/>
        <v>41</v>
      </c>
    </row>
    <row r="62" spans="1:21" ht="15" customHeight="1" x14ac:dyDescent="0.2">
      <c r="A62" s="12" t="s">
        <v>18</v>
      </c>
      <c r="B62" s="36">
        <v>46016</v>
      </c>
      <c r="C62" s="12">
        <f t="shared" si="3"/>
        <v>70</v>
      </c>
      <c r="D62" s="12">
        <v>1</v>
      </c>
      <c r="F62" s="17">
        <f>M62-M63</f>
        <v>26612903</v>
      </c>
      <c r="G62" s="12" t="s">
        <v>1857</v>
      </c>
      <c r="H62" s="12" t="s">
        <v>2326</v>
      </c>
      <c r="I62" s="12">
        <v>131</v>
      </c>
      <c r="J62" s="12">
        <v>5113</v>
      </c>
      <c r="K62" s="20" t="s">
        <v>20</v>
      </c>
      <c r="L62" s="20">
        <v>1</v>
      </c>
      <c r="M62" s="17">
        <v>26881720</v>
      </c>
      <c r="N62" s="134">
        <f t="shared" si="4"/>
        <v>26881720</v>
      </c>
      <c r="O62" s="12" t="s">
        <v>21</v>
      </c>
      <c r="P62" s="12">
        <f t="shared" si="2"/>
        <v>42</v>
      </c>
    </row>
    <row r="63" spans="1:21" ht="15" customHeight="1" x14ac:dyDescent="0.2">
      <c r="A63" s="12" t="s">
        <v>18</v>
      </c>
      <c r="B63" s="36">
        <v>46016</v>
      </c>
      <c r="C63" s="12">
        <f t="shared" si="3"/>
        <v>70</v>
      </c>
      <c r="D63" s="12">
        <v>0</v>
      </c>
      <c r="G63" s="12" t="s">
        <v>1857</v>
      </c>
      <c r="H63" s="12" t="s">
        <v>2349</v>
      </c>
      <c r="I63" s="12">
        <v>333821</v>
      </c>
      <c r="J63" s="12">
        <v>131</v>
      </c>
      <c r="K63" s="20" t="s">
        <v>20</v>
      </c>
      <c r="L63" s="20">
        <v>1</v>
      </c>
      <c r="M63" s="17">
        <v>268817</v>
      </c>
      <c r="N63" s="134">
        <f t="shared" si="4"/>
        <v>268817</v>
      </c>
      <c r="O63" s="12" t="s">
        <v>21</v>
      </c>
      <c r="P63" s="12">
        <f t="shared" si="2"/>
        <v>42</v>
      </c>
    </row>
    <row r="64" spans="1:21" ht="15" customHeight="1" x14ac:dyDescent="0.2">
      <c r="A64" s="12" t="s">
        <v>18</v>
      </c>
      <c r="B64" s="36">
        <v>46017</v>
      </c>
      <c r="C64" s="12">
        <f t="shared" si="3"/>
        <v>71</v>
      </c>
      <c r="D64" s="12">
        <v>1</v>
      </c>
      <c r="F64" s="17">
        <f>M64-M65</f>
        <v>18096774</v>
      </c>
      <c r="G64" s="12" t="s">
        <v>530</v>
      </c>
      <c r="H64" s="12" t="s">
        <v>2327</v>
      </c>
      <c r="I64" s="12">
        <v>131</v>
      </c>
      <c r="J64" s="12">
        <v>5113</v>
      </c>
      <c r="K64" s="20" t="s">
        <v>20</v>
      </c>
      <c r="L64" s="20">
        <v>1</v>
      </c>
      <c r="M64" s="17">
        <v>18279570</v>
      </c>
      <c r="N64" s="134">
        <f t="shared" si="4"/>
        <v>18279570</v>
      </c>
      <c r="O64" s="12" t="s">
        <v>21</v>
      </c>
      <c r="P64" s="12">
        <f t="shared" si="2"/>
        <v>43</v>
      </c>
    </row>
    <row r="65" spans="1:16" ht="15" customHeight="1" x14ac:dyDescent="0.2">
      <c r="A65" s="12" t="s">
        <v>18</v>
      </c>
      <c r="B65" s="36">
        <v>46017</v>
      </c>
      <c r="C65" s="12">
        <f t="shared" si="3"/>
        <v>71</v>
      </c>
      <c r="D65" s="12">
        <v>0</v>
      </c>
      <c r="G65" s="12" t="s">
        <v>530</v>
      </c>
      <c r="H65" s="12" t="s">
        <v>2350</v>
      </c>
      <c r="I65" s="12">
        <v>333821</v>
      </c>
      <c r="J65" s="12">
        <v>131</v>
      </c>
      <c r="K65" s="20" t="s">
        <v>20</v>
      </c>
      <c r="L65" s="20">
        <v>1</v>
      </c>
      <c r="M65" s="17">
        <v>182796</v>
      </c>
      <c r="N65" s="134">
        <f t="shared" si="4"/>
        <v>182796</v>
      </c>
      <c r="O65" s="12" t="s">
        <v>21</v>
      </c>
      <c r="P65" s="12">
        <f t="shared" si="2"/>
        <v>43</v>
      </c>
    </row>
    <row r="66" spans="1:16" ht="15" customHeight="1" x14ac:dyDescent="0.2">
      <c r="A66" s="12" t="s">
        <v>18</v>
      </c>
      <c r="B66" s="36">
        <v>46017</v>
      </c>
      <c r="C66" s="12">
        <f t="shared" si="3"/>
        <v>72</v>
      </c>
      <c r="D66" s="12">
        <v>1</v>
      </c>
      <c r="F66" s="17">
        <f>M66-M67</f>
        <v>18096774</v>
      </c>
      <c r="G66" s="12" t="s">
        <v>2380</v>
      </c>
      <c r="H66" s="12" t="s">
        <v>2328</v>
      </c>
      <c r="I66" s="12">
        <v>131</v>
      </c>
      <c r="J66" s="12">
        <v>5113</v>
      </c>
      <c r="K66" s="20" t="s">
        <v>20</v>
      </c>
      <c r="L66" s="20">
        <v>1</v>
      </c>
      <c r="M66" s="17">
        <v>18279570</v>
      </c>
      <c r="N66" s="134">
        <f t="shared" si="4"/>
        <v>18279570</v>
      </c>
      <c r="O66" s="12" t="s">
        <v>21</v>
      </c>
      <c r="P66" s="12">
        <f t="shared" si="2"/>
        <v>44</v>
      </c>
    </row>
    <row r="67" spans="1:16" ht="15" customHeight="1" x14ac:dyDescent="0.2">
      <c r="A67" s="12" t="s">
        <v>18</v>
      </c>
      <c r="B67" s="36">
        <v>46017</v>
      </c>
      <c r="C67" s="12">
        <f t="shared" si="3"/>
        <v>72</v>
      </c>
      <c r="D67" s="12">
        <v>0</v>
      </c>
      <c r="G67" s="12" t="s">
        <v>2380</v>
      </c>
      <c r="H67" s="12" t="s">
        <v>2351</v>
      </c>
      <c r="I67" s="12">
        <v>333821</v>
      </c>
      <c r="J67" s="12">
        <v>131</v>
      </c>
      <c r="K67" s="20" t="s">
        <v>20</v>
      </c>
      <c r="L67" s="20">
        <v>1</v>
      </c>
      <c r="M67" s="17">
        <v>182796</v>
      </c>
      <c r="N67" s="134">
        <f t="shared" si="4"/>
        <v>182796</v>
      </c>
      <c r="O67" s="12" t="s">
        <v>21</v>
      </c>
      <c r="P67" s="12">
        <f t="shared" si="2"/>
        <v>44</v>
      </c>
    </row>
    <row r="68" spans="1:16" ht="15" customHeight="1" x14ac:dyDescent="0.2">
      <c r="A68" s="12" t="s">
        <v>18</v>
      </c>
      <c r="B68" s="36">
        <v>46017</v>
      </c>
      <c r="C68" s="12">
        <f t="shared" ref="C68:C132" si="5">C67+D68</f>
        <v>73</v>
      </c>
      <c r="D68" s="12">
        <v>1</v>
      </c>
      <c r="F68" s="17">
        <f>M68-M69</f>
        <v>33000000</v>
      </c>
      <c r="G68" s="12" t="s">
        <v>411</v>
      </c>
      <c r="H68" s="12" t="s">
        <v>2329</v>
      </c>
      <c r="I68" s="12">
        <v>131</v>
      </c>
      <c r="J68" s="12">
        <v>5113</v>
      </c>
      <c r="K68" s="20" t="s">
        <v>20</v>
      </c>
      <c r="L68" s="20">
        <v>1</v>
      </c>
      <c r="M68" s="17">
        <v>33333333</v>
      </c>
      <c r="N68" s="134">
        <f t="shared" ref="N68:N132" si="6">L68*M68</f>
        <v>33333333</v>
      </c>
      <c r="O68" s="12" t="s">
        <v>21</v>
      </c>
      <c r="P68" s="12">
        <f t="shared" si="2"/>
        <v>45</v>
      </c>
    </row>
    <row r="69" spans="1:16" ht="15" customHeight="1" x14ac:dyDescent="0.2">
      <c r="A69" s="12" t="s">
        <v>18</v>
      </c>
      <c r="B69" s="36">
        <v>46017</v>
      </c>
      <c r="C69" s="12">
        <f t="shared" si="5"/>
        <v>73</v>
      </c>
      <c r="D69" s="12">
        <v>0</v>
      </c>
      <c r="G69" s="12" t="s">
        <v>411</v>
      </c>
      <c r="H69" s="12" t="s">
        <v>2352</v>
      </c>
      <c r="I69" s="12">
        <v>333821</v>
      </c>
      <c r="J69" s="12">
        <v>131</v>
      </c>
      <c r="K69" s="20" t="s">
        <v>20</v>
      </c>
      <c r="L69" s="20">
        <v>1</v>
      </c>
      <c r="M69" s="17">
        <v>333333</v>
      </c>
      <c r="N69" s="134">
        <f t="shared" si="6"/>
        <v>333333</v>
      </c>
      <c r="O69" s="12" t="s">
        <v>21</v>
      </c>
      <c r="P69" s="12">
        <f t="shared" si="2"/>
        <v>45</v>
      </c>
    </row>
    <row r="70" spans="1:16" ht="15" customHeight="1" x14ac:dyDescent="0.2">
      <c r="A70" s="12" t="s">
        <v>18</v>
      </c>
      <c r="B70" s="36">
        <v>46018</v>
      </c>
      <c r="C70" s="12">
        <f t="shared" si="5"/>
        <v>74</v>
      </c>
      <c r="D70" s="12">
        <v>1</v>
      </c>
      <c r="F70" s="17">
        <f>M70-M71</f>
        <v>26612903</v>
      </c>
      <c r="G70" s="12" t="s">
        <v>29</v>
      </c>
      <c r="H70" s="12" t="s">
        <v>2330</v>
      </c>
      <c r="I70" s="12">
        <v>131</v>
      </c>
      <c r="J70" s="12">
        <v>5113</v>
      </c>
      <c r="K70" s="20" t="s">
        <v>20</v>
      </c>
      <c r="L70" s="20">
        <v>1</v>
      </c>
      <c r="M70" s="17">
        <v>26881720</v>
      </c>
      <c r="N70" s="134">
        <f t="shared" si="6"/>
        <v>26881720</v>
      </c>
      <c r="O70" s="12" t="s">
        <v>21</v>
      </c>
      <c r="P70" s="12">
        <f t="shared" ref="P70:P134" si="7">P69+D70</f>
        <v>46</v>
      </c>
    </row>
    <row r="71" spans="1:16" ht="15" customHeight="1" x14ac:dyDescent="0.2">
      <c r="A71" s="12" t="s">
        <v>18</v>
      </c>
      <c r="B71" s="36">
        <v>46018</v>
      </c>
      <c r="C71" s="12">
        <f t="shared" si="5"/>
        <v>74</v>
      </c>
      <c r="D71" s="12">
        <v>0</v>
      </c>
      <c r="G71" s="12" t="s">
        <v>29</v>
      </c>
      <c r="H71" s="12" t="s">
        <v>2353</v>
      </c>
      <c r="I71" s="12">
        <v>333821</v>
      </c>
      <c r="J71" s="12">
        <v>131</v>
      </c>
      <c r="K71" s="20" t="s">
        <v>20</v>
      </c>
      <c r="L71" s="20">
        <v>1</v>
      </c>
      <c r="M71" s="17">
        <v>268817</v>
      </c>
      <c r="N71" s="134">
        <f t="shared" si="6"/>
        <v>268817</v>
      </c>
      <c r="O71" s="12" t="s">
        <v>21</v>
      </c>
      <c r="P71" s="12">
        <f t="shared" si="7"/>
        <v>46</v>
      </c>
    </row>
    <row r="72" spans="1:16" ht="15" customHeight="1" x14ac:dyDescent="0.2">
      <c r="A72" s="12" t="s">
        <v>18</v>
      </c>
      <c r="B72" s="36">
        <v>46020</v>
      </c>
      <c r="C72" s="12">
        <f t="shared" si="5"/>
        <v>75</v>
      </c>
      <c r="D72" s="12">
        <v>1</v>
      </c>
      <c r="F72" s="17">
        <f>M72-M73</f>
        <v>18096774</v>
      </c>
      <c r="G72" s="12" t="s">
        <v>2381</v>
      </c>
      <c r="H72" s="12" t="s">
        <v>2331</v>
      </c>
      <c r="I72" s="12">
        <v>131</v>
      </c>
      <c r="J72" s="12">
        <v>5113</v>
      </c>
      <c r="K72" s="20" t="s">
        <v>20</v>
      </c>
      <c r="L72" s="20">
        <v>1</v>
      </c>
      <c r="M72" s="17">
        <v>18279570</v>
      </c>
      <c r="N72" s="134">
        <f t="shared" si="6"/>
        <v>18279570</v>
      </c>
      <c r="O72" s="12" t="s">
        <v>21</v>
      </c>
      <c r="P72" s="12">
        <f t="shared" si="7"/>
        <v>47</v>
      </c>
    </row>
    <row r="73" spans="1:16" ht="15" customHeight="1" x14ac:dyDescent="0.2">
      <c r="A73" s="12" t="s">
        <v>18</v>
      </c>
      <c r="B73" s="36">
        <v>46020</v>
      </c>
      <c r="C73" s="12">
        <f t="shared" si="5"/>
        <v>75</v>
      </c>
      <c r="D73" s="12">
        <v>0</v>
      </c>
      <c r="G73" s="12" t="s">
        <v>2381</v>
      </c>
      <c r="H73" s="12" t="s">
        <v>2354</v>
      </c>
      <c r="I73" s="12">
        <v>333821</v>
      </c>
      <c r="J73" s="12">
        <v>131</v>
      </c>
      <c r="K73" s="20" t="s">
        <v>20</v>
      </c>
      <c r="L73" s="20">
        <v>1</v>
      </c>
      <c r="M73" s="17">
        <v>182796</v>
      </c>
      <c r="N73" s="134">
        <f t="shared" si="6"/>
        <v>182796</v>
      </c>
      <c r="O73" s="12" t="s">
        <v>21</v>
      </c>
      <c r="P73" s="12">
        <f t="shared" si="7"/>
        <v>47</v>
      </c>
    </row>
    <row r="74" spans="1:16" ht="15" customHeight="1" x14ac:dyDescent="0.2">
      <c r="A74" s="12" t="s">
        <v>18</v>
      </c>
      <c r="B74" s="36">
        <v>45961</v>
      </c>
      <c r="C74" s="12">
        <f t="shared" si="5"/>
        <v>76</v>
      </c>
      <c r="D74" s="12">
        <v>1</v>
      </c>
      <c r="G74" s="12" t="s">
        <v>93</v>
      </c>
      <c r="H74" s="12" t="s">
        <v>371</v>
      </c>
      <c r="I74" s="12">
        <v>64271</v>
      </c>
      <c r="J74" s="12">
        <v>3383</v>
      </c>
      <c r="K74" s="12" t="s">
        <v>20</v>
      </c>
      <c r="L74" s="12">
        <v>1</v>
      </c>
      <c r="M74" s="17">
        <v>690300</v>
      </c>
      <c r="N74" s="134">
        <f t="shared" si="6"/>
        <v>690300</v>
      </c>
      <c r="O74" s="12" t="s">
        <v>21</v>
      </c>
      <c r="P74" s="12">
        <f t="shared" si="7"/>
        <v>48</v>
      </c>
    </row>
    <row r="75" spans="1:16" ht="15" customHeight="1" x14ac:dyDescent="0.2">
      <c r="A75" s="12" t="s">
        <v>18</v>
      </c>
      <c r="B75" s="36">
        <v>45991</v>
      </c>
      <c r="C75" s="12">
        <f t="shared" si="5"/>
        <v>77</v>
      </c>
      <c r="D75" s="12">
        <v>1</v>
      </c>
      <c r="G75" s="12" t="s">
        <v>93</v>
      </c>
      <c r="H75" s="12" t="s">
        <v>372</v>
      </c>
      <c r="I75" s="12">
        <v>64271</v>
      </c>
      <c r="J75" s="12">
        <v>3383</v>
      </c>
      <c r="K75" s="12" t="s">
        <v>20</v>
      </c>
      <c r="L75" s="12">
        <v>1</v>
      </c>
      <c r="M75" s="17">
        <v>690300</v>
      </c>
      <c r="N75" s="134">
        <f t="shared" si="6"/>
        <v>690300</v>
      </c>
      <c r="O75" s="12" t="s">
        <v>21</v>
      </c>
      <c r="P75" s="12">
        <f t="shared" si="7"/>
        <v>49</v>
      </c>
    </row>
    <row r="76" spans="1:16" ht="15" customHeight="1" x14ac:dyDescent="0.2">
      <c r="A76" s="12" t="s">
        <v>18</v>
      </c>
      <c r="B76" s="36">
        <v>46022</v>
      </c>
      <c r="C76" s="12">
        <f t="shared" si="5"/>
        <v>78</v>
      </c>
      <c r="D76" s="12">
        <v>1</v>
      </c>
      <c r="G76" s="12" t="s">
        <v>93</v>
      </c>
      <c r="H76" s="12" t="s">
        <v>373</v>
      </c>
      <c r="I76" s="12">
        <v>64271</v>
      </c>
      <c r="J76" s="12">
        <v>3383</v>
      </c>
      <c r="K76" s="12" t="s">
        <v>20</v>
      </c>
      <c r="L76" s="12">
        <v>1</v>
      </c>
      <c r="M76" s="17">
        <v>690300</v>
      </c>
      <c r="N76" s="134">
        <f t="shared" si="6"/>
        <v>690300</v>
      </c>
      <c r="O76" s="12" t="s">
        <v>21</v>
      </c>
      <c r="P76" s="12">
        <f t="shared" si="7"/>
        <v>50</v>
      </c>
    </row>
    <row r="77" spans="1:16" ht="15" customHeight="1" x14ac:dyDescent="0.2">
      <c r="A77" s="12" t="s">
        <v>18</v>
      </c>
      <c r="B77" s="36" t="s">
        <v>2504</v>
      </c>
      <c r="C77" s="12">
        <f t="shared" si="5"/>
        <v>79</v>
      </c>
      <c r="D77" s="12">
        <v>1</v>
      </c>
      <c r="F77" s="17">
        <f>M77-M78</f>
        <v>21290322</v>
      </c>
      <c r="G77" s="12" t="s">
        <v>89</v>
      </c>
      <c r="H77" s="12" t="s">
        <v>2672</v>
      </c>
      <c r="I77" s="12">
        <v>131</v>
      </c>
      <c r="J77" s="12">
        <v>5113</v>
      </c>
      <c r="K77" s="12" t="s">
        <v>20</v>
      </c>
      <c r="L77" s="12">
        <v>1</v>
      </c>
      <c r="M77" s="17">
        <v>21505376</v>
      </c>
      <c r="N77" s="134">
        <f t="shared" si="6"/>
        <v>21505376</v>
      </c>
      <c r="O77" s="12" t="s">
        <v>21</v>
      </c>
      <c r="P77" s="12">
        <f t="shared" si="7"/>
        <v>51</v>
      </c>
    </row>
    <row r="78" spans="1:16" ht="15" customHeight="1" x14ac:dyDescent="0.2">
      <c r="A78" s="12" t="s">
        <v>18</v>
      </c>
      <c r="B78" s="36" t="s">
        <v>2504</v>
      </c>
      <c r="C78" s="12">
        <f t="shared" si="5"/>
        <v>79</v>
      </c>
      <c r="D78" s="12">
        <v>0</v>
      </c>
      <c r="G78" s="12" t="s">
        <v>89</v>
      </c>
      <c r="H78" s="12" t="s">
        <v>2674</v>
      </c>
      <c r="I78" s="12">
        <v>333821</v>
      </c>
      <c r="J78" s="12">
        <v>131</v>
      </c>
      <c r="K78" s="12" t="s">
        <v>20</v>
      </c>
      <c r="L78" s="12">
        <v>1</v>
      </c>
      <c r="M78" s="17">
        <v>215054</v>
      </c>
      <c r="N78" s="134">
        <f t="shared" si="6"/>
        <v>215054</v>
      </c>
      <c r="O78" s="12" t="s">
        <v>21</v>
      </c>
      <c r="P78" s="12">
        <f t="shared" si="7"/>
        <v>51</v>
      </c>
    </row>
    <row r="79" spans="1:16" ht="15" customHeight="1" x14ac:dyDescent="0.2">
      <c r="A79" s="12" t="s">
        <v>18</v>
      </c>
      <c r="B79" s="36" t="s">
        <v>2513</v>
      </c>
      <c r="C79" s="12">
        <f t="shared" si="5"/>
        <v>80</v>
      </c>
      <c r="D79" s="12">
        <v>1</v>
      </c>
      <c r="F79" s="17">
        <f>M79-M80</f>
        <v>28741935</v>
      </c>
      <c r="G79" s="12" t="s">
        <v>2671</v>
      </c>
      <c r="H79" s="12" t="s">
        <v>2673</v>
      </c>
      <c r="I79" s="12">
        <v>131</v>
      </c>
      <c r="J79" s="12">
        <v>5113</v>
      </c>
      <c r="K79" s="12" t="s">
        <v>20</v>
      </c>
      <c r="L79" s="12">
        <v>1</v>
      </c>
      <c r="M79" s="17">
        <v>29032258</v>
      </c>
      <c r="N79" s="134">
        <f t="shared" si="6"/>
        <v>29032258</v>
      </c>
      <c r="O79" s="12" t="s">
        <v>21</v>
      </c>
      <c r="P79" s="12">
        <f t="shared" si="7"/>
        <v>52</v>
      </c>
    </row>
    <row r="80" spans="1:16" ht="15" customHeight="1" x14ac:dyDescent="0.2">
      <c r="A80" s="12" t="s">
        <v>18</v>
      </c>
      <c r="B80" s="36" t="s">
        <v>2513</v>
      </c>
      <c r="C80" s="12">
        <f t="shared" si="5"/>
        <v>80</v>
      </c>
      <c r="D80" s="12">
        <v>0</v>
      </c>
      <c r="G80" s="12" t="s">
        <v>2671</v>
      </c>
      <c r="H80" s="12" t="s">
        <v>2675</v>
      </c>
      <c r="I80" s="12">
        <v>333821</v>
      </c>
      <c r="J80" s="12">
        <v>131</v>
      </c>
      <c r="K80" s="12" t="s">
        <v>20</v>
      </c>
      <c r="L80" s="12">
        <v>1</v>
      </c>
      <c r="M80" s="17">
        <v>290323</v>
      </c>
      <c r="N80" s="134">
        <f t="shared" si="6"/>
        <v>290323</v>
      </c>
      <c r="O80" s="12" t="s">
        <v>21</v>
      </c>
      <c r="P80" s="12">
        <f t="shared" si="7"/>
        <v>52</v>
      </c>
    </row>
    <row r="81" spans="1:16" ht="15" customHeight="1" x14ac:dyDescent="0.2">
      <c r="A81" s="12" t="s">
        <v>2679</v>
      </c>
      <c r="B81" s="36">
        <v>45924</v>
      </c>
      <c r="C81" s="12">
        <f t="shared" ref="C81:C85" si="8">C80+D81</f>
        <v>81</v>
      </c>
      <c r="D81" s="12">
        <v>1</v>
      </c>
      <c r="G81" s="136" t="s">
        <v>285</v>
      </c>
      <c r="H81" s="12" t="s">
        <v>3264</v>
      </c>
      <c r="I81" s="12">
        <v>112111</v>
      </c>
      <c r="J81" s="12">
        <v>1111</v>
      </c>
      <c r="K81" s="12" t="s">
        <v>20</v>
      </c>
      <c r="L81" s="12">
        <v>1</v>
      </c>
      <c r="M81" s="17">
        <v>47390000</v>
      </c>
      <c r="N81" s="134">
        <f t="shared" si="6"/>
        <v>47390000</v>
      </c>
      <c r="O81" s="12" t="s">
        <v>21</v>
      </c>
      <c r="P81" s="12">
        <f t="shared" si="7"/>
        <v>53</v>
      </c>
    </row>
    <row r="82" spans="1:16" ht="15" customHeight="1" x14ac:dyDescent="0.2">
      <c r="A82" s="12" t="s">
        <v>2679</v>
      </c>
      <c r="B82" s="36">
        <v>45924</v>
      </c>
      <c r="C82" s="12">
        <f t="shared" si="8"/>
        <v>82</v>
      </c>
      <c r="D82" s="12">
        <v>1</v>
      </c>
      <c r="G82" s="136" t="s">
        <v>285</v>
      </c>
      <c r="H82" s="12" t="s">
        <v>3264</v>
      </c>
      <c r="I82" s="12">
        <v>112111</v>
      </c>
      <c r="J82" s="12">
        <v>1111</v>
      </c>
      <c r="K82" s="12" t="s">
        <v>20</v>
      </c>
      <c r="L82" s="12">
        <v>1</v>
      </c>
      <c r="M82" s="17">
        <v>100000</v>
      </c>
      <c r="N82" s="134">
        <f t="shared" si="6"/>
        <v>100000</v>
      </c>
      <c r="O82" s="12" t="s">
        <v>21</v>
      </c>
      <c r="P82" s="12">
        <f t="shared" si="7"/>
        <v>54</v>
      </c>
    </row>
    <row r="83" spans="1:16" ht="15" customHeight="1" x14ac:dyDescent="0.2">
      <c r="A83" s="12" t="s">
        <v>2678</v>
      </c>
      <c r="B83" s="36">
        <v>45924</v>
      </c>
      <c r="C83" s="12">
        <f t="shared" si="8"/>
        <v>83</v>
      </c>
      <c r="D83" s="12">
        <v>1</v>
      </c>
      <c r="G83" s="136" t="s">
        <v>285</v>
      </c>
      <c r="H83" s="12" t="s">
        <v>3017</v>
      </c>
      <c r="I83" s="12">
        <v>1111</v>
      </c>
      <c r="J83" s="12">
        <v>112111</v>
      </c>
      <c r="K83" s="12" t="s">
        <v>20</v>
      </c>
      <c r="L83" s="12">
        <v>1</v>
      </c>
      <c r="M83" s="17">
        <v>47405000</v>
      </c>
      <c r="N83" s="134">
        <f t="shared" si="6"/>
        <v>47405000</v>
      </c>
      <c r="O83" s="12" t="s">
        <v>21</v>
      </c>
      <c r="P83" s="12">
        <f t="shared" si="7"/>
        <v>55</v>
      </c>
    </row>
    <row r="84" spans="1:16" ht="15" customHeight="1" x14ac:dyDescent="0.2">
      <c r="A84" s="12" t="s">
        <v>2679</v>
      </c>
      <c r="B84" s="36">
        <v>45924</v>
      </c>
      <c r="C84" s="12">
        <f t="shared" si="8"/>
        <v>84</v>
      </c>
      <c r="D84" s="12">
        <v>1</v>
      </c>
      <c r="G84" s="136" t="s">
        <v>285</v>
      </c>
      <c r="H84" s="12" t="s">
        <v>3264</v>
      </c>
      <c r="I84" s="12">
        <v>112111</v>
      </c>
      <c r="J84" s="12">
        <v>1111</v>
      </c>
      <c r="K84" s="12" t="s">
        <v>20</v>
      </c>
      <c r="L84" s="12">
        <v>1</v>
      </c>
      <c r="M84" s="17">
        <v>25500000</v>
      </c>
      <c r="N84" s="134">
        <f t="shared" si="6"/>
        <v>25500000</v>
      </c>
      <c r="O84" s="12" t="s">
        <v>21</v>
      </c>
      <c r="P84" s="12">
        <f t="shared" si="7"/>
        <v>56</v>
      </c>
    </row>
    <row r="85" spans="1:16" ht="15" customHeight="1" x14ac:dyDescent="0.2">
      <c r="A85" s="12" t="s">
        <v>2679</v>
      </c>
      <c r="B85" s="36">
        <v>45924</v>
      </c>
      <c r="C85" s="12">
        <f t="shared" si="8"/>
        <v>85</v>
      </c>
      <c r="D85" s="12">
        <v>1</v>
      </c>
      <c r="G85" s="136" t="s">
        <v>285</v>
      </c>
      <c r="H85" s="12" t="s">
        <v>3264</v>
      </c>
      <c r="I85" s="12">
        <v>112111</v>
      </c>
      <c r="J85" s="12">
        <v>1111</v>
      </c>
      <c r="K85" s="12" t="s">
        <v>20</v>
      </c>
      <c r="L85" s="12">
        <v>1</v>
      </c>
      <c r="M85" s="17">
        <v>1000000</v>
      </c>
      <c r="N85" s="134">
        <f t="shared" si="6"/>
        <v>1000000</v>
      </c>
      <c r="O85" s="12" t="s">
        <v>21</v>
      </c>
      <c r="P85" s="12">
        <f t="shared" si="7"/>
        <v>57</v>
      </c>
    </row>
    <row r="86" spans="1:16" ht="15" customHeight="1" x14ac:dyDescent="0.2">
      <c r="A86" s="12" t="s">
        <v>2678</v>
      </c>
      <c r="B86" s="36">
        <v>45924</v>
      </c>
      <c r="C86" s="12">
        <f t="shared" si="5"/>
        <v>86</v>
      </c>
      <c r="D86" s="12">
        <v>1</v>
      </c>
      <c r="G86" s="136" t="s">
        <v>285</v>
      </c>
      <c r="H86" s="12" t="s">
        <v>3017</v>
      </c>
      <c r="I86" s="12">
        <v>1111</v>
      </c>
      <c r="J86" s="12">
        <v>112111</v>
      </c>
      <c r="K86" s="12" t="s">
        <v>20</v>
      </c>
      <c r="L86" s="12">
        <v>1</v>
      </c>
      <c r="M86" s="17">
        <v>26000000</v>
      </c>
      <c r="N86" s="134">
        <f t="shared" si="6"/>
        <v>26000000</v>
      </c>
      <c r="O86" s="12" t="s">
        <v>21</v>
      </c>
      <c r="P86" s="12">
        <f t="shared" si="7"/>
        <v>58</v>
      </c>
    </row>
    <row r="87" spans="1:16" ht="15" customHeight="1" x14ac:dyDescent="0.2">
      <c r="A87" s="12" t="s">
        <v>2679</v>
      </c>
      <c r="B87" s="36">
        <v>45940</v>
      </c>
      <c r="C87" s="12">
        <f t="shared" si="5"/>
        <v>87</v>
      </c>
      <c r="D87" s="12">
        <v>1</v>
      </c>
      <c r="G87" s="136" t="s">
        <v>90</v>
      </c>
      <c r="H87" s="12" t="s">
        <v>4371</v>
      </c>
      <c r="I87" s="12">
        <v>112111</v>
      </c>
      <c r="J87" s="12">
        <v>131</v>
      </c>
      <c r="K87" s="12" t="s">
        <v>20</v>
      </c>
      <c r="L87" s="12">
        <v>1</v>
      </c>
      <c r="M87" s="17">
        <v>31935484</v>
      </c>
      <c r="N87" s="134">
        <f t="shared" si="6"/>
        <v>31935484</v>
      </c>
      <c r="O87" s="12" t="s">
        <v>21</v>
      </c>
      <c r="P87" s="12">
        <f t="shared" si="7"/>
        <v>59</v>
      </c>
    </row>
    <row r="88" spans="1:16" ht="15" customHeight="1" x14ac:dyDescent="0.2">
      <c r="A88" s="12" t="s">
        <v>2679</v>
      </c>
      <c r="B88" s="36">
        <v>45953</v>
      </c>
      <c r="C88" s="12">
        <f t="shared" si="5"/>
        <v>88</v>
      </c>
      <c r="D88" s="12">
        <v>1</v>
      </c>
      <c r="G88" s="12" t="s">
        <v>54</v>
      </c>
      <c r="H88" s="12" t="s">
        <v>4372</v>
      </c>
      <c r="I88" s="12">
        <v>112111</v>
      </c>
      <c r="J88" s="12">
        <v>131</v>
      </c>
      <c r="K88" s="12" t="s">
        <v>20</v>
      </c>
      <c r="L88" s="12">
        <v>1</v>
      </c>
      <c r="M88" s="17">
        <v>18096774</v>
      </c>
      <c r="N88" s="134">
        <f t="shared" si="6"/>
        <v>18096774</v>
      </c>
      <c r="O88" s="12" t="s">
        <v>21</v>
      </c>
      <c r="P88" s="12">
        <f t="shared" si="7"/>
        <v>60</v>
      </c>
    </row>
    <row r="89" spans="1:16" ht="15" customHeight="1" x14ac:dyDescent="0.2">
      <c r="A89" s="12" t="s">
        <v>2679</v>
      </c>
      <c r="B89" s="36">
        <v>45957</v>
      </c>
      <c r="C89" s="12">
        <f t="shared" si="5"/>
        <v>89</v>
      </c>
      <c r="D89" s="12">
        <v>1</v>
      </c>
      <c r="G89" s="12" t="s">
        <v>90</v>
      </c>
      <c r="H89" s="12" t="s">
        <v>4373</v>
      </c>
      <c r="I89" s="12">
        <v>112111</v>
      </c>
      <c r="J89" s="12">
        <v>131</v>
      </c>
      <c r="K89" s="12" t="s">
        <v>20</v>
      </c>
      <c r="L89" s="12">
        <v>1</v>
      </c>
      <c r="M89" s="17">
        <v>26612903</v>
      </c>
      <c r="N89" s="134">
        <f t="shared" si="6"/>
        <v>26612903</v>
      </c>
      <c r="O89" s="12" t="s">
        <v>21</v>
      </c>
      <c r="P89" s="12">
        <f t="shared" si="7"/>
        <v>61</v>
      </c>
    </row>
    <row r="90" spans="1:16" ht="15" customHeight="1" x14ac:dyDescent="0.2">
      <c r="A90" s="12" t="s">
        <v>2679</v>
      </c>
      <c r="B90" s="36">
        <v>45965</v>
      </c>
      <c r="C90" s="12">
        <f t="shared" si="5"/>
        <v>90</v>
      </c>
      <c r="D90" s="12">
        <v>1</v>
      </c>
      <c r="G90" s="12" t="s">
        <v>59</v>
      </c>
      <c r="H90" s="12" t="s">
        <v>4374</v>
      </c>
      <c r="I90" s="12">
        <v>112111</v>
      </c>
      <c r="J90" s="12">
        <v>131</v>
      </c>
      <c r="K90" s="12" t="s">
        <v>20</v>
      </c>
      <c r="L90" s="12">
        <v>1</v>
      </c>
      <c r="M90" s="17">
        <v>53225807</v>
      </c>
      <c r="N90" s="134">
        <f t="shared" si="6"/>
        <v>53225807</v>
      </c>
      <c r="O90" s="12" t="s">
        <v>21</v>
      </c>
      <c r="P90" s="12">
        <f t="shared" si="7"/>
        <v>62</v>
      </c>
    </row>
    <row r="91" spans="1:16" ht="15" customHeight="1" x14ac:dyDescent="0.2">
      <c r="A91" s="12" t="s">
        <v>2679</v>
      </c>
      <c r="B91" s="36">
        <v>45967</v>
      </c>
      <c r="C91" s="12">
        <f t="shared" si="5"/>
        <v>91</v>
      </c>
      <c r="D91" s="12">
        <v>1</v>
      </c>
      <c r="G91" s="136" t="s">
        <v>2379</v>
      </c>
      <c r="H91" s="12" t="s">
        <v>4375</v>
      </c>
      <c r="I91" s="12">
        <v>112111</v>
      </c>
      <c r="J91" s="12">
        <v>131</v>
      </c>
      <c r="K91" s="12" t="s">
        <v>20</v>
      </c>
      <c r="L91" s="12">
        <v>1</v>
      </c>
      <c r="M91" s="17">
        <v>18096774</v>
      </c>
      <c r="N91" s="134">
        <f t="shared" si="6"/>
        <v>18096774</v>
      </c>
      <c r="O91" s="12" t="s">
        <v>21</v>
      </c>
      <c r="P91" s="12">
        <f t="shared" si="7"/>
        <v>63</v>
      </c>
    </row>
    <row r="92" spans="1:16" ht="15" customHeight="1" x14ac:dyDescent="0.2">
      <c r="A92" s="12" t="s">
        <v>2679</v>
      </c>
      <c r="B92" s="36">
        <v>45967</v>
      </c>
      <c r="C92" s="12">
        <f t="shared" si="5"/>
        <v>92</v>
      </c>
      <c r="D92" s="12">
        <v>1</v>
      </c>
      <c r="G92" s="136" t="s">
        <v>1353</v>
      </c>
      <c r="H92" s="12" t="s">
        <v>4378</v>
      </c>
      <c r="I92" s="12">
        <v>112111</v>
      </c>
      <c r="J92" s="12">
        <v>131</v>
      </c>
      <c r="K92" s="12" t="s">
        <v>20</v>
      </c>
      <c r="L92" s="12">
        <v>1</v>
      </c>
      <c r="M92" s="17">
        <v>15967742</v>
      </c>
      <c r="N92" s="134">
        <f t="shared" si="6"/>
        <v>15967742</v>
      </c>
      <c r="O92" s="12" t="s">
        <v>21</v>
      </c>
      <c r="P92" s="12">
        <f t="shared" si="7"/>
        <v>64</v>
      </c>
    </row>
    <row r="93" spans="1:16" ht="15" customHeight="1" x14ac:dyDescent="0.2">
      <c r="A93" s="12" t="s">
        <v>2678</v>
      </c>
      <c r="B93" s="36">
        <v>45971</v>
      </c>
      <c r="C93" s="12">
        <f t="shared" si="5"/>
        <v>93</v>
      </c>
      <c r="D93" s="12">
        <v>1</v>
      </c>
      <c r="G93" s="136" t="s">
        <v>285</v>
      </c>
      <c r="H93" s="12" t="s">
        <v>3017</v>
      </c>
      <c r="I93" s="12">
        <v>1111</v>
      </c>
      <c r="J93" s="12">
        <v>112111</v>
      </c>
      <c r="K93" s="12" t="s">
        <v>20</v>
      </c>
      <c r="L93" s="12">
        <v>1</v>
      </c>
      <c r="M93" s="17">
        <v>164500000</v>
      </c>
      <c r="N93" s="134">
        <f t="shared" si="6"/>
        <v>164500000</v>
      </c>
      <c r="O93" s="12" t="s">
        <v>21</v>
      </c>
      <c r="P93" s="12">
        <f t="shared" si="7"/>
        <v>65</v>
      </c>
    </row>
    <row r="94" spans="1:16" ht="15" customHeight="1" x14ac:dyDescent="0.2">
      <c r="A94" s="12" t="s">
        <v>2679</v>
      </c>
      <c r="B94" s="36">
        <v>45973</v>
      </c>
      <c r="C94" s="12">
        <f t="shared" si="5"/>
        <v>94</v>
      </c>
      <c r="D94" s="12">
        <v>1</v>
      </c>
      <c r="G94" s="12" t="s">
        <v>2379</v>
      </c>
      <c r="H94" s="12" t="s">
        <v>4375</v>
      </c>
      <c r="I94" s="12">
        <v>112111</v>
      </c>
      <c r="J94" s="12">
        <v>131</v>
      </c>
      <c r="K94" s="12" t="s">
        <v>20</v>
      </c>
      <c r="L94" s="12">
        <v>1</v>
      </c>
      <c r="M94" s="17">
        <v>18096774</v>
      </c>
      <c r="N94" s="134">
        <f t="shared" si="6"/>
        <v>18096774</v>
      </c>
      <c r="O94" s="12" t="s">
        <v>21</v>
      </c>
      <c r="P94" s="12">
        <f t="shared" si="7"/>
        <v>66</v>
      </c>
    </row>
    <row r="95" spans="1:16" ht="15" customHeight="1" x14ac:dyDescent="0.2">
      <c r="A95" s="12" t="s">
        <v>2679</v>
      </c>
      <c r="B95" s="36">
        <v>45975</v>
      </c>
      <c r="C95" s="12">
        <f t="shared" si="5"/>
        <v>95</v>
      </c>
      <c r="D95" s="12">
        <v>1</v>
      </c>
      <c r="G95" s="136" t="s">
        <v>43</v>
      </c>
      <c r="H95" s="12" t="s">
        <v>4414</v>
      </c>
      <c r="I95" s="12">
        <v>112111</v>
      </c>
      <c r="J95" s="12">
        <v>131</v>
      </c>
      <c r="K95" s="12" t="s">
        <v>20</v>
      </c>
      <c r="L95" s="12">
        <v>1</v>
      </c>
      <c r="M95" s="17">
        <v>18096774</v>
      </c>
      <c r="N95" s="134">
        <f t="shared" si="6"/>
        <v>18096774</v>
      </c>
      <c r="O95" s="12" t="s">
        <v>21</v>
      </c>
      <c r="P95" s="12">
        <f t="shared" si="7"/>
        <v>67</v>
      </c>
    </row>
    <row r="96" spans="1:16" ht="15" customHeight="1" x14ac:dyDescent="0.2">
      <c r="A96" s="12" t="s">
        <v>2679</v>
      </c>
      <c r="B96" s="36">
        <v>45982</v>
      </c>
      <c r="C96" s="12">
        <f t="shared" si="5"/>
        <v>96</v>
      </c>
      <c r="D96" s="12">
        <v>1</v>
      </c>
      <c r="G96" s="136" t="s">
        <v>66</v>
      </c>
      <c r="H96" s="20" t="s">
        <v>4376</v>
      </c>
      <c r="I96" s="12">
        <v>112111</v>
      </c>
      <c r="J96" s="12">
        <v>131</v>
      </c>
      <c r="K96" s="12" t="s">
        <v>20</v>
      </c>
      <c r="L96" s="12">
        <v>1</v>
      </c>
      <c r="M96" s="17">
        <v>15967742</v>
      </c>
      <c r="N96" s="134">
        <f t="shared" si="6"/>
        <v>15967742</v>
      </c>
      <c r="O96" s="12" t="s">
        <v>21</v>
      </c>
      <c r="P96" s="12">
        <f t="shared" si="7"/>
        <v>68</v>
      </c>
    </row>
    <row r="97" spans="1:16" ht="15" customHeight="1" x14ac:dyDescent="0.2">
      <c r="A97" s="12" t="s">
        <v>2679</v>
      </c>
      <c r="B97" s="36">
        <v>45988</v>
      </c>
      <c r="C97" s="12">
        <f t="shared" si="5"/>
        <v>97</v>
      </c>
      <c r="D97" s="12">
        <v>1</v>
      </c>
      <c r="G97" s="136" t="s">
        <v>66</v>
      </c>
      <c r="H97" s="12" t="s">
        <v>4377</v>
      </c>
      <c r="I97" s="12">
        <v>112111</v>
      </c>
      <c r="J97" s="12">
        <v>131</v>
      </c>
      <c r="K97" s="12" t="s">
        <v>20</v>
      </c>
      <c r="L97" s="12">
        <v>1</v>
      </c>
      <c r="M97" s="17">
        <v>18096774</v>
      </c>
      <c r="N97" s="134">
        <f t="shared" si="6"/>
        <v>18096774</v>
      </c>
      <c r="O97" s="12" t="s">
        <v>21</v>
      </c>
      <c r="P97" s="12">
        <f t="shared" si="7"/>
        <v>69</v>
      </c>
    </row>
    <row r="98" spans="1:16" ht="15" customHeight="1" x14ac:dyDescent="0.2">
      <c r="A98" s="12" t="s">
        <v>2679</v>
      </c>
      <c r="B98" s="36">
        <v>45992</v>
      </c>
      <c r="C98" s="12">
        <f t="shared" si="5"/>
        <v>98</v>
      </c>
      <c r="D98" s="12">
        <v>1</v>
      </c>
      <c r="G98" s="136" t="s">
        <v>29</v>
      </c>
      <c r="H98" s="12" t="s">
        <v>4379</v>
      </c>
      <c r="I98" s="12">
        <v>112111</v>
      </c>
      <c r="J98" s="12">
        <v>131</v>
      </c>
      <c r="K98" s="12" t="s">
        <v>20</v>
      </c>
      <c r="L98" s="12">
        <v>1</v>
      </c>
      <c r="M98" s="17">
        <v>22580645</v>
      </c>
      <c r="N98" s="134">
        <f t="shared" si="6"/>
        <v>22580645</v>
      </c>
      <c r="O98" s="12" t="s">
        <v>21</v>
      </c>
      <c r="P98" s="12">
        <f t="shared" si="7"/>
        <v>70</v>
      </c>
    </row>
    <row r="99" spans="1:16" ht="15" customHeight="1" x14ac:dyDescent="0.2">
      <c r="A99" s="12" t="s">
        <v>2678</v>
      </c>
      <c r="B99" s="36">
        <v>45992</v>
      </c>
      <c r="C99" s="12">
        <f t="shared" si="5"/>
        <v>99</v>
      </c>
      <c r="D99" s="12">
        <v>1</v>
      </c>
      <c r="G99" s="136" t="s">
        <v>285</v>
      </c>
      <c r="H99" s="12" t="s">
        <v>3017</v>
      </c>
      <c r="I99" s="12">
        <v>1111</v>
      </c>
      <c r="J99" s="12">
        <v>112111</v>
      </c>
      <c r="K99" s="12" t="s">
        <v>20</v>
      </c>
      <c r="L99" s="12">
        <v>1</v>
      </c>
      <c r="M99" s="17">
        <v>92873000</v>
      </c>
      <c r="N99" s="134">
        <f t="shared" si="6"/>
        <v>92873000</v>
      </c>
      <c r="O99" s="12" t="s">
        <v>21</v>
      </c>
      <c r="P99" s="12">
        <f t="shared" si="7"/>
        <v>71</v>
      </c>
    </row>
    <row r="100" spans="1:16" ht="15" customHeight="1" x14ac:dyDescent="0.2">
      <c r="A100" s="12" t="s">
        <v>2679</v>
      </c>
      <c r="B100" s="36">
        <v>46002</v>
      </c>
      <c r="C100" s="12">
        <f t="shared" si="5"/>
        <v>100</v>
      </c>
      <c r="D100" s="12">
        <v>1</v>
      </c>
      <c r="G100" s="136" t="s">
        <v>144</v>
      </c>
      <c r="H100" s="12" t="s">
        <v>4413</v>
      </c>
      <c r="I100" s="12">
        <v>112111</v>
      </c>
      <c r="J100" s="12">
        <v>131</v>
      </c>
      <c r="K100" s="12" t="s">
        <v>20</v>
      </c>
      <c r="L100" s="12">
        <v>1</v>
      </c>
      <c r="M100" s="17">
        <v>18096774</v>
      </c>
      <c r="N100" s="134">
        <f t="shared" si="6"/>
        <v>18096774</v>
      </c>
      <c r="O100" s="12" t="s">
        <v>21</v>
      </c>
      <c r="P100" s="12">
        <f t="shared" si="7"/>
        <v>72</v>
      </c>
    </row>
    <row r="101" spans="1:16" ht="15" customHeight="1" x14ac:dyDescent="0.2">
      <c r="A101" s="12" t="s">
        <v>2678</v>
      </c>
      <c r="B101" s="36">
        <v>46004</v>
      </c>
      <c r="C101" s="12">
        <f t="shared" si="5"/>
        <v>101</v>
      </c>
      <c r="D101" s="12">
        <v>1</v>
      </c>
      <c r="G101" s="136" t="s">
        <v>285</v>
      </c>
      <c r="H101" s="12" t="s">
        <v>3017</v>
      </c>
      <c r="I101" s="12">
        <v>1111</v>
      </c>
      <c r="J101" s="12">
        <v>112111</v>
      </c>
      <c r="K101" s="12" t="s">
        <v>20</v>
      </c>
      <c r="L101" s="12">
        <v>1</v>
      </c>
      <c r="M101" s="17">
        <v>12547000</v>
      </c>
      <c r="N101" s="134">
        <f t="shared" si="6"/>
        <v>12547000</v>
      </c>
      <c r="O101" s="12" t="s">
        <v>21</v>
      </c>
      <c r="P101" s="12">
        <f t="shared" si="7"/>
        <v>73</v>
      </c>
    </row>
    <row r="102" spans="1:16" ht="15" customHeight="1" x14ac:dyDescent="0.2">
      <c r="A102" s="12" t="s">
        <v>2679</v>
      </c>
      <c r="B102" s="36">
        <v>46006</v>
      </c>
      <c r="C102" s="12">
        <f t="shared" si="5"/>
        <v>102</v>
      </c>
      <c r="D102" s="12">
        <v>1</v>
      </c>
      <c r="G102" s="136" t="s">
        <v>50</v>
      </c>
      <c r="H102" s="12" t="s">
        <v>4380</v>
      </c>
      <c r="I102" s="12">
        <v>112111</v>
      </c>
      <c r="J102" s="12">
        <v>131</v>
      </c>
      <c r="K102" s="12" t="s">
        <v>20</v>
      </c>
      <c r="L102" s="12">
        <v>1</v>
      </c>
      <c r="M102" s="17">
        <v>28741935</v>
      </c>
      <c r="N102" s="134">
        <f t="shared" si="6"/>
        <v>28741935</v>
      </c>
      <c r="O102" s="12" t="s">
        <v>21</v>
      </c>
      <c r="P102" s="12">
        <f t="shared" si="7"/>
        <v>74</v>
      </c>
    </row>
    <row r="103" spans="1:16" ht="15" customHeight="1" x14ac:dyDescent="0.2">
      <c r="A103" s="12" t="s">
        <v>2679</v>
      </c>
      <c r="B103" s="36">
        <v>46008</v>
      </c>
      <c r="C103" s="12">
        <f t="shared" si="5"/>
        <v>103</v>
      </c>
      <c r="D103" s="12">
        <v>1</v>
      </c>
      <c r="G103" s="136" t="s">
        <v>58</v>
      </c>
      <c r="H103" s="12" t="s">
        <v>4381</v>
      </c>
      <c r="I103" s="12">
        <v>112111</v>
      </c>
      <c r="J103" s="12">
        <v>131</v>
      </c>
      <c r="K103" s="12" t="s">
        <v>20</v>
      </c>
      <c r="L103" s="12">
        <v>1</v>
      </c>
      <c r="M103" s="17">
        <v>29806452</v>
      </c>
      <c r="N103" s="134">
        <f t="shared" si="6"/>
        <v>29806452</v>
      </c>
      <c r="O103" s="12" t="s">
        <v>21</v>
      </c>
      <c r="P103" s="12">
        <f t="shared" si="7"/>
        <v>75</v>
      </c>
    </row>
    <row r="104" spans="1:16" ht="15" customHeight="1" x14ac:dyDescent="0.2">
      <c r="A104" s="12" t="s">
        <v>2679</v>
      </c>
      <c r="B104" s="36">
        <v>46016</v>
      </c>
      <c r="C104" s="12">
        <f t="shared" si="5"/>
        <v>104</v>
      </c>
      <c r="D104" s="12">
        <v>1</v>
      </c>
      <c r="G104" s="136" t="s">
        <v>1857</v>
      </c>
      <c r="H104" s="12" t="s">
        <v>4382</v>
      </c>
      <c r="I104" s="12">
        <v>112111</v>
      </c>
      <c r="J104" s="12">
        <v>131</v>
      </c>
      <c r="K104" s="12" t="s">
        <v>20</v>
      </c>
      <c r="L104" s="12">
        <v>1</v>
      </c>
      <c r="M104" s="17">
        <v>25000000</v>
      </c>
      <c r="N104" s="134">
        <f t="shared" si="6"/>
        <v>25000000</v>
      </c>
      <c r="O104" s="12" t="s">
        <v>21</v>
      </c>
      <c r="P104" s="12">
        <f t="shared" si="7"/>
        <v>76</v>
      </c>
    </row>
    <row r="105" spans="1:16" ht="15" customHeight="1" x14ac:dyDescent="0.2">
      <c r="A105" s="12" t="s">
        <v>2679</v>
      </c>
      <c r="B105" s="36">
        <v>46016</v>
      </c>
      <c r="C105" s="12">
        <f t="shared" si="5"/>
        <v>105</v>
      </c>
      <c r="D105" s="12">
        <v>1</v>
      </c>
      <c r="G105" s="136" t="s">
        <v>90</v>
      </c>
      <c r="H105" s="12" t="s">
        <v>4383</v>
      </c>
      <c r="I105" s="12">
        <v>112111</v>
      </c>
      <c r="J105" s="12">
        <v>131</v>
      </c>
      <c r="K105" s="12" t="s">
        <v>20</v>
      </c>
      <c r="L105" s="12">
        <v>1</v>
      </c>
      <c r="M105" s="17">
        <v>53225806</v>
      </c>
      <c r="N105" s="134">
        <f t="shared" si="6"/>
        <v>53225806</v>
      </c>
      <c r="O105" s="12" t="s">
        <v>21</v>
      </c>
      <c r="P105" s="12">
        <f t="shared" si="7"/>
        <v>77</v>
      </c>
    </row>
    <row r="106" spans="1:16" ht="15" customHeight="1" x14ac:dyDescent="0.2">
      <c r="A106" s="12" t="s">
        <v>2679</v>
      </c>
      <c r="B106" s="36">
        <v>46017</v>
      </c>
      <c r="C106" s="12">
        <f t="shared" si="5"/>
        <v>106</v>
      </c>
      <c r="D106" s="12">
        <v>1</v>
      </c>
      <c r="G106" s="136" t="s">
        <v>2380</v>
      </c>
      <c r="H106" s="12" t="s">
        <v>4384</v>
      </c>
      <c r="I106" s="12">
        <v>112111</v>
      </c>
      <c r="J106" s="12">
        <v>131</v>
      </c>
      <c r="K106" s="12" t="s">
        <v>20</v>
      </c>
      <c r="L106" s="12">
        <v>1</v>
      </c>
      <c r="M106" s="17">
        <v>18096774</v>
      </c>
      <c r="N106" s="134">
        <f t="shared" si="6"/>
        <v>18096774</v>
      </c>
      <c r="O106" s="12" t="s">
        <v>21</v>
      </c>
      <c r="P106" s="12">
        <f t="shared" si="7"/>
        <v>78</v>
      </c>
    </row>
    <row r="107" spans="1:16" ht="15" customHeight="1" x14ac:dyDescent="0.2">
      <c r="A107" s="12" t="s">
        <v>2679</v>
      </c>
      <c r="B107" s="36">
        <v>46017</v>
      </c>
      <c r="C107" s="12">
        <f t="shared" si="5"/>
        <v>107</v>
      </c>
      <c r="D107" s="12">
        <v>1</v>
      </c>
      <c r="G107" s="136" t="s">
        <v>47</v>
      </c>
      <c r="H107" s="12" t="s">
        <v>4385</v>
      </c>
      <c r="I107" s="12">
        <v>112111</v>
      </c>
      <c r="J107" s="12">
        <v>131</v>
      </c>
      <c r="K107" s="12" t="s">
        <v>20</v>
      </c>
      <c r="L107" s="12">
        <v>1</v>
      </c>
      <c r="M107" s="17">
        <v>58548387</v>
      </c>
      <c r="N107" s="134">
        <f t="shared" si="6"/>
        <v>58548387</v>
      </c>
      <c r="O107" s="12" t="s">
        <v>21</v>
      </c>
      <c r="P107" s="12">
        <f t="shared" si="7"/>
        <v>79</v>
      </c>
    </row>
    <row r="108" spans="1:16" ht="15" customHeight="1" x14ac:dyDescent="0.2">
      <c r="A108" s="12" t="s">
        <v>2679</v>
      </c>
      <c r="B108" s="36">
        <v>46021</v>
      </c>
      <c r="C108" s="12">
        <f t="shared" si="5"/>
        <v>108</v>
      </c>
      <c r="D108" s="12">
        <v>1</v>
      </c>
      <c r="G108" s="136" t="s">
        <v>411</v>
      </c>
      <c r="H108" s="12" t="s">
        <v>4386</v>
      </c>
      <c r="I108" s="12">
        <v>112111</v>
      </c>
      <c r="J108" s="12">
        <v>131</v>
      </c>
      <c r="K108" s="12" t="s">
        <v>20</v>
      </c>
      <c r="L108" s="12">
        <v>1</v>
      </c>
      <c r="M108" s="17">
        <v>33000000</v>
      </c>
      <c r="N108" s="134">
        <f t="shared" si="6"/>
        <v>33000000</v>
      </c>
      <c r="O108" s="12" t="s">
        <v>21</v>
      </c>
      <c r="P108" s="12">
        <f t="shared" si="7"/>
        <v>80</v>
      </c>
    </row>
    <row r="109" spans="1:16" ht="15" customHeight="1" x14ac:dyDescent="0.2">
      <c r="A109" s="12" t="s">
        <v>2679</v>
      </c>
      <c r="B109" s="36">
        <v>46021</v>
      </c>
      <c r="C109" s="12">
        <f t="shared" si="5"/>
        <v>109</v>
      </c>
      <c r="D109" s="12">
        <v>1</v>
      </c>
      <c r="G109" s="136" t="s">
        <v>530</v>
      </c>
      <c r="H109" s="12" t="s">
        <v>4387</v>
      </c>
      <c r="I109" s="12">
        <v>112111</v>
      </c>
      <c r="J109" s="12">
        <v>131</v>
      </c>
      <c r="K109" s="12" t="s">
        <v>20</v>
      </c>
      <c r="L109" s="12">
        <v>1</v>
      </c>
      <c r="M109" s="17">
        <v>18096774</v>
      </c>
      <c r="N109" s="134">
        <f t="shared" si="6"/>
        <v>18096774</v>
      </c>
      <c r="O109" s="12" t="s">
        <v>21</v>
      </c>
      <c r="P109" s="12">
        <f t="shared" si="7"/>
        <v>81</v>
      </c>
    </row>
    <row r="110" spans="1:16" ht="15" customHeight="1" x14ac:dyDescent="0.2">
      <c r="A110" s="12" t="s">
        <v>2679</v>
      </c>
      <c r="B110" s="36">
        <v>46022</v>
      </c>
      <c r="C110" s="12">
        <f t="shared" si="5"/>
        <v>110</v>
      </c>
      <c r="D110" s="12">
        <v>1</v>
      </c>
      <c r="G110" s="12" t="s">
        <v>89</v>
      </c>
      <c r="H110" s="12" t="s">
        <v>4388</v>
      </c>
      <c r="I110" s="12">
        <v>112111</v>
      </c>
      <c r="J110" s="12">
        <v>131</v>
      </c>
      <c r="K110" s="12" t="s">
        <v>20</v>
      </c>
      <c r="L110" s="12">
        <v>1</v>
      </c>
      <c r="M110" s="17">
        <v>21290322</v>
      </c>
      <c r="N110" s="134">
        <f t="shared" si="6"/>
        <v>21290322</v>
      </c>
      <c r="O110" s="12" t="s">
        <v>21</v>
      </c>
      <c r="P110" s="12">
        <f t="shared" si="7"/>
        <v>82</v>
      </c>
    </row>
    <row r="111" spans="1:16" ht="15" customHeight="1" x14ac:dyDescent="0.2">
      <c r="A111" s="12" t="s">
        <v>2679</v>
      </c>
      <c r="B111" s="36">
        <v>46022</v>
      </c>
      <c r="C111" s="12">
        <f t="shared" ref="C111:C112" si="9">C110+D111</f>
        <v>110</v>
      </c>
      <c r="D111" s="12">
        <v>0</v>
      </c>
      <c r="G111" s="12" t="s">
        <v>89</v>
      </c>
      <c r="H111" s="12" t="s">
        <v>4388</v>
      </c>
      <c r="I111" s="12">
        <v>112111</v>
      </c>
      <c r="J111" s="12">
        <v>7118</v>
      </c>
      <c r="K111" s="12" t="s">
        <v>20</v>
      </c>
      <c r="L111" s="12">
        <v>1</v>
      </c>
      <c r="M111" s="17">
        <v>10</v>
      </c>
      <c r="N111" s="134">
        <f t="shared" ref="N111" si="10">L111*M111</f>
        <v>10</v>
      </c>
      <c r="O111" s="12" t="s">
        <v>21</v>
      </c>
      <c r="P111" s="12">
        <f t="shared" ref="P111:P112" si="11">P110+D111</f>
        <v>82</v>
      </c>
    </row>
    <row r="112" spans="1:16" ht="15" customHeight="1" x14ac:dyDescent="0.2">
      <c r="A112" s="12" t="s">
        <v>2719</v>
      </c>
      <c r="B112" s="36">
        <v>45934</v>
      </c>
      <c r="C112" s="12">
        <f t="shared" si="9"/>
        <v>111</v>
      </c>
      <c r="D112" s="12">
        <v>1</v>
      </c>
      <c r="G112" s="12" t="s">
        <v>1350</v>
      </c>
      <c r="H112" s="12" t="s">
        <v>4389</v>
      </c>
      <c r="I112" s="12">
        <v>331</v>
      </c>
      <c r="J112" s="12">
        <v>1111</v>
      </c>
      <c r="K112" s="12" t="s">
        <v>20</v>
      </c>
      <c r="L112" s="12">
        <v>1</v>
      </c>
      <c r="M112" s="17">
        <v>1339200</v>
      </c>
      <c r="N112" s="17">
        <f t="shared" si="6"/>
        <v>1339200</v>
      </c>
      <c r="O112" s="12" t="s">
        <v>21</v>
      </c>
      <c r="P112" s="12">
        <f t="shared" si="11"/>
        <v>83</v>
      </c>
    </row>
    <row r="113" spans="1:16" ht="15" customHeight="1" x14ac:dyDescent="0.2">
      <c r="A113" s="12" t="s">
        <v>2719</v>
      </c>
      <c r="B113" s="36">
        <v>45936</v>
      </c>
      <c r="C113" s="12">
        <f t="shared" si="5"/>
        <v>112</v>
      </c>
      <c r="D113" s="12">
        <v>1</v>
      </c>
      <c r="G113" s="12" t="s">
        <v>37</v>
      </c>
      <c r="H113" s="12" t="s">
        <v>4390</v>
      </c>
      <c r="I113" s="12">
        <v>331</v>
      </c>
      <c r="J113" s="12">
        <v>1111</v>
      </c>
      <c r="K113" s="12" t="s">
        <v>20</v>
      </c>
      <c r="L113" s="12">
        <v>1</v>
      </c>
      <c r="M113" s="17">
        <v>3240000</v>
      </c>
      <c r="N113" s="17">
        <f t="shared" si="6"/>
        <v>3240000</v>
      </c>
      <c r="O113" s="12" t="s">
        <v>21</v>
      </c>
      <c r="P113" s="12">
        <f t="shared" si="7"/>
        <v>84</v>
      </c>
    </row>
    <row r="114" spans="1:16" ht="15" customHeight="1" x14ac:dyDescent="0.2">
      <c r="A114" s="12" t="s">
        <v>2719</v>
      </c>
      <c r="B114" s="36">
        <v>45939</v>
      </c>
      <c r="C114" s="12">
        <f t="shared" si="5"/>
        <v>113</v>
      </c>
      <c r="D114" s="12">
        <v>1</v>
      </c>
      <c r="G114" s="12" t="s">
        <v>2370</v>
      </c>
      <c r="H114" s="12" t="s">
        <v>4391</v>
      </c>
      <c r="I114" s="12">
        <v>331</v>
      </c>
      <c r="J114" s="12">
        <v>1111</v>
      </c>
      <c r="K114" s="12" t="s">
        <v>20</v>
      </c>
      <c r="L114" s="12">
        <v>1</v>
      </c>
      <c r="M114" s="17">
        <v>697680</v>
      </c>
      <c r="N114" s="17">
        <f t="shared" si="6"/>
        <v>697680</v>
      </c>
      <c r="O114" s="12" t="s">
        <v>21</v>
      </c>
      <c r="P114" s="12">
        <f t="shared" si="7"/>
        <v>85</v>
      </c>
    </row>
    <row r="115" spans="1:16" ht="15" customHeight="1" x14ac:dyDescent="0.2">
      <c r="A115" s="12" t="s">
        <v>2719</v>
      </c>
      <c r="B115" s="36">
        <v>45950</v>
      </c>
      <c r="C115" s="12">
        <f t="shared" si="5"/>
        <v>114</v>
      </c>
      <c r="D115" s="12">
        <v>1</v>
      </c>
      <c r="G115" s="12" t="s">
        <v>2371</v>
      </c>
      <c r="H115" s="12" t="s">
        <v>4392</v>
      </c>
      <c r="I115" s="12">
        <v>331</v>
      </c>
      <c r="J115" s="12">
        <v>1111</v>
      </c>
      <c r="K115" s="12" t="s">
        <v>20</v>
      </c>
      <c r="L115" s="12">
        <v>1</v>
      </c>
      <c r="M115" s="17">
        <v>854658</v>
      </c>
      <c r="N115" s="17">
        <f t="shared" si="6"/>
        <v>854658</v>
      </c>
      <c r="O115" s="12" t="s">
        <v>21</v>
      </c>
      <c r="P115" s="12">
        <f t="shared" si="7"/>
        <v>86</v>
      </c>
    </row>
    <row r="116" spans="1:16" ht="15" customHeight="1" x14ac:dyDescent="0.2">
      <c r="A116" s="12" t="s">
        <v>2719</v>
      </c>
      <c r="B116" s="36">
        <v>45953</v>
      </c>
      <c r="C116" s="12">
        <f t="shared" si="5"/>
        <v>115</v>
      </c>
      <c r="D116" s="12">
        <v>1</v>
      </c>
      <c r="G116" s="12" t="s">
        <v>2372</v>
      </c>
      <c r="H116" s="12" t="s">
        <v>4393</v>
      </c>
      <c r="I116" s="12">
        <v>331</v>
      </c>
      <c r="J116" s="12">
        <v>1111</v>
      </c>
      <c r="K116" s="12" t="s">
        <v>20</v>
      </c>
      <c r="L116" s="12">
        <v>1</v>
      </c>
      <c r="M116" s="17">
        <v>2000000</v>
      </c>
      <c r="N116" s="17">
        <f t="shared" si="6"/>
        <v>2000000</v>
      </c>
      <c r="O116" s="12" t="s">
        <v>21</v>
      </c>
      <c r="P116" s="12">
        <f t="shared" si="7"/>
        <v>87</v>
      </c>
    </row>
    <row r="117" spans="1:16" ht="15" customHeight="1" x14ac:dyDescent="0.2">
      <c r="A117" s="12" t="s">
        <v>2719</v>
      </c>
      <c r="B117" s="36">
        <v>45954</v>
      </c>
      <c r="C117" s="12">
        <f t="shared" si="5"/>
        <v>116</v>
      </c>
      <c r="D117" s="12">
        <v>1</v>
      </c>
      <c r="G117" s="12" t="s">
        <v>2373</v>
      </c>
      <c r="H117" s="12" t="s">
        <v>4394</v>
      </c>
      <c r="I117" s="12">
        <v>331</v>
      </c>
      <c r="J117" s="12">
        <v>1111</v>
      </c>
      <c r="K117" s="12" t="s">
        <v>20</v>
      </c>
      <c r="L117" s="12">
        <v>1</v>
      </c>
      <c r="M117" s="17">
        <v>6820000</v>
      </c>
      <c r="N117" s="17">
        <f t="shared" si="6"/>
        <v>6820000</v>
      </c>
      <c r="O117" s="12" t="s">
        <v>21</v>
      </c>
      <c r="P117" s="12">
        <f t="shared" si="7"/>
        <v>88</v>
      </c>
    </row>
    <row r="118" spans="1:16" ht="15" customHeight="1" x14ac:dyDescent="0.2">
      <c r="A118" s="12" t="s">
        <v>2719</v>
      </c>
      <c r="B118" s="36">
        <v>45954</v>
      </c>
      <c r="C118" s="12">
        <f t="shared" si="5"/>
        <v>117</v>
      </c>
      <c r="D118" s="12">
        <v>1</v>
      </c>
      <c r="G118" s="12" t="s">
        <v>2374</v>
      </c>
      <c r="H118" s="12" t="s">
        <v>4395</v>
      </c>
      <c r="I118" s="12">
        <v>331</v>
      </c>
      <c r="J118" s="12">
        <v>1111</v>
      </c>
      <c r="K118" s="12" t="s">
        <v>20</v>
      </c>
      <c r="L118" s="12">
        <v>1</v>
      </c>
      <c r="M118" s="17">
        <v>570240</v>
      </c>
      <c r="N118" s="17">
        <f t="shared" si="6"/>
        <v>570240</v>
      </c>
      <c r="O118" s="12" t="s">
        <v>21</v>
      </c>
      <c r="P118" s="12">
        <f t="shared" si="7"/>
        <v>89</v>
      </c>
    </row>
    <row r="119" spans="1:16" ht="15" customHeight="1" x14ac:dyDescent="0.2">
      <c r="A119" s="12" t="s">
        <v>2719</v>
      </c>
      <c r="B119" s="36">
        <v>45954</v>
      </c>
      <c r="C119" s="12">
        <f t="shared" si="5"/>
        <v>118</v>
      </c>
      <c r="D119" s="12">
        <v>1</v>
      </c>
      <c r="G119" s="12" t="s">
        <v>1353</v>
      </c>
      <c r="H119" s="12" t="s">
        <v>4396</v>
      </c>
      <c r="I119" s="12">
        <v>331</v>
      </c>
      <c r="J119" s="12">
        <v>1111</v>
      </c>
      <c r="K119" s="12" t="s">
        <v>20</v>
      </c>
      <c r="L119" s="12">
        <v>1</v>
      </c>
      <c r="M119" s="17">
        <v>1050000</v>
      </c>
      <c r="N119" s="17">
        <f t="shared" si="6"/>
        <v>1050000</v>
      </c>
      <c r="O119" s="12" t="s">
        <v>21</v>
      </c>
      <c r="P119" s="12">
        <f t="shared" si="7"/>
        <v>90</v>
      </c>
    </row>
    <row r="120" spans="1:16" ht="15" customHeight="1" x14ac:dyDescent="0.2">
      <c r="A120" s="12" t="s">
        <v>2719</v>
      </c>
      <c r="B120" s="36">
        <v>45959</v>
      </c>
      <c r="C120" s="12">
        <f t="shared" si="5"/>
        <v>119</v>
      </c>
      <c r="D120" s="12">
        <v>1</v>
      </c>
      <c r="G120" s="12" t="s">
        <v>123</v>
      </c>
      <c r="H120" s="12" t="s">
        <v>4397</v>
      </c>
      <c r="I120" s="12">
        <v>331</v>
      </c>
      <c r="J120" s="12">
        <v>1111</v>
      </c>
      <c r="K120" s="12" t="s">
        <v>20</v>
      </c>
      <c r="L120" s="12">
        <v>1</v>
      </c>
      <c r="M120" s="17">
        <v>908280</v>
      </c>
      <c r="N120" s="17">
        <f t="shared" si="6"/>
        <v>908280</v>
      </c>
      <c r="O120" s="12" t="s">
        <v>21</v>
      </c>
      <c r="P120" s="12">
        <f t="shared" si="7"/>
        <v>91</v>
      </c>
    </row>
    <row r="121" spans="1:16" ht="15" customHeight="1" x14ac:dyDescent="0.2">
      <c r="A121" s="12" t="s">
        <v>2719</v>
      </c>
      <c r="B121" s="36">
        <v>45960</v>
      </c>
      <c r="C121" s="12">
        <f t="shared" si="5"/>
        <v>120</v>
      </c>
      <c r="D121" s="12">
        <v>1</v>
      </c>
      <c r="G121" s="12" t="s">
        <v>998</v>
      </c>
      <c r="H121" s="12" t="s">
        <v>4398</v>
      </c>
      <c r="I121" s="12">
        <v>331</v>
      </c>
      <c r="J121" s="12">
        <v>1111</v>
      </c>
      <c r="K121" s="12" t="s">
        <v>20</v>
      </c>
      <c r="L121" s="12">
        <v>1</v>
      </c>
      <c r="M121" s="17">
        <v>2477790</v>
      </c>
      <c r="N121" s="17">
        <f t="shared" si="6"/>
        <v>2477790</v>
      </c>
      <c r="O121" s="12" t="s">
        <v>21</v>
      </c>
      <c r="P121" s="12">
        <f t="shared" si="7"/>
        <v>92</v>
      </c>
    </row>
    <row r="122" spans="1:16" ht="15" customHeight="1" x14ac:dyDescent="0.2">
      <c r="A122" s="12" t="s">
        <v>2719</v>
      </c>
      <c r="B122" s="36">
        <v>45963</v>
      </c>
      <c r="C122" s="12">
        <f t="shared" si="5"/>
        <v>121</v>
      </c>
      <c r="D122" s="12">
        <v>1</v>
      </c>
      <c r="G122" s="12" t="s">
        <v>1852</v>
      </c>
      <c r="H122" s="12" t="s">
        <v>4399</v>
      </c>
      <c r="I122" s="12">
        <v>331</v>
      </c>
      <c r="J122" s="12">
        <v>1111</v>
      </c>
      <c r="K122" s="12" t="s">
        <v>20</v>
      </c>
      <c r="L122" s="12">
        <v>1</v>
      </c>
      <c r="M122" s="17">
        <v>677160</v>
      </c>
      <c r="N122" s="17">
        <f t="shared" si="6"/>
        <v>677160</v>
      </c>
      <c r="O122" s="12" t="s">
        <v>21</v>
      </c>
      <c r="P122" s="12">
        <f t="shared" si="7"/>
        <v>93</v>
      </c>
    </row>
    <row r="123" spans="1:16" ht="15" customHeight="1" x14ac:dyDescent="0.2">
      <c r="A123" s="12" t="s">
        <v>2719</v>
      </c>
      <c r="B123" s="36">
        <v>45966</v>
      </c>
      <c r="C123" s="12">
        <f t="shared" si="5"/>
        <v>122</v>
      </c>
      <c r="D123" s="12">
        <v>1</v>
      </c>
      <c r="G123" s="12" t="s">
        <v>1359</v>
      </c>
      <c r="H123" s="12" t="s">
        <v>4400</v>
      </c>
      <c r="I123" s="12">
        <v>331</v>
      </c>
      <c r="J123" s="12">
        <v>1111</v>
      </c>
      <c r="K123" s="12" t="s">
        <v>20</v>
      </c>
      <c r="L123" s="12">
        <v>1</v>
      </c>
      <c r="M123" s="17">
        <v>924210</v>
      </c>
      <c r="N123" s="17">
        <f t="shared" si="6"/>
        <v>924210</v>
      </c>
      <c r="O123" s="12" t="s">
        <v>21</v>
      </c>
      <c r="P123" s="12">
        <f t="shared" si="7"/>
        <v>94</v>
      </c>
    </row>
    <row r="124" spans="1:16" ht="15" customHeight="1" x14ac:dyDescent="0.2">
      <c r="A124" s="12" t="s">
        <v>2719</v>
      </c>
      <c r="B124" s="36">
        <v>45967</v>
      </c>
      <c r="C124" s="12">
        <f t="shared" si="5"/>
        <v>123</v>
      </c>
      <c r="D124" s="12">
        <v>1</v>
      </c>
      <c r="G124" s="12" t="s">
        <v>2375</v>
      </c>
      <c r="H124" s="12" t="s">
        <v>4401</v>
      </c>
      <c r="I124" s="12">
        <v>331</v>
      </c>
      <c r="J124" s="12">
        <v>1111</v>
      </c>
      <c r="K124" s="12" t="s">
        <v>20</v>
      </c>
      <c r="L124" s="12">
        <v>1</v>
      </c>
      <c r="M124" s="17">
        <v>2048400</v>
      </c>
      <c r="N124" s="17">
        <f t="shared" si="6"/>
        <v>2048400</v>
      </c>
      <c r="O124" s="12" t="s">
        <v>21</v>
      </c>
      <c r="P124" s="12">
        <f t="shared" si="7"/>
        <v>95</v>
      </c>
    </row>
    <row r="125" spans="1:16" ht="15" customHeight="1" x14ac:dyDescent="0.2">
      <c r="A125" s="12" t="s">
        <v>2719</v>
      </c>
      <c r="B125" s="36">
        <v>45968</v>
      </c>
      <c r="C125" s="12">
        <f t="shared" si="5"/>
        <v>124</v>
      </c>
      <c r="D125" s="12">
        <v>1</v>
      </c>
      <c r="G125" s="12" t="s">
        <v>2376</v>
      </c>
      <c r="H125" s="12" t="s">
        <v>4402</v>
      </c>
      <c r="I125" s="12">
        <v>331</v>
      </c>
      <c r="J125" s="12">
        <v>1111</v>
      </c>
      <c r="K125" s="12" t="s">
        <v>20</v>
      </c>
      <c r="L125" s="12">
        <v>1</v>
      </c>
      <c r="M125" s="17">
        <v>497880</v>
      </c>
      <c r="N125" s="17">
        <f t="shared" si="6"/>
        <v>497880</v>
      </c>
      <c r="O125" s="12" t="s">
        <v>21</v>
      </c>
      <c r="P125" s="12">
        <f t="shared" si="7"/>
        <v>96</v>
      </c>
    </row>
    <row r="126" spans="1:16" ht="15" customHeight="1" x14ac:dyDescent="0.2">
      <c r="A126" s="12" t="s">
        <v>2719</v>
      </c>
      <c r="B126" s="36">
        <v>45972</v>
      </c>
      <c r="C126" s="12">
        <f t="shared" si="5"/>
        <v>125</v>
      </c>
      <c r="D126" s="12">
        <v>1</v>
      </c>
      <c r="G126" s="12" t="s">
        <v>37</v>
      </c>
      <c r="H126" s="12" t="s">
        <v>4403</v>
      </c>
      <c r="I126" s="12">
        <v>331</v>
      </c>
      <c r="J126" s="12">
        <v>1111</v>
      </c>
      <c r="K126" s="12" t="s">
        <v>20</v>
      </c>
      <c r="L126" s="12">
        <v>1</v>
      </c>
      <c r="M126" s="17">
        <v>3240000</v>
      </c>
      <c r="N126" s="17">
        <f t="shared" si="6"/>
        <v>3240000</v>
      </c>
      <c r="O126" s="12" t="s">
        <v>21</v>
      </c>
      <c r="P126" s="12">
        <f t="shared" si="7"/>
        <v>97</v>
      </c>
    </row>
    <row r="127" spans="1:16" ht="15" customHeight="1" x14ac:dyDescent="0.2">
      <c r="A127" s="12" t="s">
        <v>2719</v>
      </c>
      <c r="B127" s="36">
        <v>45978</v>
      </c>
      <c r="C127" s="12">
        <f t="shared" si="5"/>
        <v>126</v>
      </c>
      <c r="D127" s="12">
        <v>1</v>
      </c>
      <c r="G127" s="12" t="s">
        <v>2377</v>
      </c>
      <c r="H127" s="12" t="s">
        <v>4404</v>
      </c>
      <c r="I127" s="12">
        <v>331</v>
      </c>
      <c r="J127" s="12">
        <v>1111</v>
      </c>
      <c r="K127" s="12" t="s">
        <v>20</v>
      </c>
      <c r="L127" s="12">
        <v>1</v>
      </c>
      <c r="M127" s="17">
        <v>710000</v>
      </c>
      <c r="N127" s="17">
        <f t="shared" si="6"/>
        <v>710000</v>
      </c>
      <c r="O127" s="12" t="s">
        <v>21</v>
      </c>
      <c r="P127" s="12">
        <f t="shared" si="7"/>
        <v>98</v>
      </c>
    </row>
    <row r="128" spans="1:16" ht="15" customHeight="1" x14ac:dyDescent="0.2">
      <c r="A128" s="12" t="s">
        <v>2719</v>
      </c>
      <c r="B128" s="36">
        <v>45985</v>
      </c>
      <c r="C128" s="12">
        <f t="shared" si="5"/>
        <v>127</v>
      </c>
      <c r="D128" s="12">
        <v>1</v>
      </c>
      <c r="G128" s="12" t="s">
        <v>2371</v>
      </c>
      <c r="H128" s="12" t="s">
        <v>4405</v>
      </c>
      <c r="I128" s="12">
        <v>331</v>
      </c>
      <c r="J128" s="12">
        <v>1111</v>
      </c>
      <c r="K128" s="12" t="s">
        <v>20</v>
      </c>
      <c r="L128" s="12">
        <v>1</v>
      </c>
      <c r="M128" s="17">
        <v>991440</v>
      </c>
      <c r="N128" s="17">
        <f t="shared" si="6"/>
        <v>991440</v>
      </c>
      <c r="O128" s="12" t="s">
        <v>21</v>
      </c>
      <c r="P128" s="12">
        <f t="shared" si="7"/>
        <v>99</v>
      </c>
    </row>
    <row r="129" spans="1:16" ht="15" customHeight="1" x14ac:dyDescent="0.2">
      <c r="A129" s="12" t="s">
        <v>2719</v>
      </c>
      <c r="B129" s="36">
        <v>45990</v>
      </c>
      <c r="C129" s="12">
        <f t="shared" si="5"/>
        <v>128</v>
      </c>
      <c r="D129" s="12">
        <v>1</v>
      </c>
      <c r="G129" s="12" t="s">
        <v>2378</v>
      </c>
      <c r="H129" s="12" t="s">
        <v>4406</v>
      </c>
      <c r="I129" s="12">
        <v>331</v>
      </c>
      <c r="J129" s="12">
        <v>1111</v>
      </c>
      <c r="K129" s="12" t="s">
        <v>20</v>
      </c>
      <c r="L129" s="12">
        <v>1</v>
      </c>
      <c r="M129" s="17">
        <v>1287360</v>
      </c>
      <c r="N129" s="17">
        <f t="shared" si="6"/>
        <v>1287360</v>
      </c>
      <c r="O129" s="12" t="s">
        <v>21</v>
      </c>
      <c r="P129" s="12">
        <f t="shared" si="7"/>
        <v>100</v>
      </c>
    </row>
    <row r="130" spans="1:16" ht="15" customHeight="1" x14ac:dyDescent="0.2">
      <c r="A130" s="12" t="s">
        <v>2719</v>
      </c>
      <c r="B130" s="36">
        <v>45991</v>
      </c>
      <c r="C130" s="12">
        <f t="shared" si="5"/>
        <v>129</v>
      </c>
      <c r="D130" s="12">
        <v>1</v>
      </c>
      <c r="G130" s="12" t="s">
        <v>41</v>
      </c>
      <c r="H130" s="12" t="s">
        <v>4407</v>
      </c>
      <c r="I130" s="12">
        <v>331</v>
      </c>
      <c r="J130" s="12">
        <v>1111</v>
      </c>
      <c r="K130" s="12" t="s">
        <v>20</v>
      </c>
      <c r="L130" s="12">
        <v>1</v>
      </c>
      <c r="M130" s="17">
        <v>3159000</v>
      </c>
      <c r="N130" s="17">
        <f t="shared" si="6"/>
        <v>3159000</v>
      </c>
      <c r="O130" s="12" t="s">
        <v>21</v>
      </c>
      <c r="P130" s="12">
        <f t="shared" si="7"/>
        <v>101</v>
      </c>
    </row>
    <row r="131" spans="1:16" ht="15" customHeight="1" x14ac:dyDescent="0.2">
      <c r="A131" s="12" t="s">
        <v>2719</v>
      </c>
      <c r="B131" s="36">
        <v>45995</v>
      </c>
      <c r="C131" s="12">
        <f t="shared" si="5"/>
        <v>130</v>
      </c>
      <c r="D131" s="12">
        <v>1</v>
      </c>
      <c r="G131" s="12" t="s">
        <v>37</v>
      </c>
      <c r="H131" s="12" t="s">
        <v>4408</v>
      </c>
      <c r="I131" s="12">
        <v>331</v>
      </c>
      <c r="J131" s="12">
        <v>1111</v>
      </c>
      <c r="K131" s="12" t="s">
        <v>20</v>
      </c>
      <c r="L131" s="12">
        <v>1</v>
      </c>
      <c r="M131" s="17">
        <v>3240000</v>
      </c>
      <c r="N131" s="17">
        <f t="shared" si="6"/>
        <v>3240000</v>
      </c>
      <c r="O131" s="12" t="s">
        <v>21</v>
      </c>
      <c r="P131" s="12">
        <f t="shared" si="7"/>
        <v>102</v>
      </c>
    </row>
    <row r="132" spans="1:16" ht="15" customHeight="1" x14ac:dyDescent="0.2">
      <c r="A132" s="12" t="s">
        <v>2719</v>
      </c>
      <c r="B132" s="36">
        <v>46001</v>
      </c>
      <c r="C132" s="12">
        <f t="shared" si="5"/>
        <v>131</v>
      </c>
      <c r="D132" s="12">
        <v>1</v>
      </c>
      <c r="G132" s="12" t="s">
        <v>41</v>
      </c>
      <c r="H132" s="12" t="s">
        <v>4409</v>
      </c>
      <c r="I132" s="12">
        <v>331</v>
      </c>
      <c r="J132" s="12">
        <v>1111</v>
      </c>
      <c r="K132" s="12" t="s">
        <v>20</v>
      </c>
      <c r="L132" s="12">
        <v>1</v>
      </c>
      <c r="M132" s="17">
        <v>2545560</v>
      </c>
      <c r="N132" s="17">
        <f t="shared" si="6"/>
        <v>2545560</v>
      </c>
      <c r="O132" s="12" t="s">
        <v>21</v>
      </c>
      <c r="P132" s="12">
        <f t="shared" si="7"/>
        <v>103</v>
      </c>
    </row>
    <row r="133" spans="1:16" ht="15" customHeight="1" x14ac:dyDescent="0.2">
      <c r="A133" s="12" t="s">
        <v>2719</v>
      </c>
      <c r="B133" s="36">
        <v>46003</v>
      </c>
      <c r="C133" s="12">
        <f t="shared" ref="C133:C138" si="12">C132+D133</f>
        <v>132</v>
      </c>
      <c r="D133" s="12">
        <v>1</v>
      </c>
      <c r="G133" s="12" t="s">
        <v>30</v>
      </c>
      <c r="H133" s="12" t="s">
        <v>4410</v>
      </c>
      <c r="I133" s="12">
        <v>331</v>
      </c>
      <c r="J133" s="12">
        <v>1111</v>
      </c>
      <c r="K133" s="12" t="s">
        <v>20</v>
      </c>
      <c r="L133" s="12">
        <v>1</v>
      </c>
      <c r="M133" s="17">
        <v>6695000</v>
      </c>
      <c r="N133" s="17">
        <f t="shared" ref="N133:N138" si="13">L133*M133</f>
        <v>6695000</v>
      </c>
      <c r="O133" s="12" t="s">
        <v>21</v>
      </c>
      <c r="P133" s="12">
        <f t="shared" si="7"/>
        <v>104</v>
      </c>
    </row>
    <row r="134" spans="1:16" ht="15" customHeight="1" x14ac:dyDescent="0.2">
      <c r="A134" s="12" t="s">
        <v>2719</v>
      </c>
      <c r="B134" s="36">
        <v>46003</v>
      </c>
      <c r="C134" s="12">
        <f t="shared" si="12"/>
        <v>133</v>
      </c>
      <c r="D134" s="12">
        <v>1</v>
      </c>
      <c r="G134" s="12" t="s">
        <v>75</v>
      </c>
      <c r="H134" s="12" t="s">
        <v>4411</v>
      </c>
      <c r="I134" s="12">
        <v>331</v>
      </c>
      <c r="J134" s="12">
        <v>1111</v>
      </c>
      <c r="K134" s="12" t="s">
        <v>20</v>
      </c>
      <c r="L134" s="12">
        <v>1</v>
      </c>
      <c r="M134" s="17">
        <v>900000</v>
      </c>
      <c r="N134" s="17">
        <f t="shared" si="13"/>
        <v>900000</v>
      </c>
      <c r="O134" s="12" t="s">
        <v>21</v>
      </c>
      <c r="P134" s="12">
        <f t="shared" si="7"/>
        <v>105</v>
      </c>
    </row>
    <row r="135" spans="1:16" ht="15" customHeight="1" x14ac:dyDescent="0.2">
      <c r="A135" s="12" t="s">
        <v>2719</v>
      </c>
      <c r="B135" s="36" t="s">
        <v>2513</v>
      </c>
      <c r="C135" s="12">
        <f t="shared" si="12"/>
        <v>134</v>
      </c>
      <c r="D135" s="12">
        <v>1</v>
      </c>
      <c r="G135" s="12" t="s">
        <v>41</v>
      </c>
      <c r="H135" s="12" t="s">
        <v>4412</v>
      </c>
      <c r="I135" s="12">
        <v>331</v>
      </c>
      <c r="J135" s="12">
        <v>1111</v>
      </c>
      <c r="K135" s="12" t="s">
        <v>20</v>
      </c>
      <c r="L135" s="12">
        <v>1</v>
      </c>
      <c r="M135" s="17">
        <v>1933200</v>
      </c>
      <c r="N135" s="17">
        <f t="shared" si="13"/>
        <v>1933200</v>
      </c>
      <c r="O135" s="12" t="s">
        <v>21</v>
      </c>
      <c r="P135" s="12">
        <f t="shared" ref="P135:P138" si="14">P134+D135</f>
        <v>106</v>
      </c>
    </row>
    <row r="136" spans="1:16" ht="15" customHeight="1" x14ac:dyDescent="0.2">
      <c r="A136" s="12" t="s">
        <v>2719</v>
      </c>
      <c r="B136" s="36">
        <v>45961</v>
      </c>
      <c r="C136" s="12">
        <f t="shared" si="12"/>
        <v>135</v>
      </c>
      <c r="D136" s="12">
        <v>1</v>
      </c>
      <c r="G136" s="12" t="s">
        <v>93</v>
      </c>
      <c r="H136" s="12" t="s">
        <v>2684</v>
      </c>
      <c r="I136" s="12">
        <v>3383</v>
      </c>
      <c r="J136" s="12">
        <v>1111</v>
      </c>
      <c r="K136" s="12" t="s">
        <v>20</v>
      </c>
      <c r="L136" s="12">
        <v>1</v>
      </c>
      <c r="M136" s="17">
        <v>690300</v>
      </c>
      <c r="N136" s="134">
        <f t="shared" si="13"/>
        <v>690300</v>
      </c>
      <c r="O136" s="12" t="s">
        <v>21</v>
      </c>
      <c r="P136" s="12">
        <f t="shared" si="14"/>
        <v>107</v>
      </c>
    </row>
    <row r="137" spans="1:16" ht="15" customHeight="1" x14ac:dyDescent="0.2">
      <c r="A137" s="12" t="s">
        <v>2719</v>
      </c>
      <c r="B137" s="36">
        <v>45991</v>
      </c>
      <c r="C137" s="12">
        <f t="shared" si="12"/>
        <v>136</v>
      </c>
      <c r="D137" s="12">
        <v>1</v>
      </c>
      <c r="G137" s="12" t="s">
        <v>93</v>
      </c>
      <c r="H137" s="12" t="s">
        <v>2685</v>
      </c>
      <c r="I137" s="12">
        <v>3383</v>
      </c>
      <c r="J137" s="12">
        <v>1111</v>
      </c>
      <c r="K137" s="12" t="s">
        <v>20</v>
      </c>
      <c r="L137" s="12">
        <v>1</v>
      </c>
      <c r="M137" s="17">
        <v>690300</v>
      </c>
      <c r="N137" s="134">
        <f t="shared" si="13"/>
        <v>690300</v>
      </c>
      <c r="O137" s="12" t="s">
        <v>21</v>
      </c>
      <c r="P137" s="12">
        <f t="shared" si="14"/>
        <v>108</v>
      </c>
    </row>
    <row r="138" spans="1:16" ht="15" customHeight="1" x14ac:dyDescent="0.2">
      <c r="A138" s="12" t="s">
        <v>2719</v>
      </c>
      <c r="B138" s="36">
        <v>46022</v>
      </c>
      <c r="C138" s="12">
        <f t="shared" si="12"/>
        <v>137</v>
      </c>
      <c r="D138" s="12">
        <v>1</v>
      </c>
      <c r="G138" s="12" t="s">
        <v>93</v>
      </c>
      <c r="H138" s="12" t="s">
        <v>3036</v>
      </c>
      <c r="I138" s="12">
        <v>3383</v>
      </c>
      <c r="J138" s="12">
        <v>1111</v>
      </c>
      <c r="K138" s="12" t="s">
        <v>20</v>
      </c>
      <c r="L138" s="12">
        <v>1</v>
      </c>
      <c r="M138" s="17">
        <v>690300</v>
      </c>
      <c r="N138" s="134">
        <f t="shared" si="13"/>
        <v>690300</v>
      </c>
      <c r="O138" s="12" t="s">
        <v>21</v>
      </c>
      <c r="P138" s="12">
        <f t="shared" si="14"/>
        <v>109</v>
      </c>
    </row>
    <row r="139" spans="1:16" ht="15" customHeight="1" x14ac:dyDescent="0.2">
      <c r="A139" s="12" t="s">
        <v>2719</v>
      </c>
      <c r="B139" s="36">
        <v>45930</v>
      </c>
      <c r="C139" s="12">
        <f t="shared" ref="C139" si="15">C138+D139</f>
        <v>138</v>
      </c>
      <c r="D139" s="12">
        <v>1</v>
      </c>
      <c r="G139" s="12" t="s">
        <v>93</v>
      </c>
      <c r="H139" s="12" t="s">
        <v>3164</v>
      </c>
      <c r="I139" s="12">
        <v>3383</v>
      </c>
      <c r="J139" s="12">
        <v>1111</v>
      </c>
      <c r="K139" s="12" t="s">
        <v>20</v>
      </c>
      <c r="L139" s="12">
        <v>1</v>
      </c>
      <c r="M139" s="17">
        <v>690300</v>
      </c>
      <c r="N139" s="134">
        <f t="shared" ref="N139" si="16">L139*M139</f>
        <v>690300</v>
      </c>
      <c r="O139" s="12" t="s">
        <v>21</v>
      </c>
      <c r="P139" s="12">
        <f t="shared" ref="P139" si="17">P138+D139</f>
        <v>110</v>
      </c>
    </row>
    <row r="140" spans="1:16" ht="15" customHeight="1" x14ac:dyDescent="0.2">
      <c r="A140" s="12" t="s">
        <v>2679</v>
      </c>
      <c r="B140" s="36">
        <v>45957</v>
      </c>
      <c r="C140" s="12">
        <f t="shared" ref="C140:C141" si="18">C139+D140</f>
        <v>139</v>
      </c>
      <c r="D140" s="12">
        <v>1</v>
      </c>
      <c r="G140" s="136" t="s">
        <v>285</v>
      </c>
      <c r="H140" s="12" t="s">
        <v>2687</v>
      </c>
      <c r="I140" s="12">
        <v>112111</v>
      </c>
      <c r="J140" s="12">
        <v>5154</v>
      </c>
      <c r="K140" s="12" t="s">
        <v>20</v>
      </c>
      <c r="L140" s="12">
        <v>1</v>
      </c>
      <c r="M140" s="17">
        <v>2922</v>
      </c>
      <c r="N140" s="134">
        <f t="shared" ref="N140:N141" si="19">L140*M140</f>
        <v>2922</v>
      </c>
      <c r="O140" s="12" t="s">
        <v>21</v>
      </c>
      <c r="P140" s="12">
        <f t="shared" ref="P140:P141" si="20">P139+D140</f>
        <v>111</v>
      </c>
    </row>
    <row r="141" spans="1:16" ht="15" customHeight="1" x14ac:dyDescent="0.2">
      <c r="A141" s="12" t="s">
        <v>2679</v>
      </c>
      <c r="B141" s="36">
        <v>45988</v>
      </c>
      <c r="C141" s="12">
        <f t="shared" si="18"/>
        <v>140</v>
      </c>
      <c r="D141" s="12">
        <v>1</v>
      </c>
      <c r="G141" s="136" t="s">
        <v>285</v>
      </c>
      <c r="H141" s="12" t="s">
        <v>2687</v>
      </c>
      <c r="I141" s="12">
        <v>112111</v>
      </c>
      <c r="J141" s="12">
        <v>5154</v>
      </c>
      <c r="K141" s="12" t="s">
        <v>20</v>
      </c>
      <c r="L141" s="12">
        <v>1</v>
      </c>
      <c r="M141" s="17">
        <v>11708</v>
      </c>
      <c r="N141" s="134">
        <f t="shared" si="19"/>
        <v>11708</v>
      </c>
      <c r="O141" s="12" t="s">
        <v>21</v>
      </c>
      <c r="P141" s="12">
        <f t="shared" si="20"/>
        <v>112</v>
      </c>
    </row>
  </sheetData>
  <autoFilter ref="A3:P139" xr:uid="{00000000-0009-0000-0000-000015000000}">
    <sortState xmlns:xlrd2="http://schemas.microsoft.com/office/spreadsheetml/2017/richdata2" ref="A4:P80">
      <sortCondition ref="P3:P76"/>
    </sortState>
  </autoFilter>
  <sortState xmlns:xlrd2="http://schemas.microsoft.com/office/spreadsheetml/2017/richdata2" ref="T4:U50">
    <sortCondition ref="U4:U50"/>
  </sortState>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500-00000000000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AB135"/>
  <sheetViews>
    <sheetView topLeftCell="A97" workbookViewId="0">
      <selection activeCell="P1" sqref="P1"/>
    </sheetView>
  </sheetViews>
  <sheetFormatPr defaultRowHeight="15" customHeight="1" x14ac:dyDescent="0.2"/>
  <cols>
    <col min="1" max="1" width="9.140625" style="12"/>
    <col min="2" max="2" width="9.140625" style="135"/>
    <col min="3" max="6" width="9.140625" style="12"/>
    <col min="7" max="7" width="9.140625" style="14"/>
    <col min="8" max="8" width="28.28515625" style="12" customWidth="1"/>
    <col min="9" max="12" width="9.140625" style="12"/>
    <col min="13" max="13" width="12" style="17" bestFit="1" customWidth="1"/>
    <col min="14" max="14" width="10.7109375" style="17" bestFit="1" customWidth="1"/>
    <col min="15" max="17" width="9.140625" style="12"/>
    <col min="18" max="28" width="9.140625" style="14"/>
    <col min="29" max="16384" width="9.140625" style="12"/>
  </cols>
  <sheetData>
    <row r="1" spans="1:16" ht="15" customHeight="1" thickBot="1" x14ac:dyDescent="0.25">
      <c r="A1" s="204" t="s">
        <v>0</v>
      </c>
      <c r="B1" s="247"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16" ht="15" customHeight="1" thickBot="1" x14ac:dyDescent="0.25">
      <c r="A2" s="205"/>
      <c r="B2" s="248"/>
      <c r="C2" s="205"/>
      <c r="D2" s="208"/>
      <c r="E2" s="208"/>
      <c r="F2" s="203"/>
      <c r="G2" s="212"/>
      <c r="H2" s="214"/>
      <c r="I2" s="46" t="s">
        <v>13</v>
      </c>
      <c r="J2" s="47" t="s">
        <v>14</v>
      </c>
      <c r="K2" s="205"/>
      <c r="L2" s="205"/>
      <c r="M2" s="218"/>
      <c r="N2" s="218"/>
      <c r="O2" s="38" t="s">
        <v>100</v>
      </c>
      <c r="P2" s="38"/>
    </row>
    <row r="3" spans="1:16" ht="15" customHeight="1" x14ac:dyDescent="0.2">
      <c r="A3" s="48"/>
      <c r="B3" s="86"/>
      <c r="C3" s="48">
        <v>23</v>
      </c>
      <c r="D3" s="49"/>
      <c r="E3" s="49"/>
      <c r="F3" s="49"/>
      <c r="G3" s="51" t="s">
        <v>15</v>
      </c>
      <c r="H3" s="52"/>
      <c r="I3" s="52"/>
      <c r="J3" s="52"/>
      <c r="K3" s="48"/>
      <c r="L3" s="48"/>
      <c r="M3" s="84"/>
      <c r="N3" s="84"/>
      <c r="O3" s="38" t="s">
        <v>16</v>
      </c>
      <c r="P3" s="38" t="s">
        <v>17</v>
      </c>
    </row>
    <row r="4" spans="1:16" ht="15" customHeight="1" x14ac:dyDescent="0.2">
      <c r="A4" s="12" t="s">
        <v>18</v>
      </c>
      <c r="B4" s="36" t="s">
        <v>443</v>
      </c>
      <c r="C4" s="12">
        <f t="shared" ref="C4:C35" si="0">C3+D4</f>
        <v>24</v>
      </c>
      <c r="D4" s="12">
        <v>1</v>
      </c>
      <c r="G4" s="14" t="s">
        <v>2383</v>
      </c>
      <c r="H4" s="12" t="s">
        <v>2465</v>
      </c>
      <c r="I4" s="12">
        <v>64277</v>
      </c>
      <c r="J4" s="12">
        <v>331</v>
      </c>
      <c r="K4" s="12" t="s">
        <v>20</v>
      </c>
      <c r="L4" s="12">
        <v>1</v>
      </c>
      <c r="M4" s="17">
        <v>1448514</v>
      </c>
      <c r="N4" s="17">
        <f t="shared" ref="N4:N35" si="1">L4*M4</f>
        <v>1448514</v>
      </c>
      <c r="O4" s="12" t="s">
        <v>21</v>
      </c>
      <c r="P4" s="12">
        <v>1</v>
      </c>
    </row>
    <row r="5" spans="1:16" ht="15" customHeight="1" x14ac:dyDescent="0.2">
      <c r="A5" s="12" t="s">
        <v>18</v>
      </c>
      <c r="B5" s="36" t="s">
        <v>310</v>
      </c>
      <c r="C5" s="12">
        <f t="shared" si="0"/>
        <v>25</v>
      </c>
      <c r="D5" s="12">
        <v>1</v>
      </c>
      <c r="G5" s="14" t="s">
        <v>37</v>
      </c>
      <c r="H5" s="12" t="s">
        <v>2395</v>
      </c>
      <c r="I5" s="12">
        <v>64277</v>
      </c>
      <c r="J5" s="12">
        <v>331</v>
      </c>
      <c r="K5" s="12" t="s">
        <v>20</v>
      </c>
      <c r="L5" s="12">
        <v>1</v>
      </c>
      <c r="M5" s="17">
        <v>2160000</v>
      </c>
      <c r="N5" s="17">
        <f t="shared" si="1"/>
        <v>2160000</v>
      </c>
      <c r="O5" s="12" t="s">
        <v>21</v>
      </c>
      <c r="P5" s="12">
        <f>P4+D5</f>
        <v>2</v>
      </c>
    </row>
    <row r="6" spans="1:16" ht="15" customHeight="1" x14ac:dyDescent="0.2">
      <c r="A6" s="12" t="s">
        <v>18</v>
      </c>
      <c r="B6" s="36" t="s">
        <v>866</v>
      </c>
      <c r="C6" s="12">
        <f t="shared" si="0"/>
        <v>26</v>
      </c>
      <c r="D6" s="12">
        <v>1</v>
      </c>
      <c r="G6" s="14" t="s">
        <v>2384</v>
      </c>
      <c r="H6" s="12" t="s">
        <v>2466</v>
      </c>
      <c r="I6" s="12">
        <v>64277</v>
      </c>
      <c r="J6" s="12">
        <v>331</v>
      </c>
      <c r="K6" s="12" t="s">
        <v>20</v>
      </c>
      <c r="L6" s="12">
        <v>1</v>
      </c>
      <c r="M6" s="17">
        <v>972000</v>
      </c>
      <c r="N6" s="17">
        <f t="shared" si="1"/>
        <v>972000</v>
      </c>
      <c r="O6" s="12" t="s">
        <v>21</v>
      </c>
      <c r="P6" s="12">
        <f t="shared" ref="P6:P69" si="2">P5+D6</f>
        <v>3</v>
      </c>
    </row>
    <row r="7" spans="1:16" ht="15" customHeight="1" x14ac:dyDescent="0.2">
      <c r="A7" s="12" t="s">
        <v>18</v>
      </c>
      <c r="B7" s="36" t="s">
        <v>290</v>
      </c>
      <c r="C7" s="12">
        <f t="shared" si="0"/>
        <v>27</v>
      </c>
      <c r="D7" s="12">
        <v>1</v>
      </c>
      <c r="G7" s="14" t="s">
        <v>2385</v>
      </c>
      <c r="H7" s="12" t="s">
        <v>2467</v>
      </c>
      <c r="I7" s="12">
        <v>64277</v>
      </c>
      <c r="J7" s="12">
        <v>331</v>
      </c>
      <c r="K7" s="12" t="s">
        <v>20</v>
      </c>
      <c r="L7" s="12">
        <v>1</v>
      </c>
      <c r="M7" s="17">
        <v>2392008</v>
      </c>
      <c r="N7" s="17">
        <f t="shared" si="1"/>
        <v>2392008</v>
      </c>
      <c r="O7" s="12" t="s">
        <v>21</v>
      </c>
      <c r="P7" s="12">
        <f t="shared" si="2"/>
        <v>4</v>
      </c>
    </row>
    <row r="8" spans="1:16" ht="15" customHeight="1" x14ac:dyDescent="0.2">
      <c r="A8" s="12" t="s">
        <v>18</v>
      </c>
      <c r="B8" s="36" t="s">
        <v>447</v>
      </c>
      <c r="C8" s="12">
        <f t="shared" si="0"/>
        <v>28</v>
      </c>
      <c r="D8" s="12">
        <v>1</v>
      </c>
      <c r="G8" s="14" t="s">
        <v>2383</v>
      </c>
      <c r="H8" s="12" t="s">
        <v>2468</v>
      </c>
      <c r="I8" s="12">
        <v>64277</v>
      </c>
      <c r="J8" s="12">
        <v>331</v>
      </c>
      <c r="K8" s="12" t="s">
        <v>20</v>
      </c>
      <c r="L8" s="12">
        <v>1</v>
      </c>
      <c r="M8" s="17">
        <v>1468188</v>
      </c>
      <c r="N8" s="17">
        <f t="shared" si="1"/>
        <v>1468188</v>
      </c>
      <c r="O8" s="12" t="s">
        <v>21</v>
      </c>
      <c r="P8" s="12">
        <f t="shared" si="2"/>
        <v>5</v>
      </c>
    </row>
    <row r="9" spans="1:16" ht="15" customHeight="1" x14ac:dyDescent="0.2">
      <c r="A9" s="12" t="s">
        <v>18</v>
      </c>
      <c r="B9" s="36" t="s">
        <v>599</v>
      </c>
      <c r="C9" s="12">
        <f t="shared" si="0"/>
        <v>29</v>
      </c>
      <c r="D9" s="12">
        <v>1</v>
      </c>
      <c r="G9" s="14" t="s">
        <v>2386</v>
      </c>
      <c r="H9" s="12" t="s">
        <v>2396</v>
      </c>
      <c r="I9" s="12">
        <v>64277</v>
      </c>
      <c r="J9" s="12">
        <v>331</v>
      </c>
      <c r="K9" s="12" t="s">
        <v>20</v>
      </c>
      <c r="L9" s="12">
        <v>1</v>
      </c>
      <c r="M9" s="17">
        <v>5500</v>
      </c>
      <c r="N9" s="17">
        <f t="shared" si="1"/>
        <v>5500</v>
      </c>
      <c r="O9" s="12" t="s">
        <v>21</v>
      </c>
      <c r="P9" s="12">
        <f t="shared" si="2"/>
        <v>6</v>
      </c>
    </row>
    <row r="10" spans="1:16" ht="15" customHeight="1" x14ac:dyDescent="0.2">
      <c r="A10" s="12" t="s">
        <v>18</v>
      </c>
      <c r="B10" s="36" t="s">
        <v>377</v>
      </c>
      <c r="C10" s="12">
        <f t="shared" si="0"/>
        <v>30</v>
      </c>
      <c r="D10" s="12">
        <v>1</v>
      </c>
      <c r="G10" s="14" t="s">
        <v>24</v>
      </c>
      <c r="H10" s="12" t="s">
        <v>2470</v>
      </c>
      <c r="I10" s="12">
        <v>64276</v>
      </c>
      <c r="J10" s="12">
        <v>331</v>
      </c>
      <c r="K10" s="12" t="s">
        <v>20</v>
      </c>
      <c r="L10" s="12">
        <v>1</v>
      </c>
      <c r="M10" s="17">
        <v>63000</v>
      </c>
      <c r="N10" s="17">
        <f t="shared" si="1"/>
        <v>63000</v>
      </c>
      <c r="O10" s="12" t="s">
        <v>21</v>
      </c>
      <c r="P10" s="12">
        <f t="shared" si="2"/>
        <v>7</v>
      </c>
    </row>
    <row r="11" spans="1:16" ht="15" customHeight="1" x14ac:dyDescent="0.2">
      <c r="A11" s="12" t="s">
        <v>18</v>
      </c>
      <c r="B11" s="36" t="s">
        <v>450</v>
      </c>
      <c r="C11" s="12">
        <f t="shared" si="0"/>
        <v>31</v>
      </c>
      <c r="D11" s="12">
        <v>1</v>
      </c>
      <c r="G11" s="14" t="s">
        <v>37</v>
      </c>
      <c r="H11" s="12" t="s">
        <v>2397</v>
      </c>
      <c r="I11" s="12">
        <v>64277</v>
      </c>
      <c r="J11" s="12">
        <v>331</v>
      </c>
      <c r="K11" s="12" t="s">
        <v>20</v>
      </c>
      <c r="L11" s="12">
        <v>1</v>
      </c>
      <c r="M11" s="17">
        <v>2160000</v>
      </c>
      <c r="N11" s="17">
        <f t="shared" si="1"/>
        <v>2160000</v>
      </c>
      <c r="O11" s="12" t="s">
        <v>21</v>
      </c>
      <c r="P11" s="12">
        <f t="shared" si="2"/>
        <v>8</v>
      </c>
    </row>
    <row r="12" spans="1:16" ht="15" customHeight="1" x14ac:dyDescent="0.2">
      <c r="A12" s="12" t="s">
        <v>18</v>
      </c>
      <c r="B12" s="36" t="s">
        <v>292</v>
      </c>
      <c r="C12" s="12">
        <f t="shared" si="0"/>
        <v>32</v>
      </c>
      <c r="D12" s="12">
        <v>1</v>
      </c>
      <c r="G12" s="14" t="s">
        <v>48</v>
      </c>
      <c r="H12" s="12" t="s">
        <v>2398</v>
      </c>
      <c r="I12" s="12">
        <v>64277</v>
      </c>
      <c r="J12" s="12">
        <v>331</v>
      </c>
      <c r="K12" s="12" t="s">
        <v>20</v>
      </c>
      <c r="L12" s="12">
        <v>1</v>
      </c>
      <c r="M12" s="17">
        <v>403</v>
      </c>
      <c r="N12" s="17">
        <f t="shared" si="1"/>
        <v>403</v>
      </c>
      <c r="O12" s="12" t="s">
        <v>21</v>
      </c>
      <c r="P12" s="12">
        <f t="shared" si="2"/>
        <v>9</v>
      </c>
    </row>
    <row r="13" spans="1:16" ht="15" customHeight="1" x14ac:dyDescent="0.2">
      <c r="A13" s="12" t="s">
        <v>18</v>
      </c>
      <c r="B13" s="36" t="s">
        <v>418</v>
      </c>
      <c r="C13" s="12">
        <f t="shared" si="0"/>
        <v>33</v>
      </c>
      <c r="D13" s="12">
        <v>1</v>
      </c>
      <c r="G13" s="14" t="s">
        <v>2387</v>
      </c>
      <c r="H13" s="12" t="s">
        <v>2469</v>
      </c>
      <c r="I13" s="12">
        <v>64277</v>
      </c>
      <c r="J13" s="12">
        <v>331</v>
      </c>
      <c r="K13" s="12" t="s">
        <v>20</v>
      </c>
      <c r="L13" s="12">
        <v>1</v>
      </c>
      <c r="M13" s="17">
        <v>280800</v>
      </c>
      <c r="N13" s="17">
        <f t="shared" si="1"/>
        <v>280800</v>
      </c>
      <c r="O13" s="12" t="s">
        <v>21</v>
      </c>
      <c r="P13" s="12">
        <f t="shared" si="2"/>
        <v>10</v>
      </c>
    </row>
    <row r="14" spans="1:16" ht="15" customHeight="1" x14ac:dyDescent="0.2">
      <c r="A14" s="12" t="s">
        <v>18</v>
      </c>
      <c r="B14" s="36" t="s">
        <v>453</v>
      </c>
      <c r="C14" s="12">
        <f t="shared" si="0"/>
        <v>34</v>
      </c>
      <c r="D14" s="12">
        <v>1</v>
      </c>
      <c r="G14" s="14" t="s">
        <v>37</v>
      </c>
      <c r="H14" s="12" t="s">
        <v>2399</v>
      </c>
      <c r="I14" s="12">
        <v>64277</v>
      </c>
      <c r="J14" s="12">
        <v>331</v>
      </c>
      <c r="K14" s="12" t="s">
        <v>20</v>
      </c>
      <c r="L14" s="12">
        <v>1</v>
      </c>
      <c r="M14" s="17">
        <v>2160000</v>
      </c>
      <c r="N14" s="17">
        <f t="shared" si="1"/>
        <v>2160000</v>
      </c>
      <c r="O14" s="12" t="s">
        <v>21</v>
      </c>
      <c r="P14" s="12">
        <f t="shared" si="2"/>
        <v>11</v>
      </c>
    </row>
    <row r="15" spans="1:16" ht="15" customHeight="1" x14ac:dyDescent="0.2">
      <c r="A15" s="12" t="s">
        <v>18</v>
      </c>
      <c r="B15" s="36" t="s">
        <v>524</v>
      </c>
      <c r="C15" s="12">
        <f t="shared" si="0"/>
        <v>35</v>
      </c>
      <c r="D15" s="12">
        <v>1</v>
      </c>
      <c r="G15" s="14" t="s">
        <v>48</v>
      </c>
      <c r="H15" s="12" t="s">
        <v>2400</v>
      </c>
      <c r="I15" s="12">
        <v>64277</v>
      </c>
      <c r="J15" s="12">
        <v>331</v>
      </c>
      <c r="K15" s="12" t="s">
        <v>20</v>
      </c>
      <c r="L15" s="12">
        <v>1</v>
      </c>
      <c r="M15" s="17">
        <v>128</v>
      </c>
      <c r="N15" s="17">
        <f t="shared" si="1"/>
        <v>128</v>
      </c>
      <c r="O15" s="12" t="s">
        <v>21</v>
      </c>
      <c r="P15" s="12">
        <f t="shared" si="2"/>
        <v>12</v>
      </c>
    </row>
    <row r="16" spans="1:16" ht="15" customHeight="1" x14ac:dyDescent="0.2">
      <c r="A16" s="12" t="s">
        <v>18</v>
      </c>
      <c r="B16" s="36" t="s">
        <v>309</v>
      </c>
      <c r="C16" s="12">
        <f t="shared" si="0"/>
        <v>36</v>
      </c>
      <c r="D16" s="12">
        <v>1</v>
      </c>
      <c r="G16" s="14" t="s">
        <v>2388</v>
      </c>
      <c r="H16" s="12" t="s">
        <v>2401</v>
      </c>
      <c r="I16" s="12">
        <v>131</v>
      </c>
      <c r="J16" s="12">
        <v>5113</v>
      </c>
      <c r="K16" s="12" t="s">
        <v>20</v>
      </c>
      <c r="L16" s="12">
        <v>1</v>
      </c>
      <c r="M16" s="17">
        <v>8064516</v>
      </c>
      <c r="N16" s="17">
        <f t="shared" si="1"/>
        <v>8064516</v>
      </c>
      <c r="O16" s="12" t="s">
        <v>21</v>
      </c>
      <c r="P16" s="12">
        <f t="shared" si="2"/>
        <v>13</v>
      </c>
    </row>
    <row r="17" spans="1:16" ht="15" customHeight="1" x14ac:dyDescent="0.2">
      <c r="A17" s="12" t="s">
        <v>18</v>
      </c>
      <c r="B17" s="135" t="s">
        <v>309</v>
      </c>
      <c r="C17" s="12">
        <f t="shared" si="0"/>
        <v>36</v>
      </c>
      <c r="D17" s="12">
        <v>0</v>
      </c>
      <c r="G17" s="14" t="s">
        <v>2388</v>
      </c>
      <c r="H17" s="12" t="s">
        <v>2433</v>
      </c>
      <c r="I17" s="12">
        <v>333821</v>
      </c>
      <c r="J17" s="12">
        <v>131</v>
      </c>
      <c r="K17" s="12" t="s">
        <v>20</v>
      </c>
      <c r="L17" s="12">
        <v>1</v>
      </c>
      <c r="M17" s="17">
        <v>80645</v>
      </c>
      <c r="N17" s="17">
        <f t="shared" si="1"/>
        <v>80645</v>
      </c>
      <c r="O17" s="12" t="s">
        <v>21</v>
      </c>
      <c r="P17" s="12">
        <f t="shared" si="2"/>
        <v>13</v>
      </c>
    </row>
    <row r="18" spans="1:16" ht="15" customHeight="1" x14ac:dyDescent="0.2">
      <c r="A18" s="12" t="s">
        <v>18</v>
      </c>
      <c r="B18" s="36" t="s">
        <v>445</v>
      </c>
      <c r="C18" s="12">
        <f t="shared" si="0"/>
        <v>37</v>
      </c>
      <c r="D18" s="12">
        <v>1</v>
      </c>
      <c r="G18" s="14" t="s">
        <v>2389</v>
      </c>
      <c r="H18" s="12" t="s">
        <v>2402</v>
      </c>
      <c r="I18" s="12">
        <v>131</v>
      </c>
      <c r="J18" s="12">
        <v>5113</v>
      </c>
      <c r="K18" s="12" t="s">
        <v>20</v>
      </c>
      <c r="L18" s="12">
        <v>1</v>
      </c>
      <c r="M18" s="17">
        <v>4301076</v>
      </c>
      <c r="N18" s="17">
        <f t="shared" si="1"/>
        <v>4301076</v>
      </c>
      <c r="O18" s="12" t="s">
        <v>21</v>
      </c>
      <c r="P18" s="12">
        <f t="shared" si="2"/>
        <v>14</v>
      </c>
    </row>
    <row r="19" spans="1:16" ht="15" customHeight="1" x14ac:dyDescent="0.2">
      <c r="A19" s="12" t="s">
        <v>18</v>
      </c>
      <c r="B19" s="135" t="s">
        <v>445</v>
      </c>
      <c r="C19" s="12">
        <f t="shared" si="0"/>
        <v>37</v>
      </c>
      <c r="D19" s="12">
        <v>0</v>
      </c>
      <c r="G19" s="14" t="s">
        <v>2389</v>
      </c>
      <c r="H19" s="12" t="s">
        <v>2434</v>
      </c>
      <c r="I19" s="12">
        <v>333821</v>
      </c>
      <c r="J19" s="12">
        <v>131</v>
      </c>
      <c r="K19" s="12" t="s">
        <v>20</v>
      </c>
      <c r="L19" s="12">
        <v>1</v>
      </c>
      <c r="M19" s="17">
        <v>43011</v>
      </c>
      <c r="N19" s="17">
        <f t="shared" si="1"/>
        <v>43011</v>
      </c>
      <c r="O19" s="12" t="s">
        <v>21</v>
      </c>
      <c r="P19" s="12">
        <f t="shared" si="2"/>
        <v>14</v>
      </c>
    </row>
    <row r="20" spans="1:16" ht="15" customHeight="1" x14ac:dyDescent="0.2">
      <c r="A20" s="12" t="s">
        <v>18</v>
      </c>
      <c r="B20" s="36" t="s">
        <v>374</v>
      </c>
      <c r="C20" s="12">
        <f t="shared" si="0"/>
        <v>38</v>
      </c>
      <c r="D20" s="12">
        <v>1</v>
      </c>
      <c r="G20" s="14" t="s">
        <v>66</v>
      </c>
      <c r="H20" s="12" t="s">
        <v>2403</v>
      </c>
      <c r="I20" s="12">
        <v>131</v>
      </c>
      <c r="J20" s="12">
        <v>5113</v>
      </c>
      <c r="K20" s="12" t="s">
        <v>20</v>
      </c>
      <c r="L20" s="12">
        <v>1</v>
      </c>
      <c r="M20" s="17">
        <v>16129032</v>
      </c>
      <c r="N20" s="17">
        <f t="shared" si="1"/>
        <v>16129032</v>
      </c>
      <c r="O20" s="12" t="s">
        <v>21</v>
      </c>
      <c r="P20" s="12">
        <f t="shared" si="2"/>
        <v>15</v>
      </c>
    </row>
    <row r="21" spans="1:16" ht="15" customHeight="1" x14ac:dyDescent="0.2">
      <c r="A21" s="12" t="s">
        <v>18</v>
      </c>
      <c r="B21" s="135" t="s">
        <v>374</v>
      </c>
      <c r="C21" s="12">
        <f t="shared" si="0"/>
        <v>38</v>
      </c>
      <c r="D21" s="12">
        <v>0</v>
      </c>
      <c r="G21" s="14" t="s">
        <v>66</v>
      </c>
      <c r="H21" s="12" t="s">
        <v>2435</v>
      </c>
      <c r="I21" s="12">
        <v>333821</v>
      </c>
      <c r="J21" s="12">
        <v>131</v>
      </c>
      <c r="K21" s="12" t="s">
        <v>20</v>
      </c>
      <c r="L21" s="12">
        <v>1</v>
      </c>
      <c r="M21" s="17">
        <v>161290</v>
      </c>
      <c r="N21" s="17">
        <f t="shared" si="1"/>
        <v>161290</v>
      </c>
      <c r="O21" s="12" t="s">
        <v>21</v>
      </c>
      <c r="P21" s="12">
        <f t="shared" si="2"/>
        <v>15</v>
      </c>
    </row>
    <row r="22" spans="1:16" ht="15" customHeight="1" x14ac:dyDescent="0.2">
      <c r="A22" s="12" t="s">
        <v>18</v>
      </c>
      <c r="B22" s="36" t="s">
        <v>867</v>
      </c>
      <c r="C22" s="12">
        <f t="shared" si="0"/>
        <v>39</v>
      </c>
      <c r="D22" s="12">
        <v>1</v>
      </c>
      <c r="G22" s="14" t="s">
        <v>88</v>
      </c>
      <c r="H22" s="12" t="s">
        <v>2404</v>
      </c>
      <c r="I22" s="12">
        <v>131</v>
      </c>
      <c r="J22" s="12">
        <v>5113</v>
      </c>
      <c r="K22" s="12" t="s">
        <v>20</v>
      </c>
      <c r="L22" s="12">
        <v>1</v>
      </c>
      <c r="M22" s="17">
        <v>8064516</v>
      </c>
      <c r="N22" s="17">
        <f t="shared" si="1"/>
        <v>8064516</v>
      </c>
      <c r="O22" s="12" t="s">
        <v>21</v>
      </c>
      <c r="P22" s="12">
        <f t="shared" si="2"/>
        <v>16</v>
      </c>
    </row>
    <row r="23" spans="1:16" ht="15" customHeight="1" x14ac:dyDescent="0.2">
      <c r="A23" s="12" t="s">
        <v>18</v>
      </c>
      <c r="B23" s="135" t="s">
        <v>867</v>
      </c>
      <c r="C23" s="12">
        <f t="shared" si="0"/>
        <v>39</v>
      </c>
      <c r="D23" s="12">
        <v>0</v>
      </c>
      <c r="G23" s="14" t="s">
        <v>88</v>
      </c>
      <c r="H23" s="12" t="s">
        <v>2436</v>
      </c>
      <c r="I23" s="12">
        <v>333821</v>
      </c>
      <c r="J23" s="12">
        <v>131</v>
      </c>
      <c r="K23" s="12" t="s">
        <v>20</v>
      </c>
      <c r="L23" s="12">
        <v>1</v>
      </c>
      <c r="M23" s="17">
        <v>80645</v>
      </c>
      <c r="N23" s="17">
        <f t="shared" si="1"/>
        <v>80645</v>
      </c>
      <c r="O23" s="12" t="s">
        <v>21</v>
      </c>
      <c r="P23" s="12">
        <f t="shared" si="2"/>
        <v>16</v>
      </c>
    </row>
    <row r="24" spans="1:16" ht="15" customHeight="1" x14ac:dyDescent="0.2">
      <c r="A24" s="12" t="s">
        <v>18</v>
      </c>
      <c r="B24" s="36" t="s">
        <v>867</v>
      </c>
      <c r="C24" s="12">
        <f t="shared" si="0"/>
        <v>40</v>
      </c>
      <c r="D24" s="12">
        <v>1</v>
      </c>
      <c r="G24" s="14" t="s">
        <v>88</v>
      </c>
      <c r="H24" s="12" t="s">
        <v>2405</v>
      </c>
      <c r="I24" s="12">
        <v>131</v>
      </c>
      <c r="J24" s="12">
        <v>5113</v>
      </c>
      <c r="K24" s="12" t="s">
        <v>20</v>
      </c>
      <c r="L24" s="12">
        <v>1</v>
      </c>
      <c r="M24" s="17">
        <v>8064516</v>
      </c>
      <c r="N24" s="17">
        <f t="shared" si="1"/>
        <v>8064516</v>
      </c>
      <c r="O24" s="12" t="s">
        <v>21</v>
      </c>
      <c r="P24" s="12">
        <f t="shared" si="2"/>
        <v>17</v>
      </c>
    </row>
    <row r="25" spans="1:16" ht="15" customHeight="1" x14ac:dyDescent="0.2">
      <c r="A25" s="12" t="s">
        <v>18</v>
      </c>
      <c r="B25" s="135" t="s">
        <v>867</v>
      </c>
      <c r="C25" s="12">
        <f t="shared" si="0"/>
        <v>40</v>
      </c>
      <c r="D25" s="12">
        <v>0</v>
      </c>
      <c r="G25" s="14" t="s">
        <v>88</v>
      </c>
      <c r="H25" s="12" t="s">
        <v>2437</v>
      </c>
      <c r="I25" s="12">
        <v>333821</v>
      </c>
      <c r="J25" s="12">
        <v>131</v>
      </c>
      <c r="K25" s="12" t="s">
        <v>20</v>
      </c>
      <c r="L25" s="12">
        <v>1</v>
      </c>
      <c r="M25" s="17">
        <v>80645</v>
      </c>
      <c r="N25" s="17">
        <f t="shared" si="1"/>
        <v>80645</v>
      </c>
      <c r="O25" s="12" t="s">
        <v>21</v>
      </c>
      <c r="P25" s="12">
        <f t="shared" si="2"/>
        <v>17</v>
      </c>
    </row>
    <row r="26" spans="1:16" ht="15" customHeight="1" x14ac:dyDescent="0.2">
      <c r="A26" s="12" t="s">
        <v>18</v>
      </c>
      <c r="B26" s="36" t="s">
        <v>376</v>
      </c>
      <c r="C26" s="12">
        <f t="shared" si="0"/>
        <v>41</v>
      </c>
      <c r="D26" s="12">
        <v>1</v>
      </c>
      <c r="G26" s="14" t="s">
        <v>85</v>
      </c>
      <c r="H26" s="12" t="s">
        <v>2406</v>
      </c>
      <c r="I26" s="12">
        <v>131</v>
      </c>
      <c r="J26" s="12">
        <v>5113</v>
      </c>
      <c r="K26" s="12" t="s">
        <v>20</v>
      </c>
      <c r="L26" s="12">
        <v>1</v>
      </c>
      <c r="M26" s="17">
        <v>8064516</v>
      </c>
      <c r="N26" s="17">
        <f t="shared" si="1"/>
        <v>8064516</v>
      </c>
      <c r="O26" s="12" t="s">
        <v>21</v>
      </c>
      <c r="P26" s="12">
        <f t="shared" si="2"/>
        <v>18</v>
      </c>
    </row>
    <row r="27" spans="1:16" ht="15" customHeight="1" x14ac:dyDescent="0.2">
      <c r="A27" s="12" t="s">
        <v>18</v>
      </c>
      <c r="B27" s="135" t="s">
        <v>376</v>
      </c>
      <c r="C27" s="12">
        <f t="shared" si="0"/>
        <v>41</v>
      </c>
      <c r="D27" s="12">
        <v>0</v>
      </c>
      <c r="G27" s="14" t="s">
        <v>85</v>
      </c>
      <c r="H27" s="12" t="s">
        <v>2438</v>
      </c>
      <c r="I27" s="12">
        <v>333821</v>
      </c>
      <c r="J27" s="12">
        <v>131</v>
      </c>
      <c r="K27" s="12" t="s">
        <v>20</v>
      </c>
      <c r="L27" s="12">
        <v>1</v>
      </c>
      <c r="M27" s="17">
        <v>80645</v>
      </c>
      <c r="N27" s="17">
        <f t="shared" si="1"/>
        <v>80645</v>
      </c>
      <c r="O27" s="12" t="s">
        <v>21</v>
      </c>
      <c r="P27" s="12">
        <f t="shared" si="2"/>
        <v>18</v>
      </c>
    </row>
    <row r="28" spans="1:16" ht="15" customHeight="1" x14ac:dyDescent="0.2">
      <c r="A28" s="12" t="s">
        <v>18</v>
      </c>
      <c r="B28" s="36" t="s">
        <v>376</v>
      </c>
      <c r="C28" s="12">
        <f t="shared" si="0"/>
        <v>42</v>
      </c>
      <c r="D28" s="12">
        <v>1</v>
      </c>
      <c r="G28" s="14" t="s">
        <v>57</v>
      </c>
      <c r="H28" s="12" t="s">
        <v>2407</v>
      </c>
      <c r="I28" s="12">
        <v>131</v>
      </c>
      <c r="J28" s="12">
        <v>5113</v>
      </c>
      <c r="K28" s="12" t="s">
        <v>20</v>
      </c>
      <c r="L28" s="12">
        <v>1</v>
      </c>
      <c r="M28" s="17">
        <v>8064516</v>
      </c>
      <c r="N28" s="17">
        <f t="shared" si="1"/>
        <v>8064516</v>
      </c>
      <c r="O28" s="12" t="s">
        <v>21</v>
      </c>
      <c r="P28" s="12">
        <f t="shared" si="2"/>
        <v>19</v>
      </c>
    </row>
    <row r="29" spans="1:16" ht="15" customHeight="1" x14ac:dyDescent="0.2">
      <c r="A29" s="12" t="s">
        <v>18</v>
      </c>
      <c r="B29" s="135" t="s">
        <v>376</v>
      </c>
      <c r="C29" s="12">
        <f t="shared" si="0"/>
        <v>42</v>
      </c>
      <c r="D29" s="12">
        <v>0</v>
      </c>
      <c r="G29" s="14" t="s">
        <v>57</v>
      </c>
      <c r="H29" s="12" t="s">
        <v>2439</v>
      </c>
      <c r="I29" s="12">
        <v>333821</v>
      </c>
      <c r="J29" s="12">
        <v>131</v>
      </c>
      <c r="K29" s="12" t="s">
        <v>20</v>
      </c>
      <c r="L29" s="12">
        <v>1</v>
      </c>
      <c r="M29" s="17">
        <v>80645</v>
      </c>
      <c r="N29" s="17">
        <f t="shared" si="1"/>
        <v>80645</v>
      </c>
      <c r="O29" s="12" t="s">
        <v>21</v>
      </c>
      <c r="P29" s="12">
        <f t="shared" si="2"/>
        <v>19</v>
      </c>
    </row>
    <row r="30" spans="1:16" ht="15" customHeight="1" x14ac:dyDescent="0.2">
      <c r="A30" s="12" t="s">
        <v>18</v>
      </c>
      <c r="B30" s="36" t="s">
        <v>413</v>
      </c>
      <c r="C30" s="12">
        <f t="shared" si="0"/>
        <v>43</v>
      </c>
      <c r="D30" s="12">
        <v>1</v>
      </c>
      <c r="G30" s="14" t="s">
        <v>26</v>
      </c>
      <c r="H30" s="12" t="s">
        <v>2408</v>
      </c>
      <c r="I30" s="12">
        <v>131</v>
      </c>
      <c r="J30" s="12">
        <v>5113</v>
      </c>
      <c r="K30" s="12" t="s">
        <v>20</v>
      </c>
      <c r="L30" s="12">
        <v>1</v>
      </c>
      <c r="M30" s="17">
        <v>8064516</v>
      </c>
      <c r="N30" s="17">
        <f t="shared" si="1"/>
        <v>8064516</v>
      </c>
      <c r="O30" s="12" t="s">
        <v>21</v>
      </c>
      <c r="P30" s="12">
        <f t="shared" si="2"/>
        <v>20</v>
      </c>
    </row>
    <row r="31" spans="1:16" ht="15" customHeight="1" x14ac:dyDescent="0.2">
      <c r="A31" s="12" t="s">
        <v>18</v>
      </c>
      <c r="B31" s="135" t="s">
        <v>413</v>
      </c>
      <c r="C31" s="12">
        <f t="shared" si="0"/>
        <v>43</v>
      </c>
      <c r="D31" s="12">
        <v>0</v>
      </c>
      <c r="G31" s="14" t="s">
        <v>26</v>
      </c>
      <c r="H31" s="12" t="s">
        <v>2440</v>
      </c>
      <c r="I31" s="12">
        <v>333821</v>
      </c>
      <c r="J31" s="12">
        <v>131</v>
      </c>
      <c r="K31" s="12" t="s">
        <v>20</v>
      </c>
      <c r="L31" s="12">
        <v>1</v>
      </c>
      <c r="M31" s="17">
        <v>80645</v>
      </c>
      <c r="N31" s="17">
        <f t="shared" si="1"/>
        <v>80645</v>
      </c>
      <c r="O31" s="12" t="s">
        <v>21</v>
      </c>
      <c r="P31" s="12">
        <f t="shared" si="2"/>
        <v>20</v>
      </c>
    </row>
    <row r="32" spans="1:16" ht="15" customHeight="1" x14ac:dyDescent="0.2">
      <c r="A32" s="12" t="s">
        <v>18</v>
      </c>
      <c r="B32" s="36" t="s">
        <v>312</v>
      </c>
      <c r="C32" s="12">
        <f t="shared" si="0"/>
        <v>44</v>
      </c>
      <c r="D32" s="12">
        <v>1</v>
      </c>
      <c r="G32" s="14" t="s">
        <v>2055</v>
      </c>
      <c r="H32" s="12" t="s">
        <v>2409</v>
      </c>
      <c r="I32" s="12">
        <v>131</v>
      </c>
      <c r="J32" s="12">
        <v>5113</v>
      </c>
      <c r="K32" s="12" t="s">
        <v>20</v>
      </c>
      <c r="L32" s="12">
        <v>1</v>
      </c>
      <c r="M32" s="17">
        <v>8064516</v>
      </c>
      <c r="N32" s="17">
        <f t="shared" si="1"/>
        <v>8064516</v>
      </c>
      <c r="O32" s="12" t="s">
        <v>21</v>
      </c>
      <c r="P32" s="12">
        <f t="shared" si="2"/>
        <v>21</v>
      </c>
    </row>
    <row r="33" spans="1:16" ht="15" customHeight="1" x14ac:dyDescent="0.2">
      <c r="A33" s="12" t="s">
        <v>18</v>
      </c>
      <c r="B33" s="135" t="s">
        <v>312</v>
      </c>
      <c r="C33" s="12">
        <f t="shared" si="0"/>
        <v>44</v>
      </c>
      <c r="D33" s="12">
        <v>0</v>
      </c>
      <c r="G33" s="14" t="s">
        <v>2055</v>
      </c>
      <c r="H33" s="12" t="s">
        <v>2441</v>
      </c>
      <c r="I33" s="12">
        <v>333821</v>
      </c>
      <c r="J33" s="12">
        <v>131</v>
      </c>
      <c r="K33" s="12" t="s">
        <v>20</v>
      </c>
      <c r="L33" s="12">
        <v>1</v>
      </c>
      <c r="M33" s="17">
        <v>80645</v>
      </c>
      <c r="N33" s="17">
        <f t="shared" si="1"/>
        <v>80645</v>
      </c>
      <c r="O33" s="12" t="s">
        <v>21</v>
      </c>
      <c r="P33" s="12">
        <f t="shared" si="2"/>
        <v>21</v>
      </c>
    </row>
    <row r="34" spans="1:16" ht="15" customHeight="1" x14ac:dyDescent="0.2">
      <c r="A34" s="12" t="s">
        <v>18</v>
      </c>
      <c r="B34" s="36" t="s">
        <v>869</v>
      </c>
      <c r="C34" s="12">
        <f t="shared" si="0"/>
        <v>45</v>
      </c>
      <c r="D34" s="12">
        <v>1</v>
      </c>
      <c r="G34" s="14" t="s">
        <v>88</v>
      </c>
      <c r="H34" s="12" t="s">
        <v>2410</v>
      </c>
      <c r="I34" s="12">
        <v>131</v>
      </c>
      <c r="J34" s="12">
        <v>5113</v>
      </c>
      <c r="K34" s="12" t="s">
        <v>20</v>
      </c>
      <c r="L34" s="12">
        <v>1</v>
      </c>
      <c r="M34" s="17">
        <v>8064516</v>
      </c>
      <c r="N34" s="17">
        <f t="shared" si="1"/>
        <v>8064516</v>
      </c>
      <c r="O34" s="12" t="s">
        <v>21</v>
      </c>
      <c r="P34" s="12">
        <f t="shared" si="2"/>
        <v>22</v>
      </c>
    </row>
    <row r="35" spans="1:16" ht="15" customHeight="1" x14ac:dyDescent="0.2">
      <c r="A35" s="12" t="s">
        <v>18</v>
      </c>
      <c r="B35" s="135" t="s">
        <v>869</v>
      </c>
      <c r="C35" s="12">
        <f t="shared" si="0"/>
        <v>45</v>
      </c>
      <c r="D35" s="12">
        <v>0</v>
      </c>
      <c r="G35" s="14" t="s">
        <v>88</v>
      </c>
      <c r="H35" s="12" t="s">
        <v>2442</v>
      </c>
      <c r="I35" s="12">
        <v>333821</v>
      </c>
      <c r="J35" s="12">
        <v>131</v>
      </c>
      <c r="K35" s="12" t="s">
        <v>20</v>
      </c>
      <c r="L35" s="12">
        <v>1</v>
      </c>
      <c r="M35" s="17">
        <v>80645</v>
      </c>
      <c r="N35" s="17">
        <f t="shared" si="1"/>
        <v>80645</v>
      </c>
      <c r="O35" s="12" t="s">
        <v>21</v>
      </c>
      <c r="P35" s="12">
        <f t="shared" si="2"/>
        <v>22</v>
      </c>
    </row>
    <row r="36" spans="1:16" ht="15" customHeight="1" x14ac:dyDescent="0.2">
      <c r="A36" s="12" t="s">
        <v>18</v>
      </c>
      <c r="B36" s="36" t="s">
        <v>869</v>
      </c>
      <c r="C36" s="12">
        <f t="shared" ref="C36:C67" si="3">C35+D36</f>
        <v>46</v>
      </c>
      <c r="D36" s="12">
        <v>1</v>
      </c>
      <c r="G36" s="14" t="s">
        <v>26</v>
      </c>
      <c r="H36" s="12" t="s">
        <v>2411</v>
      </c>
      <c r="I36" s="12">
        <v>131</v>
      </c>
      <c r="J36" s="12">
        <v>5113</v>
      </c>
      <c r="K36" s="12" t="s">
        <v>20</v>
      </c>
      <c r="L36" s="12">
        <v>1</v>
      </c>
      <c r="M36" s="17">
        <v>16129032</v>
      </c>
      <c r="N36" s="17">
        <f t="shared" ref="N36:N67" si="4">L36*M36</f>
        <v>16129032</v>
      </c>
      <c r="O36" s="12" t="s">
        <v>21</v>
      </c>
      <c r="P36" s="12">
        <f t="shared" si="2"/>
        <v>23</v>
      </c>
    </row>
    <row r="37" spans="1:16" ht="15" customHeight="1" x14ac:dyDescent="0.2">
      <c r="A37" s="12" t="s">
        <v>18</v>
      </c>
      <c r="B37" s="135" t="s">
        <v>869</v>
      </c>
      <c r="C37" s="12">
        <f t="shared" si="3"/>
        <v>46</v>
      </c>
      <c r="D37" s="12">
        <v>0</v>
      </c>
      <c r="G37" s="14" t="s">
        <v>26</v>
      </c>
      <c r="H37" s="12" t="s">
        <v>2443</v>
      </c>
      <c r="I37" s="12">
        <v>333821</v>
      </c>
      <c r="J37" s="12">
        <v>131</v>
      </c>
      <c r="K37" s="12" t="s">
        <v>20</v>
      </c>
      <c r="L37" s="12">
        <v>1</v>
      </c>
      <c r="M37" s="17">
        <v>161290</v>
      </c>
      <c r="N37" s="17">
        <f t="shared" si="4"/>
        <v>161290</v>
      </c>
      <c r="O37" s="12" t="s">
        <v>21</v>
      </c>
      <c r="P37" s="12">
        <f t="shared" si="2"/>
        <v>23</v>
      </c>
    </row>
    <row r="38" spans="1:16" ht="15" customHeight="1" x14ac:dyDescent="0.2">
      <c r="A38" s="12" t="s">
        <v>18</v>
      </c>
      <c r="B38" s="135" t="s">
        <v>377</v>
      </c>
      <c r="C38" s="12">
        <f t="shared" si="3"/>
        <v>47</v>
      </c>
      <c r="D38" s="12">
        <v>1</v>
      </c>
      <c r="G38" s="14" t="s">
        <v>110</v>
      </c>
      <c r="H38" s="12" t="s">
        <v>2412</v>
      </c>
      <c r="I38" s="12">
        <v>131</v>
      </c>
      <c r="J38" s="12">
        <v>5113</v>
      </c>
      <c r="K38" s="12" t="s">
        <v>20</v>
      </c>
      <c r="L38" s="12">
        <v>1</v>
      </c>
      <c r="M38" s="17">
        <v>8064516</v>
      </c>
      <c r="N38" s="17">
        <f t="shared" si="4"/>
        <v>8064516</v>
      </c>
      <c r="O38" s="12" t="s">
        <v>21</v>
      </c>
      <c r="P38" s="12">
        <f t="shared" si="2"/>
        <v>24</v>
      </c>
    </row>
    <row r="39" spans="1:16" ht="15" customHeight="1" x14ac:dyDescent="0.2">
      <c r="A39" s="12" t="s">
        <v>18</v>
      </c>
      <c r="B39" s="135" t="s">
        <v>377</v>
      </c>
      <c r="C39" s="12">
        <f t="shared" si="3"/>
        <v>47</v>
      </c>
      <c r="D39" s="12">
        <v>0</v>
      </c>
      <c r="G39" s="14" t="s">
        <v>110</v>
      </c>
      <c r="H39" s="12" t="s">
        <v>2444</v>
      </c>
      <c r="I39" s="12">
        <v>333821</v>
      </c>
      <c r="J39" s="12">
        <v>131</v>
      </c>
      <c r="K39" s="12" t="s">
        <v>20</v>
      </c>
      <c r="L39" s="12">
        <v>1</v>
      </c>
      <c r="M39" s="17">
        <v>80645</v>
      </c>
      <c r="N39" s="17">
        <f t="shared" si="4"/>
        <v>80645</v>
      </c>
      <c r="O39" s="12" t="s">
        <v>21</v>
      </c>
      <c r="P39" s="12">
        <f t="shared" si="2"/>
        <v>24</v>
      </c>
    </row>
    <row r="40" spans="1:16" ht="15" customHeight="1" x14ac:dyDescent="0.2">
      <c r="A40" s="12" t="s">
        <v>18</v>
      </c>
      <c r="B40" s="135" t="s">
        <v>292</v>
      </c>
      <c r="C40" s="12">
        <f t="shared" si="3"/>
        <v>48</v>
      </c>
      <c r="D40" s="12">
        <v>1</v>
      </c>
      <c r="G40" s="14" t="s">
        <v>58</v>
      </c>
      <c r="H40" s="12" t="s">
        <v>2413</v>
      </c>
      <c r="I40" s="12">
        <v>131</v>
      </c>
      <c r="J40" s="12">
        <v>5113</v>
      </c>
      <c r="K40" s="12" t="s">
        <v>20</v>
      </c>
      <c r="L40" s="12">
        <v>1</v>
      </c>
      <c r="M40" s="17">
        <v>8602151</v>
      </c>
      <c r="N40" s="17">
        <f t="shared" si="4"/>
        <v>8602151</v>
      </c>
      <c r="O40" s="12" t="s">
        <v>21</v>
      </c>
      <c r="P40" s="12">
        <f t="shared" si="2"/>
        <v>25</v>
      </c>
    </row>
    <row r="41" spans="1:16" ht="15" customHeight="1" x14ac:dyDescent="0.2">
      <c r="A41" s="12" t="s">
        <v>18</v>
      </c>
      <c r="B41" s="135" t="s">
        <v>292</v>
      </c>
      <c r="C41" s="12">
        <f t="shared" si="3"/>
        <v>48</v>
      </c>
      <c r="D41" s="12">
        <v>0</v>
      </c>
      <c r="G41" s="14" t="s">
        <v>58</v>
      </c>
      <c r="H41" s="12" t="s">
        <v>2445</v>
      </c>
      <c r="I41" s="12">
        <v>333821</v>
      </c>
      <c r="J41" s="12">
        <v>131</v>
      </c>
      <c r="K41" s="12" t="s">
        <v>20</v>
      </c>
      <c r="L41" s="12">
        <v>1</v>
      </c>
      <c r="M41" s="17">
        <v>86022</v>
      </c>
      <c r="N41" s="17">
        <f t="shared" si="4"/>
        <v>86022</v>
      </c>
      <c r="O41" s="12" t="s">
        <v>21</v>
      </c>
      <c r="P41" s="12">
        <f t="shared" si="2"/>
        <v>25</v>
      </c>
    </row>
    <row r="42" spans="1:16" ht="15" customHeight="1" x14ac:dyDescent="0.2">
      <c r="A42" s="12" t="s">
        <v>18</v>
      </c>
      <c r="B42" s="135" t="s">
        <v>315</v>
      </c>
      <c r="C42" s="12">
        <f t="shared" si="3"/>
        <v>49</v>
      </c>
      <c r="D42" s="12">
        <v>1</v>
      </c>
      <c r="G42" s="14" t="s">
        <v>66</v>
      </c>
      <c r="H42" s="12" t="s">
        <v>2414</v>
      </c>
      <c r="I42" s="12">
        <v>131</v>
      </c>
      <c r="J42" s="12">
        <v>5113</v>
      </c>
      <c r="K42" s="12" t="s">
        <v>20</v>
      </c>
      <c r="L42" s="12">
        <v>1</v>
      </c>
      <c r="M42" s="17">
        <v>8064516</v>
      </c>
      <c r="N42" s="17">
        <f t="shared" si="4"/>
        <v>8064516</v>
      </c>
      <c r="O42" s="12" t="s">
        <v>21</v>
      </c>
      <c r="P42" s="12">
        <f t="shared" si="2"/>
        <v>26</v>
      </c>
    </row>
    <row r="43" spans="1:16" ht="15" customHeight="1" x14ac:dyDescent="0.2">
      <c r="A43" s="12" t="s">
        <v>18</v>
      </c>
      <c r="B43" s="135" t="s">
        <v>315</v>
      </c>
      <c r="C43" s="12">
        <f t="shared" si="3"/>
        <v>49</v>
      </c>
      <c r="D43" s="12">
        <v>0</v>
      </c>
      <c r="G43" s="14" t="s">
        <v>66</v>
      </c>
      <c r="H43" s="12" t="s">
        <v>2446</v>
      </c>
      <c r="I43" s="12">
        <v>333821</v>
      </c>
      <c r="J43" s="12">
        <v>131</v>
      </c>
      <c r="K43" s="12" t="s">
        <v>20</v>
      </c>
      <c r="L43" s="12">
        <v>1</v>
      </c>
      <c r="M43" s="17">
        <v>80645</v>
      </c>
      <c r="N43" s="17">
        <f t="shared" si="4"/>
        <v>80645</v>
      </c>
      <c r="O43" s="12" t="s">
        <v>21</v>
      </c>
      <c r="P43" s="12">
        <f t="shared" si="2"/>
        <v>26</v>
      </c>
    </row>
    <row r="44" spans="1:16" ht="15" customHeight="1" x14ac:dyDescent="0.2">
      <c r="A44" s="12" t="s">
        <v>18</v>
      </c>
      <c r="B44" s="135" t="s">
        <v>470</v>
      </c>
      <c r="C44" s="12">
        <f t="shared" si="3"/>
        <v>50</v>
      </c>
      <c r="D44" s="12">
        <v>1</v>
      </c>
      <c r="G44" s="14" t="s">
        <v>2389</v>
      </c>
      <c r="H44" s="12" t="s">
        <v>2415</v>
      </c>
      <c r="I44" s="12">
        <v>131</v>
      </c>
      <c r="J44" s="12">
        <v>5113</v>
      </c>
      <c r="K44" s="12" t="s">
        <v>20</v>
      </c>
      <c r="L44" s="12">
        <v>1</v>
      </c>
      <c r="M44" s="17">
        <v>4301075</v>
      </c>
      <c r="N44" s="17">
        <f t="shared" si="4"/>
        <v>4301075</v>
      </c>
      <c r="O44" s="12" t="s">
        <v>21</v>
      </c>
      <c r="P44" s="12">
        <f t="shared" si="2"/>
        <v>27</v>
      </c>
    </row>
    <row r="45" spans="1:16" ht="15" customHeight="1" x14ac:dyDescent="0.2">
      <c r="A45" s="12" t="s">
        <v>18</v>
      </c>
      <c r="B45" s="135" t="s">
        <v>470</v>
      </c>
      <c r="C45" s="12">
        <f t="shared" si="3"/>
        <v>50</v>
      </c>
      <c r="D45" s="12">
        <v>0</v>
      </c>
      <c r="G45" s="14" t="s">
        <v>2389</v>
      </c>
      <c r="H45" s="12" t="s">
        <v>2447</v>
      </c>
      <c r="I45" s="12">
        <v>333821</v>
      </c>
      <c r="J45" s="12">
        <v>131</v>
      </c>
      <c r="K45" s="12" t="s">
        <v>20</v>
      </c>
      <c r="L45" s="12">
        <v>1</v>
      </c>
      <c r="M45" s="17">
        <v>43011</v>
      </c>
      <c r="N45" s="17">
        <f t="shared" si="4"/>
        <v>43011</v>
      </c>
      <c r="O45" s="12" t="s">
        <v>21</v>
      </c>
      <c r="P45" s="12">
        <f t="shared" si="2"/>
        <v>27</v>
      </c>
    </row>
    <row r="46" spans="1:16" ht="15" customHeight="1" x14ac:dyDescent="0.2">
      <c r="A46" s="12" t="s">
        <v>18</v>
      </c>
      <c r="B46" s="135" t="s">
        <v>316</v>
      </c>
      <c r="C46" s="12">
        <f t="shared" si="3"/>
        <v>51</v>
      </c>
      <c r="D46" s="12">
        <v>1</v>
      </c>
      <c r="G46" s="14" t="s">
        <v>26</v>
      </c>
      <c r="H46" s="12" t="s">
        <v>2416</v>
      </c>
      <c r="I46" s="12">
        <v>131</v>
      </c>
      <c r="J46" s="12">
        <v>5113</v>
      </c>
      <c r="K46" s="12" t="s">
        <v>20</v>
      </c>
      <c r="L46" s="12">
        <v>1</v>
      </c>
      <c r="M46" s="17">
        <v>11827957</v>
      </c>
      <c r="N46" s="17">
        <f t="shared" si="4"/>
        <v>11827957</v>
      </c>
      <c r="O46" s="12" t="s">
        <v>21</v>
      </c>
      <c r="P46" s="12">
        <f t="shared" si="2"/>
        <v>28</v>
      </c>
    </row>
    <row r="47" spans="1:16" ht="15" customHeight="1" x14ac:dyDescent="0.2">
      <c r="A47" s="12" t="s">
        <v>18</v>
      </c>
      <c r="B47" s="135" t="s">
        <v>316</v>
      </c>
      <c r="C47" s="12">
        <f t="shared" si="3"/>
        <v>51</v>
      </c>
      <c r="D47" s="12">
        <v>0</v>
      </c>
      <c r="G47" s="14" t="s">
        <v>26</v>
      </c>
      <c r="H47" s="12" t="s">
        <v>2448</v>
      </c>
      <c r="I47" s="12">
        <v>333821</v>
      </c>
      <c r="J47" s="12">
        <v>131</v>
      </c>
      <c r="K47" s="12" t="s">
        <v>20</v>
      </c>
      <c r="L47" s="12">
        <v>1</v>
      </c>
      <c r="M47" s="17">
        <v>118280</v>
      </c>
      <c r="N47" s="17">
        <f t="shared" si="4"/>
        <v>118280</v>
      </c>
      <c r="O47" s="12" t="s">
        <v>21</v>
      </c>
      <c r="P47" s="12">
        <f t="shared" si="2"/>
        <v>28</v>
      </c>
    </row>
    <row r="48" spans="1:16" ht="15" customHeight="1" x14ac:dyDescent="0.2">
      <c r="A48" s="12" t="s">
        <v>18</v>
      </c>
      <c r="B48" s="135" t="s">
        <v>417</v>
      </c>
      <c r="C48" s="12">
        <f t="shared" si="3"/>
        <v>52</v>
      </c>
      <c r="D48" s="12">
        <v>1</v>
      </c>
      <c r="G48" s="14" t="s">
        <v>105</v>
      </c>
      <c r="H48" s="12" t="s">
        <v>2417</v>
      </c>
      <c r="I48" s="12">
        <v>131</v>
      </c>
      <c r="J48" s="12">
        <v>5113</v>
      </c>
      <c r="K48" s="12" t="s">
        <v>20</v>
      </c>
      <c r="L48" s="12">
        <v>1</v>
      </c>
      <c r="M48" s="17">
        <v>8602151</v>
      </c>
      <c r="N48" s="17">
        <f t="shared" si="4"/>
        <v>8602151</v>
      </c>
      <c r="O48" s="12" t="s">
        <v>21</v>
      </c>
      <c r="P48" s="12">
        <f t="shared" si="2"/>
        <v>29</v>
      </c>
    </row>
    <row r="49" spans="1:16" ht="15" customHeight="1" x14ac:dyDescent="0.2">
      <c r="A49" s="12" t="s">
        <v>18</v>
      </c>
      <c r="B49" s="135" t="s">
        <v>417</v>
      </c>
      <c r="C49" s="12">
        <f t="shared" si="3"/>
        <v>52</v>
      </c>
      <c r="D49" s="12">
        <v>0</v>
      </c>
      <c r="G49" s="14" t="s">
        <v>105</v>
      </c>
      <c r="H49" s="12" t="s">
        <v>2449</v>
      </c>
      <c r="I49" s="12">
        <v>333821</v>
      </c>
      <c r="J49" s="12">
        <v>131</v>
      </c>
      <c r="K49" s="12" t="s">
        <v>20</v>
      </c>
      <c r="L49" s="12">
        <v>1</v>
      </c>
      <c r="M49" s="17">
        <v>86022</v>
      </c>
      <c r="N49" s="17">
        <f t="shared" si="4"/>
        <v>86022</v>
      </c>
      <c r="O49" s="12" t="s">
        <v>21</v>
      </c>
      <c r="P49" s="12">
        <f t="shared" si="2"/>
        <v>29</v>
      </c>
    </row>
    <row r="50" spans="1:16" ht="15" customHeight="1" x14ac:dyDescent="0.2">
      <c r="A50" s="12" t="s">
        <v>18</v>
      </c>
      <c r="B50" s="135" t="s">
        <v>318</v>
      </c>
      <c r="C50" s="12">
        <f t="shared" si="3"/>
        <v>53</v>
      </c>
      <c r="D50" s="12">
        <v>1</v>
      </c>
      <c r="G50" s="14" t="s">
        <v>85</v>
      </c>
      <c r="H50" s="12" t="s">
        <v>2418</v>
      </c>
      <c r="I50" s="12">
        <v>131</v>
      </c>
      <c r="J50" s="12">
        <v>5113</v>
      </c>
      <c r="K50" s="12" t="s">
        <v>20</v>
      </c>
      <c r="L50" s="12">
        <v>1</v>
      </c>
      <c r="M50" s="17">
        <v>7526882</v>
      </c>
      <c r="N50" s="17">
        <f t="shared" si="4"/>
        <v>7526882</v>
      </c>
      <c r="O50" s="12" t="s">
        <v>21</v>
      </c>
      <c r="P50" s="12">
        <f t="shared" si="2"/>
        <v>30</v>
      </c>
    </row>
    <row r="51" spans="1:16" ht="15" customHeight="1" x14ac:dyDescent="0.2">
      <c r="A51" s="12" t="s">
        <v>18</v>
      </c>
      <c r="B51" s="135" t="s">
        <v>318</v>
      </c>
      <c r="C51" s="12">
        <f t="shared" si="3"/>
        <v>53</v>
      </c>
      <c r="D51" s="12">
        <v>0</v>
      </c>
      <c r="G51" s="14" t="s">
        <v>85</v>
      </c>
      <c r="H51" s="12" t="s">
        <v>2450</v>
      </c>
      <c r="I51" s="12">
        <v>333821</v>
      </c>
      <c r="J51" s="12">
        <v>131</v>
      </c>
      <c r="K51" s="12" t="s">
        <v>20</v>
      </c>
      <c r="L51" s="12">
        <v>1</v>
      </c>
      <c r="M51" s="17">
        <v>75269</v>
      </c>
      <c r="N51" s="17">
        <f t="shared" si="4"/>
        <v>75269</v>
      </c>
      <c r="O51" s="12" t="s">
        <v>21</v>
      </c>
      <c r="P51" s="12">
        <f t="shared" si="2"/>
        <v>30</v>
      </c>
    </row>
    <row r="52" spans="1:16" ht="15" customHeight="1" x14ac:dyDescent="0.2">
      <c r="A52" s="12" t="s">
        <v>18</v>
      </c>
      <c r="B52" s="135" t="s">
        <v>318</v>
      </c>
      <c r="C52" s="12">
        <f t="shared" si="3"/>
        <v>54</v>
      </c>
      <c r="D52" s="12">
        <v>1</v>
      </c>
      <c r="G52" s="14" t="s">
        <v>130</v>
      </c>
      <c r="H52" s="12" t="s">
        <v>2419</v>
      </c>
      <c r="I52" s="12">
        <v>131</v>
      </c>
      <c r="J52" s="12">
        <v>5113</v>
      </c>
      <c r="K52" s="12" t="s">
        <v>20</v>
      </c>
      <c r="L52" s="12">
        <v>1</v>
      </c>
      <c r="M52" s="17">
        <v>8064516</v>
      </c>
      <c r="N52" s="17">
        <f t="shared" si="4"/>
        <v>8064516</v>
      </c>
      <c r="O52" s="12" t="s">
        <v>21</v>
      </c>
      <c r="P52" s="12">
        <f t="shared" si="2"/>
        <v>31</v>
      </c>
    </row>
    <row r="53" spans="1:16" ht="15" customHeight="1" x14ac:dyDescent="0.2">
      <c r="A53" s="12" t="s">
        <v>18</v>
      </c>
      <c r="B53" s="135" t="s">
        <v>318</v>
      </c>
      <c r="C53" s="12">
        <f t="shared" si="3"/>
        <v>54</v>
      </c>
      <c r="D53" s="12">
        <v>0</v>
      </c>
      <c r="G53" s="14" t="s">
        <v>130</v>
      </c>
      <c r="H53" s="12" t="s">
        <v>2451</v>
      </c>
      <c r="I53" s="12">
        <v>333821</v>
      </c>
      <c r="J53" s="12">
        <v>131</v>
      </c>
      <c r="K53" s="12" t="s">
        <v>20</v>
      </c>
      <c r="L53" s="12">
        <v>1</v>
      </c>
      <c r="M53" s="17">
        <v>80645</v>
      </c>
      <c r="N53" s="17">
        <f t="shared" si="4"/>
        <v>80645</v>
      </c>
      <c r="O53" s="12" t="s">
        <v>21</v>
      </c>
      <c r="P53" s="12">
        <f t="shared" si="2"/>
        <v>31</v>
      </c>
    </row>
    <row r="54" spans="1:16" ht="15" customHeight="1" x14ac:dyDescent="0.2">
      <c r="A54" s="12" t="s">
        <v>18</v>
      </c>
      <c r="B54" s="135" t="s">
        <v>602</v>
      </c>
      <c r="C54" s="12">
        <f t="shared" si="3"/>
        <v>55</v>
      </c>
      <c r="D54" s="12">
        <v>1</v>
      </c>
      <c r="G54" s="14" t="s">
        <v>2390</v>
      </c>
      <c r="H54" s="12" t="s">
        <v>2420</v>
      </c>
      <c r="I54" s="12">
        <v>131</v>
      </c>
      <c r="J54" s="12">
        <v>5113</v>
      </c>
      <c r="K54" s="12" t="s">
        <v>20</v>
      </c>
      <c r="L54" s="12">
        <v>1</v>
      </c>
      <c r="M54" s="17">
        <v>7526882</v>
      </c>
      <c r="N54" s="17">
        <f t="shared" si="4"/>
        <v>7526882</v>
      </c>
      <c r="O54" s="12" t="s">
        <v>21</v>
      </c>
      <c r="P54" s="12">
        <f t="shared" si="2"/>
        <v>32</v>
      </c>
    </row>
    <row r="55" spans="1:16" ht="15" customHeight="1" x14ac:dyDescent="0.2">
      <c r="A55" s="12" t="s">
        <v>18</v>
      </c>
      <c r="B55" s="135" t="s">
        <v>602</v>
      </c>
      <c r="C55" s="12">
        <f t="shared" si="3"/>
        <v>55</v>
      </c>
      <c r="D55" s="12">
        <v>0</v>
      </c>
      <c r="G55" s="14" t="s">
        <v>2390</v>
      </c>
      <c r="H55" s="12" t="s">
        <v>2452</v>
      </c>
      <c r="I55" s="12">
        <v>333821</v>
      </c>
      <c r="J55" s="12">
        <v>131</v>
      </c>
      <c r="K55" s="12" t="s">
        <v>20</v>
      </c>
      <c r="L55" s="12">
        <v>1</v>
      </c>
      <c r="M55" s="17">
        <v>75269</v>
      </c>
      <c r="N55" s="17">
        <f t="shared" si="4"/>
        <v>75269</v>
      </c>
      <c r="O55" s="12" t="s">
        <v>21</v>
      </c>
      <c r="P55" s="12">
        <f t="shared" si="2"/>
        <v>32</v>
      </c>
    </row>
    <row r="56" spans="1:16" ht="15" customHeight="1" x14ac:dyDescent="0.2">
      <c r="A56" s="12" t="s">
        <v>18</v>
      </c>
      <c r="B56" s="135" t="s">
        <v>602</v>
      </c>
      <c r="C56" s="12">
        <f t="shared" si="3"/>
        <v>56</v>
      </c>
      <c r="D56" s="12">
        <v>1</v>
      </c>
      <c r="G56" s="14" t="s">
        <v>26</v>
      </c>
      <c r="H56" s="12" t="s">
        <v>2421</v>
      </c>
      <c r="I56" s="12">
        <v>131</v>
      </c>
      <c r="J56" s="12">
        <v>5113</v>
      </c>
      <c r="K56" s="12" t="s">
        <v>20</v>
      </c>
      <c r="L56" s="12">
        <v>1</v>
      </c>
      <c r="M56" s="17">
        <v>8064516</v>
      </c>
      <c r="N56" s="17">
        <f t="shared" si="4"/>
        <v>8064516</v>
      </c>
      <c r="O56" s="12" t="s">
        <v>21</v>
      </c>
      <c r="P56" s="12">
        <f t="shared" si="2"/>
        <v>33</v>
      </c>
    </row>
    <row r="57" spans="1:16" ht="15" customHeight="1" x14ac:dyDescent="0.2">
      <c r="A57" s="12" t="s">
        <v>18</v>
      </c>
      <c r="B57" s="135" t="s">
        <v>602</v>
      </c>
      <c r="C57" s="12">
        <f t="shared" si="3"/>
        <v>56</v>
      </c>
      <c r="D57" s="12">
        <v>0</v>
      </c>
      <c r="G57" s="14" t="s">
        <v>26</v>
      </c>
      <c r="H57" s="12" t="s">
        <v>2453</v>
      </c>
      <c r="I57" s="12">
        <v>333821</v>
      </c>
      <c r="J57" s="12">
        <v>131</v>
      </c>
      <c r="K57" s="12" t="s">
        <v>20</v>
      </c>
      <c r="L57" s="12">
        <v>1</v>
      </c>
      <c r="M57" s="17">
        <v>80645</v>
      </c>
      <c r="N57" s="17">
        <f t="shared" si="4"/>
        <v>80645</v>
      </c>
      <c r="O57" s="12" t="s">
        <v>21</v>
      </c>
      <c r="P57" s="12">
        <f t="shared" si="2"/>
        <v>33</v>
      </c>
    </row>
    <row r="58" spans="1:16" ht="15" customHeight="1" x14ac:dyDescent="0.2">
      <c r="A58" s="12" t="s">
        <v>18</v>
      </c>
      <c r="B58" s="135" t="s">
        <v>452</v>
      </c>
      <c r="C58" s="12">
        <f t="shared" si="3"/>
        <v>57</v>
      </c>
      <c r="D58" s="12">
        <v>1</v>
      </c>
      <c r="G58" s="14" t="s">
        <v>2391</v>
      </c>
      <c r="H58" s="12" t="s">
        <v>2422</v>
      </c>
      <c r="I58" s="12">
        <v>131</v>
      </c>
      <c r="J58" s="12">
        <v>5113</v>
      </c>
      <c r="K58" s="12" t="s">
        <v>20</v>
      </c>
      <c r="L58" s="12">
        <v>1</v>
      </c>
      <c r="M58" s="17">
        <v>8064516</v>
      </c>
      <c r="N58" s="17">
        <f t="shared" si="4"/>
        <v>8064516</v>
      </c>
      <c r="O58" s="12" t="s">
        <v>21</v>
      </c>
      <c r="P58" s="12">
        <f t="shared" si="2"/>
        <v>34</v>
      </c>
    </row>
    <row r="59" spans="1:16" ht="15" customHeight="1" x14ac:dyDescent="0.2">
      <c r="A59" s="12" t="s">
        <v>18</v>
      </c>
      <c r="B59" s="135" t="s">
        <v>452</v>
      </c>
      <c r="C59" s="12">
        <f t="shared" si="3"/>
        <v>57</v>
      </c>
      <c r="D59" s="12">
        <v>0</v>
      </c>
      <c r="G59" s="14" t="s">
        <v>2391</v>
      </c>
      <c r="H59" s="12" t="s">
        <v>2454</v>
      </c>
      <c r="I59" s="12">
        <v>333821</v>
      </c>
      <c r="J59" s="12">
        <v>131</v>
      </c>
      <c r="K59" s="12" t="s">
        <v>20</v>
      </c>
      <c r="L59" s="12">
        <v>1</v>
      </c>
      <c r="M59" s="17">
        <v>80645</v>
      </c>
      <c r="N59" s="17">
        <f t="shared" si="4"/>
        <v>80645</v>
      </c>
      <c r="O59" s="12" t="s">
        <v>21</v>
      </c>
      <c r="P59" s="12">
        <f t="shared" si="2"/>
        <v>34</v>
      </c>
    </row>
    <row r="60" spans="1:16" ht="15" customHeight="1" x14ac:dyDescent="0.2">
      <c r="A60" s="12" t="s">
        <v>18</v>
      </c>
      <c r="B60" s="135" t="s">
        <v>524</v>
      </c>
      <c r="C60" s="12">
        <f t="shared" si="3"/>
        <v>58</v>
      </c>
      <c r="D60" s="12">
        <v>1</v>
      </c>
      <c r="G60" s="14" t="s">
        <v>2392</v>
      </c>
      <c r="H60" s="12" t="s">
        <v>2423</v>
      </c>
      <c r="I60" s="12">
        <v>131</v>
      </c>
      <c r="J60" s="12">
        <v>5113</v>
      </c>
      <c r="K60" s="12" t="s">
        <v>20</v>
      </c>
      <c r="L60" s="12">
        <v>1</v>
      </c>
      <c r="M60" s="17">
        <v>6451613</v>
      </c>
      <c r="N60" s="17">
        <f t="shared" si="4"/>
        <v>6451613</v>
      </c>
      <c r="O60" s="12" t="s">
        <v>21</v>
      </c>
      <c r="P60" s="12">
        <f t="shared" si="2"/>
        <v>35</v>
      </c>
    </row>
    <row r="61" spans="1:16" ht="15" customHeight="1" x14ac:dyDescent="0.2">
      <c r="A61" s="12" t="s">
        <v>18</v>
      </c>
      <c r="B61" s="135" t="s">
        <v>524</v>
      </c>
      <c r="C61" s="12">
        <f t="shared" si="3"/>
        <v>58</v>
      </c>
      <c r="D61" s="12">
        <v>0</v>
      </c>
      <c r="G61" s="14" t="s">
        <v>2392</v>
      </c>
      <c r="H61" s="12" t="s">
        <v>2455</v>
      </c>
      <c r="I61" s="12">
        <v>333821</v>
      </c>
      <c r="J61" s="12">
        <v>131</v>
      </c>
      <c r="K61" s="12" t="s">
        <v>20</v>
      </c>
      <c r="L61" s="12">
        <v>1</v>
      </c>
      <c r="M61" s="17">
        <v>64516</v>
      </c>
      <c r="N61" s="17">
        <f t="shared" si="4"/>
        <v>64516</v>
      </c>
      <c r="O61" s="12" t="s">
        <v>21</v>
      </c>
      <c r="P61" s="12">
        <f t="shared" si="2"/>
        <v>35</v>
      </c>
    </row>
    <row r="62" spans="1:16" ht="15" customHeight="1" x14ac:dyDescent="0.2">
      <c r="A62" s="12" t="s">
        <v>18</v>
      </c>
      <c r="B62" s="135" t="s">
        <v>589</v>
      </c>
      <c r="C62" s="12">
        <f t="shared" si="3"/>
        <v>59</v>
      </c>
      <c r="D62" s="12">
        <v>1</v>
      </c>
      <c r="G62" s="14" t="s">
        <v>66</v>
      </c>
      <c r="H62" s="12" t="s">
        <v>2424</v>
      </c>
      <c r="I62" s="12">
        <v>131</v>
      </c>
      <c r="J62" s="12">
        <v>5113</v>
      </c>
      <c r="K62" s="12" t="s">
        <v>20</v>
      </c>
      <c r="L62" s="12">
        <v>1</v>
      </c>
      <c r="M62" s="17">
        <v>8064516</v>
      </c>
      <c r="N62" s="17">
        <f t="shared" si="4"/>
        <v>8064516</v>
      </c>
      <c r="O62" s="12" t="s">
        <v>21</v>
      </c>
      <c r="P62" s="12">
        <f t="shared" si="2"/>
        <v>36</v>
      </c>
    </row>
    <row r="63" spans="1:16" ht="15" customHeight="1" x14ac:dyDescent="0.2">
      <c r="A63" s="12" t="s">
        <v>18</v>
      </c>
      <c r="B63" s="135" t="s">
        <v>589</v>
      </c>
      <c r="C63" s="12">
        <f t="shared" si="3"/>
        <v>59</v>
      </c>
      <c r="D63" s="12">
        <v>0</v>
      </c>
      <c r="G63" s="14" t="s">
        <v>66</v>
      </c>
      <c r="H63" s="12" t="s">
        <v>2456</v>
      </c>
      <c r="I63" s="12">
        <v>333821</v>
      </c>
      <c r="J63" s="12">
        <v>131</v>
      </c>
      <c r="K63" s="12" t="s">
        <v>20</v>
      </c>
      <c r="L63" s="12">
        <v>1</v>
      </c>
      <c r="M63" s="17">
        <v>80645</v>
      </c>
      <c r="N63" s="17">
        <f t="shared" si="4"/>
        <v>80645</v>
      </c>
      <c r="O63" s="12" t="s">
        <v>21</v>
      </c>
      <c r="P63" s="12">
        <f t="shared" si="2"/>
        <v>36</v>
      </c>
    </row>
    <row r="64" spans="1:16" ht="15" customHeight="1" x14ac:dyDescent="0.2">
      <c r="A64" s="12" t="s">
        <v>18</v>
      </c>
      <c r="B64" s="135" t="s">
        <v>380</v>
      </c>
      <c r="C64" s="12">
        <f t="shared" si="3"/>
        <v>60</v>
      </c>
      <c r="D64" s="12">
        <v>1</v>
      </c>
      <c r="G64" s="14" t="s">
        <v>2393</v>
      </c>
      <c r="H64" s="12" t="s">
        <v>2425</v>
      </c>
      <c r="I64" s="12">
        <v>131</v>
      </c>
      <c r="J64" s="12">
        <v>5113</v>
      </c>
      <c r="K64" s="12" t="s">
        <v>20</v>
      </c>
      <c r="L64" s="12">
        <v>1</v>
      </c>
      <c r="M64" s="17">
        <v>7526882</v>
      </c>
      <c r="N64" s="17">
        <f t="shared" si="4"/>
        <v>7526882</v>
      </c>
      <c r="O64" s="12" t="s">
        <v>21</v>
      </c>
      <c r="P64" s="12">
        <f t="shared" si="2"/>
        <v>37</v>
      </c>
    </row>
    <row r="65" spans="1:16" ht="15" customHeight="1" x14ac:dyDescent="0.2">
      <c r="A65" s="12" t="s">
        <v>18</v>
      </c>
      <c r="B65" s="135" t="s">
        <v>380</v>
      </c>
      <c r="C65" s="12">
        <f t="shared" si="3"/>
        <v>60</v>
      </c>
      <c r="D65" s="12">
        <v>0</v>
      </c>
      <c r="G65" s="14" t="s">
        <v>2393</v>
      </c>
      <c r="H65" s="12" t="s">
        <v>2457</v>
      </c>
      <c r="I65" s="12">
        <v>333821</v>
      </c>
      <c r="J65" s="12">
        <v>131</v>
      </c>
      <c r="K65" s="12" t="s">
        <v>20</v>
      </c>
      <c r="L65" s="12">
        <v>1</v>
      </c>
      <c r="M65" s="17">
        <v>75269</v>
      </c>
      <c r="N65" s="17">
        <f t="shared" si="4"/>
        <v>75269</v>
      </c>
      <c r="O65" s="12" t="s">
        <v>21</v>
      </c>
      <c r="P65" s="12">
        <f t="shared" si="2"/>
        <v>37</v>
      </c>
    </row>
    <row r="66" spans="1:16" ht="15" customHeight="1" x14ac:dyDescent="0.2">
      <c r="A66" s="12" t="s">
        <v>18</v>
      </c>
      <c r="B66" s="135" t="s">
        <v>380</v>
      </c>
      <c r="C66" s="12">
        <f t="shared" si="3"/>
        <v>61</v>
      </c>
      <c r="D66" s="12">
        <v>1</v>
      </c>
      <c r="G66" s="14" t="s">
        <v>2391</v>
      </c>
      <c r="H66" s="12" t="s">
        <v>2426</v>
      </c>
      <c r="I66" s="12">
        <v>131</v>
      </c>
      <c r="J66" s="12">
        <v>5113</v>
      </c>
      <c r="K66" s="12" t="s">
        <v>20</v>
      </c>
      <c r="L66" s="12">
        <v>1</v>
      </c>
      <c r="M66" s="17">
        <v>8064516</v>
      </c>
      <c r="N66" s="17">
        <f t="shared" si="4"/>
        <v>8064516</v>
      </c>
      <c r="O66" s="12" t="s">
        <v>21</v>
      </c>
      <c r="P66" s="12">
        <f t="shared" si="2"/>
        <v>38</v>
      </c>
    </row>
    <row r="67" spans="1:16" ht="15" customHeight="1" x14ac:dyDescent="0.2">
      <c r="A67" s="12" t="s">
        <v>18</v>
      </c>
      <c r="B67" s="135" t="s">
        <v>380</v>
      </c>
      <c r="C67" s="12">
        <f t="shared" si="3"/>
        <v>61</v>
      </c>
      <c r="D67" s="12">
        <v>0</v>
      </c>
      <c r="G67" s="14" t="s">
        <v>2391</v>
      </c>
      <c r="H67" s="12" t="s">
        <v>2458</v>
      </c>
      <c r="I67" s="12">
        <v>333821</v>
      </c>
      <c r="J67" s="12">
        <v>131</v>
      </c>
      <c r="K67" s="12" t="s">
        <v>20</v>
      </c>
      <c r="L67" s="12">
        <v>1</v>
      </c>
      <c r="M67" s="17">
        <v>80645</v>
      </c>
      <c r="N67" s="17">
        <f t="shared" si="4"/>
        <v>80645</v>
      </c>
      <c r="O67" s="12" t="s">
        <v>21</v>
      </c>
      <c r="P67" s="12">
        <f t="shared" si="2"/>
        <v>38</v>
      </c>
    </row>
    <row r="68" spans="1:16" ht="15" customHeight="1" x14ac:dyDescent="0.2">
      <c r="A68" s="12" t="s">
        <v>18</v>
      </c>
      <c r="B68" s="135" t="s">
        <v>380</v>
      </c>
      <c r="C68" s="12">
        <f t="shared" ref="C68:C79" si="5">C67+D68</f>
        <v>62</v>
      </c>
      <c r="D68" s="12">
        <v>1</v>
      </c>
      <c r="G68" s="14" t="s">
        <v>85</v>
      </c>
      <c r="H68" s="12" t="s">
        <v>2427</v>
      </c>
      <c r="I68" s="12">
        <v>131</v>
      </c>
      <c r="J68" s="12">
        <v>5113</v>
      </c>
      <c r="K68" s="12" t="s">
        <v>20</v>
      </c>
      <c r="L68" s="12">
        <v>1</v>
      </c>
      <c r="M68" s="17">
        <v>7526882</v>
      </c>
      <c r="N68" s="17">
        <f t="shared" ref="N68:N79" si="6">L68*M68</f>
        <v>7526882</v>
      </c>
      <c r="O68" s="12" t="s">
        <v>21</v>
      </c>
      <c r="P68" s="12">
        <f t="shared" si="2"/>
        <v>39</v>
      </c>
    </row>
    <row r="69" spans="1:16" ht="15" customHeight="1" x14ac:dyDescent="0.2">
      <c r="A69" s="12" t="s">
        <v>18</v>
      </c>
      <c r="B69" s="135" t="s">
        <v>380</v>
      </c>
      <c r="C69" s="12">
        <f t="shared" si="5"/>
        <v>62</v>
      </c>
      <c r="D69" s="12">
        <v>0</v>
      </c>
      <c r="G69" s="14" t="s">
        <v>85</v>
      </c>
      <c r="H69" s="12" t="s">
        <v>2459</v>
      </c>
      <c r="I69" s="12">
        <v>333821</v>
      </c>
      <c r="J69" s="12">
        <v>131</v>
      </c>
      <c r="K69" s="12" t="s">
        <v>20</v>
      </c>
      <c r="L69" s="12">
        <v>1</v>
      </c>
      <c r="M69" s="17">
        <v>75269</v>
      </c>
      <c r="N69" s="17">
        <f t="shared" si="6"/>
        <v>75269</v>
      </c>
      <c r="O69" s="12" t="s">
        <v>21</v>
      </c>
      <c r="P69" s="12">
        <f t="shared" si="2"/>
        <v>39</v>
      </c>
    </row>
    <row r="70" spans="1:16" ht="15" customHeight="1" x14ac:dyDescent="0.2">
      <c r="A70" s="12" t="s">
        <v>18</v>
      </c>
      <c r="B70" s="135" t="s">
        <v>383</v>
      </c>
      <c r="C70" s="12">
        <f t="shared" si="5"/>
        <v>63</v>
      </c>
      <c r="D70" s="12">
        <v>1</v>
      </c>
      <c r="G70" s="14" t="s">
        <v>68</v>
      </c>
      <c r="H70" s="12" t="s">
        <v>2428</v>
      </c>
      <c r="I70" s="12">
        <v>131</v>
      </c>
      <c r="J70" s="12">
        <v>5113</v>
      </c>
      <c r="K70" s="12" t="s">
        <v>20</v>
      </c>
      <c r="L70" s="12">
        <v>1</v>
      </c>
      <c r="M70" s="17">
        <v>7526882</v>
      </c>
      <c r="N70" s="17">
        <f t="shared" si="6"/>
        <v>7526882</v>
      </c>
      <c r="O70" s="12" t="s">
        <v>21</v>
      </c>
      <c r="P70" s="12">
        <f t="shared" ref="P70:P133" si="7">P69+D70</f>
        <v>40</v>
      </c>
    </row>
    <row r="71" spans="1:16" ht="15" customHeight="1" x14ac:dyDescent="0.2">
      <c r="A71" s="12" t="s">
        <v>18</v>
      </c>
      <c r="B71" s="135" t="s">
        <v>383</v>
      </c>
      <c r="C71" s="12">
        <f t="shared" si="5"/>
        <v>63</v>
      </c>
      <c r="D71" s="12">
        <v>0</v>
      </c>
      <c r="G71" s="14" t="s">
        <v>68</v>
      </c>
      <c r="H71" s="12" t="s">
        <v>2460</v>
      </c>
      <c r="I71" s="12">
        <v>333821</v>
      </c>
      <c r="J71" s="12">
        <v>131</v>
      </c>
      <c r="K71" s="12" t="s">
        <v>20</v>
      </c>
      <c r="L71" s="12">
        <v>1</v>
      </c>
      <c r="M71" s="17">
        <v>75269</v>
      </c>
      <c r="N71" s="17">
        <f t="shared" si="6"/>
        <v>75269</v>
      </c>
      <c r="O71" s="12" t="s">
        <v>21</v>
      </c>
      <c r="P71" s="12">
        <f t="shared" si="7"/>
        <v>40</v>
      </c>
    </row>
    <row r="72" spans="1:16" ht="15" customHeight="1" x14ac:dyDescent="0.2">
      <c r="A72" s="12" t="s">
        <v>18</v>
      </c>
      <c r="B72" s="135" t="s">
        <v>457</v>
      </c>
      <c r="C72" s="12">
        <f t="shared" si="5"/>
        <v>64</v>
      </c>
      <c r="D72" s="12">
        <v>1</v>
      </c>
      <c r="G72" s="14" t="s">
        <v>105</v>
      </c>
      <c r="H72" s="12" t="s">
        <v>2429</v>
      </c>
      <c r="I72" s="12">
        <v>131</v>
      </c>
      <c r="J72" s="12">
        <v>5113</v>
      </c>
      <c r="K72" s="12" t="s">
        <v>20</v>
      </c>
      <c r="L72" s="12">
        <v>1</v>
      </c>
      <c r="M72" s="17">
        <v>8064516</v>
      </c>
      <c r="N72" s="17">
        <f t="shared" si="6"/>
        <v>8064516</v>
      </c>
      <c r="O72" s="12" t="s">
        <v>21</v>
      </c>
      <c r="P72" s="12">
        <f t="shared" si="7"/>
        <v>41</v>
      </c>
    </row>
    <row r="73" spans="1:16" ht="15" customHeight="1" x14ac:dyDescent="0.2">
      <c r="A73" s="12" t="s">
        <v>18</v>
      </c>
      <c r="B73" s="135" t="s">
        <v>457</v>
      </c>
      <c r="C73" s="12">
        <f t="shared" si="5"/>
        <v>64</v>
      </c>
      <c r="D73" s="12">
        <v>0</v>
      </c>
      <c r="G73" s="14" t="s">
        <v>105</v>
      </c>
      <c r="H73" s="12" t="s">
        <v>2461</v>
      </c>
      <c r="I73" s="12">
        <v>333821</v>
      </c>
      <c r="J73" s="12">
        <v>131</v>
      </c>
      <c r="K73" s="12" t="s">
        <v>20</v>
      </c>
      <c r="L73" s="12">
        <v>1</v>
      </c>
      <c r="M73" s="17">
        <v>80645</v>
      </c>
      <c r="N73" s="17">
        <f t="shared" si="6"/>
        <v>80645</v>
      </c>
      <c r="O73" s="12" t="s">
        <v>21</v>
      </c>
      <c r="P73" s="12">
        <f t="shared" si="7"/>
        <v>41</v>
      </c>
    </row>
    <row r="74" spans="1:16" ht="15" customHeight="1" x14ac:dyDescent="0.2">
      <c r="A74" s="12" t="s">
        <v>18</v>
      </c>
      <c r="B74" s="135" t="s">
        <v>2382</v>
      </c>
      <c r="C74" s="12">
        <f t="shared" si="5"/>
        <v>65</v>
      </c>
      <c r="D74" s="12">
        <v>1</v>
      </c>
      <c r="G74" s="14" t="s">
        <v>2394</v>
      </c>
      <c r="H74" s="12" t="s">
        <v>2430</v>
      </c>
      <c r="I74" s="12">
        <v>131</v>
      </c>
      <c r="J74" s="12">
        <v>5113</v>
      </c>
      <c r="K74" s="12" t="s">
        <v>20</v>
      </c>
      <c r="L74" s="12">
        <v>1</v>
      </c>
      <c r="M74" s="17">
        <v>7526882</v>
      </c>
      <c r="N74" s="17">
        <f t="shared" si="6"/>
        <v>7526882</v>
      </c>
      <c r="O74" s="12" t="s">
        <v>21</v>
      </c>
      <c r="P74" s="12">
        <f t="shared" si="7"/>
        <v>42</v>
      </c>
    </row>
    <row r="75" spans="1:16" ht="15" customHeight="1" x14ac:dyDescent="0.2">
      <c r="A75" s="12" t="s">
        <v>18</v>
      </c>
      <c r="B75" s="135" t="s">
        <v>2382</v>
      </c>
      <c r="C75" s="12">
        <f t="shared" si="5"/>
        <v>65</v>
      </c>
      <c r="D75" s="12">
        <v>0</v>
      </c>
      <c r="G75" s="14" t="s">
        <v>2394</v>
      </c>
      <c r="H75" s="12" t="s">
        <v>2462</v>
      </c>
      <c r="I75" s="12">
        <v>333821</v>
      </c>
      <c r="J75" s="12">
        <v>131</v>
      </c>
      <c r="K75" s="12" t="s">
        <v>20</v>
      </c>
      <c r="L75" s="12">
        <v>1</v>
      </c>
      <c r="M75" s="17">
        <v>75269</v>
      </c>
      <c r="N75" s="17">
        <f t="shared" si="6"/>
        <v>75269</v>
      </c>
      <c r="O75" s="12" t="s">
        <v>21</v>
      </c>
      <c r="P75" s="12">
        <f t="shared" si="7"/>
        <v>42</v>
      </c>
    </row>
    <row r="76" spans="1:16" ht="15" customHeight="1" x14ac:dyDescent="0.2">
      <c r="A76" s="12" t="s">
        <v>18</v>
      </c>
      <c r="B76" s="135" t="s">
        <v>2382</v>
      </c>
      <c r="C76" s="12">
        <f t="shared" si="5"/>
        <v>66</v>
      </c>
      <c r="D76" s="12">
        <v>1</v>
      </c>
      <c r="G76" s="14" t="s">
        <v>2392</v>
      </c>
      <c r="H76" s="12" t="s">
        <v>2431</v>
      </c>
      <c r="I76" s="12">
        <v>131</v>
      </c>
      <c r="J76" s="12">
        <v>5113</v>
      </c>
      <c r="K76" s="12" t="s">
        <v>20</v>
      </c>
      <c r="L76" s="12">
        <v>1</v>
      </c>
      <c r="M76" s="17">
        <v>6451613</v>
      </c>
      <c r="N76" s="17">
        <f t="shared" si="6"/>
        <v>6451613</v>
      </c>
      <c r="O76" s="12" t="s">
        <v>21</v>
      </c>
      <c r="P76" s="12">
        <f t="shared" si="7"/>
        <v>43</v>
      </c>
    </row>
    <row r="77" spans="1:16" ht="15" customHeight="1" x14ac:dyDescent="0.2">
      <c r="A77" s="12" t="s">
        <v>18</v>
      </c>
      <c r="B77" s="135" t="s">
        <v>2382</v>
      </c>
      <c r="C77" s="12">
        <f t="shared" si="5"/>
        <v>66</v>
      </c>
      <c r="D77" s="12">
        <v>0</v>
      </c>
      <c r="G77" s="14" t="s">
        <v>2392</v>
      </c>
      <c r="H77" s="12" t="s">
        <v>2463</v>
      </c>
      <c r="I77" s="12">
        <v>333821</v>
      </c>
      <c r="J77" s="12">
        <v>131</v>
      </c>
      <c r="K77" s="12" t="s">
        <v>20</v>
      </c>
      <c r="L77" s="12">
        <v>1</v>
      </c>
      <c r="M77" s="17">
        <v>64516</v>
      </c>
      <c r="N77" s="17">
        <f t="shared" si="6"/>
        <v>64516</v>
      </c>
      <c r="O77" s="12" t="s">
        <v>21</v>
      </c>
      <c r="P77" s="12">
        <f t="shared" si="7"/>
        <v>43</v>
      </c>
    </row>
    <row r="78" spans="1:16" ht="15" customHeight="1" x14ac:dyDescent="0.2">
      <c r="A78" s="12" t="s">
        <v>18</v>
      </c>
      <c r="B78" s="135" t="s">
        <v>2382</v>
      </c>
      <c r="C78" s="12">
        <f t="shared" si="5"/>
        <v>67</v>
      </c>
      <c r="D78" s="12">
        <v>1</v>
      </c>
      <c r="G78" s="14" t="s">
        <v>105</v>
      </c>
      <c r="H78" s="12" t="s">
        <v>2432</v>
      </c>
      <c r="I78" s="12">
        <v>131</v>
      </c>
      <c r="J78" s="12">
        <v>5113</v>
      </c>
      <c r="K78" s="12" t="s">
        <v>20</v>
      </c>
      <c r="L78" s="12">
        <v>1</v>
      </c>
      <c r="M78" s="17">
        <v>537634</v>
      </c>
      <c r="N78" s="17">
        <f t="shared" si="6"/>
        <v>537634</v>
      </c>
      <c r="O78" s="12" t="s">
        <v>21</v>
      </c>
      <c r="P78" s="12">
        <f t="shared" si="7"/>
        <v>44</v>
      </c>
    </row>
    <row r="79" spans="1:16" ht="15" customHeight="1" x14ac:dyDescent="0.2">
      <c r="A79" s="12" t="s">
        <v>18</v>
      </c>
      <c r="B79" s="135" t="s">
        <v>2382</v>
      </c>
      <c r="C79" s="12">
        <f t="shared" si="5"/>
        <v>67</v>
      </c>
      <c r="D79" s="12">
        <v>0</v>
      </c>
      <c r="G79" s="14" t="s">
        <v>105</v>
      </c>
      <c r="H79" s="12" t="s">
        <v>2464</v>
      </c>
      <c r="I79" s="12">
        <v>333821</v>
      </c>
      <c r="J79" s="12">
        <v>131</v>
      </c>
      <c r="K79" s="12" t="s">
        <v>20</v>
      </c>
      <c r="L79" s="12">
        <v>1</v>
      </c>
      <c r="M79" s="17">
        <v>5376</v>
      </c>
      <c r="N79" s="17">
        <f t="shared" si="6"/>
        <v>5376</v>
      </c>
      <c r="O79" s="12" t="s">
        <v>21</v>
      </c>
      <c r="P79" s="12">
        <f t="shared" si="7"/>
        <v>44</v>
      </c>
    </row>
    <row r="80" spans="1:16" ht="15" customHeight="1" x14ac:dyDescent="0.2">
      <c r="A80" s="12" t="s">
        <v>18</v>
      </c>
      <c r="B80" s="135">
        <v>45961</v>
      </c>
      <c r="C80" s="12">
        <f t="shared" ref="C80:C82" si="8">C79+D80</f>
        <v>68</v>
      </c>
      <c r="D80" s="12">
        <v>1</v>
      </c>
      <c r="G80" s="14" t="s">
        <v>93</v>
      </c>
      <c r="H80" s="12" t="s">
        <v>371</v>
      </c>
      <c r="I80" s="12">
        <v>64271</v>
      </c>
      <c r="J80" s="12">
        <v>3383</v>
      </c>
      <c r="K80" s="12" t="s">
        <v>20</v>
      </c>
      <c r="L80" s="12">
        <v>1</v>
      </c>
      <c r="M80" s="17">
        <v>690300</v>
      </c>
      <c r="N80" s="17">
        <f t="shared" ref="N80:N124" si="9">L80*M80</f>
        <v>690300</v>
      </c>
      <c r="O80" s="12" t="s">
        <v>21</v>
      </c>
      <c r="P80" s="12">
        <f t="shared" si="7"/>
        <v>45</v>
      </c>
    </row>
    <row r="81" spans="1:16" ht="15" customHeight="1" x14ac:dyDescent="0.2">
      <c r="A81" s="12" t="s">
        <v>18</v>
      </c>
      <c r="B81" s="135">
        <v>45991</v>
      </c>
      <c r="C81" s="12">
        <f t="shared" si="8"/>
        <v>69</v>
      </c>
      <c r="D81" s="12">
        <v>1</v>
      </c>
      <c r="G81" s="14" t="s">
        <v>93</v>
      </c>
      <c r="H81" s="12" t="s">
        <v>372</v>
      </c>
      <c r="I81" s="12">
        <v>64271</v>
      </c>
      <c r="J81" s="12">
        <v>3383</v>
      </c>
      <c r="K81" s="12" t="s">
        <v>20</v>
      </c>
      <c r="L81" s="12">
        <v>1</v>
      </c>
      <c r="M81" s="17">
        <v>690300</v>
      </c>
      <c r="N81" s="17">
        <f t="shared" si="9"/>
        <v>690300</v>
      </c>
      <c r="O81" s="12" t="s">
        <v>21</v>
      </c>
      <c r="P81" s="12">
        <f t="shared" si="7"/>
        <v>46</v>
      </c>
    </row>
    <row r="82" spans="1:16" ht="15" customHeight="1" x14ac:dyDescent="0.2">
      <c r="A82" s="12" t="s">
        <v>18</v>
      </c>
      <c r="B82" s="135">
        <v>46022</v>
      </c>
      <c r="C82" s="12">
        <f t="shared" si="8"/>
        <v>70</v>
      </c>
      <c r="D82" s="12">
        <v>1</v>
      </c>
      <c r="G82" s="14" t="s">
        <v>93</v>
      </c>
      <c r="H82" s="12" t="s">
        <v>373</v>
      </c>
      <c r="I82" s="12">
        <v>64271</v>
      </c>
      <c r="J82" s="12">
        <v>3383</v>
      </c>
      <c r="K82" s="12" t="s">
        <v>20</v>
      </c>
      <c r="L82" s="12">
        <v>1</v>
      </c>
      <c r="M82" s="17">
        <v>690300</v>
      </c>
      <c r="N82" s="17">
        <f t="shared" si="9"/>
        <v>690300</v>
      </c>
      <c r="O82" s="12" t="s">
        <v>21</v>
      </c>
      <c r="P82" s="12">
        <f t="shared" si="7"/>
        <v>47</v>
      </c>
    </row>
    <row r="83" spans="1:16" ht="15" customHeight="1" x14ac:dyDescent="0.2">
      <c r="A83" s="12" t="s">
        <v>2679</v>
      </c>
      <c r="B83" s="135" t="s">
        <v>445</v>
      </c>
      <c r="C83" s="12">
        <f t="shared" ref="C83:C100" si="10">C82+D83</f>
        <v>71</v>
      </c>
      <c r="D83" s="12">
        <v>1</v>
      </c>
      <c r="G83" s="14" t="s">
        <v>29</v>
      </c>
      <c r="H83" s="12" t="s">
        <v>3096</v>
      </c>
      <c r="I83" s="12">
        <v>112111</v>
      </c>
      <c r="J83" s="12">
        <v>131</v>
      </c>
      <c r="K83" s="12" t="s">
        <v>20</v>
      </c>
      <c r="L83" s="12">
        <v>1</v>
      </c>
      <c r="M83" s="17">
        <v>10752688</v>
      </c>
      <c r="N83" s="17">
        <f t="shared" si="9"/>
        <v>10752688</v>
      </c>
      <c r="O83" s="12" t="s">
        <v>21</v>
      </c>
      <c r="P83" s="12">
        <f t="shared" si="7"/>
        <v>48</v>
      </c>
    </row>
    <row r="84" spans="1:16" ht="15" customHeight="1" x14ac:dyDescent="0.2">
      <c r="A84" s="12" t="s">
        <v>2679</v>
      </c>
      <c r="B84" s="135" t="s">
        <v>375</v>
      </c>
      <c r="C84" s="12">
        <f t="shared" si="10"/>
        <v>72</v>
      </c>
      <c r="D84" s="12">
        <v>1</v>
      </c>
      <c r="G84" s="14" t="s">
        <v>2389</v>
      </c>
      <c r="H84" s="12" t="s">
        <v>3097</v>
      </c>
      <c r="I84" s="12">
        <v>112111</v>
      </c>
      <c r="J84" s="12">
        <v>131</v>
      </c>
      <c r="K84" s="12" t="s">
        <v>20</v>
      </c>
      <c r="L84" s="12">
        <v>1</v>
      </c>
      <c r="M84" s="17">
        <v>4258065</v>
      </c>
      <c r="N84" s="17">
        <f t="shared" si="9"/>
        <v>4258065</v>
      </c>
      <c r="O84" s="12" t="s">
        <v>21</v>
      </c>
      <c r="P84" s="12">
        <f t="shared" si="7"/>
        <v>49</v>
      </c>
    </row>
    <row r="85" spans="1:16" ht="15" customHeight="1" x14ac:dyDescent="0.2">
      <c r="A85" s="12" t="s">
        <v>2679</v>
      </c>
      <c r="B85" s="135" t="s">
        <v>311</v>
      </c>
      <c r="C85" s="12">
        <f t="shared" si="10"/>
        <v>73</v>
      </c>
      <c r="D85" s="12">
        <v>1</v>
      </c>
      <c r="G85" s="14" t="s">
        <v>29</v>
      </c>
      <c r="H85" s="12" t="s">
        <v>3098</v>
      </c>
      <c r="I85" s="12">
        <v>112111</v>
      </c>
      <c r="J85" s="12">
        <v>131</v>
      </c>
      <c r="K85" s="12" t="s">
        <v>20</v>
      </c>
      <c r="L85" s="12">
        <v>1</v>
      </c>
      <c r="M85" s="17">
        <v>10215054</v>
      </c>
      <c r="N85" s="17">
        <f t="shared" si="9"/>
        <v>10215054</v>
      </c>
      <c r="O85" s="12" t="s">
        <v>21</v>
      </c>
      <c r="P85" s="12">
        <f t="shared" si="7"/>
        <v>50</v>
      </c>
    </row>
    <row r="86" spans="1:16" ht="15" customHeight="1" x14ac:dyDescent="0.2">
      <c r="A86" s="12" t="s">
        <v>2679</v>
      </c>
      <c r="B86" s="135" t="s">
        <v>311</v>
      </c>
      <c r="C86" s="12">
        <f t="shared" si="10"/>
        <v>74</v>
      </c>
      <c r="D86" s="12">
        <v>1</v>
      </c>
      <c r="G86" s="14" t="s">
        <v>29</v>
      </c>
      <c r="H86" s="12" t="s">
        <v>3099</v>
      </c>
      <c r="I86" s="12">
        <v>112111</v>
      </c>
      <c r="J86" s="12">
        <v>131</v>
      </c>
      <c r="K86" s="12" t="s">
        <v>20</v>
      </c>
      <c r="L86" s="12">
        <v>1</v>
      </c>
      <c r="M86" s="17">
        <v>19354839</v>
      </c>
      <c r="N86" s="17">
        <f t="shared" si="9"/>
        <v>19354839</v>
      </c>
      <c r="O86" s="12" t="s">
        <v>21</v>
      </c>
      <c r="P86" s="12">
        <f t="shared" si="7"/>
        <v>51</v>
      </c>
    </row>
    <row r="87" spans="1:16" ht="15" customHeight="1" x14ac:dyDescent="0.2">
      <c r="A87" s="12" t="s">
        <v>2679</v>
      </c>
      <c r="B87" s="135" t="s">
        <v>867</v>
      </c>
      <c r="C87" s="12">
        <f t="shared" si="10"/>
        <v>75</v>
      </c>
      <c r="D87" s="12">
        <v>1</v>
      </c>
      <c r="G87" s="14" t="s">
        <v>88</v>
      </c>
      <c r="H87" s="12" t="s">
        <v>3100</v>
      </c>
      <c r="I87" s="12">
        <v>112111</v>
      </c>
      <c r="J87" s="12">
        <v>131</v>
      </c>
      <c r="K87" s="12" t="s">
        <v>20</v>
      </c>
      <c r="L87" s="12">
        <v>1</v>
      </c>
      <c r="M87" s="17">
        <v>7983871</v>
      </c>
      <c r="N87" s="17">
        <f t="shared" si="9"/>
        <v>7983871</v>
      </c>
      <c r="O87" s="12" t="s">
        <v>21</v>
      </c>
      <c r="P87" s="12">
        <f t="shared" si="7"/>
        <v>52</v>
      </c>
    </row>
    <row r="88" spans="1:16" ht="15" customHeight="1" x14ac:dyDescent="0.2">
      <c r="A88" s="12" t="s">
        <v>2679</v>
      </c>
      <c r="B88" s="135" t="s">
        <v>868</v>
      </c>
      <c r="C88" s="12">
        <f t="shared" si="10"/>
        <v>76</v>
      </c>
      <c r="D88" s="12">
        <v>1</v>
      </c>
      <c r="G88" s="14" t="s">
        <v>66</v>
      </c>
      <c r="H88" s="12" t="s">
        <v>3101</v>
      </c>
      <c r="I88" s="12">
        <v>112111</v>
      </c>
      <c r="J88" s="12">
        <v>131</v>
      </c>
      <c r="K88" s="12" t="s">
        <v>20</v>
      </c>
      <c r="L88" s="12">
        <v>1</v>
      </c>
      <c r="M88" s="17">
        <v>15967742</v>
      </c>
      <c r="N88" s="17">
        <f t="shared" si="9"/>
        <v>15967742</v>
      </c>
      <c r="O88" s="12" t="s">
        <v>21</v>
      </c>
      <c r="P88" s="12">
        <f t="shared" si="7"/>
        <v>53</v>
      </c>
    </row>
    <row r="89" spans="1:16" ht="15" customHeight="1" x14ac:dyDescent="0.2">
      <c r="A89" s="12" t="s">
        <v>2679</v>
      </c>
      <c r="B89" s="135" t="s">
        <v>868</v>
      </c>
      <c r="C89" s="12">
        <f t="shared" si="10"/>
        <v>77</v>
      </c>
      <c r="D89" s="12">
        <v>1</v>
      </c>
      <c r="G89" s="14" t="s">
        <v>68</v>
      </c>
      <c r="H89" s="12" t="s">
        <v>3102</v>
      </c>
      <c r="I89" s="12">
        <v>112111</v>
      </c>
      <c r="J89" s="12">
        <v>131</v>
      </c>
      <c r="K89" s="12" t="s">
        <v>20</v>
      </c>
      <c r="L89" s="12">
        <v>1</v>
      </c>
      <c r="M89" s="17">
        <v>7983871</v>
      </c>
      <c r="N89" s="17">
        <f t="shared" si="9"/>
        <v>7983871</v>
      </c>
      <c r="O89" s="12" t="s">
        <v>21</v>
      </c>
      <c r="P89" s="12">
        <f t="shared" si="7"/>
        <v>54</v>
      </c>
    </row>
    <row r="90" spans="1:16" ht="15" customHeight="1" x14ac:dyDescent="0.2">
      <c r="A90" s="12" t="s">
        <v>2678</v>
      </c>
      <c r="B90" s="135" t="s">
        <v>868</v>
      </c>
      <c r="C90" s="12">
        <f t="shared" si="10"/>
        <v>78</v>
      </c>
      <c r="D90" s="12">
        <v>1</v>
      </c>
      <c r="G90" s="14" t="s">
        <v>286</v>
      </c>
      <c r="H90" s="12" t="s">
        <v>2681</v>
      </c>
      <c r="I90" s="12">
        <v>1111</v>
      </c>
      <c r="J90" s="12">
        <v>112111</v>
      </c>
      <c r="K90" s="12" t="s">
        <v>20</v>
      </c>
      <c r="L90" s="12">
        <v>1</v>
      </c>
      <c r="M90" s="17">
        <v>79000000</v>
      </c>
      <c r="N90" s="17">
        <f t="shared" si="9"/>
        <v>79000000</v>
      </c>
      <c r="O90" s="12" t="s">
        <v>21</v>
      </c>
      <c r="P90" s="12">
        <f t="shared" si="7"/>
        <v>55</v>
      </c>
    </row>
    <row r="91" spans="1:16" ht="15" customHeight="1" x14ac:dyDescent="0.2">
      <c r="A91" s="12" t="s">
        <v>2679</v>
      </c>
      <c r="B91" s="135" t="s">
        <v>468</v>
      </c>
      <c r="C91" s="12">
        <f t="shared" si="10"/>
        <v>79</v>
      </c>
      <c r="D91" s="12">
        <v>1</v>
      </c>
      <c r="G91" s="14" t="s">
        <v>88</v>
      </c>
      <c r="H91" s="12" t="s">
        <v>3103</v>
      </c>
      <c r="I91" s="12">
        <v>112111</v>
      </c>
      <c r="J91" s="12">
        <v>131</v>
      </c>
      <c r="K91" s="12" t="s">
        <v>20</v>
      </c>
      <c r="L91" s="12">
        <v>1</v>
      </c>
      <c r="M91" s="17">
        <v>7983871</v>
      </c>
      <c r="N91" s="17">
        <f t="shared" si="9"/>
        <v>7983871</v>
      </c>
      <c r="O91" s="12" t="s">
        <v>21</v>
      </c>
      <c r="P91" s="12">
        <f t="shared" si="7"/>
        <v>56</v>
      </c>
    </row>
    <row r="92" spans="1:16" ht="15" customHeight="1" x14ac:dyDescent="0.2">
      <c r="A92" s="12" t="s">
        <v>2678</v>
      </c>
      <c r="B92" s="135" t="s">
        <v>599</v>
      </c>
      <c r="C92" s="12">
        <f t="shared" si="10"/>
        <v>80</v>
      </c>
      <c r="D92" s="12">
        <v>1</v>
      </c>
      <c r="G92" s="14" t="s">
        <v>2386</v>
      </c>
      <c r="H92" s="12" t="s">
        <v>3094</v>
      </c>
      <c r="I92" s="12">
        <v>331</v>
      </c>
      <c r="J92" s="12">
        <v>112111</v>
      </c>
      <c r="K92" s="12" t="s">
        <v>20</v>
      </c>
      <c r="L92" s="12">
        <v>1</v>
      </c>
      <c r="M92" s="17">
        <v>5500</v>
      </c>
      <c r="N92" s="17">
        <f t="shared" si="9"/>
        <v>5500</v>
      </c>
      <c r="O92" s="12" t="s">
        <v>21</v>
      </c>
      <c r="P92" s="12">
        <f t="shared" si="7"/>
        <v>57</v>
      </c>
    </row>
    <row r="93" spans="1:16" ht="15" customHeight="1" x14ac:dyDescent="0.2">
      <c r="A93" s="12" t="s">
        <v>2679</v>
      </c>
      <c r="B93" s="135" t="s">
        <v>469</v>
      </c>
      <c r="C93" s="12">
        <f t="shared" si="10"/>
        <v>81</v>
      </c>
      <c r="D93" s="12">
        <v>1</v>
      </c>
      <c r="G93" s="14" t="s">
        <v>54</v>
      </c>
      <c r="H93" s="12" t="s">
        <v>3123</v>
      </c>
      <c r="I93" s="12">
        <v>112111</v>
      </c>
      <c r="J93" s="12">
        <v>131</v>
      </c>
      <c r="K93" s="12" t="s">
        <v>20</v>
      </c>
      <c r="L93" s="12">
        <v>1</v>
      </c>
      <c r="M93" s="17">
        <v>7983871</v>
      </c>
      <c r="N93" s="17">
        <f t="shared" si="9"/>
        <v>7983871</v>
      </c>
      <c r="O93" s="12" t="s">
        <v>3124</v>
      </c>
      <c r="P93" s="12">
        <f t="shared" si="7"/>
        <v>58</v>
      </c>
    </row>
    <row r="94" spans="1:16" ht="15" customHeight="1" x14ac:dyDescent="0.2">
      <c r="A94" s="12" t="s">
        <v>2679</v>
      </c>
      <c r="B94" s="135" t="s">
        <v>512</v>
      </c>
      <c r="C94" s="12">
        <f t="shared" si="10"/>
        <v>82</v>
      </c>
      <c r="D94" s="12">
        <v>1</v>
      </c>
      <c r="G94" s="14" t="s">
        <v>2386</v>
      </c>
      <c r="H94" s="12" t="s">
        <v>3095</v>
      </c>
      <c r="I94" s="12">
        <v>112111</v>
      </c>
      <c r="J94" s="12">
        <v>5154</v>
      </c>
      <c r="K94" s="12" t="s">
        <v>20</v>
      </c>
      <c r="L94" s="12">
        <v>1</v>
      </c>
      <c r="M94" s="17">
        <v>8953</v>
      </c>
      <c r="N94" s="17">
        <f t="shared" si="9"/>
        <v>8953</v>
      </c>
      <c r="O94" s="12" t="s">
        <v>21</v>
      </c>
      <c r="P94" s="12">
        <f t="shared" si="7"/>
        <v>59</v>
      </c>
    </row>
    <row r="95" spans="1:16" ht="15" customHeight="1" x14ac:dyDescent="0.2">
      <c r="A95" s="12" t="s">
        <v>2678</v>
      </c>
      <c r="B95" s="135" t="s">
        <v>512</v>
      </c>
      <c r="C95" s="12">
        <f t="shared" si="10"/>
        <v>83</v>
      </c>
      <c r="D95" s="12">
        <v>1</v>
      </c>
      <c r="G95" s="14" t="s">
        <v>286</v>
      </c>
      <c r="H95" s="12" t="s">
        <v>2681</v>
      </c>
      <c r="I95" s="12">
        <v>1111</v>
      </c>
      <c r="J95" s="12">
        <v>112111</v>
      </c>
      <c r="K95" s="12" t="s">
        <v>20</v>
      </c>
      <c r="L95" s="12">
        <v>1</v>
      </c>
      <c r="M95" s="17">
        <v>16000000</v>
      </c>
      <c r="N95" s="17">
        <f t="shared" si="9"/>
        <v>16000000</v>
      </c>
      <c r="O95" s="12" t="s">
        <v>21</v>
      </c>
      <c r="P95" s="12">
        <f t="shared" si="7"/>
        <v>60</v>
      </c>
    </row>
    <row r="96" spans="1:16" ht="15" customHeight="1" x14ac:dyDescent="0.2">
      <c r="A96" s="12" t="s">
        <v>2678</v>
      </c>
      <c r="B96" s="135" t="s">
        <v>869</v>
      </c>
      <c r="C96" s="12">
        <f t="shared" si="10"/>
        <v>84</v>
      </c>
      <c r="D96" s="12">
        <v>1</v>
      </c>
      <c r="G96" s="14" t="s">
        <v>286</v>
      </c>
      <c r="H96" s="12" t="s">
        <v>2681</v>
      </c>
      <c r="I96" s="12">
        <v>1111</v>
      </c>
      <c r="J96" s="12">
        <v>112111</v>
      </c>
      <c r="K96" s="12" t="s">
        <v>20</v>
      </c>
      <c r="L96" s="12">
        <v>1</v>
      </c>
      <c r="M96" s="17">
        <v>4200000</v>
      </c>
      <c r="N96" s="17">
        <f t="shared" si="9"/>
        <v>4200000</v>
      </c>
      <c r="O96" s="12" t="s">
        <v>21</v>
      </c>
      <c r="P96" s="12">
        <f t="shared" si="7"/>
        <v>61</v>
      </c>
    </row>
    <row r="97" spans="1:16" ht="15" customHeight="1" x14ac:dyDescent="0.2">
      <c r="A97" s="12" t="s">
        <v>2679</v>
      </c>
      <c r="B97" s="135" t="s">
        <v>377</v>
      </c>
      <c r="C97" s="12">
        <f t="shared" si="10"/>
        <v>85</v>
      </c>
      <c r="D97" s="12">
        <v>1</v>
      </c>
      <c r="G97" s="14" t="s">
        <v>26</v>
      </c>
      <c r="H97" s="12" t="s">
        <v>3112</v>
      </c>
      <c r="I97" s="12">
        <v>112111</v>
      </c>
      <c r="J97" s="12">
        <v>131</v>
      </c>
      <c r="K97" s="12" t="s">
        <v>20</v>
      </c>
      <c r="L97" s="12">
        <v>1</v>
      </c>
      <c r="M97" s="17">
        <v>7983871</v>
      </c>
      <c r="N97" s="17">
        <f t="shared" si="9"/>
        <v>7983871</v>
      </c>
      <c r="O97" s="12" t="s">
        <v>21</v>
      </c>
      <c r="P97" s="12">
        <f t="shared" si="7"/>
        <v>62</v>
      </c>
    </row>
    <row r="98" spans="1:16" ht="15" customHeight="1" x14ac:dyDescent="0.2">
      <c r="A98" s="12" t="s">
        <v>2679</v>
      </c>
      <c r="B98" s="135" t="s">
        <v>377</v>
      </c>
      <c r="C98" s="12">
        <f t="shared" si="10"/>
        <v>86</v>
      </c>
      <c r="D98" s="12">
        <v>1</v>
      </c>
      <c r="G98" s="14" t="s">
        <v>85</v>
      </c>
      <c r="H98" s="12" t="s">
        <v>3104</v>
      </c>
      <c r="I98" s="12">
        <v>112111</v>
      </c>
      <c r="J98" s="12">
        <v>131</v>
      </c>
      <c r="K98" s="12" t="s">
        <v>20</v>
      </c>
      <c r="L98" s="12">
        <v>1</v>
      </c>
      <c r="M98" s="17">
        <v>7983871</v>
      </c>
      <c r="N98" s="17">
        <f t="shared" si="9"/>
        <v>7983871</v>
      </c>
      <c r="O98" s="12" t="s">
        <v>21</v>
      </c>
      <c r="P98" s="12">
        <f t="shared" si="7"/>
        <v>63</v>
      </c>
    </row>
    <row r="99" spans="1:16" ht="15" customHeight="1" x14ac:dyDescent="0.2">
      <c r="A99" s="12" t="s">
        <v>2678</v>
      </c>
      <c r="B99" s="135" t="s">
        <v>291</v>
      </c>
      <c r="C99" s="12">
        <f t="shared" si="10"/>
        <v>87</v>
      </c>
      <c r="D99" s="12">
        <v>1</v>
      </c>
      <c r="G99" s="14" t="s">
        <v>286</v>
      </c>
      <c r="H99" s="12" t="s">
        <v>2681</v>
      </c>
      <c r="I99" s="12">
        <v>1111</v>
      </c>
      <c r="J99" s="12">
        <v>112111</v>
      </c>
      <c r="K99" s="12" t="s">
        <v>20</v>
      </c>
      <c r="L99" s="12">
        <v>1</v>
      </c>
      <c r="M99" s="17">
        <v>7000000</v>
      </c>
      <c r="N99" s="17">
        <f t="shared" si="9"/>
        <v>7000000</v>
      </c>
      <c r="O99" s="12" t="s">
        <v>21</v>
      </c>
      <c r="P99" s="12">
        <f t="shared" si="7"/>
        <v>64</v>
      </c>
    </row>
    <row r="100" spans="1:16" ht="15" customHeight="1" x14ac:dyDescent="0.2">
      <c r="A100" s="12" t="s">
        <v>2678</v>
      </c>
      <c r="B100" s="135" t="s">
        <v>291</v>
      </c>
      <c r="C100" s="12">
        <f t="shared" si="10"/>
        <v>88</v>
      </c>
      <c r="D100" s="12">
        <v>1</v>
      </c>
      <c r="G100" s="14" t="s">
        <v>93</v>
      </c>
      <c r="H100" s="12" t="s">
        <v>3105</v>
      </c>
      <c r="I100" s="12">
        <v>3383</v>
      </c>
      <c r="J100" s="12">
        <v>112111</v>
      </c>
      <c r="K100" s="12" t="s">
        <v>20</v>
      </c>
      <c r="L100" s="12">
        <v>1</v>
      </c>
      <c r="M100" s="17">
        <v>1380600</v>
      </c>
      <c r="N100" s="17">
        <f t="shared" si="9"/>
        <v>1380600</v>
      </c>
      <c r="O100" s="12" t="s">
        <v>21</v>
      </c>
      <c r="P100" s="12">
        <f t="shared" si="7"/>
        <v>65</v>
      </c>
    </row>
    <row r="101" spans="1:16" ht="15" customHeight="1" x14ac:dyDescent="0.2">
      <c r="A101" s="12" t="s">
        <v>2679</v>
      </c>
      <c r="B101" s="135" t="s">
        <v>292</v>
      </c>
      <c r="C101" s="12">
        <f t="shared" ref="C101:C111" si="11">C100+D101</f>
        <v>89</v>
      </c>
      <c r="D101" s="12">
        <v>1</v>
      </c>
      <c r="G101" s="14" t="s">
        <v>57</v>
      </c>
      <c r="H101" s="12" t="s">
        <v>3106</v>
      </c>
      <c r="I101" s="12">
        <v>112111</v>
      </c>
      <c r="J101" s="12">
        <v>131</v>
      </c>
      <c r="K101" s="12" t="s">
        <v>20</v>
      </c>
      <c r="L101" s="12">
        <v>1</v>
      </c>
      <c r="M101" s="17">
        <v>7983871</v>
      </c>
      <c r="N101" s="17">
        <f t="shared" si="9"/>
        <v>7983871</v>
      </c>
      <c r="O101" s="12" t="s">
        <v>21</v>
      </c>
      <c r="P101" s="12">
        <f t="shared" si="7"/>
        <v>66</v>
      </c>
    </row>
    <row r="102" spans="1:16" ht="15" customHeight="1" x14ac:dyDescent="0.2">
      <c r="A102" s="12" t="s">
        <v>2679</v>
      </c>
      <c r="B102" s="135" t="s">
        <v>313</v>
      </c>
      <c r="C102" s="12">
        <f t="shared" si="11"/>
        <v>90</v>
      </c>
      <c r="D102" s="12">
        <v>1</v>
      </c>
      <c r="G102" s="14" t="s">
        <v>110</v>
      </c>
      <c r="H102" s="12" t="s">
        <v>3125</v>
      </c>
      <c r="I102" s="12">
        <v>112111</v>
      </c>
      <c r="J102" s="12">
        <v>131</v>
      </c>
      <c r="K102" s="12" t="s">
        <v>20</v>
      </c>
      <c r="L102" s="12">
        <v>1</v>
      </c>
      <c r="M102" s="17">
        <v>7983871</v>
      </c>
      <c r="N102" s="17">
        <f t="shared" si="9"/>
        <v>7983871</v>
      </c>
      <c r="O102" s="12" t="s">
        <v>21</v>
      </c>
      <c r="P102" s="12">
        <f t="shared" si="7"/>
        <v>67</v>
      </c>
    </row>
    <row r="103" spans="1:16" ht="15" customHeight="1" x14ac:dyDescent="0.2">
      <c r="A103" s="12" t="s">
        <v>2678</v>
      </c>
      <c r="B103" s="135" t="s">
        <v>313</v>
      </c>
      <c r="C103" s="12">
        <f t="shared" si="11"/>
        <v>91</v>
      </c>
      <c r="D103" s="12">
        <v>1</v>
      </c>
      <c r="G103" s="14" t="s">
        <v>286</v>
      </c>
      <c r="H103" s="12" t="s">
        <v>2681</v>
      </c>
      <c r="I103" s="12">
        <v>1111</v>
      </c>
      <c r="J103" s="12">
        <v>112111</v>
      </c>
      <c r="K103" s="12" t="s">
        <v>20</v>
      </c>
      <c r="L103" s="12">
        <v>1</v>
      </c>
      <c r="M103" s="17">
        <v>24000000</v>
      </c>
      <c r="N103" s="17">
        <f t="shared" si="9"/>
        <v>24000000</v>
      </c>
      <c r="O103" s="12" t="s">
        <v>21</v>
      </c>
      <c r="P103" s="12">
        <f t="shared" si="7"/>
        <v>68</v>
      </c>
    </row>
    <row r="104" spans="1:16" ht="15" customHeight="1" x14ac:dyDescent="0.2">
      <c r="A104" s="12" t="s">
        <v>2679</v>
      </c>
      <c r="B104" s="135" t="s">
        <v>470</v>
      </c>
      <c r="C104" s="12">
        <f t="shared" si="11"/>
        <v>92</v>
      </c>
      <c r="D104" s="12">
        <v>1</v>
      </c>
      <c r="G104" s="14" t="s">
        <v>2055</v>
      </c>
      <c r="H104" s="12" t="s">
        <v>3107</v>
      </c>
      <c r="I104" s="12">
        <v>112111</v>
      </c>
      <c r="J104" s="12">
        <v>131</v>
      </c>
      <c r="K104" s="12" t="s">
        <v>20</v>
      </c>
      <c r="L104" s="12">
        <v>1</v>
      </c>
      <c r="M104" s="17">
        <v>7983871</v>
      </c>
      <c r="N104" s="17">
        <f t="shared" si="9"/>
        <v>7983871</v>
      </c>
      <c r="O104" s="12" t="s">
        <v>21</v>
      </c>
      <c r="P104" s="12">
        <f t="shared" si="7"/>
        <v>69</v>
      </c>
    </row>
    <row r="105" spans="1:16" ht="15" customHeight="1" x14ac:dyDescent="0.2">
      <c r="A105" s="12" t="s">
        <v>2679</v>
      </c>
      <c r="B105" s="135" t="s">
        <v>317</v>
      </c>
      <c r="C105" s="12">
        <f t="shared" si="11"/>
        <v>93</v>
      </c>
      <c r="D105" s="12">
        <v>1</v>
      </c>
      <c r="G105" s="14" t="s">
        <v>2389</v>
      </c>
      <c r="H105" s="12" t="s">
        <v>3108</v>
      </c>
      <c r="I105" s="12">
        <v>112111</v>
      </c>
      <c r="J105" s="12">
        <v>131</v>
      </c>
      <c r="K105" s="12" t="s">
        <v>20</v>
      </c>
      <c r="L105" s="12">
        <v>1</v>
      </c>
      <c r="M105" s="17">
        <v>4258064</v>
      </c>
      <c r="N105" s="17">
        <f t="shared" si="9"/>
        <v>4258064</v>
      </c>
      <c r="O105" s="12" t="s">
        <v>21</v>
      </c>
      <c r="P105" s="12">
        <f t="shared" si="7"/>
        <v>70</v>
      </c>
    </row>
    <row r="106" spans="1:16" ht="15" customHeight="1" x14ac:dyDescent="0.2">
      <c r="A106" s="12" t="s">
        <v>2679</v>
      </c>
      <c r="B106" s="135" t="s">
        <v>471</v>
      </c>
      <c r="C106" s="12">
        <f t="shared" si="11"/>
        <v>94</v>
      </c>
      <c r="D106" s="12">
        <v>1</v>
      </c>
      <c r="G106" s="14" t="s">
        <v>88</v>
      </c>
      <c r="H106" s="12" t="s">
        <v>3109</v>
      </c>
      <c r="I106" s="12">
        <v>112111</v>
      </c>
      <c r="J106" s="12">
        <v>131</v>
      </c>
      <c r="K106" s="12" t="s">
        <v>20</v>
      </c>
      <c r="L106" s="12">
        <v>1</v>
      </c>
      <c r="M106" s="17">
        <v>7983871</v>
      </c>
      <c r="N106" s="17">
        <f t="shared" si="9"/>
        <v>7983871</v>
      </c>
      <c r="O106" s="12" t="s">
        <v>21</v>
      </c>
      <c r="P106" s="12">
        <f t="shared" si="7"/>
        <v>71</v>
      </c>
    </row>
    <row r="107" spans="1:16" ht="15" customHeight="1" x14ac:dyDescent="0.2">
      <c r="A107" s="12" t="s">
        <v>2679</v>
      </c>
      <c r="B107" s="135" t="s">
        <v>601</v>
      </c>
      <c r="C107" s="12">
        <f t="shared" si="11"/>
        <v>95</v>
      </c>
      <c r="D107" s="12">
        <v>1</v>
      </c>
      <c r="G107" s="14" t="s">
        <v>2388</v>
      </c>
      <c r="H107" s="12" t="s">
        <v>3110</v>
      </c>
      <c r="I107" s="12">
        <v>112111</v>
      </c>
      <c r="J107" s="12">
        <v>131</v>
      </c>
      <c r="K107" s="12" t="s">
        <v>20</v>
      </c>
      <c r="L107" s="12">
        <v>1</v>
      </c>
      <c r="M107" s="17">
        <v>7983871</v>
      </c>
      <c r="N107" s="17">
        <f t="shared" si="9"/>
        <v>7983871</v>
      </c>
      <c r="O107" s="12" t="s">
        <v>21</v>
      </c>
      <c r="P107" s="12">
        <f t="shared" si="7"/>
        <v>72</v>
      </c>
    </row>
    <row r="108" spans="1:16" ht="15" customHeight="1" x14ac:dyDescent="0.2">
      <c r="A108" s="12" t="s">
        <v>2679</v>
      </c>
      <c r="B108" s="135" t="s">
        <v>319</v>
      </c>
      <c r="C108" s="12">
        <f t="shared" si="11"/>
        <v>96</v>
      </c>
      <c r="D108" s="12">
        <v>1</v>
      </c>
      <c r="G108" s="14" t="s">
        <v>66</v>
      </c>
      <c r="H108" s="12" t="s">
        <v>3111</v>
      </c>
      <c r="I108" s="12">
        <v>112111</v>
      </c>
      <c r="J108" s="12">
        <v>131</v>
      </c>
      <c r="K108" s="12" t="s">
        <v>20</v>
      </c>
      <c r="L108" s="12">
        <v>1</v>
      </c>
      <c r="M108" s="17">
        <v>7983871</v>
      </c>
      <c r="N108" s="17">
        <f t="shared" si="9"/>
        <v>7983871</v>
      </c>
      <c r="O108" s="12" t="s">
        <v>21</v>
      </c>
      <c r="P108" s="12">
        <f t="shared" si="7"/>
        <v>73</v>
      </c>
    </row>
    <row r="109" spans="1:16" ht="15" customHeight="1" x14ac:dyDescent="0.2">
      <c r="A109" s="12" t="s">
        <v>2679</v>
      </c>
      <c r="B109" s="135" t="s">
        <v>514</v>
      </c>
      <c r="C109" s="12">
        <f t="shared" si="11"/>
        <v>97</v>
      </c>
      <c r="D109" s="12">
        <v>1</v>
      </c>
      <c r="G109" s="14" t="s">
        <v>2386</v>
      </c>
      <c r="H109" s="12" t="s">
        <v>3095</v>
      </c>
      <c r="I109" s="12">
        <v>112111</v>
      </c>
      <c r="J109" s="12">
        <v>5154</v>
      </c>
      <c r="K109" s="12" t="s">
        <v>20</v>
      </c>
      <c r="L109" s="12">
        <v>1</v>
      </c>
      <c r="M109" s="17">
        <v>6448</v>
      </c>
      <c r="N109" s="17">
        <f t="shared" si="9"/>
        <v>6448</v>
      </c>
      <c r="O109" s="12" t="s">
        <v>21</v>
      </c>
      <c r="P109" s="12">
        <f t="shared" si="7"/>
        <v>74</v>
      </c>
    </row>
    <row r="110" spans="1:16" ht="15" customHeight="1" x14ac:dyDescent="0.2">
      <c r="A110" s="12" t="s">
        <v>2679</v>
      </c>
      <c r="B110" s="135" t="s">
        <v>514</v>
      </c>
      <c r="C110" s="12">
        <f t="shared" si="11"/>
        <v>98</v>
      </c>
      <c r="D110" s="12">
        <v>1</v>
      </c>
      <c r="G110" s="14" t="s">
        <v>26</v>
      </c>
      <c r="H110" s="12" t="s">
        <v>3112</v>
      </c>
      <c r="I110" s="12">
        <v>112111</v>
      </c>
      <c r="J110" s="12">
        <v>131</v>
      </c>
      <c r="K110" s="12" t="s">
        <v>20</v>
      </c>
      <c r="L110" s="12">
        <v>1</v>
      </c>
      <c r="M110" s="17">
        <v>7983871</v>
      </c>
      <c r="N110" s="17">
        <f t="shared" si="9"/>
        <v>7983871</v>
      </c>
      <c r="O110" s="12" t="s">
        <v>21</v>
      </c>
      <c r="P110" s="12">
        <f t="shared" si="7"/>
        <v>75</v>
      </c>
    </row>
    <row r="111" spans="1:16" ht="15" customHeight="1" x14ac:dyDescent="0.2">
      <c r="A111" s="12" t="s">
        <v>2678</v>
      </c>
      <c r="B111" s="135" t="s">
        <v>379</v>
      </c>
      <c r="C111" s="12">
        <f t="shared" si="11"/>
        <v>99</v>
      </c>
      <c r="D111" s="12">
        <v>1</v>
      </c>
      <c r="G111" s="14" t="s">
        <v>93</v>
      </c>
      <c r="H111" s="12" t="s">
        <v>372</v>
      </c>
      <c r="I111" s="12">
        <v>3383</v>
      </c>
      <c r="J111" s="12">
        <v>112111</v>
      </c>
      <c r="K111" s="12" t="s">
        <v>20</v>
      </c>
      <c r="L111" s="12">
        <v>1</v>
      </c>
      <c r="M111" s="17">
        <v>690300</v>
      </c>
      <c r="N111" s="17">
        <f t="shared" si="9"/>
        <v>690300</v>
      </c>
      <c r="O111" s="12" t="s">
        <v>21</v>
      </c>
      <c r="P111" s="12">
        <f t="shared" si="7"/>
        <v>76</v>
      </c>
    </row>
    <row r="112" spans="1:16" ht="15" customHeight="1" x14ac:dyDescent="0.2">
      <c r="A112" s="12" t="s">
        <v>2679</v>
      </c>
      <c r="B112" s="135" t="s">
        <v>523</v>
      </c>
      <c r="C112" s="12">
        <f t="shared" ref="C112:C135" si="12">C111+D112</f>
        <v>100</v>
      </c>
      <c r="D112" s="12">
        <v>1</v>
      </c>
      <c r="G112" s="14" t="s">
        <v>26</v>
      </c>
      <c r="H112" s="12" t="s">
        <v>3113</v>
      </c>
      <c r="I112" s="12">
        <v>112111</v>
      </c>
      <c r="J112" s="12">
        <v>131</v>
      </c>
      <c r="K112" s="12" t="s">
        <v>20</v>
      </c>
      <c r="L112" s="12">
        <v>1</v>
      </c>
      <c r="M112" s="17">
        <v>15967742</v>
      </c>
      <c r="N112" s="17">
        <f t="shared" si="9"/>
        <v>15967742</v>
      </c>
      <c r="O112" s="12" t="s">
        <v>21</v>
      </c>
      <c r="P112" s="12">
        <f t="shared" si="7"/>
        <v>77</v>
      </c>
    </row>
    <row r="113" spans="1:16" ht="15" customHeight="1" x14ac:dyDescent="0.2">
      <c r="A113" s="12" t="s">
        <v>2678</v>
      </c>
      <c r="B113" s="135" t="s">
        <v>524</v>
      </c>
      <c r="C113" s="12">
        <f t="shared" si="12"/>
        <v>101</v>
      </c>
      <c r="D113" s="12">
        <v>1</v>
      </c>
      <c r="G113" s="14" t="s">
        <v>286</v>
      </c>
      <c r="H113" s="12" t="s">
        <v>2681</v>
      </c>
      <c r="I113" s="12">
        <v>1111</v>
      </c>
      <c r="J113" s="12">
        <v>112111</v>
      </c>
      <c r="K113" s="12" t="s">
        <v>20</v>
      </c>
      <c r="L113" s="12">
        <v>1</v>
      </c>
      <c r="M113" s="17">
        <v>55000000</v>
      </c>
      <c r="N113" s="17">
        <f t="shared" si="9"/>
        <v>55000000</v>
      </c>
      <c r="O113" s="12" t="s">
        <v>21</v>
      </c>
      <c r="P113" s="12">
        <f t="shared" si="7"/>
        <v>78</v>
      </c>
    </row>
    <row r="114" spans="1:16" ht="15" customHeight="1" x14ac:dyDescent="0.2">
      <c r="A114" s="12" t="s">
        <v>2679</v>
      </c>
      <c r="B114" s="135" t="s">
        <v>454</v>
      </c>
      <c r="C114" s="12">
        <f t="shared" si="12"/>
        <v>102</v>
      </c>
      <c r="D114" s="12">
        <v>1</v>
      </c>
      <c r="G114" s="14" t="s">
        <v>2392</v>
      </c>
      <c r="H114" s="12" t="s">
        <v>3114</v>
      </c>
      <c r="I114" s="12">
        <v>112111</v>
      </c>
      <c r="J114" s="12">
        <v>131</v>
      </c>
      <c r="K114" s="12" t="s">
        <v>20</v>
      </c>
      <c r="L114" s="12">
        <v>1</v>
      </c>
      <c r="M114" s="17">
        <v>6387097</v>
      </c>
      <c r="N114" s="17">
        <f t="shared" si="9"/>
        <v>6387097</v>
      </c>
      <c r="O114" s="12" t="s">
        <v>21</v>
      </c>
      <c r="P114" s="12">
        <f t="shared" si="7"/>
        <v>79</v>
      </c>
    </row>
    <row r="115" spans="1:16" ht="15" customHeight="1" x14ac:dyDescent="0.2">
      <c r="A115" s="12" t="s">
        <v>2679</v>
      </c>
      <c r="B115" s="135" t="s">
        <v>2044</v>
      </c>
      <c r="C115" s="12">
        <f t="shared" si="12"/>
        <v>103</v>
      </c>
      <c r="D115" s="12">
        <v>1</v>
      </c>
      <c r="G115" s="14" t="s">
        <v>130</v>
      </c>
      <c r="H115" s="12" t="s">
        <v>3115</v>
      </c>
      <c r="I115" s="12">
        <v>112111</v>
      </c>
      <c r="J115" s="12">
        <v>131</v>
      </c>
      <c r="K115" s="12" t="s">
        <v>20</v>
      </c>
      <c r="L115" s="12">
        <v>1</v>
      </c>
      <c r="M115" s="17">
        <v>7983871</v>
      </c>
      <c r="N115" s="17">
        <f t="shared" si="9"/>
        <v>7983871</v>
      </c>
      <c r="O115" s="12" t="s">
        <v>21</v>
      </c>
      <c r="P115" s="12">
        <f t="shared" si="7"/>
        <v>80</v>
      </c>
    </row>
    <row r="116" spans="1:16" ht="15" customHeight="1" x14ac:dyDescent="0.2">
      <c r="A116" s="12" t="s">
        <v>2679</v>
      </c>
      <c r="B116" s="135" t="s">
        <v>380</v>
      </c>
      <c r="C116" s="12">
        <f t="shared" si="12"/>
        <v>104</v>
      </c>
      <c r="D116" s="12">
        <v>1</v>
      </c>
      <c r="G116" s="14" t="s">
        <v>2391</v>
      </c>
      <c r="H116" s="12" t="s">
        <v>3116</v>
      </c>
      <c r="I116" s="12">
        <v>112111</v>
      </c>
      <c r="J116" s="12">
        <v>131</v>
      </c>
      <c r="K116" s="12" t="s">
        <v>20</v>
      </c>
      <c r="L116" s="12">
        <v>1</v>
      </c>
      <c r="M116" s="17">
        <v>7983871</v>
      </c>
      <c r="N116" s="17">
        <f t="shared" si="9"/>
        <v>7983871</v>
      </c>
      <c r="O116" s="12" t="s">
        <v>21</v>
      </c>
      <c r="P116" s="12">
        <f t="shared" si="7"/>
        <v>81</v>
      </c>
    </row>
    <row r="117" spans="1:16" ht="15" customHeight="1" x14ac:dyDescent="0.2">
      <c r="A117" s="12" t="s">
        <v>2679</v>
      </c>
      <c r="B117" s="135" t="s">
        <v>527</v>
      </c>
      <c r="C117" s="12">
        <f t="shared" si="12"/>
        <v>105</v>
      </c>
      <c r="D117" s="12">
        <v>1</v>
      </c>
      <c r="G117" s="14" t="s">
        <v>85</v>
      </c>
      <c r="H117" s="12" t="s">
        <v>3117</v>
      </c>
      <c r="I117" s="12">
        <v>112111</v>
      </c>
      <c r="J117" s="12">
        <v>131</v>
      </c>
      <c r="K117" s="12" t="s">
        <v>20</v>
      </c>
      <c r="L117" s="12">
        <v>1</v>
      </c>
      <c r="M117" s="17">
        <v>7451613</v>
      </c>
      <c r="N117" s="17">
        <f t="shared" si="9"/>
        <v>7451613</v>
      </c>
      <c r="O117" s="12" t="s">
        <v>21</v>
      </c>
      <c r="P117" s="12">
        <f t="shared" si="7"/>
        <v>82</v>
      </c>
    </row>
    <row r="118" spans="1:16" ht="15" customHeight="1" x14ac:dyDescent="0.2">
      <c r="A118" s="12" t="s">
        <v>2679</v>
      </c>
      <c r="B118" s="135" t="s">
        <v>382</v>
      </c>
      <c r="C118" s="12">
        <f t="shared" si="12"/>
        <v>106</v>
      </c>
      <c r="D118" s="12">
        <v>1</v>
      </c>
      <c r="G118" s="14" t="s">
        <v>26</v>
      </c>
      <c r="H118" s="12" t="s">
        <v>3118</v>
      </c>
      <c r="I118" s="12">
        <v>112111</v>
      </c>
      <c r="J118" s="12">
        <v>131</v>
      </c>
      <c r="K118" s="12" t="s">
        <v>20</v>
      </c>
      <c r="L118" s="12">
        <v>1</v>
      </c>
      <c r="M118" s="17">
        <v>11709677</v>
      </c>
      <c r="N118" s="17">
        <f t="shared" si="9"/>
        <v>11709677</v>
      </c>
      <c r="O118" s="12" t="s">
        <v>21</v>
      </c>
      <c r="P118" s="12">
        <f t="shared" si="7"/>
        <v>83</v>
      </c>
    </row>
    <row r="119" spans="1:16" ht="15" customHeight="1" x14ac:dyDescent="0.2">
      <c r="A119" s="12" t="s">
        <v>2679</v>
      </c>
      <c r="B119" s="135" t="s">
        <v>457</v>
      </c>
      <c r="C119" s="12">
        <f t="shared" si="12"/>
        <v>107</v>
      </c>
      <c r="D119" s="12">
        <v>1</v>
      </c>
      <c r="G119" s="14" t="s">
        <v>2390</v>
      </c>
      <c r="H119" s="12" t="s">
        <v>3119</v>
      </c>
      <c r="I119" s="12">
        <v>112111</v>
      </c>
      <c r="J119" s="12">
        <v>131</v>
      </c>
      <c r="K119" s="12" t="s">
        <v>20</v>
      </c>
      <c r="L119" s="12">
        <v>1</v>
      </c>
      <c r="M119" s="17">
        <v>7451613</v>
      </c>
      <c r="N119" s="17">
        <f t="shared" si="9"/>
        <v>7451613</v>
      </c>
      <c r="O119" s="12" t="s">
        <v>21</v>
      </c>
      <c r="P119" s="12">
        <f t="shared" si="7"/>
        <v>84</v>
      </c>
    </row>
    <row r="120" spans="1:16" ht="15" customHeight="1" x14ac:dyDescent="0.2">
      <c r="A120" s="12" t="s">
        <v>2679</v>
      </c>
      <c r="B120" s="135" t="s">
        <v>457</v>
      </c>
      <c r="C120" s="12">
        <f t="shared" si="12"/>
        <v>108</v>
      </c>
      <c r="D120" s="12">
        <v>1</v>
      </c>
      <c r="G120" s="14" t="s">
        <v>85</v>
      </c>
      <c r="H120" s="12" t="s">
        <v>3120</v>
      </c>
      <c r="I120" s="12">
        <v>112111</v>
      </c>
      <c r="J120" s="12">
        <v>131</v>
      </c>
      <c r="K120" s="12" t="s">
        <v>20</v>
      </c>
      <c r="L120" s="12">
        <v>1</v>
      </c>
      <c r="M120" s="17">
        <v>7451613</v>
      </c>
      <c r="N120" s="17">
        <f t="shared" si="9"/>
        <v>7451613</v>
      </c>
      <c r="O120" s="12" t="s">
        <v>21</v>
      </c>
      <c r="P120" s="12">
        <f t="shared" si="7"/>
        <v>85</v>
      </c>
    </row>
    <row r="121" spans="1:16" ht="15" customHeight="1" x14ac:dyDescent="0.2">
      <c r="A121" s="12" t="s">
        <v>2679</v>
      </c>
      <c r="B121" s="135" t="s">
        <v>320</v>
      </c>
      <c r="C121" s="12">
        <f t="shared" si="12"/>
        <v>109</v>
      </c>
      <c r="D121" s="12">
        <v>1</v>
      </c>
      <c r="G121" s="14" t="s">
        <v>105</v>
      </c>
      <c r="H121" s="12" t="s">
        <v>3121</v>
      </c>
      <c r="I121" s="12">
        <v>112111</v>
      </c>
      <c r="J121" s="12">
        <v>131</v>
      </c>
      <c r="K121" s="12" t="s">
        <v>20</v>
      </c>
      <c r="L121" s="12">
        <v>1</v>
      </c>
      <c r="M121" s="17">
        <v>8516129</v>
      </c>
      <c r="N121" s="17">
        <f t="shared" si="9"/>
        <v>8516129</v>
      </c>
      <c r="O121" s="12" t="s">
        <v>21</v>
      </c>
      <c r="P121" s="12">
        <f t="shared" si="7"/>
        <v>86</v>
      </c>
    </row>
    <row r="122" spans="1:16" ht="15" customHeight="1" x14ac:dyDescent="0.2">
      <c r="A122" s="12" t="s">
        <v>2678</v>
      </c>
      <c r="B122" s="135" t="s">
        <v>604</v>
      </c>
      <c r="C122" s="12">
        <f t="shared" si="12"/>
        <v>110</v>
      </c>
      <c r="D122" s="12">
        <v>1</v>
      </c>
      <c r="G122" s="14" t="s">
        <v>93</v>
      </c>
      <c r="H122" s="12" t="s">
        <v>373</v>
      </c>
      <c r="I122" s="12">
        <v>3383</v>
      </c>
      <c r="J122" s="12">
        <v>112111</v>
      </c>
      <c r="K122" s="12" t="s">
        <v>20</v>
      </c>
      <c r="L122" s="12">
        <v>1</v>
      </c>
      <c r="M122" s="17">
        <v>690300</v>
      </c>
      <c r="N122" s="17">
        <f t="shared" si="9"/>
        <v>690300</v>
      </c>
      <c r="O122" s="12" t="s">
        <v>21</v>
      </c>
      <c r="P122" s="12">
        <f t="shared" si="7"/>
        <v>87</v>
      </c>
    </row>
    <row r="123" spans="1:16" ht="15" customHeight="1" x14ac:dyDescent="0.2">
      <c r="A123" s="12" t="s">
        <v>2679</v>
      </c>
      <c r="B123" s="135" t="s">
        <v>2045</v>
      </c>
      <c r="C123" s="12">
        <f t="shared" si="12"/>
        <v>111</v>
      </c>
      <c r="D123" s="12">
        <v>1</v>
      </c>
      <c r="G123" s="14" t="s">
        <v>2386</v>
      </c>
      <c r="H123" s="12" t="s">
        <v>3095</v>
      </c>
      <c r="I123" s="12">
        <v>112111</v>
      </c>
      <c r="J123" s="12">
        <v>5154</v>
      </c>
      <c r="K123" s="12" t="s">
        <v>20</v>
      </c>
      <c r="L123" s="12">
        <v>1</v>
      </c>
      <c r="M123" s="17">
        <v>14519</v>
      </c>
      <c r="N123" s="17">
        <f t="shared" si="9"/>
        <v>14519</v>
      </c>
      <c r="O123" s="12" t="s">
        <v>21</v>
      </c>
      <c r="P123" s="12">
        <f t="shared" si="7"/>
        <v>88</v>
      </c>
    </row>
    <row r="124" spans="1:16" ht="15" customHeight="1" x14ac:dyDescent="0.2">
      <c r="A124" s="12" t="s">
        <v>2679</v>
      </c>
      <c r="B124" s="135" t="s">
        <v>2513</v>
      </c>
      <c r="C124" s="12">
        <f t="shared" si="12"/>
        <v>112</v>
      </c>
      <c r="D124" s="12">
        <v>1</v>
      </c>
      <c r="G124" s="14" t="s">
        <v>68</v>
      </c>
      <c r="H124" s="12" t="s">
        <v>3122</v>
      </c>
      <c r="I124" s="12">
        <v>112111</v>
      </c>
      <c r="J124" s="12">
        <v>131</v>
      </c>
      <c r="K124" s="12" t="s">
        <v>20</v>
      </c>
      <c r="L124" s="12">
        <v>1</v>
      </c>
      <c r="M124" s="17">
        <v>7451613</v>
      </c>
      <c r="N124" s="17">
        <f t="shared" si="9"/>
        <v>7451613</v>
      </c>
      <c r="O124" s="12" t="s">
        <v>21</v>
      </c>
      <c r="P124" s="12">
        <f t="shared" si="7"/>
        <v>89</v>
      </c>
    </row>
    <row r="125" spans="1:16" ht="15" customHeight="1" x14ac:dyDescent="0.2">
      <c r="A125" s="12" t="s">
        <v>2719</v>
      </c>
      <c r="B125" s="36" t="s">
        <v>443</v>
      </c>
      <c r="C125" s="12">
        <f t="shared" si="12"/>
        <v>113</v>
      </c>
      <c r="D125" s="12">
        <v>1</v>
      </c>
      <c r="G125" s="14" t="s">
        <v>2383</v>
      </c>
      <c r="H125" s="12" t="s">
        <v>3126</v>
      </c>
      <c r="I125" s="12">
        <v>331</v>
      </c>
      <c r="J125" s="12">
        <v>1111</v>
      </c>
      <c r="K125" s="12" t="s">
        <v>20</v>
      </c>
      <c r="L125" s="12">
        <v>1</v>
      </c>
      <c r="M125" s="17">
        <v>1448514</v>
      </c>
      <c r="N125" s="17">
        <f t="shared" ref="N125:N135" si="13">L125*M125</f>
        <v>1448514</v>
      </c>
      <c r="O125" s="12" t="s">
        <v>21</v>
      </c>
      <c r="P125" s="12">
        <f t="shared" si="7"/>
        <v>90</v>
      </c>
    </row>
    <row r="126" spans="1:16" ht="15" customHeight="1" x14ac:dyDescent="0.2">
      <c r="A126" s="12" t="s">
        <v>2719</v>
      </c>
      <c r="B126" s="36" t="s">
        <v>310</v>
      </c>
      <c r="C126" s="12">
        <f t="shared" si="12"/>
        <v>114</v>
      </c>
      <c r="D126" s="12">
        <v>1</v>
      </c>
      <c r="G126" s="14" t="s">
        <v>37</v>
      </c>
      <c r="H126" s="12" t="s">
        <v>3127</v>
      </c>
      <c r="I126" s="12">
        <v>331</v>
      </c>
      <c r="J126" s="12">
        <v>1111</v>
      </c>
      <c r="K126" s="12" t="s">
        <v>20</v>
      </c>
      <c r="L126" s="12">
        <v>1</v>
      </c>
      <c r="M126" s="17">
        <v>2160000</v>
      </c>
      <c r="N126" s="17">
        <f t="shared" si="13"/>
        <v>2160000</v>
      </c>
      <c r="O126" s="12" t="s">
        <v>21</v>
      </c>
      <c r="P126" s="12">
        <f t="shared" si="7"/>
        <v>91</v>
      </c>
    </row>
    <row r="127" spans="1:16" ht="15" customHeight="1" x14ac:dyDescent="0.2">
      <c r="A127" s="12" t="s">
        <v>2719</v>
      </c>
      <c r="B127" s="36" t="s">
        <v>866</v>
      </c>
      <c r="C127" s="12">
        <f t="shared" si="12"/>
        <v>115</v>
      </c>
      <c r="D127" s="12">
        <v>1</v>
      </c>
      <c r="G127" s="14" t="s">
        <v>2384</v>
      </c>
      <c r="H127" s="12" t="s">
        <v>3128</v>
      </c>
      <c r="I127" s="12">
        <v>331</v>
      </c>
      <c r="J127" s="12">
        <v>1111</v>
      </c>
      <c r="K127" s="12" t="s">
        <v>20</v>
      </c>
      <c r="L127" s="12">
        <v>1</v>
      </c>
      <c r="M127" s="17">
        <v>972000</v>
      </c>
      <c r="N127" s="17">
        <f t="shared" si="13"/>
        <v>972000</v>
      </c>
      <c r="O127" s="12" t="s">
        <v>21</v>
      </c>
      <c r="P127" s="12">
        <f t="shared" si="7"/>
        <v>92</v>
      </c>
    </row>
    <row r="128" spans="1:16" ht="15" customHeight="1" x14ac:dyDescent="0.2">
      <c r="A128" s="12" t="s">
        <v>2719</v>
      </c>
      <c r="B128" s="36" t="s">
        <v>290</v>
      </c>
      <c r="C128" s="12">
        <f t="shared" si="12"/>
        <v>116</v>
      </c>
      <c r="D128" s="12">
        <v>1</v>
      </c>
      <c r="G128" s="14" t="s">
        <v>2385</v>
      </c>
      <c r="H128" s="12" t="s">
        <v>3129</v>
      </c>
      <c r="I128" s="12">
        <v>331</v>
      </c>
      <c r="J128" s="12">
        <v>1111</v>
      </c>
      <c r="K128" s="12" t="s">
        <v>20</v>
      </c>
      <c r="L128" s="12">
        <v>1</v>
      </c>
      <c r="M128" s="17">
        <v>2392008</v>
      </c>
      <c r="N128" s="17">
        <f t="shared" si="13"/>
        <v>2392008</v>
      </c>
      <c r="O128" s="12" t="s">
        <v>21</v>
      </c>
      <c r="P128" s="12">
        <f t="shared" si="7"/>
        <v>93</v>
      </c>
    </row>
    <row r="129" spans="1:16" ht="15" customHeight="1" x14ac:dyDescent="0.2">
      <c r="A129" s="12" t="s">
        <v>2719</v>
      </c>
      <c r="B129" s="36" t="s">
        <v>447</v>
      </c>
      <c r="C129" s="12">
        <f t="shared" si="12"/>
        <v>117</v>
      </c>
      <c r="D129" s="12">
        <v>1</v>
      </c>
      <c r="G129" s="14" t="s">
        <v>2383</v>
      </c>
      <c r="H129" s="12" t="s">
        <v>3130</v>
      </c>
      <c r="I129" s="12">
        <v>331</v>
      </c>
      <c r="J129" s="12">
        <v>1111</v>
      </c>
      <c r="K129" s="12" t="s">
        <v>20</v>
      </c>
      <c r="L129" s="12">
        <v>1</v>
      </c>
      <c r="M129" s="17">
        <v>1468188</v>
      </c>
      <c r="N129" s="17">
        <f t="shared" si="13"/>
        <v>1468188</v>
      </c>
      <c r="O129" s="12" t="s">
        <v>21</v>
      </c>
      <c r="P129" s="12">
        <f t="shared" si="7"/>
        <v>94</v>
      </c>
    </row>
    <row r="130" spans="1:16" ht="15" customHeight="1" x14ac:dyDescent="0.2">
      <c r="A130" s="12" t="s">
        <v>2719</v>
      </c>
      <c r="B130" s="36" t="s">
        <v>377</v>
      </c>
      <c r="C130" s="12">
        <f t="shared" si="12"/>
        <v>118</v>
      </c>
      <c r="D130" s="12">
        <v>1</v>
      </c>
      <c r="G130" s="14" t="s">
        <v>24</v>
      </c>
      <c r="H130" s="12" t="s">
        <v>3131</v>
      </c>
      <c r="I130" s="12">
        <v>331</v>
      </c>
      <c r="J130" s="12">
        <v>1111</v>
      </c>
      <c r="K130" s="12" t="s">
        <v>20</v>
      </c>
      <c r="L130" s="12">
        <v>1</v>
      </c>
      <c r="M130" s="17">
        <v>63000</v>
      </c>
      <c r="N130" s="17">
        <f t="shared" si="13"/>
        <v>63000</v>
      </c>
      <c r="O130" s="12" t="s">
        <v>21</v>
      </c>
      <c r="P130" s="12">
        <f t="shared" si="7"/>
        <v>95</v>
      </c>
    </row>
    <row r="131" spans="1:16" ht="15" customHeight="1" x14ac:dyDescent="0.2">
      <c r="A131" s="12" t="s">
        <v>2719</v>
      </c>
      <c r="B131" s="36" t="s">
        <v>450</v>
      </c>
      <c r="C131" s="12">
        <f t="shared" si="12"/>
        <v>119</v>
      </c>
      <c r="D131" s="12">
        <v>1</v>
      </c>
      <c r="G131" s="14" t="s">
        <v>37</v>
      </c>
      <c r="H131" s="12" t="s">
        <v>3132</v>
      </c>
      <c r="I131" s="12">
        <v>331</v>
      </c>
      <c r="J131" s="12">
        <v>1111</v>
      </c>
      <c r="K131" s="12" t="s">
        <v>20</v>
      </c>
      <c r="L131" s="12">
        <v>1</v>
      </c>
      <c r="M131" s="17">
        <v>2160000</v>
      </c>
      <c r="N131" s="17">
        <f t="shared" si="13"/>
        <v>2160000</v>
      </c>
      <c r="O131" s="12" t="s">
        <v>21</v>
      </c>
      <c r="P131" s="12">
        <f t="shared" si="7"/>
        <v>96</v>
      </c>
    </row>
    <row r="132" spans="1:16" ht="15" customHeight="1" x14ac:dyDescent="0.2">
      <c r="A132" s="12" t="s">
        <v>2719</v>
      </c>
      <c r="B132" s="36" t="s">
        <v>292</v>
      </c>
      <c r="C132" s="12">
        <f t="shared" si="12"/>
        <v>120</v>
      </c>
      <c r="D132" s="12">
        <v>1</v>
      </c>
      <c r="G132" s="14" t="s">
        <v>48</v>
      </c>
      <c r="H132" s="12" t="s">
        <v>3133</v>
      </c>
      <c r="I132" s="12">
        <v>331</v>
      </c>
      <c r="J132" s="12">
        <v>1111</v>
      </c>
      <c r="K132" s="12" t="s">
        <v>20</v>
      </c>
      <c r="L132" s="12">
        <v>1</v>
      </c>
      <c r="M132" s="17">
        <v>403</v>
      </c>
      <c r="N132" s="17">
        <f t="shared" si="13"/>
        <v>403</v>
      </c>
      <c r="O132" s="12" t="s">
        <v>21</v>
      </c>
      <c r="P132" s="12">
        <f t="shared" si="7"/>
        <v>97</v>
      </c>
    </row>
    <row r="133" spans="1:16" ht="15" customHeight="1" x14ac:dyDescent="0.2">
      <c r="A133" s="12" t="s">
        <v>2719</v>
      </c>
      <c r="B133" s="36" t="s">
        <v>418</v>
      </c>
      <c r="C133" s="12">
        <f t="shared" si="12"/>
        <v>121</v>
      </c>
      <c r="D133" s="12">
        <v>1</v>
      </c>
      <c r="G133" s="14" t="s">
        <v>2387</v>
      </c>
      <c r="H133" s="12" t="s">
        <v>3134</v>
      </c>
      <c r="I133" s="12">
        <v>331</v>
      </c>
      <c r="J133" s="12">
        <v>1111</v>
      </c>
      <c r="K133" s="12" t="s">
        <v>20</v>
      </c>
      <c r="L133" s="12">
        <v>1</v>
      </c>
      <c r="M133" s="17">
        <v>280800</v>
      </c>
      <c r="N133" s="17">
        <f t="shared" si="13"/>
        <v>280800</v>
      </c>
      <c r="O133" s="12" t="s">
        <v>21</v>
      </c>
      <c r="P133" s="12">
        <f t="shared" si="7"/>
        <v>98</v>
      </c>
    </row>
    <row r="134" spans="1:16" ht="15" customHeight="1" x14ac:dyDescent="0.2">
      <c r="A134" s="12" t="s">
        <v>2719</v>
      </c>
      <c r="B134" s="36" t="s">
        <v>453</v>
      </c>
      <c r="C134" s="12">
        <f t="shared" si="12"/>
        <v>122</v>
      </c>
      <c r="D134" s="12">
        <v>1</v>
      </c>
      <c r="G134" s="14" t="s">
        <v>37</v>
      </c>
      <c r="H134" s="12" t="s">
        <v>3135</v>
      </c>
      <c r="I134" s="12">
        <v>331</v>
      </c>
      <c r="J134" s="12">
        <v>1111</v>
      </c>
      <c r="K134" s="12" t="s">
        <v>20</v>
      </c>
      <c r="L134" s="12">
        <v>1</v>
      </c>
      <c r="M134" s="17">
        <v>2160000</v>
      </c>
      <c r="N134" s="17">
        <f t="shared" si="13"/>
        <v>2160000</v>
      </c>
      <c r="O134" s="12" t="s">
        <v>21</v>
      </c>
      <c r="P134" s="12">
        <f t="shared" ref="P134:P135" si="14">P133+D134</f>
        <v>99</v>
      </c>
    </row>
    <row r="135" spans="1:16" ht="15" customHeight="1" x14ac:dyDescent="0.2">
      <c r="A135" s="12" t="s">
        <v>2719</v>
      </c>
      <c r="B135" s="36" t="s">
        <v>524</v>
      </c>
      <c r="C135" s="12">
        <f t="shared" si="12"/>
        <v>123</v>
      </c>
      <c r="D135" s="12">
        <v>1</v>
      </c>
      <c r="G135" s="14" t="s">
        <v>48</v>
      </c>
      <c r="H135" s="12" t="s">
        <v>3136</v>
      </c>
      <c r="I135" s="12">
        <v>331</v>
      </c>
      <c r="J135" s="12">
        <v>1111</v>
      </c>
      <c r="K135" s="12" t="s">
        <v>20</v>
      </c>
      <c r="L135" s="12">
        <v>1</v>
      </c>
      <c r="M135" s="17">
        <v>128</v>
      </c>
      <c r="N135" s="17">
        <f t="shared" si="13"/>
        <v>128</v>
      </c>
      <c r="O135" s="12" t="s">
        <v>21</v>
      </c>
      <c r="P135" s="12">
        <f t="shared" si="14"/>
        <v>100</v>
      </c>
    </row>
  </sheetData>
  <autoFilter ref="A3:P135" xr:uid="{00000000-0009-0000-0000-000016000000}">
    <sortState xmlns:xlrd2="http://schemas.microsoft.com/office/spreadsheetml/2017/richdata2" ref="A4:P79">
      <sortCondition ref="P3:P26"/>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6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AB67"/>
  <sheetViews>
    <sheetView topLeftCell="A22" workbookViewId="0">
      <selection activeCell="H41" sqref="H41"/>
    </sheetView>
  </sheetViews>
  <sheetFormatPr defaultRowHeight="15" customHeight="1" x14ac:dyDescent="0.2"/>
  <cols>
    <col min="1" max="6" width="9.140625" style="12"/>
    <col min="7" max="7" width="9.140625" style="14"/>
    <col min="8" max="8" width="28.28515625" style="12" customWidth="1"/>
    <col min="9" max="12" width="9.140625" style="12"/>
    <col min="13" max="13" width="12" style="17" bestFit="1" customWidth="1"/>
    <col min="14" max="14" width="11.28515625" style="17" bestFit="1" customWidth="1"/>
    <col min="15" max="17" width="9.140625" style="12"/>
    <col min="18" max="28" width="9.140625" style="14"/>
    <col min="29" max="16384" width="9.140625" style="12"/>
  </cols>
  <sheetData>
    <row r="1" spans="1:17" ht="15" customHeight="1" thickBot="1" x14ac:dyDescent="0.25">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17" ht="15" customHeight="1" thickBot="1" x14ac:dyDescent="0.25">
      <c r="A2" s="205"/>
      <c r="B2" s="220"/>
      <c r="C2" s="205"/>
      <c r="D2" s="208"/>
      <c r="E2" s="208"/>
      <c r="F2" s="203"/>
      <c r="G2" s="212"/>
      <c r="H2" s="214"/>
      <c r="I2" s="46" t="s">
        <v>13</v>
      </c>
      <c r="J2" s="47" t="s">
        <v>14</v>
      </c>
      <c r="K2" s="205"/>
      <c r="L2" s="205"/>
      <c r="M2" s="218"/>
      <c r="N2" s="218"/>
      <c r="O2" s="38" t="s">
        <v>100</v>
      </c>
      <c r="P2" s="38"/>
    </row>
    <row r="3" spans="1:17" ht="15" customHeight="1" x14ac:dyDescent="0.2">
      <c r="A3" s="48"/>
      <c r="B3" s="83"/>
      <c r="C3" s="48">
        <v>4</v>
      </c>
      <c r="D3" s="49"/>
      <c r="E3" s="49"/>
      <c r="F3" s="49"/>
      <c r="G3" s="51" t="s">
        <v>15</v>
      </c>
      <c r="H3" s="52"/>
      <c r="I3" s="52"/>
      <c r="J3" s="52"/>
      <c r="K3" s="48"/>
      <c r="L3" s="48"/>
      <c r="M3" s="84"/>
      <c r="N3" s="84"/>
      <c r="O3" s="38" t="s">
        <v>16</v>
      </c>
      <c r="P3" s="38" t="s">
        <v>17</v>
      </c>
      <c r="Q3" s="12" t="s">
        <v>4512</v>
      </c>
    </row>
    <row r="4" spans="1:17" ht="15" customHeight="1" x14ac:dyDescent="0.2">
      <c r="A4" s="12" t="s">
        <v>18</v>
      </c>
      <c r="B4" s="36" t="s">
        <v>291</v>
      </c>
      <c r="C4" s="12">
        <f t="shared" ref="C4:C35" si="0">C3+D4</f>
        <v>5</v>
      </c>
      <c r="D4" s="12">
        <v>1</v>
      </c>
      <c r="G4" s="12" t="s">
        <v>37</v>
      </c>
      <c r="H4" s="12" t="s">
        <v>2474</v>
      </c>
      <c r="I4" s="12">
        <v>64277</v>
      </c>
      <c r="J4" s="12">
        <v>331</v>
      </c>
      <c r="K4" s="12" t="s">
        <v>20</v>
      </c>
      <c r="L4" s="12">
        <v>1</v>
      </c>
      <c r="M4" s="17">
        <v>80000</v>
      </c>
      <c r="N4" s="17">
        <f t="shared" ref="N4:N35" si="1">L4*M4</f>
        <v>80000</v>
      </c>
      <c r="O4" s="12" t="s">
        <v>21</v>
      </c>
      <c r="P4" s="12">
        <v>1</v>
      </c>
      <c r="Q4" s="12">
        <f>LEN(H4)</f>
        <v>42</v>
      </c>
    </row>
    <row r="5" spans="1:17" ht="15" customHeight="1" x14ac:dyDescent="0.2">
      <c r="A5" s="12" t="s">
        <v>18</v>
      </c>
      <c r="B5" s="36" t="s">
        <v>2044</v>
      </c>
      <c r="C5" s="12">
        <f t="shared" si="0"/>
        <v>6</v>
      </c>
      <c r="D5" s="12">
        <v>1</v>
      </c>
      <c r="G5" s="12" t="s">
        <v>37</v>
      </c>
      <c r="H5" s="12" t="s">
        <v>2475</v>
      </c>
      <c r="I5" s="12">
        <v>64277</v>
      </c>
      <c r="J5" s="12">
        <v>331</v>
      </c>
      <c r="K5" s="12" t="s">
        <v>20</v>
      </c>
      <c r="L5" s="12">
        <v>1</v>
      </c>
      <c r="M5" s="17">
        <v>240000</v>
      </c>
      <c r="N5" s="17">
        <f t="shared" si="1"/>
        <v>240000</v>
      </c>
      <c r="O5" s="12" t="s">
        <v>21</v>
      </c>
      <c r="P5" s="12">
        <f>P4+D5</f>
        <v>2</v>
      </c>
      <c r="Q5" s="12">
        <f t="shared" ref="Q5:Q60" si="2">LEN(H5)</f>
        <v>42</v>
      </c>
    </row>
    <row r="6" spans="1:17" ht="15" customHeight="1" x14ac:dyDescent="0.2">
      <c r="A6" s="12" t="s">
        <v>18</v>
      </c>
      <c r="B6" s="36" t="s">
        <v>290</v>
      </c>
      <c r="C6" s="12">
        <f t="shared" si="0"/>
        <v>7</v>
      </c>
      <c r="D6" s="12">
        <v>1</v>
      </c>
      <c r="G6" s="12" t="s">
        <v>539</v>
      </c>
      <c r="H6" s="12" t="s">
        <v>2476</v>
      </c>
      <c r="I6" s="12">
        <v>131</v>
      </c>
      <c r="J6" s="12">
        <v>5113</v>
      </c>
      <c r="K6" s="12" t="s">
        <v>20</v>
      </c>
      <c r="L6" s="12">
        <v>1</v>
      </c>
      <c r="M6" s="17">
        <v>6451613</v>
      </c>
      <c r="N6" s="17">
        <f t="shared" si="1"/>
        <v>6451613</v>
      </c>
      <c r="O6" s="12" t="s">
        <v>21</v>
      </c>
      <c r="P6" s="12">
        <f t="shared" ref="P6:P60" si="3">P5+D6</f>
        <v>3</v>
      </c>
      <c r="Q6" s="12">
        <f t="shared" si="2"/>
        <v>169</v>
      </c>
    </row>
    <row r="7" spans="1:17" ht="15" customHeight="1" x14ac:dyDescent="0.2">
      <c r="A7" s="12" t="s">
        <v>18</v>
      </c>
      <c r="B7" s="36" t="s">
        <v>290</v>
      </c>
      <c r="C7" s="12">
        <f t="shared" si="0"/>
        <v>7</v>
      </c>
      <c r="D7" s="12">
        <v>0</v>
      </c>
      <c r="G7" s="12" t="s">
        <v>539</v>
      </c>
      <c r="H7" s="12" t="s">
        <v>2488</v>
      </c>
      <c r="I7" s="12">
        <v>333821</v>
      </c>
      <c r="J7" s="12">
        <v>131</v>
      </c>
      <c r="K7" s="20" t="s">
        <v>20</v>
      </c>
      <c r="L7" s="20">
        <v>1</v>
      </c>
      <c r="M7" s="17">
        <v>64516</v>
      </c>
      <c r="N7" s="34">
        <f t="shared" si="1"/>
        <v>64516</v>
      </c>
      <c r="O7" s="12" t="s">
        <v>21</v>
      </c>
      <c r="P7" s="12">
        <f t="shared" si="3"/>
        <v>3</v>
      </c>
      <c r="Q7" s="12">
        <f t="shared" si="2"/>
        <v>185</v>
      </c>
    </row>
    <row r="8" spans="1:17" ht="15" customHeight="1" x14ac:dyDescent="0.2">
      <c r="A8" s="12" t="s">
        <v>18</v>
      </c>
      <c r="B8" s="36" t="s">
        <v>290</v>
      </c>
      <c r="C8" s="12">
        <f t="shared" si="0"/>
        <v>8</v>
      </c>
      <c r="D8" s="12">
        <v>1</v>
      </c>
      <c r="G8" s="12" t="s">
        <v>539</v>
      </c>
      <c r="H8" s="12" t="s">
        <v>2477</v>
      </c>
      <c r="I8" s="12">
        <v>131</v>
      </c>
      <c r="J8" s="12">
        <v>5113</v>
      </c>
      <c r="K8" s="12" t="s">
        <v>20</v>
      </c>
      <c r="L8" s="12">
        <v>1</v>
      </c>
      <c r="M8" s="17">
        <v>6451613</v>
      </c>
      <c r="N8" s="17">
        <f t="shared" si="1"/>
        <v>6451613</v>
      </c>
      <c r="O8" s="12" t="s">
        <v>21</v>
      </c>
      <c r="P8" s="12">
        <f t="shared" si="3"/>
        <v>4</v>
      </c>
      <c r="Q8" s="12">
        <f t="shared" si="2"/>
        <v>164</v>
      </c>
    </row>
    <row r="9" spans="1:17" ht="15" customHeight="1" x14ac:dyDescent="0.2">
      <c r="A9" s="12" t="s">
        <v>18</v>
      </c>
      <c r="B9" s="36" t="s">
        <v>290</v>
      </c>
      <c r="C9" s="12">
        <f t="shared" si="0"/>
        <v>8</v>
      </c>
      <c r="D9" s="12">
        <v>0</v>
      </c>
      <c r="G9" s="12" t="s">
        <v>539</v>
      </c>
      <c r="H9" s="12" t="s">
        <v>2489</v>
      </c>
      <c r="I9" s="12">
        <v>333821</v>
      </c>
      <c r="J9" s="12">
        <v>131</v>
      </c>
      <c r="K9" s="20" t="s">
        <v>20</v>
      </c>
      <c r="L9" s="20">
        <v>1</v>
      </c>
      <c r="M9" s="17">
        <v>64516</v>
      </c>
      <c r="N9" s="34">
        <f t="shared" si="1"/>
        <v>64516</v>
      </c>
      <c r="O9" s="12" t="s">
        <v>21</v>
      </c>
      <c r="P9" s="12">
        <f t="shared" si="3"/>
        <v>4</v>
      </c>
      <c r="Q9" s="12">
        <f t="shared" si="2"/>
        <v>180</v>
      </c>
    </row>
    <row r="10" spans="1:17" ht="15" customHeight="1" x14ac:dyDescent="0.2">
      <c r="A10" s="12" t="s">
        <v>18</v>
      </c>
      <c r="B10" s="36" t="s">
        <v>652</v>
      </c>
      <c r="C10" s="12">
        <f t="shared" si="0"/>
        <v>9</v>
      </c>
      <c r="D10" s="12">
        <v>1</v>
      </c>
      <c r="G10" s="12" t="s">
        <v>539</v>
      </c>
      <c r="H10" s="12" t="s">
        <v>4557</v>
      </c>
      <c r="I10" s="12">
        <v>131</v>
      </c>
      <c r="J10" s="12">
        <v>5113</v>
      </c>
      <c r="K10" s="12" t="s">
        <v>20</v>
      </c>
      <c r="L10" s="12">
        <v>1</v>
      </c>
      <c r="M10" s="17">
        <v>0</v>
      </c>
      <c r="N10" s="17">
        <f t="shared" si="1"/>
        <v>0</v>
      </c>
      <c r="O10" s="12" t="s">
        <v>21</v>
      </c>
      <c r="P10" s="12">
        <f t="shared" si="3"/>
        <v>5</v>
      </c>
      <c r="Q10" s="12">
        <f t="shared" si="2"/>
        <v>159</v>
      </c>
    </row>
    <row r="11" spans="1:17" ht="15" customHeight="1" x14ac:dyDescent="0.2">
      <c r="A11" s="12" t="s">
        <v>18</v>
      </c>
      <c r="B11" s="36" t="s">
        <v>652</v>
      </c>
      <c r="C11" s="12">
        <f t="shared" si="0"/>
        <v>9</v>
      </c>
      <c r="D11" s="12">
        <v>0</v>
      </c>
      <c r="G11" s="12" t="s">
        <v>539</v>
      </c>
      <c r="H11" s="12" t="s">
        <v>4558</v>
      </c>
      <c r="I11" s="12">
        <v>333821</v>
      </c>
      <c r="J11" s="12">
        <v>131</v>
      </c>
      <c r="K11" s="20" t="s">
        <v>20</v>
      </c>
      <c r="L11" s="20">
        <v>1</v>
      </c>
      <c r="M11" s="17">
        <v>0</v>
      </c>
      <c r="N11" s="34">
        <f t="shared" si="1"/>
        <v>0</v>
      </c>
      <c r="O11" s="12" t="s">
        <v>21</v>
      </c>
      <c r="P11" s="12">
        <f t="shared" si="3"/>
        <v>5</v>
      </c>
      <c r="Q11" s="12">
        <f t="shared" si="2"/>
        <v>175</v>
      </c>
    </row>
    <row r="12" spans="1:17" ht="15" customHeight="1" x14ac:dyDescent="0.2">
      <c r="A12" s="12" t="s">
        <v>18</v>
      </c>
      <c r="B12" s="36" t="s">
        <v>470</v>
      </c>
      <c r="C12" s="12">
        <f t="shared" si="0"/>
        <v>10</v>
      </c>
      <c r="D12" s="12">
        <v>1</v>
      </c>
      <c r="G12" s="12" t="s">
        <v>47</v>
      </c>
      <c r="H12" s="12" t="s">
        <v>4559</v>
      </c>
      <c r="I12" s="12">
        <v>131</v>
      </c>
      <c r="J12" s="12">
        <v>5113</v>
      </c>
      <c r="K12" s="12" t="s">
        <v>20</v>
      </c>
      <c r="L12" s="12">
        <v>1</v>
      </c>
      <c r="M12" s="17">
        <v>18279570</v>
      </c>
      <c r="N12" s="17">
        <f t="shared" si="1"/>
        <v>18279570</v>
      </c>
      <c r="O12" s="12" t="s">
        <v>21</v>
      </c>
      <c r="P12" s="12">
        <f t="shared" si="3"/>
        <v>6</v>
      </c>
      <c r="Q12" s="12">
        <f t="shared" si="2"/>
        <v>205</v>
      </c>
    </row>
    <row r="13" spans="1:17" ht="15" customHeight="1" x14ac:dyDescent="0.2">
      <c r="A13" s="12" t="s">
        <v>18</v>
      </c>
      <c r="B13" s="36" t="s">
        <v>470</v>
      </c>
      <c r="C13" s="12">
        <f t="shared" si="0"/>
        <v>10</v>
      </c>
      <c r="D13" s="12">
        <v>0</v>
      </c>
      <c r="G13" s="12" t="s">
        <v>47</v>
      </c>
      <c r="H13" s="12" t="s">
        <v>4560</v>
      </c>
      <c r="I13" s="12">
        <v>333821</v>
      </c>
      <c r="J13" s="12">
        <v>131</v>
      </c>
      <c r="K13" s="20" t="s">
        <v>20</v>
      </c>
      <c r="L13" s="20">
        <v>1</v>
      </c>
      <c r="M13" s="17">
        <v>182796</v>
      </c>
      <c r="N13" s="34">
        <f t="shared" si="1"/>
        <v>182796</v>
      </c>
      <c r="O13" s="12" t="s">
        <v>21</v>
      </c>
      <c r="P13" s="12">
        <f t="shared" si="3"/>
        <v>6</v>
      </c>
      <c r="Q13" s="12">
        <f t="shared" si="2"/>
        <v>190</v>
      </c>
    </row>
    <row r="14" spans="1:17" ht="15" customHeight="1" x14ac:dyDescent="0.2">
      <c r="A14" s="12" t="s">
        <v>18</v>
      </c>
      <c r="B14" s="63" t="s">
        <v>316</v>
      </c>
      <c r="C14" s="12">
        <f t="shared" si="0"/>
        <v>11</v>
      </c>
      <c r="D14" s="12">
        <v>1</v>
      </c>
      <c r="E14" s="20"/>
      <c r="G14" s="20" t="s">
        <v>95</v>
      </c>
      <c r="H14" s="20" t="s">
        <v>2478</v>
      </c>
      <c r="I14" s="12">
        <v>131</v>
      </c>
      <c r="J14" s="12">
        <v>5113</v>
      </c>
      <c r="K14" s="20" t="s">
        <v>20</v>
      </c>
      <c r="L14" s="20">
        <v>1</v>
      </c>
      <c r="M14" s="34">
        <v>6451613</v>
      </c>
      <c r="N14" s="34">
        <f t="shared" si="1"/>
        <v>6451613</v>
      </c>
      <c r="O14" s="12" t="s">
        <v>21</v>
      </c>
      <c r="P14" s="12">
        <f t="shared" si="3"/>
        <v>7</v>
      </c>
      <c r="Q14" s="12">
        <f t="shared" si="2"/>
        <v>189</v>
      </c>
    </row>
    <row r="15" spans="1:17" ht="15" customHeight="1" x14ac:dyDescent="0.2">
      <c r="A15" s="12" t="s">
        <v>18</v>
      </c>
      <c r="B15" s="63" t="s">
        <v>316</v>
      </c>
      <c r="C15" s="12">
        <f t="shared" si="0"/>
        <v>11</v>
      </c>
      <c r="D15" s="12">
        <v>0</v>
      </c>
      <c r="G15" s="20" t="s">
        <v>95</v>
      </c>
      <c r="H15" s="12" t="s">
        <v>4561</v>
      </c>
      <c r="I15" s="12">
        <v>333821</v>
      </c>
      <c r="J15" s="12">
        <v>131</v>
      </c>
      <c r="K15" s="20" t="s">
        <v>20</v>
      </c>
      <c r="L15" s="20">
        <v>1</v>
      </c>
      <c r="M15" s="17">
        <v>64516</v>
      </c>
      <c r="N15" s="34">
        <f t="shared" si="1"/>
        <v>64516</v>
      </c>
      <c r="O15" s="12" t="s">
        <v>21</v>
      </c>
      <c r="P15" s="12">
        <f t="shared" si="3"/>
        <v>7</v>
      </c>
      <c r="Q15" s="12">
        <f t="shared" si="2"/>
        <v>163</v>
      </c>
    </row>
    <row r="16" spans="1:17" ht="15" customHeight="1" x14ac:dyDescent="0.2">
      <c r="A16" s="12" t="s">
        <v>18</v>
      </c>
      <c r="B16" s="63" t="s">
        <v>317</v>
      </c>
      <c r="C16" s="12">
        <f t="shared" si="0"/>
        <v>12</v>
      </c>
      <c r="D16" s="12">
        <v>1</v>
      </c>
      <c r="E16" s="20"/>
      <c r="G16" s="20" t="s">
        <v>653</v>
      </c>
      <c r="H16" s="20" t="s">
        <v>2479</v>
      </c>
      <c r="I16" s="12">
        <v>131</v>
      </c>
      <c r="J16" s="12">
        <v>5113</v>
      </c>
      <c r="K16" s="20" t="s">
        <v>20</v>
      </c>
      <c r="L16" s="20">
        <v>1</v>
      </c>
      <c r="M16" s="34">
        <v>18279570</v>
      </c>
      <c r="N16" s="34">
        <f t="shared" si="1"/>
        <v>18279570</v>
      </c>
      <c r="O16" s="12" t="s">
        <v>21</v>
      </c>
      <c r="P16" s="12">
        <f t="shared" si="3"/>
        <v>8</v>
      </c>
      <c r="Q16" s="12">
        <f t="shared" si="2"/>
        <v>162</v>
      </c>
    </row>
    <row r="17" spans="1:17" ht="15" customHeight="1" x14ac:dyDescent="0.2">
      <c r="A17" s="12" t="s">
        <v>18</v>
      </c>
      <c r="B17" s="63" t="s">
        <v>317</v>
      </c>
      <c r="C17" s="12">
        <f t="shared" si="0"/>
        <v>12</v>
      </c>
      <c r="D17" s="12">
        <v>0</v>
      </c>
      <c r="G17" s="20" t="s">
        <v>653</v>
      </c>
      <c r="H17" s="12" t="s">
        <v>2490</v>
      </c>
      <c r="I17" s="12">
        <v>333821</v>
      </c>
      <c r="J17" s="12">
        <v>131</v>
      </c>
      <c r="K17" s="20" t="s">
        <v>20</v>
      </c>
      <c r="L17" s="20">
        <v>1</v>
      </c>
      <c r="M17" s="17">
        <v>182796</v>
      </c>
      <c r="N17" s="34">
        <f t="shared" si="1"/>
        <v>182796</v>
      </c>
      <c r="O17" s="12" t="s">
        <v>21</v>
      </c>
      <c r="P17" s="12">
        <f t="shared" si="3"/>
        <v>8</v>
      </c>
      <c r="Q17" s="12">
        <f t="shared" si="2"/>
        <v>178</v>
      </c>
    </row>
    <row r="18" spans="1:17" ht="15" customHeight="1" x14ac:dyDescent="0.2">
      <c r="A18" s="12" t="s">
        <v>18</v>
      </c>
      <c r="B18" s="63" t="s">
        <v>417</v>
      </c>
      <c r="C18" s="12">
        <f t="shared" si="0"/>
        <v>13</v>
      </c>
      <c r="D18" s="12">
        <v>1</v>
      </c>
      <c r="E18" s="20"/>
      <c r="G18" s="20" t="s">
        <v>96</v>
      </c>
      <c r="H18" s="20" t="s">
        <v>2480</v>
      </c>
      <c r="I18" s="12">
        <v>131</v>
      </c>
      <c r="J18" s="12">
        <v>5113</v>
      </c>
      <c r="K18" s="20" t="s">
        <v>20</v>
      </c>
      <c r="L18" s="20">
        <v>1</v>
      </c>
      <c r="M18" s="34">
        <v>6451613</v>
      </c>
      <c r="N18" s="34">
        <f t="shared" si="1"/>
        <v>6451613</v>
      </c>
      <c r="O18" s="12" t="s">
        <v>21</v>
      </c>
      <c r="P18" s="12">
        <f t="shared" si="3"/>
        <v>9</v>
      </c>
      <c r="Q18" s="12">
        <f t="shared" si="2"/>
        <v>167</v>
      </c>
    </row>
    <row r="19" spans="1:17" ht="15" customHeight="1" x14ac:dyDescent="0.2">
      <c r="A19" s="12" t="s">
        <v>18</v>
      </c>
      <c r="B19" s="63" t="s">
        <v>417</v>
      </c>
      <c r="C19" s="12">
        <f t="shared" si="0"/>
        <v>13</v>
      </c>
      <c r="D19" s="12">
        <v>0</v>
      </c>
      <c r="G19" s="20" t="s">
        <v>96</v>
      </c>
      <c r="H19" s="12" t="s">
        <v>2491</v>
      </c>
      <c r="I19" s="12">
        <v>333821</v>
      </c>
      <c r="J19" s="12">
        <v>131</v>
      </c>
      <c r="K19" s="20" t="s">
        <v>20</v>
      </c>
      <c r="L19" s="20">
        <v>1</v>
      </c>
      <c r="M19" s="17">
        <v>64516</v>
      </c>
      <c r="N19" s="34">
        <f t="shared" si="1"/>
        <v>64516</v>
      </c>
      <c r="O19" s="12" t="s">
        <v>21</v>
      </c>
      <c r="P19" s="12">
        <f t="shared" si="3"/>
        <v>9</v>
      </c>
      <c r="Q19" s="12">
        <f t="shared" si="2"/>
        <v>183</v>
      </c>
    </row>
    <row r="20" spans="1:17" ht="15" customHeight="1" x14ac:dyDescent="0.2">
      <c r="A20" s="12" t="s">
        <v>18</v>
      </c>
      <c r="B20" s="36" t="s">
        <v>417</v>
      </c>
      <c r="C20" s="12">
        <f t="shared" si="0"/>
        <v>14</v>
      </c>
      <c r="D20" s="12">
        <v>1</v>
      </c>
      <c r="G20" s="12" t="s">
        <v>539</v>
      </c>
      <c r="H20" s="12" t="s">
        <v>2481</v>
      </c>
      <c r="I20" s="12">
        <v>131</v>
      </c>
      <c r="J20" s="12">
        <v>5113</v>
      </c>
      <c r="K20" s="20" t="s">
        <v>20</v>
      </c>
      <c r="L20" s="20">
        <v>1</v>
      </c>
      <c r="M20" s="17">
        <v>6451613</v>
      </c>
      <c r="N20" s="34">
        <f t="shared" si="1"/>
        <v>6451613</v>
      </c>
      <c r="O20" s="12" t="s">
        <v>21</v>
      </c>
      <c r="P20" s="12">
        <f t="shared" si="3"/>
        <v>10</v>
      </c>
      <c r="Q20" s="12">
        <f t="shared" si="2"/>
        <v>169</v>
      </c>
    </row>
    <row r="21" spans="1:17" ht="15" customHeight="1" x14ac:dyDescent="0.2">
      <c r="A21" s="12" t="s">
        <v>18</v>
      </c>
      <c r="B21" s="36" t="s">
        <v>417</v>
      </c>
      <c r="C21" s="12">
        <f t="shared" si="0"/>
        <v>14</v>
      </c>
      <c r="D21" s="12">
        <v>0</v>
      </c>
      <c r="G21" s="12" t="s">
        <v>539</v>
      </c>
      <c r="H21" s="12" t="s">
        <v>2492</v>
      </c>
      <c r="I21" s="12">
        <v>333821</v>
      </c>
      <c r="J21" s="12">
        <v>131</v>
      </c>
      <c r="K21" s="20" t="s">
        <v>20</v>
      </c>
      <c r="L21" s="20">
        <v>1</v>
      </c>
      <c r="M21" s="17">
        <v>64516</v>
      </c>
      <c r="N21" s="34">
        <f t="shared" si="1"/>
        <v>64516</v>
      </c>
      <c r="O21" s="12" t="s">
        <v>21</v>
      </c>
      <c r="P21" s="12">
        <f t="shared" si="3"/>
        <v>10</v>
      </c>
      <c r="Q21" s="12">
        <f t="shared" si="2"/>
        <v>185</v>
      </c>
    </row>
    <row r="22" spans="1:17" ht="15" customHeight="1" x14ac:dyDescent="0.2">
      <c r="A22" s="12" t="s">
        <v>18</v>
      </c>
      <c r="B22" s="36" t="s">
        <v>601</v>
      </c>
      <c r="C22" s="12">
        <f t="shared" si="0"/>
        <v>15</v>
      </c>
      <c r="D22" s="12">
        <v>1</v>
      </c>
      <c r="G22" s="12" t="s">
        <v>1944</v>
      </c>
      <c r="H22" s="12" t="s">
        <v>2482</v>
      </c>
      <c r="I22" s="12">
        <v>131</v>
      </c>
      <c r="J22" s="12">
        <v>5113</v>
      </c>
      <c r="K22" s="20" t="s">
        <v>20</v>
      </c>
      <c r="L22" s="20">
        <v>1</v>
      </c>
      <c r="M22" s="17">
        <v>7526882</v>
      </c>
      <c r="N22" s="34">
        <f t="shared" si="1"/>
        <v>7526882</v>
      </c>
      <c r="O22" s="12" t="s">
        <v>21</v>
      </c>
      <c r="P22" s="12">
        <f t="shared" si="3"/>
        <v>11</v>
      </c>
      <c r="Q22" s="12">
        <f t="shared" si="2"/>
        <v>144</v>
      </c>
    </row>
    <row r="23" spans="1:17" ht="15" customHeight="1" x14ac:dyDescent="0.2">
      <c r="A23" s="12" t="s">
        <v>18</v>
      </c>
      <c r="B23" s="36" t="s">
        <v>601</v>
      </c>
      <c r="C23" s="12">
        <f t="shared" si="0"/>
        <v>15</v>
      </c>
      <c r="D23" s="12">
        <v>0</v>
      </c>
      <c r="G23" s="12" t="s">
        <v>1944</v>
      </c>
      <c r="H23" s="12" t="s">
        <v>2493</v>
      </c>
      <c r="I23" s="12">
        <v>333821</v>
      </c>
      <c r="J23" s="12">
        <v>131</v>
      </c>
      <c r="K23" s="20" t="s">
        <v>20</v>
      </c>
      <c r="L23" s="20">
        <v>1</v>
      </c>
      <c r="M23" s="17">
        <v>75269</v>
      </c>
      <c r="N23" s="34">
        <f t="shared" si="1"/>
        <v>75269</v>
      </c>
      <c r="O23" s="12" t="s">
        <v>21</v>
      </c>
      <c r="P23" s="12">
        <f t="shared" si="3"/>
        <v>11</v>
      </c>
      <c r="Q23" s="12">
        <f t="shared" si="2"/>
        <v>160</v>
      </c>
    </row>
    <row r="24" spans="1:17" ht="15" customHeight="1" x14ac:dyDescent="0.2">
      <c r="A24" s="12" t="s">
        <v>18</v>
      </c>
      <c r="B24" s="36" t="s">
        <v>319</v>
      </c>
      <c r="C24" s="12">
        <f t="shared" si="0"/>
        <v>16</v>
      </c>
      <c r="D24" s="12">
        <v>1</v>
      </c>
      <c r="G24" s="12" t="s">
        <v>606</v>
      </c>
      <c r="H24" s="12" t="s">
        <v>2483</v>
      </c>
      <c r="I24" s="12">
        <v>131</v>
      </c>
      <c r="J24" s="12">
        <v>5113</v>
      </c>
      <c r="K24" s="20" t="s">
        <v>20</v>
      </c>
      <c r="L24" s="20">
        <v>1</v>
      </c>
      <c r="M24" s="17">
        <v>7526882</v>
      </c>
      <c r="N24" s="34">
        <f t="shared" si="1"/>
        <v>7526882</v>
      </c>
      <c r="O24" s="12" t="s">
        <v>21</v>
      </c>
      <c r="P24" s="12">
        <f t="shared" si="3"/>
        <v>12</v>
      </c>
      <c r="Q24" s="12">
        <f t="shared" si="2"/>
        <v>162</v>
      </c>
    </row>
    <row r="25" spans="1:17" ht="15" customHeight="1" x14ac:dyDescent="0.2">
      <c r="A25" s="12" t="s">
        <v>18</v>
      </c>
      <c r="B25" s="36" t="s">
        <v>319</v>
      </c>
      <c r="C25" s="12">
        <f t="shared" si="0"/>
        <v>16</v>
      </c>
      <c r="D25" s="12">
        <v>0</v>
      </c>
      <c r="G25" s="12" t="s">
        <v>606</v>
      </c>
      <c r="H25" s="12" t="s">
        <v>2494</v>
      </c>
      <c r="I25" s="12">
        <v>333821</v>
      </c>
      <c r="J25" s="12">
        <v>131</v>
      </c>
      <c r="K25" s="20" t="s">
        <v>20</v>
      </c>
      <c r="L25" s="20">
        <v>1</v>
      </c>
      <c r="M25" s="17">
        <v>75269</v>
      </c>
      <c r="N25" s="34">
        <f t="shared" si="1"/>
        <v>75269</v>
      </c>
      <c r="O25" s="12" t="s">
        <v>21</v>
      </c>
      <c r="P25" s="12">
        <f t="shared" si="3"/>
        <v>12</v>
      </c>
      <c r="Q25" s="12">
        <f t="shared" si="2"/>
        <v>178</v>
      </c>
    </row>
    <row r="26" spans="1:17" ht="15" customHeight="1" x14ac:dyDescent="0.2">
      <c r="A26" s="12" t="s">
        <v>18</v>
      </c>
      <c r="B26" s="36" t="s">
        <v>453</v>
      </c>
      <c r="C26" s="12">
        <f t="shared" si="0"/>
        <v>17</v>
      </c>
      <c r="D26" s="12">
        <v>1</v>
      </c>
      <c r="G26" s="12" t="s">
        <v>2471</v>
      </c>
      <c r="H26" s="12" t="s">
        <v>2484</v>
      </c>
      <c r="I26" s="12">
        <v>131</v>
      </c>
      <c r="J26" s="12">
        <v>5113</v>
      </c>
      <c r="K26" s="20" t="s">
        <v>20</v>
      </c>
      <c r="L26" s="20">
        <v>1</v>
      </c>
      <c r="M26" s="17">
        <v>7494949</v>
      </c>
      <c r="N26" s="34">
        <f t="shared" si="1"/>
        <v>7494949</v>
      </c>
      <c r="O26" s="12" t="s">
        <v>21</v>
      </c>
      <c r="P26" s="12">
        <f t="shared" si="3"/>
        <v>13</v>
      </c>
      <c r="Q26" s="12">
        <f t="shared" si="2"/>
        <v>107</v>
      </c>
    </row>
    <row r="27" spans="1:17" ht="15" customHeight="1" x14ac:dyDescent="0.2">
      <c r="A27" s="12" t="s">
        <v>18</v>
      </c>
      <c r="B27" s="36" t="s">
        <v>453</v>
      </c>
      <c r="C27" s="12">
        <f t="shared" si="0"/>
        <v>17</v>
      </c>
      <c r="D27" s="12">
        <v>0</v>
      </c>
      <c r="G27" s="12" t="s">
        <v>2471</v>
      </c>
      <c r="H27" s="12" t="s">
        <v>2495</v>
      </c>
      <c r="I27" s="12">
        <v>333821</v>
      </c>
      <c r="J27" s="12">
        <v>131</v>
      </c>
      <c r="K27" s="20" t="s">
        <v>20</v>
      </c>
      <c r="L27" s="20">
        <v>1</v>
      </c>
      <c r="M27" s="17">
        <v>74949</v>
      </c>
      <c r="N27" s="34">
        <f t="shared" si="1"/>
        <v>74949</v>
      </c>
      <c r="O27" s="12" t="s">
        <v>21</v>
      </c>
      <c r="P27" s="12">
        <f t="shared" si="3"/>
        <v>13</v>
      </c>
      <c r="Q27" s="12">
        <f t="shared" si="2"/>
        <v>123</v>
      </c>
    </row>
    <row r="28" spans="1:17" ht="15" customHeight="1" x14ac:dyDescent="0.2">
      <c r="A28" s="12" t="s">
        <v>18</v>
      </c>
      <c r="B28" s="36" t="s">
        <v>515</v>
      </c>
      <c r="C28" s="12">
        <f t="shared" si="0"/>
        <v>18</v>
      </c>
      <c r="D28" s="12">
        <v>1</v>
      </c>
      <c r="G28" s="12" t="s">
        <v>2472</v>
      </c>
      <c r="H28" s="12" t="s">
        <v>2485</v>
      </c>
      <c r="I28" s="12">
        <v>131</v>
      </c>
      <c r="J28" s="12">
        <v>5113</v>
      </c>
      <c r="K28" s="20" t="s">
        <v>20</v>
      </c>
      <c r="L28" s="20">
        <v>1</v>
      </c>
      <c r="M28" s="17">
        <v>6451613</v>
      </c>
      <c r="N28" s="34">
        <f t="shared" si="1"/>
        <v>6451613</v>
      </c>
      <c r="O28" s="12" t="s">
        <v>21</v>
      </c>
      <c r="P28" s="12">
        <f t="shared" si="3"/>
        <v>14</v>
      </c>
      <c r="Q28" s="12">
        <f t="shared" si="2"/>
        <v>158</v>
      </c>
    </row>
    <row r="29" spans="1:17" ht="15" customHeight="1" x14ac:dyDescent="0.2">
      <c r="A29" s="12" t="s">
        <v>18</v>
      </c>
      <c r="B29" s="36" t="s">
        <v>515</v>
      </c>
      <c r="C29" s="12">
        <f t="shared" si="0"/>
        <v>18</v>
      </c>
      <c r="D29" s="12">
        <v>0</v>
      </c>
      <c r="G29" s="12" t="s">
        <v>2472</v>
      </c>
      <c r="H29" s="12" t="s">
        <v>2496</v>
      </c>
      <c r="I29" s="12">
        <v>333821</v>
      </c>
      <c r="J29" s="12">
        <v>131</v>
      </c>
      <c r="K29" s="20" t="s">
        <v>20</v>
      </c>
      <c r="L29" s="20">
        <v>1</v>
      </c>
      <c r="M29" s="17">
        <v>64516</v>
      </c>
      <c r="N29" s="34">
        <f t="shared" si="1"/>
        <v>64516</v>
      </c>
      <c r="O29" s="12" t="s">
        <v>21</v>
      </c>
      <c r="P29" s="12">
        <f t="shared" si="3"/>
        <v>14</v>
      </c>
      <c r="Q29" s="12">
        <f t="shared" si="2"/>
        <v>174</v>
      </c>
    </row>
    <row r="30" spans="1:17" ht="15" customHeight="1" x14ac:dyDescent="0.2">
      <c r="A30" s="12" t="s">
        <v>18</v>
      </c>
      <c r="B30" s="36" t="s">
        <v>515</v>
      </c>
      <c r="C30" s="12">
        <f t="shared" si="0"/>
        <v>19</v>
      </c>
      <c r="D30" s="12">
        <v>1</v>
      </c>
      <c r="G30" s="12" t="s">
        <v>2473</v>
      </c>
      <c r="H30" s="12" t="s">
        <v>2486</v>
      </c>
      <c r="I30" s="12">
        <v>131</v>
      </c>
      <c r="J30" s="12">
        <v>5113</v>
      </c>
      <c r="K30" s="20" t="s">
        <v>20</v>
      </c>
      <c r="L30" s="20">
        <v>1</v>
      </c>
      <c r="M30" s="17">
        <v>7526882</v>
      </c>
      <c r="N30" s="34">
        <f t="shared" si="1"/>
        <v>7526882</v>
      </c>
      <c r="O30" s="12" t="s">
        <v>21</v>
      </c>
      <c r="P30" s="12">
        <f t="shared" si="3"/>
        <v>15</v>
      </c>
      <c r="Q30" s="12">
        <f t="shared" si="2"/>
        <v>149</v>
      </c>
    </row>
    <row r="31" spans="1:17" ht="15" customHeight="1" x14ac:dyDescent="0.2">
      <c r="A31" s="12" t="s">
        <v>18</v>
      </c>
      <c r="B31" s="36" t="s">
        <v>515</v>
      </c>
      <c r="C31" s="12">
        <f t="shared" si="0"/>
        <v>19</v>
      </c>
      <c r="D31" s="12">
        <v>0</v>
      </c>
      <c r="G31" s="12" t="s">
        <v>2473</v>
      </c>
      <c r="H31" s="12" t="s">
        <v>2497</v>
      </c>
      <c r="I31" s="12">
        <v>333821</v>
      </c>
      <c r="J31" s="12">
        <v>131</v>
      </c>
      <c r="K31" s="20" t="s">
        <v>20</v>
      </c>
      <c r="L31" s="20">
        <v>1</v>
      </c>
      <c r="M31" s="17">
        <v>75269</v>
      </c>
      <c r="N31" s="34">
        <f t="shared" si="1"/>
        <v>75269</v>
      </c>
      <c r="O31" s="12" t="s">
        <v>21</v>
      </c>
      <c r="P31" s="12">
        <f t="shared" si="3"/>
        <v>15</v>
      </c>
      <c r="Q31" s="12">
        <f t="shared" si="2"/>
        <v>165</v>
      </c>
    </row>
    <row r="32" spans="1:17" ht="15" customHeight="1" x14ac:dyDescent="0.2">
      <c r="A32" s="12" t="s">
        <v>18</v>
      </c>
      <c r="B32" s="36" t="s">
        <v>456</v>
      </c>
      <c r="C32" s="12">
        <f t="shared" si="0"/>
        <v>20</v>
      </c>
      <c r="D32" s="12">
        <v>1</v>
      </c>
      <c r="G32" s="12" t="s">
        <v>96</v>
      </c>
      <c r="H32" s="12" t="s">
        <v>2487</v>
      </c>
      <c r="I32" s="12">
        <v>131</v>
      </c>
      <c r="J32" s="12">
        <v>5113</v>
      </c>
      <c r="K32" s="20" t="s">
        <v>20</v>
      </c>
      <c r="L32" s="20">
        <v>1</v>
      </c>
      <c r="M32" s="17">
        <v>7526882</v>
      </c>
      <c r="N32" s="34">
        <f t="shared" si="1"/>
        <v>7526882</v>
      </c>
      <c r="O32" s="12" t="s">
        <v>21</v>
      </c>
      <c r="P32" s="12">
        <f t="shared" si="3"/>
        <v>16</v>
      </c>
      <c r="Q32" s="12">
        <f t="shared" si="2"/>
        <v>168</v>
      </c>
    </row>
    <row r="33" spans="1:17" ht="15" customHeight="1" x14ac:dyDescent="0.2">
      <c r="A33" s="12" t="s">
        <v>18</v>
      </c>
      <c r="B33" s="36" t="s">
        <v>456</v>
      </c>
      <c r="C33" s="12">
        <f t="shared" si="0"/>
        <v>20</v>
      </c>
      <c r="D33" s="12">
        <v>0</v>
      </c>
      <c r="G33" s="12" t="s">
        <v>96</v>
      </c>
      <c r="H33" s="12" t="s">
        <v>2498</v>
      </c>
      <c r="I33" s="12">
        <v>333821</v>
      </c>
      <c r="J33" s="12">
        <v>131</v>
      </c>
      <c r="K33" s="20" t="s">
        <v>20</v>
      </c>
      <c r="L33" s="20">
        <v>1</v>
      </c>
      <c r="M33" s="17">
        <v>75269</v>
      </c>
      <c r="N33" s="34">
        <f t="shared" si="1"/>
        <v>75269</v>
      </c>
      <c r="O33" s="12" t="s">
        <v>21</v>
      </c>
      <c r="P33" s="12">
        <f t="shared" si="3"/>
        <v>16</v>
      </c>
      <c r="Q33" s="12">
        <f t="shared" si="2"/>
        <v>184</v>
      </c>
    </row>
    <row r="34" spans="1:17" ht="15" customHeight="1" x14ac:dyDescent="0.2">
      <c r="A34" s="12" t="s">
        <v>18</v>
      </c>
      <c r="B34" s="36" t="s">
        <v>320</v>
      </c>
      <c r="C34" s="12">
        <f t="shared" si="0"/>
        <v>21</v>
      </c>
      <c r="D34" s="12">
        <v>1</v>
      </c>
      <c r="G34" s="12" t="s">
        <v>539</v>
      </c>
      <c r="H34" s="12" t="s">
        <v>4562</v>
      </c>
      <c r="I34" s="12">
        <v>131</v>
      </c>
      <c r="J34" s="12">
        <v>5113</v>
      </c>
      <c r="K34" s="20" t="s">
        <v>20</v>
      </c>
      <c r="L34" s="20">
        <v>1</v>
      </c>
      <c r="M34" s="17">
        <v>6451613</v>
      </c>
      <c r="N34" s="34">
        <f t="shared" si="1"/>
        <v>6451613</v>
      </c>
      <c r="O34" s="12" t="s">
        <v>21</v>
      </c>
      <c r="P34" s="12">
        <f t="shared" si="3"/>
        <v>17</v>
      </c>
      <c r="Q34" s="12">
        <f t="shared" si="2"/>
        <v>128</v>
      </c>
    </row>
    <row r="35" spans="1:17" ht="15" customHeight="1" x14ac:dyDescent="0.2">
      <c r="A35" s="12" t="s">
        <v>18</v>
      </c>
      <c r="B35" s="36" t="s">
        <v>320</v>
      </c>
      <c r="C35" s="12">
        <f t="shared" si="0"/>
        <v>21</v>
      </c>
      <c r="D35" s="12">
        <v>0</v>
      </c>
      <c r="G35" s="12" t="s">
        <v>539</v>
      </c>
      <c r="H35" s="12" t="s">
        <v>4563</v>
      </c>
      <c r="I35" s="12">
        <v>333821</v>
      </c>
      <c r="J35" s="12">
        <v>131</v>
      </c>
      <c r="K35" s="20" t="s">
        <v>20</v>
      </c>
      <c r="L35" s="20">
        <v>1</v>
      </c>
      <c r="M35" s="17">
        <v>64516</v>
      </c>
      <c r="N35" s="34">
        <f t="shared" si="1"/>
        <v>64516</v>
      </c>
      <c r="O35" s="12" t="s">
        <v>21</v>
      </c>
      <c r="P35" s="12">
        <f t="shared" si="3"/>
        <v>17</v>
      </c>
      <c r="Q35" s="12">
        <f t="shared" si="2"/>
        <v>144</v>
      </c>
    </row>
    <row r="36" spans="1:17" ht="15" customHeight="1" x14ac:dyDescent="0.2">
      <c r="A36" s="12" t="s">
        <v>18</v>
      </c>
      <c r="B36" s="36">
        <v>46022</v>
      </c>
      <c r="C36" s="12">
        <f t="shared" ref="C36:C38" si="4">C35+D36</f>
        <v>22</v>
      </c>
      <c r="D36" s="12">
        <v>1</v>
      </c>
      <c r="G36" s="136" t="s">
        <v>94</v>
      </c>
      <c r="H36" s="12" t="s">
        <v>2676</v>
      </c>
      <c r="I36" s="12">
        <v>131</v>
      </c>
      <c r="J36" s="12">
        <v>5113</v>
      </c>
      <c r="K36" s="20" t="s">
        <v>20</v>
      </c>
      <c r="L36" s="20">
        <v>1</v>
      </c>
      <c r="M36" s="17">
        <v>7526882</v>
      </c>
      <c r="N36" s="34">
        <f t="shared" ref="N36:N37" si="5">L36*M36</f>
        <v>7526882</v>
      </c>
      <c r="O36" s="12" t="s">
        <v>21</v>
      </c>
      <c r="P36" s="12">
        <f t="shared" si="3"/>
        <v>18</v>
      </c>
      <c r="Q36" s="12">
        <f t="shared" si="2"/>
        <v>147</v>
      </c>
    </row>
    <row r="37" spans="1:17" ht="15" customHeight="1" x14ac:dyDescent="0.2">
      <c r="A37" s="12" t="s">
        <v>18</v>
      </c>
      <c r="B37" s="36">
        <v>46022</v>
      </c>
      <c r="C37" s="12">
        <f t="shared" si="4"/>
        <v>22</v>
      </c>
      <c r="D37" s="12">
        <v>0</v>
      </c>
      <c r="G37" s="136" t="s">
        <v>94</v>
      </c>
      <c r="H37" s="12" t="s">
        <v>2677</v>
      </c>
      <c r="I37" s="12">
        <v>333821</v>
      </c>
      <c r="J37" s="12">
        <v>131</v>
      </c>
      <c r="K37" s="20" t="s">
        <v>20</v>
      </c>
      <c r="L37" s="20">
        <v>1</v>
      </c>
      <c r="M37" s="17">
        <v>75269</v>
      </c>
      <c r="N37" s="34">
        <f t="shared" si="5"/>
        <v>75269</v>
      </c>
      <c r="O37" s="12" t="s">
        <v>21</v>
      </c>
      <c r="P37" s="12">
        <f t="shared" si="3"/>
        <v>18</v>
      </c>
      <c r="Q37" s="12">
        <f t="shared" si="2"/>
        <v>153</v>
      </c>
    </row>
    <row r="38" spans="1:17" ht="15" customHeight="1" x14ac:dyDescent="0.2">
      <c r="A38" s="12" t="s">
        <v>18</v>
      </c>
      <c r="B38" s="36">
        <v>45961</v>
      </c>
      <c r="C38" s="12">
        <f t="shared" si="4"/>
        <v>23</v>
      </c>
      <c r="D38" s="12">
        <v>1</v>
      </c>
      <c r="G38" s="12" t="s">
        <v>93</v>
      </c>
      <c r="H38" s="12" t="s">
        <v>371</v>
      </c>
      <c r="I38" s="12">
        <v>64271</v>
      </c>
      <c r="J38" s="12">
        <v>3383</v>
      </c>
      <c r="K38" s="12" t="s">
        <v>20</v>
      </c>
      <c r="L38" s="12">
        <v>1</v>
      </c>
      <c r="M38" s="17">
        <v>690300</v>
      </c>
      <c r="N38" s="34">
        <f t="shared" ref="N38:N63" si="6">L38*M38</f>
        <v>690300</v>
      </c>
      <c r="O38" s="12" t="s">
        <v>21</v>
      </c>
      <c r="P38" s="12">
        <f t="shared" si="3"/>
        <v>19</v>
      </c>
      <c r="Q38" s="12">
        <f t="shared" si="2"/>
        <v>30</v>
      </c>
    </row>
    <row r="39" spans="1:17" ht="15" customHeight="1" x14ac:dyDescent="0.2">
      <c r="A39" s="12" t="s">
        <v>18</v>
      </c>
      <c r="B39" s="36">
        <v>45991</v>
      </c>
      <c r="C39" s="12">
        <f t="shared" ref="C39:C40" si="7">C38+D39</f>
        <v>24</v>
      </c>
      <c r="D39" s="12">
        <v>1</v>
      </c>
      <c r="G39" s="12" t="s">
        <v>93</v>
      </c>
      <c r="H39" s="12" t="s">
        <v>372</v>
      </c>
      <c r="I39" s="12">
        <v>64271</v>
      </c>
      <c r="J39" s="12">
        <v>3383</v>
      </c>
      <c r="K39" s="12" t="s">
        <v>20</v>
      </c>
      <c r="L39" s="12">
        <v>1</v>
      </c>
      <c r="M39" s="17">
        <v>690300</v>
      </c>
      <c r="N39" s="34">
        <f t="shared" si="6"/>
        <v>690300</v>
      </c>
      <c r="O39" s="12" t="s">
        <v>21</v>
      </c>
      <c r="P39" s="12">
        <f t="shared" si="3"/>
        <v>20</v>
      </c>
      <c r="Q39" s="12">
        <f t="shared" si="2"/>
        <v>30</v>
      </c>
    </row>
    <row r="40" spans="1:17" ht="15" customHeight="1" x14ac:dyDescent="0.2">
      <c r="A40" s="12" t="s">
        <v>18</v>
      </c>
      <c r="B40" s="36">
        <v>46022</v>
      </c>
      <c r="C40" s="12">
        <f t="shared" si="7"/>
        <v>25</v>
      </c>
      <c r="D40" s="12">
        <v>1</v>
      </c>
      <c r="G40" s="12" t="s">
        <v>93</v>
      </c>
      <c r="H40" s="12" t="s">
        <v>373</v>
      </c>
      <c r="I40" s="12">
        <v>64271</v>
      </c>
      <c r="J40" s="12">
        <v>3383</v>
      </c>
      <c r="K40" s="12" t="s">
        <v>20</v>
      </c>
      <c r="L40" s="12">
        <v>1</v>
      </c>
      <c r="M40" s="17">
        <v>690300</v>
      </c>
      <c r="N40" s="34">
        <f t="shared" si="6"/>
        <v>690300</v>
      </c>
      <c r="O40" s="12" t="s">
        <v>21</v>
      </c>
      <c r="P40" s="12">
        <f t="shared" si="3"/>
        <v>21</v>
      </c>
      <c r="Q40" s="12">
        <f t="shared" si="2"/>
        <v>30</v>
      </c>
    </row>
    <row r="41" spans="1:17" ht="15" customHeight="1" x14ac:dyDescent="0.2">
      <c r="A41" s="12" t="s">
        <v>18</v>
      </c>
      <c r="B41" s="13">
        <v>45962</v>
      </c>
      <c r="C41" s="12">
        <f t="shared" ref="C41:C42" si="8">C40+D41</f>
        <v>26</v>
      </c>
      <c r="D41" s="12">
        <v>1</v>
      </c>
      <c r="G41" s="14" t="s">
        <v>3003</v>
      </c>
      <c r="H41" s="12" t="s">
        <v>3161</v>
      </c>
      <c r="I41" s="12">
        <v>131</v>
      </c>
      <c r="J41" s="12">
        <v>5118</v>
      </c>
      <c r="K41" s="12" t="s">
        <v>20</v>
      </c>
      <c r="L41" s="12">
        <v>1</v>
      </c>
      <c r="M41" s="17">
        <v>45674453</v>
      </c>
      <c r="N41" s="34">
        <f t="shared" ref="N41:N42" si="9">L41*M41</f>
        <v>45674453</v>
      </c>
      <c r="O41" s="12" t="s">
        <v>21</v>
      </c>
      <c r="P41" s="12">
        <f t="shared" si="3"/>
        <v>22</v>
      </c>
      <c r="Q41" s="12">
        <f t="shared" si="2"/>
        <v>36</v>
      </c>
    </row>
    <row r="42" spans="1:17" ht="15" customHeight="1" x14ac:dyDescent="0.2">
      <c r="A42" s="12" t="s">
        <v>2679</v>
      </c>
      <c r="B42" s="13">
        <v>45962</v>
      </c>
      <c r="C42" s="12">
        <f t="shared" si="8"/>
        <v>27</v>
      </c>
      <c r="D42" s="12">
        <v>1</v>
      </c>
      <c r="G42" s="14" t="s">
        <v>3003</v>
      </c>
      <c r="H42" s="12" t="s">
        <v>3005</v>
      </c>
      <c r="I42" s="12">
        <v>112111</v>
      </c>
      <c r="J42" s="12">
        <v>131</v>
      </c>
      <c r="K42" s="12" t="s">
        <v>20</v>
      </c>
      <c r="L42" s="12">
        <v>1</v>
      </c>
      <c r="M42" s="17">
        <v>45674453</v>
      </c>
      <c r="N42" s="34">
        <f t="shared" si="9"/>
        <v>45674453</v>
      </c>
      <c r="O42" s="12" t="s">
        <v>21</v>
      </c>
      <c r="P42" s="12">
        <f t="shared" si="3"/>
        <v>23</v>
      </c>
      <c r="Q42" s="12">
        <f t="shared" si="2"/>
        <v>48</v>
      </c>
    </row>
    <row r="43" spans="1:17" ht="15" customHeight="1" x14ac:dyDescent="0.2">
      <c r="A43" s="12" t="s">
        <v>2678</v>
      </c>
      <c r="B43" s="13">
        <v>45964</v>
      </c>
      <c r="C43" s="12">
        <f t="shared" ref="C43:C65" si="10">C42+D43</f>
        <v>28</v>
      </c>
      <c r="D43" s="12">
        <v>1</v>
      </c>
      <c r="G43" s="14" t="s">
        <v>287</v>
      </c>
      <c r="H43" s="12" t="s">
        <v>4455</v>
      </c>
      <c r="I43" s="12">
        <v>6428</v>
      </c>
      <c r="J43" s="12">
        <v>112111</v>
      </c>
      <c r="K43" s="12" t="s">
        <v>20</v>
      </c>
      <c r="L43" s="12">
        <v>1</v>
      </c>
      <c r="M43" s="17">
        <v>8246941</v>
      </c>
      <c r="N43" s="34">
        <f t="shared" si="6"/>
        <v>8246941</v>
      </c>
      <c r="O43" s="12" t="s">
        <v>21</v>
      </c>
      <c r="P43" s="12">
        <f t="shared" si="3"/>
        <v>24</v>
      </c>
      <c r="Q43" s="12">
        <f t="shared" si="2"/>
        <v>21</v>
      </c>
    </row>
    <row r="44" spans="1:17" ht="15" customHeight="1" x14ac:dyDescent="0.2">
      <c r="A44" s="12" t="s">
        <v>2679</v>
      </c>
      <c r="B44" s="13">
        <v>45973</v>
      </c>
      <c r="C44" s="12">
        <f t="shared" si="10"/>
        <v>29</v>
      </c>
      <c r="D44" s="12">
        <v>1</v>
      </c>
      <c r="G44" s="136" t="s">
        <v>47</v>
      </c>
      <c r="H44" s="12" t="s">
        <v>4564</v>
      </c>
      <c r="I44" s="12">
        <v>112111</v>
      </c>
      <c r="J44" s="12">
        <v>131</v>
      </c>
      <c r="K44" s="12" t="s">
        <v>20</v>
      </c>
      <c r="L44" s="12">
        <v>1</v>
      </c>
      <c r="M44" s="17">
        <v>18096774</v>
      </c>
      <c r="N44" s="34">
        <f t="shared" si="6"/>
        <v>18096774</v>
      </c>
      <c r="O44" s="12" t="s">
        <v>21</v>
      </c>
      <c r="P44" s="12">
        <f t="shared" si="3"/>
        <v>25</v>
      </c>
      <c r="Q44" s="12">
        <f t="shared" si="2"/>
        <v>179</v>
      </c>
    </row>
    <row r="45" spans="1:17" ht="15" customHeight="1" x14ac:dyDescent="0.2">
      <c r="A45" s="12" t="s">
        <v>2679</v>
      </c>
      <c r="B45" s="13">
        <v>45979</v>
      </c>
      <c r="C45" s="12">
        <f t="shared" si="10"/>
        <v>30</v>
      </c>
      <c r="D45" s="12">
        <v>1</v>
      </c>
      <c r="G45" s="136" t="s">
        <v>653</v>
      </c>
      <c r="H45" s="12" t="s">
        <v>4565</v>
      </c>
      <c r="I45" s="12">
        <v>112111</v>
      </c>
      <c r="J45" s="12">
        <v>131</v>
      </c>
      <c r="K45" s="12" t="s">
        <v>20</v>
      </c>
      <c r="L45" s="12">
        <v>1</v>
      </c>
      <c r="M45" s="17">
        <v>18096774</v>
      </c>
      <c r="N45" s="34">
        <f t="shared" si="6"/>
        <v>18096774</v>
      </c>
      <c r="O45" s="12" t="s">
        <v>21</v>
      </c>
      <c r="P45" s="12">
        <f t="shared" si="3"/>
        <v>26</v>
      </c>
      <c r="Q45" s="12">
        <f t="shared" si="2"/>
        <v>167</v>
      </c>
    </row>
    <row r="46" spans="1:17" ht="15" customHeight="1" x14ac:dyDescent="0.2">
      <c r="A46" s="12" t="s">
        <v>2679</v>
      </c>
      <c r="B46" s="13">
        <v>45981</v>
      </c>
      <c r="C46" s="12">
        <f t="shared" si="10"/>
        <v>31</v>
      </c>
      <c r="D46" s="12">
        <v>1</v>
      </c>
      <c r="G46" s="136" t="s">
        <v>1944</v>
      </c>
      <c r="H46" s="12" t="s">
        <v>4566</v>
      </c>
      <c r="I46" s="12">
        <v>112111</v>
      </c>
      <c r="J46" s="12">
        <v>131</v>
      </c>
      <c r="K46" s="12" t="s">
        <v>20</v>
      </c>
      <c r="L46" s="12">
        <v>1</v>
      </c>
      <c r="M46" s="17">
        <v>7451613</v>
      </c>
      <c r="N46" s="34">
        <f t="shared" si="6"/>
        <v>7451613</v>
      </c>
      <c r="O46" s="12" t="s">
        <v>21</v>
      </c>
      <c r="P46" s="12">
        <f t="shared" si="3"/>
        <v>27</v>
      </c>
      <c r="Q46" s="12">
        <f t="shared" si="2"/>
        <v>149</v>
      </c>
    </row>
    <row r="47" spans="1:17" ht="15" customHeight="1" x14ac:dyDescent="0.2">
      <c r="A47" s="12" t="s">
        <v>2679</v>
      </c>
      <c r="B47" s="13">
        <v>45983</v>
      </c>
      <c r="C47" s="12">
        <f t="shared" si="10"/>
        <v>32</v>
      </c>
      <c r="D47" s="12">
        <v>1</v>
      </c>
      <c r="G47" s="136" t="s">
        <v>606</v>
      </c>
      <c r="H47" s="12" t="s">
        <v>4567</v>
      </c>
      <c r="I47" s="12">
        <v>112111</v>
      </c>
      <c r="J47" s="12">
        <v>131</v>
      </c>
      <c r="K47" s="12" t="s">
        <v>20</v>
      </c>
      <c r="L47" s="12">
        <v>1</v>
      </c>
      <c r="M47" s="17">
        <v>7451613</v>
      </c>
      <c r="N47" s="34">
        <f t="shared" si="6"/>
        <v>7451613</v>
      </c>
      <c r="O47" s="12" t="s">
        <v>21</v>
      </c>
      <c r="P47" s="12">
        <f t="shared" si="3"/>
        <v>28</v>
      </c>
      <c r="Q47" s="12">
        <f t="shared" si="2"/>
        <v>167</v>
      </c>
    </row>
    <row r="48" spans="1:17" ht="15" customHeight="1" x14ac:dyDescent="0.2">
      <c r="A48" s="12" t="s">
        <v>2679</v>
      </c>
      <c r="B48" s="13">
        <v>45986</v>
      </c>
      <c r="C48" s="12">
        <f t="shared" si="10"/>
        <v>33</v>
      </c>
      <c r="D48" s="12">
        <v>1</v>
      </c>
      <c r="G48" s="136" t="s">
        <v>96</v>
      </c>
      <c r="H48" s="12" t="s">
        <v>4568</v>
      </c>
      <c r="I48" s="12">
        <v>112111</v>
      </c>
      <c r="J48" s="12">
        <v>131</v>
      </c>
      <c r="K48" s="12" t="s">
        <v>20</v>
      </c>
      <c r="L48" s="12">
        <v>1</v>
      </c>
      <c r="M48" s="17">
        <v>6387097</v>
      </c>
      <c r="N48" s="34">
        <f t="shared" si="6"/>
        <v>6387097</v>
      </c>
      <c r="O48" s="12" t="s">
        <v>21</v>
      </c>
      <c r="P48" s="12">
        <f t="shared" si="3"/>
        <v>29</v>
      </c>
      <c r="Q48" s="12">
        <f t="shared" si="2"/>
        <v>172</v>
      </c>
    </row>
    <row r="49" spans="1:17" ht="15" customHeight="1" x14ac:dyDescent="0.2">
      <c r="A49" s="12" t="s">
        <v>18</v>
      </c>
      <c r="B49" s="13">
        <v>45992</v>
      </c>
      <c r="C49" s="12">
        <f t="shared" ref="C49:C50" si="11">C48+D49</f>
        <v>34</v>
      </c>
      <c r="D49" s="12">
        <v>1</v>
      </c>
      <c r="G49" s="14" t="s">
        <v>3003</v>
      </c>
      <c r="H49" s="12" t="s">
        <v>3161</v>
      </c>
      <c r="I49" s="12">
        <v>131</v>
      </c>
      <c r="J49" s="12">
        <v>5118</v>
      </c>
      <c r="K49" s="12" t="s">
        <v>20</v>
      </c>
      <c r="L49" s="12">
        <v>1</v>
      </c>
      <c r="M49" s="17">
        <v>11696060</v>
      </c>
      <c r="N49" s="34">
        <f t="shared" ref="N49:N50" si="12">L49*M49</f>
        <v>11696060</v>
      </c>
      <c r="O49" s="12" t="s">
        <v>21</v>
      </c>
      <c r="P49" s="12">
        <f t="shared" ref="P49:P50" si="13">P48+D49</f>
        <v>30</v>
      </c>
      <c r="Q49" s="12">
        <f t="shared" ref="Q49:Q50" si="14">LEN(H49)</f>
        <v>36</v>
      </c>
    </row>
    <row r="50" spans="1:17" ht="15" customHeight="1" x14ac:dyDescent="0.2">
      <c r="A50" s="12" t="s">
        <v>2679</v>
      </c>
      <c r="B50" s="13">
        <v>45992</v>
      </c>
      <c r="C50" s="12">
        <f t="shared" si="11"/>
        <v>35</v>
      </c>
      <c r="D50" s="12">
        <v>1</v>
      </c>
      <c r="G50" s="14" t="s">
        <v>3003</v>
      </c>
      <c r="H50" s="12" t="s">
        <v>3005</v>
      </c>
      <c r="I50" s="12">
        <v>112111</v>
      </c>
      <c r="J50" s="12">
        <v>131</v>
      </c>
      <c r="K50" s="12" t="s">
        <v>20</v>
      </c>
      <c r="L50" s="12">
        <v>1</v>
      </c>
      <c r="M50" s="17">
        <v>11696060</v>
      </c>
      <c r="N50" s="34">
        <f t="shared" si="12"/>
        <v>11696060</v>
      </c>
      <c r="O50" s="12" t="s">
        <v>21</v>
      </c>
      <c r="P50" s="12">
        <f t="shared" si="13"/>
        <v>31</v>
      </c>
      <c r="Q50" s="12">
        <f t="shared" si="14"/>
        <v>48</v>
      </c>
    </row>
    <row r="51" spans="1:17" ht="15" customHeight="1" x14ac:dyDescent="0.2">
      <c r="A51" s="12" t="s">
        <v>2678</v>
      </c>
      <c r="B51" s="13">
        <v>45992</v>
      </c>
      <c r="C51" s="12">
        <f t="shared" si="10"/>
        <v>36</v>
      </c>
      <c r="D51" s="12">
        <v>1</v>
      </c>
      <c r="G51" s="14" t="s">
        <v>287</v>
      </c>
      <c r="H51" s="12" t="s">
        <v>3017</v>
      </c>
      <c r="I51" s="12">
        <v>1111</v>
      </c>
      <c r="J51" s="12">
        <v>112111</v>
      </c>
      <c r="K51" s="12" t="s">
        <v>20</v>
      </c>
      <c r="L51" s="12">
        <v>1</v>
      </c>
      <c r="M51" s="17">
        <v>100000000</v>
      </c>
      <c r="N51" s="34">
        <f t="shared" si="6"/>
        <v>100000000</v>
      </c>
      <c r="O51" s="12" t="s">
        <v>21</v>
      </c>
      <c r="P51" s="12">
        <f t="shared" si="3"/>
        <v>32</v>
      </c>
      <c r="Q51" s="12">
        <f t="shared" si="2"/>
        <v>40</v>
      </c>
    </row>
    <row r="52" spans="1:17" ht="15" customHeight="1" x14ac:dyDescent="0.2">
      <c r="A52" s="12" t="s">
        <v>2679</v>
      </c>
      <c r="B52" s="13">
        <v>45993</v>
      </c>
      <c r="C52" s="12">
        <f t="shared" si="10"/>
        <v>37</v>
      </c>
      <c r="D52" s="12">
        <v>1</v>
      </c>
      <c r="G52" s="12" t="s">
        <v>2471</v>
      </c>
      <c r="H52" s="12" t="s">
        <v>4569</v>
      </c>
      <c r="I52" s="12">
        <v>112111</v>
      </c>
      <c r="J52" s="12">
        <v>131</v>
      </c>
      <c r="K52" s="12" t="s">
        <v>20</v>
      </c>
      <c r="L52" s="12">
        <v>1</v>
      </c>
      <c r="M52" s="17">
        <v>7420000</v>
      </c>
      <c r="N52" s="34">
        <f t="shared" si="6"/>
        <v>7420000</v>
      </c>
      <c r="O52" s="12" t="s">
        <v>21</v>
      </c>
      <c r="P52" s="12">
        <f t="shared" si="3"/>
        <v>33</v>
      </c>
      <c r="Q52" s="12">
        <f t="shared" si="2"/>
        <v>112</v>
      </c>
    </row>
    <row r="53" spans="1:17" ht="15" customHeight="1" x14ac:dyDescent="0.2">
      <c r="A53" s="12" t="s">
        <v>2678</v>
      </c>
      <c r="B53" s="13">
        <v>45996</v>
      </c>
      <c r="C53" s="12">
        <f t="shared" si="10"/>
        <v>38</v>
      </c>
      <c r="D53" s="12">
        <v>1</v>
      </c>
      <c r="G53" s="14" t="s">
        <v>43</v>
      </c>
      <c r="H53" s="12" t="s">
        <v>4556</v>
      </c>
      <c r="I53" s="12">
        <v>3383</v>
      </c>
      <c r="J53" s="12">
        <v>112111</v>
      </c>
      <c r="K53" s="12" t="s">
        <v>20</v>
      </c>
      <c r="L53" s="12">
        <v>1</v>
      </c>
      <c r="M53" s="17">
        <v>690300</v>
      </c>
      <c r="N53" s="34">
        <f t="shared" si="6"/>
        <v>690300</v>
      </c>
      <c r="O53" s="12" t="s">
        <v>21</v>
      </c>
      <c r="P53" s="12">
        <f t="shared" si="3"/>
        <v>34</v>
      </c>
      <c r="Q53" s="12">
        <f t="shared" si="2"/>
        <v>30</v>
      </c>
    </row>
    <row r="54" spans="1:17" ht="15" customHeight="1" x14ac:dyDescent="0.2">
      <c r="A54" s="12" t="s">
        <v>2679</v>
      </c>
      <c r="B54" s="13">
        <v>46006</v>
      </c>
      <c r="C54" s="12">
        <f t="shared" si="10"/>
        <v>39</v>
      </c>
      <c r="D54" s="12">
        <v>1</v>
      </c>
      <c r="G54" s="136" t="s">
        <v>2472</v>
      </c>
      <c r="H54" s="12" t="s">
        <v>4570</v>
      </c>
      <c r="I54" s="12">
        <v>112111</v>
      </c>
      <c r="J54" s="12">
        <v>131</v>
      </c>
      <c r="K54" s="12" t="s">
        <v>20</v>
      </c>
      <c r="L54" s="12">
        <v>1</v>
      </c>
      <c r="M54" s="17">
        <v>6387097</v>
      </c>
      <c r="N54" s="34">
        <f t="shared" si="6"/>
        <v>6387097</v>
      </c>
      <c r="O54" s="12" t="s">
        <v>21</v>
      </c>
      <c r="P54" s="12">
        <f t="shared" si="3"/>
        <v>35</v>
      </c>
      <c r="Q54" s="12">
        <f t="shared" si="2"/>
        <v>163</v>
      </c>
    </row>
    <row r="55" spans="1:17" ht="15" customHeight="1" x14ac:dyDescent="0.2">
      <c r="A55" s="12" t="s">
        <v>2679</v>
      </c>
      <c r="B55" s="13">
        <v>46007</v>
      </c>
      <c r="C55" s="12">
        <f t="shared" si="10"/>
        <v>40</v>
      </c>
      <c r="D55" s="12">
        <v>1</v>
      </c>
      <c r="G55" s="136" t="s">
        <v>96</v>
      </c>
      <c r="H55" s="12" t="s">
        <v>4571</v>
      </c>
      <c r="I55" s="12">
        <v>112111</v>
      </c>
      <c r="J55" s="12">
        <v>131</v>
      </c>
      <c r="K55" s="12" t="s">
        <v>20</v>
      </c>
      <c r="L55" s="12">
        <v>1</v>
      </c>
      <c r="M55" s="17">
        <v>7451613</v>
      </c>
      <c r="N55" s="34">
        <f t="shared" si="6"/>
        <v>7451613</v>
      </c>
      <c r="O55" s="12" t="s">
        <v>21</v>
      </c>
      <c r="P55" s="12">
        <f t="shared" si="3"/>
        <v>36</v>
      </c>
      <c r="Q55" s="12">
        <f t="shared" si="2"/>
        <v>173</v>
      </c>
    </row>
    <row r="56" spans="1:17" ht="15" customHeight="1" x14ac:dyDescent="0.2">
      <c r="A56" s="12" t="s">
        <v>2678</v>
      </c>
      <c r="B56" s="13">
        <v>46008</v>
      </c>
      <c r="C56" s="12">
        <f t="shared" si="10"/>
        <v>41</v>
      </c>
      <c r="D56" s="12">
        <v>1</v>
      </c>
      <c r="G56" s="14" t="s">
        <v>287</v>
      </c>
      <c r="H56" s="12" t="s">
        <v>4455</v>
      </c>
      <c r="I56" s="12">
        <v>6428</v>
      </c>
      <c r="J56" s="12">
        <v>112111</v>
      </c>
      <c r="K56" s="12" t="s">
        <v>20</v>
      </c>
      <c r="L56" s="12">
        <v>1</v>
      </c>
      <c r="M56" s="17">
        <v>1500000</v>
      </c>
      <c r="N56" s="34">
        <f t="shared" si="6"/>
        <v>1500000</v>
      </c>
      <c r="O56" s="12" t="s">
        <v>21</v>
      </c>
      <c r="P56" s="12">
        <f t="shared" si="3"/>
        <v>37</v>
      </c>
      <c r="Q56" s="12">
        <f t="shared" si="2"/>
        <v>21</v>
      </c>
    </row>
    <row r="57" spans="1:17" ht="15" customHeight="1" x14ac:dyDescent="0.2">
      <c r="A57" s="12" t="s">
        <v>2678</v>
      </c>
      <c r="B57" s="13">
        <v>46011</v>
      </c>
      <c r="C57" s="12">
        <f t="shared" si="10"/>
        <v>42</v>
      </c>
      <c r="D57" s="12">
        <v>1</v>
      </c>
      <c r="G57" s="14" t="s">
        <v>287</v>
      </c>
      <c r="H57" s="12" t="s">
        <v>4455</v>
      </c>
      <c r="I57" s="12">
        <v>6428</v>
      </c>
      <c r="J57" s="12">
        <v>112111</v>
      </c>
      <c r="K57" s="12" t="s">
        <v>20</v>
      </c>
      <c r="L57" s="12">
        <v>1</v>
      </c>
      <c r="M57" s="17">
        <v>5000000</v>
      </c>
      <c r="N57" s="34">
        <f t="shared" si="6"/>
        <v>5000000</v>
      </c>
      <c r="O57" s="12" t="s">
        <v>21</v>
      </c>
      <c r="P57" s="12">
        <f t="shared" si="3"/>
        <v>38</v>
      </c>
      <c r="Q57" s="12">
        <f t="shared" si="2"/>
        <v>21</v>
      </c>
    </row>
    <row r="58" spans="1:17" ht="15" customHeight="1" x14ac:dyDescent="0.2">
      <c r="A58" s="12" t="s">
        <v>2679</v>
      </c>
      <c r="B58" s="13">
        <v>46013</v>
      </c>
      <c r="C58" s="12">
        <f t="shared" si="10"/>
        <v>43</v>
      </c>
      <c r="D58" s="12">
        <v>1</v>
      </c>
      <c r="G58" s="136" t="s">
        <v>2473</v>
      </c>
      <c r="H58" s="12" t="s">
        <v>4572</v>
      </c>
      <c r="I58" s="12">
        <v>112111</v>
      </c>
      <c r="J58" s="12">
        <v>131</v>
      </c>
      <c r="K58" s="12" t="s">
        <v>20</v>
      </c>
      <c r="L58" s="12">
        <v>1</v>
      </c>
      <c r="M58" s="17">
        <v>7451613</v>
      </c>
      <c r="N58" s="34">
        <f t="shared" si="6"/>
        <v>7451613</v>
      </c>
      <c r="O58" s="12" t="s">
        <v>21</v>
      </c>
      <c r="P58" s="12">
        <f t="shared" si="3"/>
        <v>39</v>
      </c>
      <c r="Q58" s="12">
        <f t="shared" si="2"/>
        <v>154</v>
      </c>
    </row>
    <row r="59" spans="1:17" ht="15" customHeight="1" x14ac:dyDescent="0.2">
      <c r="A59" s="12" t="s">
        <v>2678</v>
      </c>
      <c r="B59" s="13">
        <v>46021</v>
      </c>
      <c r="C59" s="12">
        <f t="shared" si="10"/>
        <v>44</v>
      </c>
      <c r="D59" s="12">
        <v>1</v>
      </c>
      <c r="G59" s="14" t="s">
        <v>287</v>
      </c>
      <c r="H59" s="12" t="s">
        <v>4455</v>
      </c>
      <c r="I59" s="12">
        <v>6428</v>
      </c>
      <c r="J59" s="12">
        <v>112111</v>
      </c>
      <c r="K59" s="12" t="s">
        <v>20</v>
      </c>
      <c r="L59" s="12">
        <v>1</v>
      </c>
      <c r="M59" s="17">
        <v>2000000</v>
      </c>
      <c r="N59" s="34">
        <f t="shared" si="6"/>
        <v>2000000</v>
      </c>
      <c r="O59" s="12" t="s">
        <v>21</v>
      </c>
      <c r="P59" s="12">
        <f t="shared" si="3"/>
        <v>40</v>
      </c>
      <c r="Q59" s="12">
        <f t="shared" si="2"/>
        <v>21</v>
      </c>
    </row>
    <row r="60" spans="1:17" ht="15" customHeight="1" x14ac:dyDescent="0.2">
      <c r="A60" s="12" t="s">
        <v>2679</v>
      </c>
      <c r="B60" s="13">
        <v>46021</v>
      </c>
      <c r="C60" s="12">
        <f t="shared" si="10"/>
        <v>45</v>
      </c>
      <c r="D60" s="12">
        <v>1</v>
      </c>
      <c r="G60" s="136" t="s">
        <v>539</v>
      </c>
      <c r="H60" s="12" t="s">
        <v>4573</v>
      </c>
      <c r="I60" s="12">
        <v>112111</v>
      </c>
      <c r="J60" s="12">
        <v>131</v>
      </c>
      <c r="K60" s="12" t="s">
        <v>20</v>
      </c>
      <c r="L60" s="12">
        <v>1</v>
      </c>
      <c r="M60" s="17">
        <v>6387097</v>
      </c>
      <c r="N60" s="34">
        <f t="shared" si="6"/>
        <v>6387097</v>
      </c>
      <c r="O60" s="12" t="s">
        <v>21</v>
      </c>
      <c r="P60" s="12">
        <f t="shared" si="3"/>
        <v>41</v>
      </c>
      <c r="Q60" s="12">
        <f t="shared" si="2"/>
        <v>133</v>
      </c>
    </row>
    <row r="61" spans="1:17" ht="15" customHeight="1" x14ac:dyDescent="0.2">
      <c r="A61" s="12" t="s">
        <v>2719</v>
      </c>
      <c r="B61" s="36" t="s">
        <v>291</v>
      </c>
      <c r="C61" s="12">
        <f t="shared" si="10"/>
        <v>46</v>
      </c>
      <c r="D61" s="12">
        <v>1</v>
      </c>
      <c r="G61" s="12" t="s">
        <v>37</v>
      </c>
      <c r="H61" s="12" t="s">
        <v>4574</v>
      </c>
      <c r="I61" s="12">
        <v>331</v>
      </c>
      <c r="J61" s="12">
        <v>1111</v>
      </c>
      <c r="K61" s="12" t="s">
        <v>20</v>
      </c>
      <c r="L61" s="12">
        <v>1</v>
      </c>
      <c r="M61" s="17">
        <v>80000</v>
      </c>
      <c r="N61" s="17">
        <f t="shared" si="6"/>
        <v>80000</v>
      </c>
      <c r="O61" s="12" t="s">
        <v>21</v>
      </c>
      <c r="P61" s="12">
        <f t="shared" ref="P61:P62" si="15">P60+D61</f>
        <v>42</v>
      </c>
      <c r="Q61" s="12">
        <f t="shared" ref="Q61:Q65" si="16">LEN(H61)</f>
        <v>53</v>
      </c>
    </row>
    <row r="62" spans="1:17" ht="15" customHeight="1" x14ac:dyDescent="0.2">
      <c r="A62" s="12" t="s">
        <v>2719</v>
      </c>
      <c r="B62" s="36" t="s">
        <v>2044</v>
      </c>
      <c r="C62" s="12">
        <f t="shared" si="10"/>
        <v>47</v>
      </c>
      <c r="D62" s="12">
        <v>1</v>
      </c>
      <c r="G62" s="12" t="s">
        <v>37</v>
      </c>
      <c r="H62" s="12" t="s">
        <v>4575</v>
      </c>
      <c r="I62" s="12">
        <v>331</v>
      </c>
      <c r="J62" s="12">
        <v>1111</v>
      </c>
      <c r="K62" s="12" t="s">
        <v>20</v>
      </c>
      <c r="L62" s="12">
        <v>1</v>
      </c>
      <c r="M62" s="17">
        <v>240000</v>
      </c>
      <c r="N62" s="17">
        <f t="shared" si="6"/>
        <v>240000</v>
      </c>
      <c r="O62" s="12" t="s">
        <v>21</v>
      </c>
      <c r="P62" s="12">
        <f t="shared" si="15"/>
        <v>43</v>
      </c>
      <c r="Q62" s="12">
        <f t="shared" si="16"/>
        <v>53</v>
      </c>
    </row>
    <row r="63" spans="1:17" ht="15" customHeight="1" x14ac:dyDescent="0.2">
      <c r="A63" s="12" t="s">
        <v>2719</v>
      </c>
      <c r="B63" s="36">
        <v>45930</v>
      </c>
      <c r="C63" s="12">
        <f t="shared" si="10"/>
        <v>48</v>
      </c>
      <c r="D63" s="12">
        <v>1</v>
      </c>
      <c r="G63" s="12" t="s">
        <v>93</v>
      </c>
      <c r="H63" s="12" t="s">
        <v>3164</v>
      </c>
      <c r="I63" s="12">
        <v>3383</v>
      </c>
      <c r="J63" s="12">
        <v>1111</v>
      </c>
      <c r="K63" s="12" t="s">
        <v>20</v>
      </c>
      <c r="L63" s="12">
        <v>1</v>
      </c>
      <c r="M63" s="17">
        <v>690300</v>
      </c>
      <c r="N63" s="34">
        <f t="shared" si="6"/>
        <v>690300</v>
      </c>
      <c r="O63" s="12" t="s">
        <v>21</v>
      </c>
      <c r="P63" s="12">
        <f t="shared" ref="P63:P65" si="17">P62+D63</f>
        <v>44</v>
      </c>
      <c r="Q63" s="12">
        <f t="shared" si="16"/>
        <v>34</v>
      </c>
    </row>
    <row r="64" spans="1:17" ht="15" customHeight="1" x14ac:dyDescent="0.2">
      <c r="A64" s="12" t="s">
        <v>2719</v>
      </c>
      <c r="B64" s="36">
        <v>45961</v>
      </c>
      <c r="C64" s="12">
        <f t="shared" si="10"/>
        <v>49</v>
      </c>
      <c r="D64" s="12">
        <v>1</v>
      </c>
      <c r="G64" s="12" t="s">
        <v>93</v>
      </c>
      <c r="H64" s="12" t="s">
        <v>2684</v>
      </c>
      <c r="I64" s="12">
        <v>3383</v>
      </c>
      <c r="J64" s="12">
        <v>1111</v>
      </c>
      <c r="K64" s="12" t="s">
        <v>20</v>
      </c>
      <c r="L64" s="12">
        <v>1</v>
      </c>
      <c r="M64" s="17">
        <v>690300</v>
      </c>
      <c r="N64" s="34">
        <f t="shared" ref="N64:N67" si="18">L64*M64</f>
        <v>690300</v>
      </c>
      <c r="O64" s="12" t="s">
        <v>21</v>
      </c>
      <c r="P64" s="12">
        <f t="shared" si="17"/>
        <v>45</v>
      </c>
      <c r="Q64" s="12">
        <f t="shared" si="16"/>
        <v>34</v>
      </c>
    </row>
    <row r="65" spans="1:17" ht="15" customHeight="1" x14ac:dyDescent="0.2">
      <c r="A65" s="12" t="s">
        <v>2719</v>
      </c>
      <c r="B65" s="36">
        <v>46022</v>
      </c>
      <c r="C65" s="12">
        <f t="shared" si="10"/>
        <v>50</v>
      </c>
      <c r="D65" s="12">
        <v>1</v>
      </c>
      <c r="G65" s="12" t="s">
        <v>93</v>
      </c>
      <c r="H65" s="12" t="s">
        <v>3036</v>
      </c>
      <c r="I65" s="12">
        <v>3383</v>
      </c>
      <c r="J65" s="12">
        <v>1111</v>
      </c>
      <c r="K65" s="12" t="s">
        <v>20</v>
      </c>
      <c r="L65" s="12">
        <v>1</v>
      </c>
      <c r="M65" s="17">
        <v>690300</v>
      </c>
      <c r="N65" s="34">
        <f t="shared" si="18"/>
        <v>690300</v>
      </c>
      <c r="O65" s="12" t="s">
        <v>21</v>
      </c>
      <c r="P65" s="12">
        <f t="shared" si="17"/>
        <v>46</v>
      </c>
      <c r="Q65" s="12">
        <f t="shared" si="16"/>
        <v>34</v>
      </c>
    </row>
    <row r="66" spans="1:17" ht="15" customHeight="1" x14ac:dyDescent="0.2">
      <c r="A66" s="12" t="s">
        <v>2679</v>
      </c>
      <c r="B66" s="13">
        <v>45991</v>
      </c>
      <c r="C66" s="12">
        <f t="shared" ref="C66" si="19">C65+D66</f>
        <v>51</v>
      </c>
      <c r="D66" s="12">
        <v>1</v>
      </c>
      <c r="G66" s="14" t="s">
        <v>287</v>
      </c>
      <c r="H66" s="12" t="s">
        <v>2687</v>
      </c>
      <c r="I66" s="12">
        <v>112111</v>
      </c>
      <c r="J66" s="12">
        <v>5154</v>
      </c>
      <c r="K66" s="12" t="s">
        <v>20</v>
      </c>
      <c r="L66" s="12">
        <v>1</v>
      </c>
      <c r="M66" s="17">
        <v>7322</v>
      </c>
      <c r="N66" s="34">
        <f t="shared" si="18"/>
        <v>7322</v>
      </c>
      <c r="O66" s="12" t="s">
        <v>21</v>
      </c>
      <c r="P66" s="12">
        <f t="shared" ref="P66:P67" si="20">P65+D66</f>
        <v>47</v>
      </c>
      <c r="Q66" s="12">
        <f t="shared" ref="Q66:Q67" si="21">LEN(H66)</f>
        <v>12</v>
      </c>
    </row>
    <row r="67" spans="1:17" ht="15" customHeight="1" x14ac:dyDescent="0.2">
      <c r="A67" s="12" t="s">
        <v>2679</v>
      </c>
      <c r="B67" s="13">
        <v>46022</v>
      </c>
      <c r="C67" s="12">
        <f t="shared" ref="C67" si="22">C66+D67</f>
        <v>52</v>
      </c>
      <c r="D67" s="12">
        <v>1</v>
      </c>
      <c r="G67" s="14" t="s">
        <v>287</v>
      </c>
      <c r="H67" s="12" t="s">
        <v>2687</v>
      </c>
      <c r="I67" s="12">
        <v>112111</v>
      </c>
      <c r="J67" s="12">
        <v>5154</v>
      </c>
      <c r="K67" s="12" t="s">
        <v>20</v>
      </c>
      <c r="L67" s="12">
        <v>1</v>
      </c>
      <c r="M67" s="17">
        <v>6436</v>
      </c>
      <c r="N67" s="34">
        <f t="shared" si="18"/>
        <v>6436</v>
      </c>
      <c r="O67" s="12" t="s">
        <v>21</v>
      </c>
      <c r="P67" s="12">
        <f t="shared" si="20"/>
        <v>48</v>
      </c>
      <c r="Q67" s="12">
        <f t="shared" si="21"/>
        <v>12</v>
      </c>
    </row>
  </sheetData>
  <autoFilter ref="A3:Q65" xr:uid="{00000000-0009-0000-0000-000017000000}"/>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700-000000000000}"/>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1:AC206"/>
  <sheetViews>
    <sheetView workbookViewId="0">
      <selection sqref="A1:A2"/>
    </sheetView>
  </sheetViews>
  <sheetFormatPr defaultRowHeight="15" customHeight="1" x14ac:dyDescent="0.2"/>
  <cols>
    <col min="1" max="6" width="9.140625" style="12"/>
    <col min="7" max="7" width="9.140625" style="14"/>
    <col min="8" max="8" width="28.28515625" style="12" customWidth="1"/>
    <col min="9" max="12" width="9.140625" style="12"/>
    <col min="13" max="14" width="10.7109375" style="12" bestFit="1" customWidth="1"/>
    <col min="15" max="22" width="9.140625" style="12"/>
    <col min="23" max="24" width="9.140625" style="14"/>
    <col min="25" max="16384" width="9.140625" style="12"/>
  </cols>
  <sheetData>
    <row r="1" spans="1:24" ht="15" customHeight="1" thickBot="1" x14ac:dyDescent="0.25">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24" ht="15" customHeight="1" thickBot="1" x14ac:dyDescent="0.25">
      <c r="A2" s="205"/>
      <c r="B2" s="220"/>
      <c r="C2" s="205"/>
      <c r="D2" s="208"/>
      <c r="E2" s="208"/>
      <c r="F2" s="203"/>
      <c r="G2" s="212"/>
      <c r="H2" s="214"/>
      <c r="I2" s="46" t="s">
        <v>13</v>
      </c>
      <c r="J2" s="47" t="s">
        <v>14</v>
      </c>
      <c r="K2" s="205"/>
      <c r="L2" s="205"/>
      <c r="M2" s="218"/>
      <c r="N2" s="218"/>
      <c r="O2" s="38" t="s">
        <v>100</v>
      </c>
      <c r="P2" s="38"/>
    </row>
    <row r="3" spans="1:24" ht="15" customHeight="1" x14ac:dyDescent="0.2">
      <c r="A3" s="48"/>
      <c r="B3" s="83"/>
      <c r="C3" s="48">
        <v>1</v>
      </c>
      <c r="D3" s="49"/>
      <c r="E3" s="49"/>
      <c r="F3" s="49"/>
      <c r="G3" s="51" t="s">
        <v>15</v>
      </c>
      <c r="H3" s="52"/>
      <c r="I3" s="52"/>
      <c r="J3" s="52"/>
      <c r="K3" s="48"/>
      <c r="L3" s="48"/>
      <c r="M3" s="84"/>
      <c r="N3" s="84"/>
      <c r="O3" s="38" t="s">
        <v>16</v>
      </c>
      <c r="P3" s="38" t="s">
        <v>17</v>
      </c>
      <c r="Q3" s="12" t="s">
        <v>4512</v>
      </c>
      <c r="R3" s="12" t="s">
        <v>4995</v>
      </c>
    </row>
    <row r="4" spans="1:24" ht="15" customHeight="1" x14ac:dyDescent="0.2">
      <c r="A4" s="12" t="s">
        <v>18</v>
      </c>
      <c r="B4" s="36" t="s">
        <v>866</v>
      </c>
      <c r="C4" s="12">
        <f t="shared" ref="C4:C35" si="0">C3+D4</f>
        <v>2</v>
      </c>
      <c r="D4" s="12">
        <v>1</v>
      </c>
      <c r="E4" s="12" t="str">
        <f>TEXT(C4,"000")</f>
        <v>002</v>
      </c>
      <c r="G4" s="14" t="s">
        <v>3865</v>
      </c>
      <c r="H4" s="12" t="s">
        <v>3878</v>
      </c>
      <c r="I4" s="12">
        <v>64275</v>
      </c>
      <c r="J4" s="12">
        <v>331</v>
      </c>
      <c r="K4" s="12" t="s">
        <v>20</v>
      </c>
      <c r="L4" s="12">
        <v>1</v>
      </c>
      <c r="M4" s="17">
        <v>6600000</v>
      </c>
      <c r="N4" s="17">
        <f t="shared" ref="N4:N35" si="1">L4*M4</f>
        <v>6600000</v>
      </c>
      <c r="O4" s="12" t="s">
        <v>21</v>
      </c>
      <c r="P4" s="12">
        <v>1</v>
      </c>
      <c r="Q4" s="12">
        <f>LEN(H4)</f>
        <v>68</v>
      </c>
      <c r="R4" s="12" t="str">
        <f>VLOOKUP(G4,$W$4:$X$100,2,0)</f>
        <v>CÔNG TY TNHH TƯ VẤN DỊCH VỤ CHỒI XANH</v>
      </c>
      <c r="W4" s="14" t="s">
        <v>2229</v>
      </c>
      <c r="X4" s="14" t="s">
        <v>4996</v>
      </c>
    </row>
    <row r="5" spans="1:24" ht="15" customHeight="1" x14ac:dyDescent="0.2">
      <c r="A5" s="12" t="s">
        <v>18</v>
      </c>
      <c r="B5" s="36" t="s">
        <v>468</v>
      </c>
      <c r="C5" s="12">
        <f t="shared" si="0"/>
        <v>3</v>
      </c>
      <c r="D5" s="12">
        <v>1</v>
      </c>
      <c r="E5" s="12" t="str">
        <f t="shared" ref="E5:E68" si="2">TEXT(C5,"000")</f>
        <v>003</v>
      </c>
      <c r="G5" s="14" t="s">
        <v>3866</v>
      </c>
      <c r="H5" s="12" t="s">
        <v>3951</v>
      </c>
      <c r="I5" s="12">
        <v>64277</v>
      </c>
      <c r="J5" s="12">
        <v>331</v>
      </c>
      <c r="K5" s="12" t="s">
        <v>20</v>
      </c>
      <c r="L5" s="12">
        <v>1</v>
      </c>
      <c r="M5" s="17">
        <v>384426</v>
      </c>
      <c r="N5" s="17">
        <f t="shared" si="1"/>
        <v>384426</v>
      </c>
      <c r="O5" s="12" t="s">
        <v>21</v>
      </c>
      <c r="P5" s="12">
        <f>P4+D5</f>
        <v>2</v>
      </c>
      <c r="Q5" s="12">
        <f t="shared" ref="Q5:Q68" si="3">LEN(H5)</f>
        <v>41</v>
      </c>
      <c r="R5" s="12" t="str">
        <f t="shared" ref="R5:R68" si="4">VLOOKUP(G5,$W$4:$X$100,2,0)</f>
        <v>CÔNG TY CỔ PHẦN YESHI</v>
      </c>
      <c r="W5" s="14" t="s">
        <v>117</v>
      </c>
      <c r="X5" s="14" t="s">
        <v>4997</v>
      </c>
    </row>
    <row r="6" spans="1:24" ht="15" customHeight="1" x14ac:dyDescent="0.2">
      <c r="A6" s="12" t="s">
        <v>18</v>
      </c>
      <c r="B6" s="36" t="s">
        <v>468</v>
      </c>
      <c r="C6" s="12">
        <f t="shared" si="0"/>
        <v>4</v>
      </c>
      <c r="D6" s="12">
        <v>1</v>
      </c>
      <c r="E6" s="12" t="str">
        <f t="shared" si="2"/>
        <v>004</v>
      </c>
      <c r="G6" s="14" t="s">
        <v>3866</v>
      </c>
      <c r="H6" s="12" t="s">
        <v>3952</v>
      </c>
      <c r="I6" s="12">
        <v>64277</v>
      </c>
      <c r="J6" s="12">
        <v>331</v>
      </c>
      <c r="K6" s="12" t="s">
        <v>20</v>
      </c>
      <c r="L6" s="12">
        <v>1</v>
      </c>
      <c r="M6" s="17">
        <v>65835</v>
      </c>
      <c r="N6" s="17">
        <f t="shared" si="1"/>
        <v>65835</v>
      </c>
      <c r="O6" s="12" t="s">
        <v>21</v>
      </c>
      <c r="P6" s="12">
        <f t="shared" ref="P6:P69" si="5">P5+D6</f>
        <v>3</v>
      </c>
      <c r="Q6" s="12">
        <f t="shared" si="3"/>
        <v>41</v>
      </c>
      <c r="R6" s="12" t="str">
        <f t="shared" si="4"/>
        <v>CÔNG TY CỔ PHẦN YESHI</v>
      </c>
      <c r="W6" s="14" t="s">
        <v>42</v>
      </c>
      <c r="X6" s="14" t="s">
        <v>4998</v>
      </c>
    </row>
    <row r="7" spans="1:24" ht="15" customHeight="1" x14ac:dyDescent="0.2">
      <c r="A7" s="12" t="s">
        <v>18</v>
      </c>
      <c r="B7" s="36" t="s">
        <v>414</v>
      </c>
      <c r="C7" s="12">
        <f t="shared" si="0"/>
        <v>5</v>
      </c>
      <c r="D7" s="12">
        <v>1</v>
      </c>
      <c r="E7" s="12" t="str">
        <f t="shared" si="2"/>
        <v>005</v>
      </c>
      <c r="G7" s="14" t="s">
        <v>64</v>
      </c>
      <c r="H7" s="12" t="s">
        <v>3949</v>
      </c>
      <c r="I7" s="12">
        <v>64277</v>
      </c>
      <c r="J7" s="12">
        <v>331</v>
      </c>
      <c r="K7" s="12" t="s">
        <v>20</v>
      </c>
      <c r="L7" s="12">
        <v>1</v>
      </c>
      <c r="M7" s="17">
        <v>99000</v>
      </c>
      <c r="N7" s="17">
        <f t="shared" si="1"/>
        <v>99000</v>
      </c>
      <c r="O7" s="12" t="s">
        <v>21</v>
      </c>
      <c r="P7" s="12">
        <f t="shared" si="5"/>
        <v>4</v>
      </c>
      <c r="Q7" s="12">
        <f t="shared" si="3"/>
        <v>50</v>
      </c>
      <c r="R7" s="12" t="str">
        <f t="shared" si="4"/>
        <v>Công ty Cổ phần Mắt Bão</v>
      </c>
      <c r="W7" s="14" t="s">
        <v>128</v>
      </c>
      <c r="X7" s="14" t="s">
        <v>4999</v>
      </c>
    </row>
    <row r="8" spans="1:24" ht="15" customHeight="1" x14ac:dyDescent="0.2">
      <c r="A8" s="12" t="s">
        <v>18</v>
      </c>
      <c r="B8" s="36" t="s">
        <v>599</v>
      </c>
      <c r="C8" s="12">
        <f t="shared" si="0"/>
        <v>6</v>
      </c>
      <c r="D8" s="12">
        <v>1</v>
      </c>
      <c r="E8" s="12" t="str">
        <f t="shared" si="2"/>
        <v>006</v>
      </c>
      <c r="G8" s="14" t="s">
        <v>64</v>
      </c>
      <c r="H8" s="12" t="s">
        <v>3950</v>
      </c>
      <c r="I8" s="12">
        <v>64277</v>
      </c>
      <c r="J8" s="12">
        <v>331</v>
      </c>
      <c r="K8" s="12" t="s">
        <v>20</v>
      </c>
      <c r="L8" s="12">
        <v>1</v>
      </c>
      <c r="M8" s="17">
        <v>860040</v>
      </c>
      <c r="N8" s="17">
        <f t="shared" si="1"/>
        <v>860040</v>
      </c>
      <c r="O8" s="12" t="s">
        <v>21</v>
      </c>
      <c r="P8" s="12">
        <f t="shared" si="5"/>
        <v>5</v>
      </c>
      <c r="Q8" s="12">
        <f t="shared" si="3"/>
        <v>85</v>
      </c>
      <c r="R8" s="12" t="str">
        <f t="shared" si="4"/>
        <v>Công ty Cổ phần Mắt Bão</v>
      </c>
      <c r="W8" s="14" t="s">
        <v>2230</v>
      </c>
      <c r="X8" s="14" t="s">
        <v>5000</v>
      </c>
    </row>
    <row r="9" spans="1:24" ht="15" customHeight="1" x14ac:dyDescent="0.2">
      <c r="A9" s="12" t="s">
        <v>18</v>
      </c>
      <c r="B9" s="36" t="s">
        <v>469</v>
      </c>
      <c r="C9" s="12">
        <f t="shared" si="0"/>
        <v>7</v>
      </c>
      <c r="D9" s="12">
        <v>1</v>
      </c>
      <c r="E9" s="12" t="str">
        <f t="shared" si="2"/>
        <v>007</v>
      </c>
      <c r="G9" s="14" t="s">
        <v>3867</v>
      </c>
      <c r="H9" s="12" t="s">
        <v>3953</v>
      </c>
      <c r="I9" s="12">
        <v>64277</v>
      </c>
      <c r="J9" s="12">
        <v>331</v>
      </c>
      <c r="K9" s="12" t="s">
        <v>20</v>
      </c>
      <c r="L9" s="12">
        <v>1</v>
      </c>
      <c r="M9" s="17">
        <v>290000</v>
      </c>
      <c r="N9" s="17">
        <f t="shared" si="1"/>
        <v>290000</v>
      </c>
      <c r="O9" s="12" t="s">
        <v>21</v>
      </c>
      <c r="P9" s="12">
        <f t="shared" si="5"/>
        <v>6</v>
      </c>
      <c r="Q9" s="12">
        <f t="shared" si="3"/>
        <v>40</v>
      </c>
      <c r="R9" s="12" t="str">
        <f t="shared" si="4"/>
        <v>CÔNG TY TNHH THƯƠNG MẠI DỊCH VỤ THE NOON</v>
      </c>
      <c r="W9" s="14" t="s">
        <v>144</v>
      </c>
      <c r="X9" s="14" t="s">
        <v>5001</v>
      </c>
    </row>
    <row r="10" spans="1:24" ht="15" customHeight="1" x14ac:dyDescent="0.2">
      <c r="A10" s="12" t="s">
        <v>18</v>
      </c>
      <c r="B10" s="36" t="s">
        <v>415</v>
      </c>
      <c r="C10" s="12">
        <f t="shared" si="0"/>
        <v>8</v>
      </c>
      <c r="D10" s="12">
        <v>1</v>
      </c>
      <c r="E10" s="12" t="str">
        <f t="shared" si="2"/>
        <v>008</v>
      </c>
      <c r="G10" s="14" t="s">
        <v>3868</v>
      </c>
      <c r="H10" s="12" t="s">
        <v>3954</v>
      </c>
      <c r="I10" s="12">
        <v>64277</v>
      </c>
      <c r="J10" s="12">
        <v>331</v>
      </c>
      <c r="K10" s="12" t="s">
        <v>20</v>
      </c>
      <c r="L10" s="12">
        <v>1</v>
      </c>
      <c r="M10" s="17">
        <v>239000</v>
      </c>
      <c r="N10" s="17">
        <f t="shared" si="1"/>
        <v>239000</v>
      </c>
      <c r="O10" s="12" t="s">
        <v>21</v>
      </c>
      <c r="P10" s="12">
        <f t="shared" si="5"/>
        <v>7</v>
      </c>
      <c r="Q10" s="12">
        <f t="shared" si="3"/>
        <v>43</v>
      </c>
      <c r="R10" s="12" t="str">
        <f t="shared" si="4"/>
        <v>CÔNG TY TRÁCH NHIỆM HỮU HẠN PIZZA VIỆT NAM</v>
      </c>
      <c r="W10" s="14" t="s">
        <v>29</v>
      </c>
      <c r="X10" s="14" t="s">
        <v>5002</v>
      </c>
    </row>
    <row r="11" spans="1:24" ht="15" customHeight="1" x14ac:dyDescent="0.2">
      <c r="A11" s="12" t="s">
        <v>18</v>
      </c>
      <c r="B11" s="36" t="s">
        <v>448</v>
      </c>
      <c r="C11" s="12">
        <f t="shared" si="0"/>
        <v>9</v>
      </c>
      <c r="D11" s="12">
        <v>1</v>
      </c>
      <c r="E11" s="12" t="str">
        <f t="shared" si="2"/>
        <v>009</v>
      </c>
      <c r="G11" s="14" t="s">
        <v>3869</v>
      </c>
      <c r="H11" s="12" t="s">
        <v>3955</v>
      </c>
      <c r="I11" s="12">
        <v>64277</v>
      </c>
      <c r="J11" s="12">
        <v>331</v>
      </c>
      <c r="K11" s="12" t="s">
        <v>20</v>
      </c>
      <c r="L11" s="12">
        <v>1</v>
      </c>
      <c r="M11" s="17">
        <v>572400</v>
      </c>
      <c r="N11" s="17">
        <f t="shared" si="1"/>
        <v>572400</v>
      </c>
      <c r="O11" s="12" t="s">
        <v>21</v>
      </c>
      <c r="P11" s="12">
        <f t="shared" si="5"/>
        <v>8</v>
      </c>
      <c r="Q11" s="12">
        <f t="shared" si="3"/>
        <v>40</v>
      </c>
      <c r="R11" s="12" t="str">
        <f t="shared" si="4"/>
        <v>CÔNG TY TNHH THƯƠNG MẠI DỊCH VỤ MẠCH KIM CHÂU</v>
      </c>
      <c r="W11" s="14" t="s">
        <v>47</v>
      </c>
      <c r="X11" s="14" t="s">
        <v>5003</v>
      </c>
    </row>
    <row r="12" spans="1:24" ht="15" customHeight="1" x14ac:dyDescent="0.2">
      <c r="A12" s="12" t="s">
        <v>18</v>
      </c>
      <c r="B12" s="36" t="s">
        <v>450</v>
      </c>
      <c r="C12" s="12">
        <f t="shared" si="0"/>
        <v>10</v>
      </c>
      <c r="D12" s="12">
        <v>1</v>
      </c>
      <c r="E12" s="12" t="str">
        <f t="shared" si="2"/>
        <v>010</v>
      </c>
      <c r="G12" s="14" t="s">
        <v>37</v>
      </c>
      <c r="H12" s="12" t="s">
        <v>3879</v>
      </c>
      <c r="I12" s="12">
        <v>64277</v>
      </c>
      <c r="J12" s="12">
        <v>331</v>
      </c>
      <c r="K12" s="12" t="s">
        <v>20</v>
      </c>
      <c r="L12" s="12">
        <v>1</v>
      </c>
      <c r="M12" s="17">
        <v>4320000</v>
      </c>
      <c r="N12" s="17">
        <f t="shared" si="1"/>
        <v>4320000</v>
      </c>
      <c r="O12" s="12" t="s">
        <v>21</v>
      </c>
      <c r="P12" s="12">
        <f t="shared" si="5"/>
        <v>9</v>
      </c>
      <c r="Q12" s="12">
        <f t="shared" si="3"/>
        <v>42</v>
      </c>
      <c r="R12" s="12" t="str">
        <f t="shared" si="4"/>
        <v>CÔNG TY TNHH TƯ VẤN VÀ KẾ TOÁN T&amp;C</v>
      </c>
      <c r="W12" s="14" t="s">
        <v>3881</v>
      </c>
      <c r="X12" s="14" t="s">
        <v>5004</v>
      </c>
    </row>
    <row r="13" spans="1:24" ht="15" customHeight="1" x14ac:dyDescent="0.2">
      <c r="A13" s="12" t="s">
        <v>18</v>
      </c>
      <c r="B13" s="36" t="s">
        <v>314</v>
      </c>
      <c r="C13" s="12">
        <f t="shared" si="0"/>
        <v>11</v>
      </c>
      <c r="D13" s="12">
        <v>1</v>
      </c>
      <c r="E13" s="12" t="str">
        <f t="shared" si="2"/>
        <v>011</v>
      </c>
      <c r="G13" s="14" t="s">
        <v>3869</v>
      </c>
      <c r="H13" s="12" t="s">
        <v>3956</v>
      </c>
      <c r="I13" s="12">
        <v>64277</v>
      </c>
      <c r="J13" s="12">
        <v>331</v>
      </c>
      <c r="K13" s="12" t="s">
        <v>20</v>
      </c>
      <c r="L13" s="12">
        <v>1</v>
      </c>
      <c r="M13" s="17">
        <v>513000</v>
      </c>
      <c r="N13" s="17">
        <f t="shared" si="1"/>
        <v>513000</v>
      </c>
      <c r="O13" s="12" t="s">
        <v>21</v>
      </c>
      <c r="P13" s="12">
        <f t="shared" si="5"/>
        <v>10</v>
      </c>
      <c r="Q13" s="12">
        <f t="shared" si="3"/>
        <v>40</v>
      </c>
      <c r="R13" s="12" t="str">
        <f t="shared" si="4"/>
        <v>CÔNG TY TNHH THƯƠNG MẠI DỊCH VỤ MẠCH KIM CHÂU</v>
      </c>
      <c r="W13" s="14" t="s">
        <v>406</v>
      </c>
      <c r="X13" s="14" t="s">
        <v>5005</v>
      </c>
    </row>
    <row r="14" spans="1:24" ht="15" customHeight="1" x14ac:dyDescent="0.2">
      <c r="A14" s="12" t="s">
        <v>18</v>
      </c>
      <c r="B14" s="36" t="s">
        <v>600</v>
      </c>
      <c r="C14" s="12">
        <f t="shared" si="0"/>
        <v>12</v>
      </c>
      <c r="D14" s="12">
        <v>1</v>
      </c>
      <c r="E14" s="12" t="str">
        <f t="shared" si="2"/>
        <v>012</v>
      </c>
      <c r="G14" s="14" t="s">
        <v>19</v>
      </c>
      <c r="H14" s="12" t="s">
        <v>3957</v>
      </c>
      <c r="I14" s="12">
        <v>64277</v>
      </c>
      <c r="J14" s="12">
        <v>331</v>
      </c>
      <c r="K14" s="12" t="s">
        <v>20</v>
      </c>
      <c r="L14" s="12">
        <v>1</v>
      </c>
      <c r="M14" s="17">
        <v>22000</v>
      </c>
      <c r="N14" s="17">
        <f t="shared" si="1"/>
        <v>22000</v>
      </c>
      <c r="O14" s="12" t="s">
        <v>21</v>
      </c>
      <c r="P14" s="12">
        <f t="shared" si="5"/>
        <v>11</v>
      </c>
      <c r="Q14" s="12">
        <f t="shared" si="3"/>
        <v>33</v>
      </c>
      <c r="R14" s="12" t="str">
        <f t="shared" si="4"/>
        <v>CHI NHÁNH THÀNH PHỐ HỒ CHÍ MINH - CÔNG TY CỔ PHẦN DI CHUYỂN XANH VÀ THÔNG MINH GSM</v>
      </c>
      <c r="W14" s="14" t="s">
        <v>3882</v>
      </c>
      <c r="X14" s="14" t="s">
        <v>5006</v>
      </c>
    </row>
    <row r="15" spans="1:24" ht="15" customHeight="1" x14ac:dyDescent="0.2">
      <c r="A15" s="12" t="s">
        <v>18</v>
      </c>
      <c r="B15" s="36" t="s">
        <v>316</v>
      </c>
      <c r="C15" s="12">
        <f t="shared" si="0"/>
        <v>13</v>
      </c>
      <c r="D15" s="12">
        <v>1</v>
      </c>
      <c r="E15" s="12" t="str">
        <f t="shared" si="2"/>
        <v>013</v>
      </c>
      <c r="G15" s="14" t="s">
        <v>61</v>
      </c>
      <c r="H15" s="12" t="s">
        <v>3958</v>
      </c>
      <c r="I15" s="12">
        <v>64277</v>
      </c>
      <c r="J15" s="12">
        <v>331</v>
      </c>
      <c r="K15" s="12" t="s">
        <v>20</v>
      </c>
      <c r="L15" s="12">
        <v>1</v>
      </c>
      <c r="M15" s="17">
        <v>415800</v>
      </c>
      <c r="N15" s="17">
        <f t="shared" si="1"/>
        <v>415800</v>
      </c>
      <c r="O15" s="12" t="s">
        <v>21</v>
      </c>
      <c r="P15" s="12">
        <f t="shared" si="5"/>
        <v>12</v>
      </c>
      <c r="Q15" s="12">
        <f t="shared" si="3"/>
        <v>42</v>
      </c>
      <c r="R15" s="12" t="str">
        <f t="shared" si="4"/>
        <v>CÔNG TY CỔ PHẦN SOM TUM THAI</v>
      </c>
      <c r="W15" s="14" t="s">
        <v>114</v>
      </c>
      <c r="X15" s="14" t="s">
        <v>5007</v>
      </c>
    </row>
    <row r="16" spans="1:24" ht="15" customHeight="1" x14ac:dyDescent="0.2">
      <c r="A16" s="12" t="s">
        <v>18</v>
      </c>
      <c r="B16" s="36" t="s">
        <v>417</v>
      </c>
      <c r="C16" s="12">
        <f t="shared" si="0"/>
        <v>14</v>
      </c>
      <c r="D16" s="12">
        <v>1</v>
      </c>
      <c r="E16" s="12" t="str">
        <f t="shared" si="2"/>
        <v>014</v>
      </c>
      <c r="G16" s="14" t="s">
        <v>3867</v>
      </c>
      <c r="H16" s="12" t="s">
        <v>3959</v>
      </c>
      <c r="I16" s="12">
        <v>64277</v>
      </c>
      <c r="J16" s="12">
        <v>331</v>
      </c>
      <c r="K16" s="12" t="s">
        <v>20</v>
      </c>
      <c r="L16" s="12">
        <v>1</v>
      </c>
      <c r="M16" s="17">
        <v>603000</v>
      </c>
      <c r="N16" s="17">
        <f t="shared" si="1"/>
        <v>603000</v>
      </c>
      <c r="O16" s="12" t="s">
        <v>21</v>
      </c>
      <c r="P16" s="12">
        <f t="shared" si="5"/>
        <v>13</v>
      </c>
      <c r="Q16" s="12">
        <f t="shared" si="3"/>
        <v>40</v>
      </c>
      <c r="R16" s="12" t="str">
        <f t="shared" si="4"/>
        <v>CÔNG TY TNHH THƯƠNG MẠI DỊCH VỤ THE NOON</v>
      </c>
      <c r="W16" s="14" t="s">
        <v>3883</v>
      </c>
      <c r="X16" s="14" t="s">
        <v>5008</v>
      </c>
    </row>
    <row r="17" spans="1:29" ht="15" customHeight="1" x14ac:dyDescent="0.2">
      <c r="A17" s="12" t="s">
        <v>18</v>
      </c>
      <c r="B17" s="36" t="s">
        <v>418</v>
      </c>
      <c r="C17" s="12">
        <f t="shared" si="0"/>
        <v>15</v>
      </c>
      <c r="D17" s="12">
        <v>1</v>
      </c>
      <c r="E17" s="12" t="str">
        <f t="shared" si="2"/>
        <v>015</v>
      </c>
      <c r="G17" s="14" t="s">
        <v>2375</v>
      </c>
      <c r="H17" s="12" t="s">
        <v>3960</v>
      </c>
      <c r="I17" s="12">
        <v>64277</v>
      </c>
      <c r="J17" s="12">
        <v>331</v>
      </c>
      <c r="K17" s="12" t="s">
        <v>20</v>
      </c>
      <c r="L17" s="12">
        <v>1</v>
      </c>
      <c r="M17" s="17">
        <v>974106</v>
      </c>
      <c r="N17" s="17">
        <f t="shared" si="1"/>
        <v>974106</v>
      </c>
      <c r="O17" s="12" t="s">
        <v>21</v>
      </c>
      <c r="P17" s="12">
        <f t="shared" si="5"/>
        <v>14</v>
      </c>
      <c r="Q17" s="12">
        <f t="shared" si="3"/>
        <v>42</v>
      </c>
      <c r="R17" s="12" t="str">
        <f t="shared" si="4"/>
        <v>CÔNG TY TNHH GODMOTHER VIỆT NAM</v>
      </c>
      <c r="W17" s="14" t="s">
        <v>113</v>
      </c>
      <c r="X17" s="14" t="s">
        <v>5009</v>
      </c>
    </row>
    <row r="18" spans="1:29" ht="15" customHeight="1" x14ac:dyDescent="0.2">
      <c r="A18" s="12" t="s">
        <v>18</v>
      </c>
      <c r="B18" s="36" t="s">
        <v>2042</v>
      </c>
      <c r="C18" s="12">
        <f t="shared" si="0"/>
        <v>16</v>
      </c>
      <c r="D18" s="12">
        <v>1</v>
      </c>
      <c r="E18" s="12" t="str">
        <f t="shared" si="2"/>
        <v>016</v>
      </c>
      <c r="G18" s="14" t="s">
        <v>3870</v>
      </c>
      <c r="H18" s="12" t="s">
        <v>3961</v>
      </c>
      <c r="I18" s="12">
        <v>64277</v>
      </c>
      <c r="J18" s="12">
        <v>331</v>
      </c>
      <c r="K18" s="12" t="s">
        <v>20</v>
      </c>
      <c r="L18" s="12">
        <v>1</v>
      </c>
      <c r="M18" s="17">
        <v>633100</v>
      </c>
      <c r="N18" s="17">
        <f t="shared" si="1"/>
        <v>633100</v>
      </c>
      <c r="O18" s="12" t="s">
        <v>21</v>
      </c>
      <c r="P18" s="12">
        <f t="shared" si="5"/>
        <v>15</v>
      </c>
      <c r="Q18" s="12">
        <f t="shared" si="3"/>
        <v>43</v>
      </c>
      <c r="R18" s="12" t="str">
        <f t="shared" si="4"/>
        <v>CÔNG TY TNHH MTV THƯƠNG MẠI DỊCH VỤ BÌNH ĐÔNG</v>
      </c>
      <c r="W18" s="14" t="s">
        <v>3884</v>
      </c>
      <c r="X18" s="14" t="s">
        <v>5010</v>
      </c>
    </row>
    <row r="19" spans="1:29" ht="15" customHeight="1" x14ac:dyDescent="0.2">
      <c r="A19" s="12" t="s">
        <v>18</v>
      </c>
      <c r="B19" s="36" t="s">
        <v>522</v>
      </c>
      <c r="C19" s="12">
        <f t="shared" si="0"/>
        <v>17</v>
      </c>
      <c r="D19" s="12">
        <v>1</v>
      </c>
      <c r="E19" s="12" t="str">
        <f t="shared" si="2"/>
        <v>017</v>
      </c>
      <c r="G19" s="14" t="s">
        <v>2370</v>
      </c>
      <c r="H19" s="12" t="s">
        <v>3962</v>
      </c>
      <c r="I19" s="12">
        <v>64277</v>
      </c>
      <c r="J19" s="12">
        <v>331</v>
      </c>
      <c r="K19" s="12" t="s">
        <v>20</v>
      </c>
      <c r="L19" s="12">
        <v>1</v>
      </c>
      <c r="M19" s="17">
        <v>473040</v>
      </c>
      <c r="N19" s="17">
        <f t="shared" si="1"/>
        <v>473040</v>
      </c>
      <c r="O19" s="12" t="s">
        <v>21</v>
      </c>
      <c r="P19" s="12">
        <f t="shared" si="5"/>
        <v>16</v>
      </c>
      <c r="Q19" s="12">
        <f t="shared" si="3"/>
        <v>41</v>
      </c>
      <c r="R19" s="12" t="str">
        <f t="shared" si="4"/>
        <v>CÔNG TY CỔ PHẦN AKA HOUSE</v>
      </c>
      <c r="W19" s="14" t="s">
        <v>46</v>
      </c>
      <c r="X19" s="14" t="s">
        <v>5011</v>
      </c>
    </row>
    <row r="20" spans="1:29" ht="15" customHeight="1" x14ac:dyDescent="0.2">
      <c r="A20" s="12" t="s">
        <v>18</v>
      </c>
      <c r="B20" s="36" t="s">
        <v>602</v>
      </c>
      <c r="C20" s="12">
        <f t="shared" si="0"/>
        <v>18</v>
      </c>
      <c r="D20" s="12">
        <v>1</v>
      </c>
      <c r="E20" s="12" t="str">
        <f t="shared" si="2"/>
        <v>018</v>
      </c>
      <c r="G20" s="14" t="s">
        <v>3871</v>
      </c>
      <c r="H20" s="12" t="s">
        <v>3963</v>
      </c>
      <c r="I20" s="12">
        <v>64277</v>
      </c>
      <c r="J20" s="12">
        <v>331</v>
      </c>
      <c r="K20" s="12" t="s">
        <v>20</v>
      </c>
      <c r="L20" s="12">
        <v>1</v>
      </c>
      <c r="M20" s="17">
        <v>953506</v>
      </c>
      <c r="N20" s="17">
        <f t="shared" si="1"/>
        <v>953506</v>
      </c>
      <c r="O20" s="12" t="s">
        <v>21</v>
      </c>
      <c r="P20" s="12">
        <f t="shared" si="5"/>
        <v>17</v>
      </c>
      <c r="Q20" s="12">
        <f t="shared" si="3"/>
        <v>30</v>
      </c>
      <c r="R20" s="12" t="str">
        <f t="shared" si="4"/>
        <v>TỔNG CÔNG TY CỔ PHẦN BƯU CHÍNH VIETTEL</v>
      </c>
      <c r="W20" s="14" t="s">
        <v>1664</v>
      </c>
      <c r="X20" s="14" t="s">
        <v>5012</v>
      </c>
    </row>
    <row r="21" spans="1:29" ht="15" customHeight="1" x14ac:dyDescent="0.2">
      <c r="A21" s="12" t="s">
        <v>18</v>
      </c>
      <c r="B21" s="36" t="s">
        <v>602</v>
      </c>
      <c r="C21" s="12">
        <f t="shared" si="0"/>
        <v>19</v>
      </c>
      <c r="D21" s="12">
        <v>1</v>
      </c>
      <c r="E21" s="12" t="str">
        <f t="shared" si="2"/>
        <v>019</v>
      </c>
      <c r="G21" s="14" t="s">
        <v>3872</v>
      </c>
      <c r="H21" s="12" t="s">
        <v>3964</v>
      </c>
      <c r="I21" s="12">
        <v>64277</v>
      </c>
      <c r="J21" s="12">
        <v>331</v>
      </c>
      <c r="K21" s="12" t="s">
        <v>20</v>
      </c>
      <c r="L21" s="12">
        <v>1</v>
      </c>
      <c r="M21" s="17">
        <v>37000</v>
      </c>
      <c r="N21" s="17">
        <f t="shared" si="1"/>
        <v>37000</v>
      </c>
      <c r="O21" s="12" t="s">
        <v>21</v>
      </c>
      <c r="P21" s="12">
        <f t="shared" si="5"/>
        <v>18</v>
      </c>
      <c r="Q21" s="12">
        <f t="shared" si="3"/>
        <v>31</v>
      </c>
      <c r="R21" s="12" t="str">
        <f t="shared" si="4"/>
        <v>CÔNG TY TNHH GRAB</v>
      </c>
      <c r="W21" s="14" t="s">
        <v>1353</v>
      </c>
      <c r="X21" s="14" t="s">
        <v>5013</v>
      </c>
    </row>
    <row r="22" spans="1:29" ht="15" customHeight="1" x14ac:dyDescent="0.2">
      <c r="A22" s="12" t="s">
        <v>18</v>
      </c>
      <c r="B22" s="36" t="s">
        <v>452</v>
      </c>
      <c r="C22" s="12">
        <f t="shared" si="0"/>
        <v>20</v>
      </c>
      <c r="D22" s="12">
        <v>1</v>
      </c>
      <c r="E22" s="12" t="str">
        <f t="shared" si="2"/>
        <v>020</v>
      </c>
      <c r="G22" s="14" t="s">
        <v>3870</v>
      </c>
      <c r="H22" s="12" t="s">
        <v>3965</v>
      </c>
      <c r="I22" s="12">
        <v>64276</v>
      </c>
      <c r="J22" s="12">
        <v>331</v>
      </c>
      <c r="K22" s="12" t="s">
        <v>20</v>
      </c>
      <c r="L22" s="12">
        <v>1</v>
      </c>
      <c r="M22" s="17">
        <v>91000</v>
      </c>
      <c r="N22" s="17">
        <f t="shared" si="1"/>
        <v>91000</v>
      </c>
      <c r="O22" s="12" t="s">
        <v>21</v>
      </c>
      <c r="P22" s="12">
        <f t="shared" si="5"/>
        <v>19</v>
      </c>
      <c r="Q22" s="12">
        <f t="shared" si="3"/>
        <v>38</v>
      </c>
      <c r="R22" s="12" t="str">
        <f t="shared" si="4"/>
        <v>CÔNG TY TNHH MTV THƯƠNG MẠI DỊCH VỤ BÌNH ĐÔNG</v>
      </c>
      <c r="W22" s="14" t="s">
        <v>3885</v>
      </c>
      <c r="X22" s="14" t="s">
        <v>5014</v>
      </c>
    </row>
    <row r="23" spans="1:29" ht="15" customHeight="1" x14ac:dyDescent="0.2">
      <c r="A23" s="12" t="s">
        <v>18</v>
      </c>
      <c r="B23" s="36" t="s">
        <v>452</v>
      </c>
      <c r="C23" s="12">
        <f t="shared" si="0"/>
        <v>21</v>
      </c>
      <c r="D23" s="12">
        <v>1</v>
      </c>
      <c r="E23" s="12" t="str">
        <f t="shared" si="2"/>
        <v>021</v>
      </c>
      <c r="G23" s="14" t="s">
        <v>3872</v>
      </c>
      <c r="H23" s="12" t="s">
        <v>3966</v>
      </c>
      <c r="I23" s="12">
        <v>64277</v>
      </c>
      <c r="J23" s="12">
        <v>331</v>
      </c>
      <c r="K23" s="12" t="s">
        <v>20</v>
      </c>
      <c r="L23" s="12">
        <v>1</v>
      </c>
      <c r="M23" s="17">
        <v>32000</v>
      </c>
      <c r="N23" s="17">
        <f t="shared" si="1"/>
        <v>32000</v>
      </c>
      <c r="O23" s="12" t="s">
        <v>21</v>
      </c>
      <c r="P23" s="12">
        <f t="shared" si="5"/>
        <v>20</v>
      </c>
      <c r="Q23" s="12">
        <f t="shared" si="3"/>
        <v>31</v>
      </c>
      <c r="R23" s="12" t="str">
        <f t="shared" si="4"/>
        <v>CÔNG TY TNHH GRAB</v>
      </c>
      <c r="W23" s="14" t="s">
        <v>2381</v>
      </c>
      <c r="X23" s="14" t="s">
        <v>5015</v>
      </c>
    </row>
    <row r="24" spans="1:29" ht="15" customHeight="1" x14ac:dyDescent="0.2">
      <c r="A24" s="12" t="s">
        <v>18</v>
      </c>
      <c r="B24" s="36" t="s">
        <v>588</v>
      </c>
      <c r="C24" s="12">
        <f t="shared" si="0"/>
        <v>22</v>
      </c>
      <c r="D24" s="12">
        <v>1</v>
      </c>
      <c r="E24" s="12" t="str">
        <f t="shared" si="2"/>
        <v>022</v>
      </c>
      <c r="G24" s="14" t="s">
        <v>25</v>
      </c>
      <c r="H24" s="12" t="s">
        <v>3967</v>
      </c>
      <c r="I24" s="12">
        <v>64277</v>
      </c>
      <c r="J24" s="12">
        <v>331</v>
      </c>
      <c r="K24" s="12" t="s">
        <v>20</v>
      </c>
      <c r="L24" s="12">
        <v>1</v>
      </c>
      <c r="M24" s="17">
        <v>791640</v>
      </c>
      <c r="N24" s="17">
        <f t="shared" si="1"/>
        <v>791640</v>
      </c>
      <c r="O24" s="12" t="s">
        <v>21</v>
      </c>
      <c r="P24" s="12">
        <f t="shared" si="5"/>
        <v>21</v>
      </c>
      <c r="Q24" s="12">
        <f t="shared" si="3"/>
        <v>44</v>
      </c>
      <c r="R24" s="12" t="str">
        <f t="shared" si="4"/>
        <v>CÔNG TY CỔ PHẦN TẬP ĐOÀN GOLDEN GATE - CHI NHÁNH MIỀN NAM</v>
      </c>
      <c r="W24" s="14" t="s">
        <v>85</v>
      </c>
      <c r="X24" s="14" t="s">
        <v>5016</v>
      </c>
    </row>
    <row r="25" spans="1:29" ht="15" customHeight="1" x14ac:dyDescent="0.2">
      <c r="A25" s="12" t="s">
        <v>18</v>
      </c>
      <c r="B25" s="36" t="s">
        <v>379</v>
      </c>
      <c r="C25" s="12">
        <f t="shared" si="0"/>
        <v>23</v>
      </c>
      <c r="D25" s="12">
        <v>1</v>
      </c>
      <c r="E25" s="12" t="str">
        <f t="shared" si="2"/>
        <v>023</v>
      </c>
      <c r="G25" s="14" t="s">
        <v>3872</v>
      </c>
      <c r="H25" s="12" t="s">
        <v>3968</v>
      </c>
      <c r="I25" s="12">
        <v>64277</v>
      </c>
      <c r="J25" s="12">
        <v>331</v>
      </c>
      <c r="K25" s="12" t="s">
        <v>20</v>
      </c>
      <c r="L25" s="12">
        <v>1</v>
      </c>
      <c r="M25" s="17">
        <v>23000</v>
      </c>
      <c r="N25" s="17">
        <f t="shared" si="1"/>
        <v>23000</v>
      </c>
      <c r="O25" s="12" t="s">
        <v>21</v>
      </c>
      <c r="P25" s="12">
        <f t="shared" si="5"/>
        <v>22</v>
      </c>
      <c r="Q25" s="12">
        <f t="shared" si="3"/>
        <v>31</v>
      </c>
      <c r="R25" s="12" t="str">
        <f t="shared" si="4"/>
        <v>CÔNG TY TNHH GRAB</v>
      </c>
      <c r="W25" s="14" t="s">
        <v>3886</v>
      </c>
      <c r="X25" s="14" t="s">
        <v>5017</v>
      </c>
    </row>
    <row r="26" spans="1:29" ht="15" customHeight="1" x14ac:dyDescent="0.2">
      <c r="A26" s="12" t="s">
        <v>18</v>
      </c>
      <c r="B26" s="36" t="s">
        <v>453</v>
      </c>
      <c r="C26" s="12">
        <f t="shared" si="0"/>
        <v>24</v>
      </c>
      <c r="D26" s="12">
        <v>1</v>
      </c>
      <c r="E26" s="12" t="str">
        <f t="shared" si="2"/>
        <v>024</v>
      </c>
      <c r="G26" s="14" t="s">
        <v>3872</v>
      </c>
      <c r="H26" s="12" t="s">
        <v>3969</v>
      </c>
      <c r="I26" s="12">
        <v>64277</v>
      </c>
      <c r="J26" s="12">
        <v>331</v>
      </c>
      <c r="K26" s="12" t="s">
        <v>20</v>
      </c>
      <c r="L26" s="12">
        <v>1</v>
      </c>
      <c r="M26" s="17">
        <v>18000</v>
      </c>
      <c r="N26" s="17">
        <f t="shared" si="1"/>
        <v>18000</v>
      </c>
      <c r="O26" s="12" t="s">
        <v>21</v>
      </c>
      <c r="P26" s="12">
        <f t="shared" si="5"/>
        <v>23</v>
      </c>
      <c r="Q26" s="12">
        <f t="shared" si="3"/>
        <v>31</v>
      </c>
      <c r="R26" s="12" t="str">
        <f t="shared" si="4"/>
        <v>CÔNG TY TNHH GRAB</v>
      </c>
      <c r="W26" s="14" t="s">
        <v>4993</v>
      </c>
      <c r="X26" s="14" t="s">
        <v>4994</v>
      </c>
    </row>
    <row r="27" spans="1:29" ht="15" customHeight="1" x14ac:dyDescent="0.25">
      <c r="A27" s="12" t="s">
        <v>18</v>
      </c>
      <c r="B27" s="36" t="s">
        <v>455</v>
      </c>
      <c r="C27" s="12">
        <f t="shared" si="0"/>
        <v>25</v>
      </c>
      <c r="D27" s="12">
        <v>1</v>
      </c>
      <c r="E27" s="12" t="str">
        <f t="shared" si="2"/>
        <v>025</v>
      </c>
      <c r="G27" s="14" t="s">
        <v>25</v>
      </c>
      <c r="H27" s="12" t="s">
        <v>3970</v>
      </c>
      <c r="I27" s="12">
        <v>64277</v>
      </c>
      <c r="J27" s="12">
        <v>331</v>
      </c>
      <c r="K27" s="12" t="s">
        <v>20</v>
      </c>
      <c r="L27" s="12">
        <v>1</v>
      </c>
      <c r="M27" s="17">
        <v>1276560</v>
      </c>
      <c r="N27" s="17">
        <f t="shared" si="1"/>
        <v>1276560</v>
      </c>
      <c r="O27" s="12" t="s">
        <v>21</v>
      </c>
      <c r="P27" s="12">
        <f t="shared" si="5"/>
        <v>24</v>
      </c>
      <c r="Q27" s="12">
        <f t="shared" si="3"/>
        <v>44</v>
      </c>
      <c r="R27" s="12" t="str">
        <f t="shared" si="4"/>
        <v>CÔNG TY CỔ PHẦN TẬP ĐOÀN GOLDEN GATE - CHI NHÁNH MIỀN NAM</v>
      </c>
      <c r="W27" s="14" t="s">
        <v>3003</v>
      </c>
      <c r="X27" s="14" t="s">
        <v>5033</v>
      </c>
      <c r="AB27"/>
      <c r="AC27"/>
    </row>
    <row r="28" spans="1:29" ht="15" customHeight="1" x14ac:dyDescent="0.25">
      <c r="A28" s="12" t="s">
        <v>18</v>
      </c>
      <c r="B28" s="36" t="s">
        <v>672</v>
      </c>
      <c r="C28" s="12">
        <f t="shared" si="0"/>
        <v>26</v>
      </c>
      <c r="D28" s="12">
        <v>1</v>
      </c>
      <c r="E28" s="12" t="str">
        <f t="shared" si="2"/>
        <v>026</v>
      </c>
      <c r="G28" s="14" t="s">
        <v>37</v>
      </c>
      <c r="H28" s="12" t="s">
        <v>3880</v>
      </c>
      <c r="I28" s="12">
        <v>64277</v>
      </c>
      <c r="J28" s="12">
        <v>331</v>
      </c>
      <c r="K28" s="12" t="s">
        <v>20</v>
      </c>
      <c r="L28" s="12">
        <v>1</v>
      </c>
      <c r="M28" s="17">
        <v>3240000</v>
      </c>
      <c r="N28" s="17">
        <f t="shared" si="1"/>
        <v>3240000</v>
      </c>
      <c r="O28" s="12" t="s">
        <v>21</v>
      </c>
      <c r="P28" s="12">
        <f t="shared" si="5"/>
        <v>25</v>
      </c>
      <c r="Q28" s="12">
        <f t="shared" si="3"/>
        <v>42</v>
      </c>
      <c r="R28" s="12" t="str">
        <f t="shared" si="4"/>
        <v>CÔNG TY TNHH TƯ VẤN VÀ KẾ TOÁN T&amp;C</v>
      </c>
      <c r="W28" s="14" t="s">
        <v>3865</v>
      </c>
      <c r="X28" s="14" t="s">
        <v>5036</v>
      </c>
      <c r="AB28"/>
      <c r="AC28"/>
    </row>
    <row r="29" spans="1:29" ht="15" customHeight="1" x14ac:dyDescent="0.25">
      <c r="A29" s="12" t="s">
        <v>18</v>
      </c>
      <c r="B29" s="36" t="s">
        <v>589</v>
      </c>
      <c r="C29" s="12">
        <f t="shared" si="0"/>
        <v>27</v>
      </c>
      <c r="D29" s="12">
        <v>1</v>
      </c>
      <c r="E29" s="12" t="str">
        <f t="shared" si="2"/>
        <v>027</v>
      </c>
      <c r="G29" s="14" t="s">
        <v>123</v>
      </c>
      <c r="H29" s="12" t="s">
        <v>3971</v>
      </c>
      <c r="I29" s="12">
        <v>64277</v>
      </c>
      <c r="J29" s="12">
        <v>331</v>
      </c>
      <c r="K29" s="12" t="s">
        <v>20</v>
      </c>
      <c r="L29" s="12">
        <v>1</v>
      </c>
      <c r="M29" s="17">
        <v>244080</v>
      </c>
      <c r="N29" s="17">
        <f t="shared" si="1"/>
        <v>244080</v>
      </c>
      <c r="O29" s="12" t="s">
        <v>21</v>
      </c>
      <c r="P29" s="12">
        <f t="shared" si="5"/>
        <v>26</v>
      </c>
      <c r="Q29" s="12">
        <f t="shared" si="3"/>
        <v>42</v>
      </c>
      <c r="R29" s="12" t="str">
        <f t="shared" si="4"/>
        <v>CHI NHÁNH CÔNG TY CỔ PHẦN PIZZA 4PS - NHÀ HÀNG PIZZA 4PS HAI BÀ TRƯNG</v>
      </c>
      <c r="W29" s="14" t="s">
        <v>3866</v>
      </c>
      <c r="X29" s="14" t="s">
        <v>5037</v>
      </c>
      <c r="AB29"/>
      <c r="AC29"/>
    </row>
    <row r="30" spans="1:29" ht="15" customHeight="1" x14ac:dyDescent="0.25">
      <c r="A30" s="12" t="s">
        <v>18</v>
      </c>
      <c r="B30" s="36" t="s">
        <v>526</v>
      </c>
      <c r="C30" s="12">
        <f t="shared" si="0"/>
        <v>28</v>
      </c>
      <c r="D30" s="12">
        <v>1</v>
      </c>
      <c r="E30" s="12" t="str">
        <f t="shared" si="2"/>
        <v>028</v>
      </c>
      <c r="G30" s="14" t="s">
        <v>52</v>
      </c>
      <c r="H30" s="12" t="s">
        <v>3972</v>
      </c>
      <c r="I30" s="12">
        <v>64277</v>
      </c>
      <c r="J30" s="12">
        <v>331</v>
      </c>
      <c r="K30" s="12" t="s">
        <v>20</v>
      </c>
      <c r="L30" s="12">
        <v>1</v>
      </c>
      <c r="M30" s="17">
        <v>402840</v>
      </c>
      <c r="N30" s="17">
        <f t="shared" si="1"/>
        <v>402840</v>
      </c>
      <c r="O30" s="12" t="s">
        <v>21</v>
      </c>
      <c r="P30" s="12">
        <f t="shared" si="5"/>
        <v>27</v>
      </c>
      <c r="Q30" s="12">
        <f t="shared" si="3"/>
        <v>42</v>
      </c>
      <c r="R30" s="12" t="str">
        <f t="shared" si="4"/>
        <v>CÔNG TY TNHH MỘC F&amp;B</v>
      </c>
      <c r="W30" s="14" t="s">
        <v>64</v>
      </c>
      <c r="X30" s="14" t="s">
        <v>5038</v>
      </c>
      <c r="AB30"/>
      <c r="AC30"/>
    </row>
    <row r="31" spans="1:29" ht="15" customHeight="1" x14ac:dyDescent="0.25">
      <c r="A31" s="12" t="s">
        <v>18</v>
      </c>
      <c r="B31" s="36" t="s">
        <v>527</v>
      </c>
      <c r="C31" s="12">
        <f t="shared" si="0"/>
        <v>29</v>
      </c>
      <c r="D31" s="12">
        <v>1</v>
      </c>
      <c r="E31" s="12" t="str">
        <f t="shared" si="2"/>
        <v>029</v>
      </c>
      <c r="G31" s="14" t="s">
        <v>3867</v>
      </c>
      <c r="H31" s="12" t="s">
        <v>3973</v>
      </c>
      <c r="I31" s="12">
        <v>64277</v>
      </c>
      <c r="J31" s="12">
        <v>331</v>
      </c>
      <c r="K31" s="12" t="s">
        <v>20</v>
      </c>
      <c r="L31" s="12">
        <v>1</v>
      </c>
      <c r="M31" s="17">
        <v>1172000</v>
      </c>
      <c r="N31" s="17">
        <f t="shared" si="1"/>
        <v>1172000</v>
      </c>
      <c r="O31" s="12" t="s">
        <v>21</v>
      </c>
      <c r="P31" s="12">
        <f t="shared" si="5"/>
        <v>28</v>
      </c>
      <c r="Q31" s="12">
        <f t="shared" si="3"/>
        <v>40</v>
      </c>
      <c r="R31" s="12" t="str">
        <f t="shared" si="4"/>
        <v>CÔNG TY TNHH THƯƠNG MẠI DỊCH VỤ THE NOON</v>
      </c>
      <c r="W31" s="14" t="s">
        <v>3867</v>
      </c>
      <c r="X31" s="14" t="s">
        <v>5039</v>
      </c>
      <c r="AB31"/>
      <c r="AC31"/>
    </row>
    <row r="32" spans="1:29" ht="15" customHeight="1" x14ac:dyDescent="0.25">
      <c r="A32" s="12" t="s">
        <v>18</v>
      </c>
      <c r="B32" s="36" t="s">
        <v>2043</v>
      </c>
      <c r="C32" s="12">
        <f t="shared" si="0"/>
        <v>30</v>
      </c>
      <c r="D32" s="12">
        <v>1</v>
      </c>
      <c r="E32" s="12" t="str">
        <f t="shared" si="2"/>
        <v>030</v>
      </c>
      <c r="G32" s="14" t="s">
        <v>988</v>
      </c>
      <c r="H32" s="12" t="s">
        <v>3974</v>
      </c>
      <c r="I32" s="12">
        <v>64277</v>
      </c>
      <c r="J32" s="12">
        <v>331</v>
      </c>
      <c r="K32" s="12" t="s">
        <v>20</v>
      </c>
      <c r="L32" s="12">
        <v>1</v>
      </c>
      <c r="M32" s="17">
        <v>150000</v>
      </c>
      <c r="N32" s="17">
        <f t="shared" si="1"/>
        <v>150000</v>
      </c>
      <c r="O32" s="12" t="s">
        <v>21</v>
      </c>
      <c r="P32" s="12">
        <f t="shared" si="5"/>
        <v>29</v>
      </c>
      <c r="Q32" s="12">
        <f t="shared" si="3"/>
        <v>42</v>
      </c>
      <c r="R32" s="12" t="str">
        <f t="shared" si="4"/>
        <v>CÔNG TY CỔ PHẦN EVERY HALF BEAN</v>
      </c>
      <c r="W32" s="14" t="s">
        <v>3868</v>
      </c>
      <c r="X32" s="14" t="s">
        <v>5040</v>
      </c>
      <c r="AB32"/>
      <c r="AC32"/>
    </row>
    <row r="33" spans="1:29" ht="15" customHeight="1" x14ac:dyDescent="0.25">
      <c r="A33" s="12" t="s">
        <v>18</v>
      </c>
      <c r="B33" s="36" t="s">
        <v>604</v>
      </c>
      <c r="C33" s="12">
        <f t="shared" si="0"/>
        <v>31</v>
      </c>
      <c r="D33" s="12">
        <v>1</v>
      </c>
      <c r="E33" s="12" t="str">
        <f t="shared" si="2"/>
        <v>031</v>
      </c>
      <c r="G33" s="14" t="s">
        <v>3873</v>
      </c>
      <c r="H33" s="12" t="s">
        <v>3975</v>
      </c>
      <c r="I33" s="12">
        <v>64276</v>
      </c>
      <c r="J33" s="12">
        <v>331</v>
      </c>
      <c r="K33" s="12" t="s">
        <v>20</v>
      </c>
      <c r="L33" s="12">
        <v>1</v>
      </c>
      <c r="M33" s="17">
        <v>728000</v>
      </c>
      <c r="N33" s="17">
        <f t="shared" si="1"/>
        <v>728000</v>
      </c>
      <c r="O33" s="12" t="s">
        <v>21</v>
      </c>
      <c r="P33" s="12">
        <f t="shared" si="5"/>
        <v>30</v>
      </c>
      <c r="Q33" s="12">
        <f t="shared" si="3"/>
        <v>36</v>
      </c>
      <c r="R33" s="12" t="str">
        <f t="shared" si="4"/>
        <v>CÔNG TY TNHH TBS VIỆT NAM</v>
      </c>
      <c r="W33" s="14" t="s">
        <v>3869</v>
      </c>
      <c r="X33" s="14" t="s">
        <v>5041</v>
      </c>
      <c r="AB33"/>
      <c r="AC33"/>
    </row>
    <row r="34" spans="1:29" ht="15" customHeight="1" x14ac:dyDescent="0.25">
      <c r="A34" s="12" t="s">
        <v>18</v>
      </c>
      <c r="B34" s="36" t="s">
        <v>604</v>
      </c>
      <c r="C34" s="12">
        <f t="shared" si="0"/>
        <v>32</v>
      </c>
      <c r="D34" s="12">
        <v>1</v>
      </c>
      <c r="E34" s="12" t="str">
        <f t="shared" si="2"/>
        <v>032</v>
      </c>
      <c r="G34" s="14" t="s">
        <v>25</v>
      </c>
      <c r="H34" s="12" t="s">
        <v>3976</v>
      </c>
      <c r="I34" s="12">
        <v>64276</v>
      </c>
      <c r="J34" s="12">
        <v>331</v>
      </c>
      <c r="K34" s="12" t="s">
        <v>20</v>
      </c>
      <c r="L34" s="12">
        <v>1</v>
      </c>
      <c r="M34" s="17">
        <v>444960</v>
      </c>
      <c r="N34" s="17">
        <f t="shared" si="1"/>
        <v>444960</v>
      </c>
      <c r="O34" s="12" t="s">
        <v>21</v>
      </c>
      <c r="P34" s="12">
        <f t="shared" si="5"/>
        <v>31</v>
      </c>
      <c r="Q34" s="12">
        <f t="shared" si="3"/>
        <v>39</v>
      </c>
      <c r="R34" s="12" t="str">
        <f t="shared" si="4"/>
        <v>CÔNG TY CỔ PHẦN TẬP ĐOÀN GOLDEN GATE - CHI NHÁNH MIỀN NAM</v>
      </c>
      <c r="W34" s="14" t="s">
        <v>37</v>
      </c>
      <c r="X34" s="14" t="s">
        <v>5042</v>
      </c>
      <c r="AB34"/>
      <c r="AC34"/>
    </row>
    <row r="35" spans="1:29" ht="15" customHeight="1" x14ac:dyDescent="0.25">
      <c r="A35" s="12" t="s">
        <v>18</v>
      </c>
      <c r="B35" s="36" t="s">
        <v>604</v>
      </c>
      <c r="C35" s="12">
        <f t="shared" si="0"/>
        <v>33</v>
      </c>
      <c r="D35" s="12">
        <v>1</v>
      </c>
      <c r="E35" s="12" t="str">
        <f t="shared" si="2"/>
        <v>033</v>
      </c>
      <c r="G35" s="14" t="s">
        <v>274</v>
      </c>
      <c r="H35" s="12" t="s">
        <v>3977</v>
      </c>
      <c r="I35" s="12">
        <v>64277</v>
      </c>
      <c r="J35" s="12">
        <v>331</v>
      </c>
      <c r="K35" s="12" t="s">
        <v>20</v>
      </c>
      <c r="L35" s="12">
        <v>1</v>
      </c>
      <c r="M35" s="17">
        <v>1857100</v>
      </c>
      <c r="N35" s="17">
        <f t="shared" si="1"/>
        <v>1857100</v>
      </c>
      <c r="O35" s="12" t="s">
        <v>21</v>
      </c>
      <c r="P35" s="12">
        <f t="shared" si="5"/>
        <v>32</v>
      </c>
      <c r="Q35" s="12">
        <f t="shared" si="3"/>
        <v>45</v>
      </c>
      <c r="R35" s="12" t="str">
        <f t="shared" si="4"/>
        <v>CÔNG TY CỔ PHẦN KING FOOD MARKET</v>
      </c>
      <c r="W35" s="14" t="s">
        <v>19</v>
      </c>
      <c r="X35" s="14" t="s">
        <v>5043</v>
      </c>
      <c r="AB35"/>
      <c r="AC35"/>
    </row>
    <row r="36" spans="1:29" ht="15" customHeight="1" x14ac:dyDescent="0.25">
      <c r="A36" s="12" t="s">
        <v>18</v>
      </c>
      <c r="B36" s="36" t="s">
        <v>604</v>
      </c>
      <c r="C36" s="12">
        <f t="shared" ref="C36:C67" si="6">C35+D36</f>
        <v>34</v>
      </c>
      <c r="D36" s="12">
        <v>1</v>
      </c>
      <c r="E36" s="12" t="str">
        <f t="shared" si="2"/>
        <v>034</v>
      </c>
      <c r="G36" s="14" t="s">
        <v>3874</v>
      </c>
      <c r="H36" s="12" t="s">
        <v>3978</v>
      </c>
      <c r="I36" s="12">
        <v>64277</v>
      </c>
      <c r="J36" s="12">
        <v>331</v>
      </c>
      <c r="K36" s="12" t="s">
        <v>20</v>
      </c>
      <c r="L36" s="12">
        <v>1</v>
      </c>
      <c r="M36" s="17">
        <v>74000</v>
      </c>
      <c r="N36" s="17">
        <f t="shared" ref="N36:N67" si="7">L36*M36</f>
        <v>74000</v>
      </c>
      <c r="O36" s="12" t="s">
        <v>21</v>
      </c>
      <c r="P36" s="12">
        <f t="shared" si="5"/>
        <v>33</v>
      </c>
      <c r="Q36" s="12">
        <f t="shared" si="3"/>
        <v>45</v>
      </c>
      <c r="R36" s="12" t="str">
        <f t="shared" si="4"/>
        <v>CÔNG TY TNHH VÒNG TRÒN ĐỎ</v>
      </c>
      <c r="W36" s="14" t="s">
        <v>61</v>
      </c>
      <c r="X36" s="14" t="s">
        <v>5044</v>
      </c>
      <c r="AB36"/>
      <c r="AC36"/>
    </row>
    <row r="37" spans="1:29" ht="15" customHeight="1" x14ac:dyDescent="0.25">
      <c r="A37" s="12" t="s">
        <v>18</v>
      </c>
      <c r="B37" s="36" t="s">
        <v>2045</v>
      </c>
      <c r="C37" s="12">
        <f t="shared" si="6"/>
        <v>35</v>
      </c>
      <c r="D37" s="12">
        <v>1</v>
      </c>
      <c r="E37" s="12" t="str">
        <f t="shared" si="2"/>
        <v>035</v>
      </c>
      <c r="G37" s="14" t="s">
        <v>3875</v>
      </c>
      <c r="H37" s="12" t="s">
        <v>3979</v>
      </c>
      <c r="I37" s="12">
        <v>64277</v>
      </c>
      <c r="J37" s="12">
        <v>331</v>
      </c>
      <c r="K37" s="12" t="s">
        <v>20</v>
      </c>
      <c r="L37" s="12">
        <v>1</v>
      </c>
      <c r="M37" s="17">
        <v>556200</v>
      </c>
      <c r="N37" s="17">
        <f t="shared" si="7"/>
        <v>556200</v>
      </c>
      <c r="O37" s="12" t="s">
        <v>21</v>
      </c>
      <c r="P37" s="12">
        <f t="shared" si="5"/>
        <v>34</v>
      </c>
      <c r="Q37" s="12">
        <f t="shared" si="3"/>
        <v>41</v>
      </c>
      <c r="R37" s="12" t="str">
        <f t="shared" si="4"/>
        <v>CÔNG TY TNHH CHADA THÁI</v>
      </c>
      <c r="W37" s="14" t="s">
        <v>2375</v>
      </c>
      <c r="X37" s="14" t="s">
        <v>5045</v>
      </c>
      <c r="AB37"/>
      <c r="AC37"/>
    </row>
    <row r="38" spans="1:29" ht="15" customHeight="1" x14ac:dyDescent="0.25">
      <c r="A38" s="12" t="s">
        <v>18</v>
      </c>
      <c r="B38" s="36" t="s">
        <v>1930</v>
      </c>
      <c r="C38" s="12">
        <f t="shared" si="6"/>
        <v>36</v>
      </c>
      <c r="D38" s="12">
        <v>1</v>
      </c>
      <c r="E38" s="12" t="str">
        <f t="shared" si="2"/>
        <v>036</v>
      </c>
      <c r="G38" s="14" t="s">
        <v>3872</v>
      </c>
      <c r="H38" s="12" t="s">
        <v>3980</v>
      </c>
      <c r="I38" s="12">
        <v>64277</v>
      </c>
      <c r="J38" s="12">
        <v>331</v>
      </c>
      <c r="K38" s="12" t="s">
        <v>20</v>
      </c>
      <c r="L38" s="12">
        <v>1</v>
      </c>
      <c r="M38" s="17">
        <v>20000</v>
      </c>
      <c r="N38" s="17">
        <f t="shared" si="7"/>
        <v>20000</v>
      </c>
      <c r="O38" s="12" t="s">
        <v>21</v>
      </c>
      <c r="P38" s="12">
        <f t="shared" si="5"/>
        <v>35</v>
      </c>
      <c r="Q38" s="12">
        <f t="shared" si="3"/>
        <v>31</v>
      </c>
      <c r="R38" s="12" t="str">
        <f t="shared" si="4"/>
        <v>CÔNG TY TNHH GRAB</v>
      </c>
      <c r="W38" s="14" t="s">
        <v>3870</v>
      </c>
      <c r="X38" s="12" t="s">
        <v>5046</v>
      </c>
      <c r="AB38"/>
      <c r="AC38"/>
    </row>
    <row r="39" spans="1:29" ht="15" customHeight="1" x14ac:dyDescent="0.2">
      <c r="A39" s="12" t="s">
        <v>18</v>
      </c>
      <c r="B39" s="36" t="s">
        <v>1930</v>
      </c>
      <c r="C39" s="12">
        <f t="shared" si="6"/>
        <v>37</v>
      </c>
      <c r="D39" s="12">
        <v>1</v>
      </c>
      <c r="E39" s="12" t="str">
        <f t="shared" si="2"/>
        <v>037</v>
      </c>
      <c r="G39" s="14" t="s">
        <v>3872</v>
      </c>
      <c r="H39" s="12" t="s">
        <v>3981</v>
      </c>
      <c r="I39" s="12">
        <v>64277</v>
      </c>
      <c r="J39" s="12">
        <v>331</v>
      </c>
      <c r="K39" s="12" t="s">
        <v>20</v>
      </c>
      <c r="L39" s="12">
        <v>1</v>
      </c>
      <c r="M39" s="17">
        <v>51000</v>
      </c>
      <c r="N39" s="17">
        <f t="shared" si="7"/>
        <v>51000</v>
      </c>
      <c r="O39" s="12" t="s">
        <v>21</v>
      </c>
      <c r="P39" s="12">
        <f t="shared" si="5"/>
        <v>36</v>
      </c>
      <c r="Q39" s="12">
        <f t="shared" si="3"/>
        <v>31</v>
      </c>
      <c r="R39" s="12" t="str">
        <f t="shared" si="4"/>
        <v>CÔNG TY TNHH GRAB</v>
      </c>
      <c r="W39" s="14" t="s">
        <v>2370</v>
      </c>
      <c r="X39" s="14" t="s">
        <v>5047</v>
      </c>
    </row>
    <row r="40" spans="1:29" ht="15" customHeight="1" x14ac:dyDescent="0.2">
      <c r="A40" s="12" t="s">
        <v>18</v>
      </c>
      <c r="B40" s="36" t="s">
        <v>1930</v>
      </c>
      <c r="C40" s="12">
        <f t="shared" si="6"/>
        <v>38</v>
      </c>
      <c r="D40" s="12">
        <v>1</v>
      </c>
      <c r="E40" s="12" t="str">
        <f t="shared" si="2"/>
        <v>038</v>
      </c>
      <c r="G40" s="14" t="s">
        <v>3872</v>
      </c>
      <c r="H40" s="12" t="s">
        <v>3982</v>
      </c>
      <c r="I40" s="12">
        <v>64277</v>
      </c>
      <c r="J40" s="12">
        <v>331</v>
      </c>
      <c r="K40" s="12" t="s">
        <v>20</v>
      </c>
      <c r="L40" s="12">
        <v>1</v>
      </c>
      <c r="M40" s="17">
        <v>23000</v>
      </c>
      <c r="N40" s="17">
        <f t="shared" si="7"/>
        <v>23000</v>
      </c>
      <c r="O40" s="12" t="s">
        <v>21</v>
      </c>
      <c r="P40" s="12">
        <f t="shared" si="5"/>
        <v>37</v>
      </c>
      <c r="Q40" s="12">
        <f t="shared" si="3"/>
        <v>31</v>
      </c>
      <c r="R40" s="12" t="str">
        <f t="shared" si="4"/>
        <v>CÔNG TY TNHH GRAB</v>
      </c>
      <c r="W40" s="14" t="s">
        <v>3872</v>
      </c>
      <c r="X40" s="14" t="s">
        <v>5048</v>
      </c>
    </row>
    <row r="41" spans="1:29" ht="15" customHeight="1" x14ac:dyDescent="0.2">
      <c r="A41" s="12" t="s">
        <v>18</v>
      </c>
      <c r="B41" s="36" t="s">
        <v>1930</v>
      </c>
      <c r="C41" s="12">
        <f t="shared" si="6"/>
        <v>39</v>
      </c>
      <c r="D41" s="12">
        <v>1</v>
      </c>
      <c r="E41" s="12" t="str">
        <f t="shared" si="2"/>
        <v>039</v>
      </c>
      <c r="G41" s="14" t="s">
        <v>25</v>
      </c>
      <c r="H41" s="12" t="s">
        <v>3983</v>
      </c>
      <c r="I41" s="12">
        <v>64277</v>
      </c>
      <c r="J41" s="12">
        <v>331</v>
      </c>
      <c r="K41" s="12" t="s">
        <v>20</v>
      </c>
      <c r="L41" s="12">
        <v>1</v>
      </c>
      <c r="M41" s="17">
        <v>826200</v>
      </c>
      <c r="N41" s="17">
        <f t="shared" si="7"/>
        <v>826200</v>
      </c>
      <c r="O41" s="12" t="s">
        <v>21</v>
      </c>
      <c r="P41" s="12">
        <f t="shared" si="5"/>
        <v>38</v>
      </c>
      <c r="Q41" s="12">
        <f t="shared" si="3"/>
        <v>44</v>
      </c>
      <c r="R41" s="12" t="str">
        <f t="shared" si="4"/>
        <v>CÔNG TY CỔ PHẦN TẬP ĐOÀN GOLDEN GATE - CHI NHÁNH MIỀN NAM</v>
      </c>
      <c r="W41" s="14" t="s">
        <v>3871</v>
      </c>
      <c r="X41" s="14" t="s">
        <v>5049</v>
      </c>
    </row>
    <row r="42" spans="1:29" ht="15" customHeight="1" x14ac:dyDescent="0.2">
      <c r="A42" s="12" t="s">
        <v>18</v>
      </c>
      <c r="B42" s="36" t="s">
        <v>2561</v>
      </c>
      <c r="C42" s="12">
        <f t="shared" si="6"/>
        <v>40</v>
      </c>
      <c r="D42" s="12">
        <v>1</v>
      </c>
      <c r="E42" s="12" t="str">
        <f t="shared" si="2"/>
        <v>040</v>
      </c>
      <c r="G42" s="14" t="s">
        <v>3876</v>
      </c>
      <c r="H42" s="12" t="s">
        <v>3984</v>
      </c>
      <c r="I42" s="12">
        <v>64276</v>
      </c>
      <c r="J42" s="12">
        <v>331</v>
      </c>
      <c r="K42" s="12" t="s">
        <v>20</v>
      </c>
      <c r="L42" s="12">
        <v>1</v>
      </c>
      <c r="M42" s="17">
        <v>2147400</v>
      </c>
      <c r="N42" s="17">
        <f t="shared" si="7"/>
        <v>2147400</v>
      </c>
      <c r="O42" s="12" t="s">
        <v>21</v>
      </c>
      <c r="P42" s="12">
        <f t="shared" si="5"/>
        <v>39</v>
      </c>
      <c r="Q42" s="12">
        <f t="shared" si="3"/>
        <v>38</v>
      </c>
      <c r="R42" s="12" t="str">
        <f t="shared" si="4"/>
        <v>CÔNG TY TNHH MAY THÊU GIÀY AN PHƯỚC</v>
      </c>
      <c r="W42" s="14" t="s">
        <v>25</v>
      </c>
      <c r="X42" s="14" t="s">
        <v>5050</v>
      </c>
    </row>
    <row r="43" spans="1:29" ht="15" customHeight="1" x14ac:dyDescent="0.2">
      <c r="A43" s="12" t="s">
        <v>18</v>
      </c>
      <c r="B43" s="36" t="s">
        <v>2504</v>
      </c>
      <c r="C43" s="12">
        <f t="shared" si="6"/>
        <v>41</v>
      </c>
      <c r="D43" s="12">
        <v>1</v>
      </c>
      <c r="E43" s="12" t="str">
        <f t="shared" si="2"/>
        <v>041</v>
      </c>
      <c r="G43" s="14" t="s">
        <v>3877</v>
      </c>
      <c r="H43" s="12" t="s">
        <v>3985</v>
      </c>
      <c r="I43" s="12">
        <v>64277</v>
      </c>
      <c r="J43" s="12">
        <v>331</v>
      </c>
      <c r="K43" s="12" t="s">
        <v>20</v>
      </c>
      <c r="L43" s="12">
        <v>1</v>
      </c>
      <c r="M43" s="17">
        <v>544320</v>
      </c>
      <c r="N43" s="17">
        <f t="shared" si="7"/>
        <v>544320</v>
      </c>
      <c r="O43" s="12" t="s">
        <v>21</v>
      </c>
      <c r="P43" s="12">
        <f t="shared" si="5"/>
        <v>40</v>
      </c>
      <c r="Q43" s="12">
        <f t="shared" si="3"/>
        <v>41</v>
      </c>
      <c r="R43" s="12" t="str">
        <f t="shared" si="4"/>
        <v>CÔNG TY TNHH CRHCMC</v>
      </c>
      <c r="W43" s="14" t="s">
        <v>3877</v>
      </c>
      <c r="X43" s="14" t="s">
        <v>5051</v>
      </c>
    </row>
    <row r="44" spans="1:29" ht="15" customHeight="1" x14ac:dyDescent="0.2">
      <c r="A44" s="12" t="s">
        <v>18</v>
      </c>
      <c r="B44" s="36" t="s">
        <v>2504</v>
      </c>
      <c r="C44" s="12">
        <f t="shared" si="6"/>
        <v>42</v>
      </c>
      <c r="D44" s="12">
        <v>1</v>
      </c>
      <c r="E44" s="12" t="str">
        <f t="shared" si="2"/>
        <v>042</v>
      </c>
      <c r="G44" s="14" t="s">
        <v>875</v>
      </c>
      <c r="H44" s="12" t="s">
        <v>3986</v>
      </c>
      <c r="I44" s="12">
        <v>64277</v>
      </c>
      <c r="J44" s="12">
        <v>331</v>
      </c>
      <c r="K44" s="12" t="s">
        <v>20</v>
      </c>
      <c r="L44" s="12">
        <v>1</v>
      </c>
      <c r="M44" s="17">
        <v>500660</v>
      </c>
      <c r="N44" s="17">
        <f t="shared" si="7"/>
        <v>500660</v>
      </c>
      <c r="O44" s="12" t="s">
        <v>21</v>
      </c>
      <c r="P44" s="12">
        <f t="shared" si="5"/>
        <v>41</v>
      </c>
      <c r="Q44" s="12">
        <f t="shared" si="3"/>
        <v>42</v>
      </c>
      <c r="R44" s="12" t="str">
        <f t="shared" si="4"/>
        <v>CÔNG TY TNHH GF CAPITAL (VIỆT NAM)</v>
      </c>
      <c r="W44" s="14" t="s">
        <v>123</v>
      </c>
      <c r="X44" s="14" t="s">
        <v>5052</v>
      </c>
    </row>
    <row r="45" spans="1:29" ht="15" customHeight="1" x14ac:dyDescent="0.2">
      <c r="A45" s="12" t="s">
        <v>18</v>
      </c>
      <c r="B45" s="36" t="s">
        <v>2504</v>
      </c>
      <c r="C45" s="12">
        <f t="shared" si="6"/>
        <v>43</v>
      </c>
      <c r="D45" s="12">
        <v>1</v>
      </c>
      <c r="E45" s="12" t="str">
        <f t="shared" si="2"/>
        <v>043</v>
      </c>
      <c r="G45" s="14" t="s">
        <v>3872</v>
      </c>
      <c r="H45" s="12" t="s">
        <v>3987</v>
      </c>
      <c r="I45" s="12">
        <v>64277</v>
      </c>
      <c r="J45" s="12">
        <v>331</v>
      </c>
      <c r="K45" s="12" t="s">
        <v>20</v>
      </c>
      <c r="L45" s="12">
        <v>1</v>
      </c>
      <c r="M45" s="17">
        <v>40000</v>
      </c>
      <c r="N45" s="17">
        <f t="shared" si="7"/>
        <v>40000</v>
      </c>
      <c r="O45" s="12" t="s">
        <v>21</v>
      </c>
      <c r="P45" s="12">
        <f t="shared" si="5"/>
        <v>42</v>
      </c>
      <c r="Q45" s="12">
        <f t="shared" si="3"/>
        <v>31</v>
      </c>
      <c r="R45" s="12" t="str">
        <f t="shared" si="4"/>
        <v>CÔNG TY TNHH GRAB</v>
      </c>
      <c r="W45" s="14" t="s">
        <v>988</v>
      </c>
      <c r="X45" s="14" t="s">
        <v>5053</v>
      </c>
    </row>
    <row r="46" spans="1:29" ht="15" customHeight="1" x14ac:dyDescent="0.2">
      <c r="A46" s="12" t="s">
        <v>18</v>
      </c>
      <c r="B46" s="36" t="s">
        <v>2504</v>
      </c>
      <c r="C46" s="12">
        <f t="shared" si="6"/>
        <v>44</v>
      </c>
      <c r="D46" s="12">
        <v>1</v>
      </c>
      <c r="E46" s="12" t="str">
        <f t="shared" si="2"/>
        <v>044</v>
      </c>
      <c r="G46" s="14" t="s">
        <v>3872</v>
      </c>
      <c r="H46" s="12" t="s">
        <v>3988</v>
      </c>
      <c r="I46" s="12">
        <v>64277</v>
      </c>
      <c r="J46" s="12">
        <v>331</v>
      </c>
      <c r="K46" s="12" t="s">
        <v>20</v>
      </c>
      <c r="L46" s="12">
        <v>1</v>
      </c>
      <c r="M46" s="17">
        <v>324000</v>
      </c>
      <c r="N46" s="17">
        <f t="shared" si="7"/>
        <v>324000</v>
      </c>
      <c r="O46" s="12" t="s">
        <v>21</v>
      </c>
      <c r="P46" s="12">
        <f t="shared" si="5"/>
        <v>43</v>
      </c>
      <c r="Q46" s="12">
        <f t="shared" si="3"/>
        <v>31</v>
      </c>
      <c r="R46" s="12" t="str">
        <f t="shared" si="4"/>
        <v>CÔNG TY TNHH GRAB</v>
      </c>
      <c r="W46" s="14" t="s">
        <v>3873</v>
      </c>
      <c r="X46" s="14" t="s">
        <v>5054</v>
      </c>
    </row>
    <row r="47" spans="1:29" ht="15" customHeight="1" x14ac:dyDescent="0.2">
      <c r="A47" s="12" t="s">
        <v>18</v>
      </c>
      <c r="B47" s="36" t="s">
        <v>2513</v>
      </c>
      <c r="C47" s="12">
        <f t="shared" si="6"/>
        <v>45</v>
      </c>
      <c r="D47" s="12">
        <v>1</v>
      </c>
      <c r="E47" s="12" t="str">
        <f t="shared" si="2"/>
        <v>045</v>
      </c>
      <c r="G47" s="14" t="s">
        <v>3871</v>
      </c>
      <c r="H47" s="12" t="s">
        <v>3989</v>
      </c>
      <c r="I47" s="12">
        <v>64277</v>
      </c>
      <c r="J47" s="12">
        <v>331</v>
      </c>
      <c r="K47" s="12" t="s">
        <v>20</v>
      </c>
      <c r="L47" s="12">
        <v>1</v>
      </c>
      <c r="M47" s="17">
        <v>69200</v>
      </c>
      <c r="N47" s="17">
        <f t="shared" si="7"/>
        <v>69200</v>
      </c>
      <c r="O47" s="12" t="s">
        <v>21</v>
      </c>
      <c r="P47" s="12">
        <f t="shared" si="5"/>
        <v>44</v>
      </c>
      <c r="Q47" s="12">
        <f t="shared" si="3"/>
        <v>29</v>
      </c>
      <c r="R47" s="12" t="str">
        <f t="shared" si="4"/>
        <v>TỔNG CÔNG TY CỔ PHẦN BƯU CHÍNH VIETTEL</v>
      </c>
      <c r="W47" s="14" t="s">
        <v>274</v>
      </c>
      <c r="X47" s="14" t="s">
        <v>5055</v>
      </c>
    </row>
    <row r="48" spans="1:29" ht="15" customHeight="1" x14ac:dyDescent="0.2">
      <c r="A48" s="12" t="s">
        <v>18</v>
      </c>
      <c r="B48" s="36" t="s">
        <v>2513</v>
      </c>
      <c r="C48" s="12">
        <f t="shared" si="6"/>
        <v>46</v>
      </c>
      <c r="D48" s="12">
        <v>1</v>
      </c>
      <c r="E48" s="12" t="str">
        <f t="shared" si="2"/>
        <v>046</v>
      </c>
      <c r="G48" s="14" t="s">
        <v>3872</v>
      </c>
      <c r="H48" s="12" t="s">
        <v>3990</v>
      </c>
      <c r="I48" s="12">
        <v>64277</v>
      </c>
      <c r="J48" s="12">
        <v>331</v>
      </c>
      <c r="K48" s="12" t="s">
        <v>20</v>
      </c>
      <c r="L48" s="12">
        <v>1</v>
      </c>
      <c r="M48" s="17">
        <v>34000</v>
      </c>
      <c r="N48" s="17">
        <f t="shared" si="7"/>
        <v>34000</v>
      </c>
      <c r="O48" s="12" t="s">
        <v>21</v>
      </c>
      <c r="P48" s="12">
        <f t="shared" si="5"/>
        <v>45</v>
      </c>
      <c r="Q48" s="12">
        <f t="shared" si="3"/>
        <v>31</v>
      </c>
      <c r="R48" s="12" t="str">
        <f t="shared" si="4"/>
        <v>CÔNG TY TNHH GRAB</v>
      </c>
      <c r="W48" s="14" t="s">
        <v>3874</v>
      </c>
      <c r="X48" s="14" t="s">
        <v>5056</v>
      </c>
    </row>
    <row r="49" spans="1:24" ht="15" customHeight="1" x14ac:dyDescent="0.2">
      <c r="A49" s="12" t="s">
        <v>18</v>
      </c>
      <c r="B49" s="36" t="s">
        <v>291</v>
      </c>
      <c r="C49" s="12">
        <f t="shared" si="6"/>
        <v>47</v>
      </c>
      <c r="D49" s="12">
        <v>1</v>
      </c>
      <c r="E49" s="12" t="str">
        <f t="shared" si="2"/>
        <v>047</v>
      </c>
      <c r="G49" s="14" t="s">
        <v>2229</v>
      </c>
      <c r="H49" s="12" t="s">
        <v>5106</v>
      </c>
      <c r="I49" s="12">
        <v>131</v>
      </c>
      <c r="J49" s="12">
        <v>5113</v>
      </c>
      <c r="K49" s="12" t="s">
        <v>20</v>
      </c>
      <c r="L49" s="12">
        <v>1</v>
      </c>
      <c r="M49" s="17">
        <v>16129032</v>
      </c>
      <c r="N49" s="17">
        <f t="shared" si="7"/>
        <v>16129032</v>
      </c>
      <c r="O49" s="12" t="s">
        <v>21</v>
      </c>
      <c r="P49" s="12">
        <f t="shared" si="5"/>
        <v>46</v>
      </c>
      <c r="Q49" s="12">
        <f t="shared" si="3"/>
        <v>100</v>
      </c>
      <c r="R49" s="12" t="str">
        <f t="shared" si="4"/>
        <v>CÔNG TY TNHH ACTSONE VIỆT NAM</v>
      </c>
      <c r="W49" s="14" t="s">
        <v>3875</v>
      </c>
      <c r="X49" s="14" t="s">
        <v>5057</v>
      </c>
    </row>
    <row r="50" spans="1:24" ht="15" customHeight="1" x14ac:dyDescent="0.2">
      <c r="A50" s="12" t="s">
        <v>18</v>
      </c>
      <c r="B50" s="36" t="s">
        <v>291</v>
      </c>
      <c r="C50" s="12">
        <f t="shared" si="6"/>
        <v>47</v>
      </c>
      <c r="D50" s="12">
        <v>0</v>
      </c>
      <c r="E50" s="12" t="str">
        <f t="shared" si="2"/>
        <v>047</v>
      </c>
      <c r="G50" s="14" t="s">
        <v>2229</v>
      </c>
      <c r="H50" s="12" t="s">
        <v>5107</v>
      </c>
      <c r="I50" s="12">
        <v>333821</v>
      </c>
      <c r="J50" s="12">
        <v>131</v>
      </c>
      <c r="K50" s="12" t="s">
        <v>20</v>
      </c>
      <c r="L50" s="12">
        <v>1</v>
      </c>
      <c r="M50" s="17">
        <v>161290</v>
      </c>
      <c r="N50" s="17">
        <f t="shared" si="7"/>
        <v>161290</v>
      </c>
      <c r="O50" s="12" t="s">
        <v>21</v>
      </c>
      <c r="P50" s="12">
        <f t="shared" si="5"/>
        <v>46</v>
      </c>
      <c r="Q50" s="12">
        <f t="shared" si="3"/>
        <v>116</v>
      </c>
      <c r="R50" s="12" t="str">
        <f t="shared" si="4"/>
        <v>CÔNG TY TNHH ACTSONE VIỆT NAM</v>
      </c>
      <c r="W50" s="14" t="s">
        <v>3876</v>
      </c>
      <c r="X50" s="14" t="s">
        <v>5058</v>
      </c>
    </row>
    <row r="51" spans="1:24" ht="15" customHeight="1" x14ac:dyDescent="0.2">
      <c r="A51" s="12" t="s">
        <v>18</v>
      </c>
      <c r="B51" s="36" t="s">
        <v>314</v>
      </c>
      <c r="C51" s="12">
        <f t="shared" si="6"/>
        <v>48</v>
      </c>
      <c r="D51" s="12">
        <v>1</v>
      </c>
      <c r="E51" s="12" t="str">
        <f t="shared" si="2"/>
        <v>048</v>
      </c>
      <c r="G51" s="14" t="s">
        <v>117</v>
      </c>
      <c r="H51" s="12" t="s">
        <v>3887</v>
      </c>
      <c r="I51" s="12">
        <v>131</v>
      </c>
      <c r="J51" s="12">
        <v>5113</v>
      </c>
      <c r="K51" s="12" t="s">
        <v>20</v>
      </c>
      <c r="L51" s="12">
        <v>1</v>
      </c>
      <c r="M51" s="17">
        <v>32258065</v>
      </c>
      <c r="N51" s="17">
        <f t="shared" si="7"/>
        <v>32258065</v>
      </c>
      <c r="O51" s="12" t="s">
        <v>21</v>
      </c>
      <c r="P51" s="12">
        <f t="shared" si="5"/>
        <v>47</v>
      </c>
      <c r="Q51" s="12">
        <f t="shared" si="3"/>
        <v>162</v>
      </c>
      <c r="R51" s="12" t="str">
        <f t="shared" si="4"/>
        <v>CÔNG TY CỔ PHẦN GENA THÁI BÌNH DƯƠNG</v>
      </c>
      <c r="W51" s="14" t="s">
        <v>875</v>
      </c>
      <c r="X51" s="14" t="s">
        <v>5059</v>
      </c>
    </row>
    <row r="52" spans="1:24" ht="15" customHeight="1" x14ac:dyDescent="0.2">
      <c r="A52" s="12" t="s">
        <v>18</v>
      </c>
      <c r="B52" s="36" t="s">
        <v>314</v>
      </c>
      <c r="C52" s="12">
        <f t="shared" si="6"/>
        <v>48</v>
      </c>
      <c r="D52" s="12">
        <v>0</v>
      </c>
      <c r="E52" s="12" t="str">
        <f t="shared" si="2"/>
        <v>048</v>
      </c>
      <c r="G52" s="14" t="s">
        <v>117</v>
      </c>
      <c r="H52" s="12" t="s">
        <v>3919</v>
      </c>
      <c r="I52" s="12">
        <v>333821</v>
      </c>
      <c r="J52" s="12">
        <v>131</v>
      </c>
      <c r="K52" s="12" t="s">
        <v>20</v>
      </c>
      <c r="L52" s="12">
        <v>1</v>
      </c>
      <c r="M52" s="17">
        <v>322581</v>
      </c>
      <c r="N52" s="17">
        <f t="shared" si="7"/>
        <v>322581</v>
      </c>
      <c r="O52" s="12" t="s">
        <v>21</v>
      </c>
      <c r="P52" s="12">
        <f t="shared" si="5"/>
        <v>47</v>
      </c>
      <c r="Q52" s="12">
        <f t="shared" si="3"/>
        <v>178</v>
      </c>
      <c r="R52" s="12" t="str">
        <f t="shared" si="4"/>
        <v>CÔNG TY CỔ PHẦN GENA THÁI BÌNH DƯƠNG</v>
      </c>
      <c r="W52" s="14" t="s">
        <v>52</v>
      </c>
      <c r="X52" s="14" t="s">
        <v>5060</v>
      </c>
    </row>
    <row r="53" spans="1:24" ht="15" customHeight="1" x14ac:dyDescent="0.2">
      <c r="A53" s="12" t="s">
        <v>18</v>
      </c>
      <c r="B53" s="36" t="s">
        <v>315</v>
      </c>
      <c r="C53" s="12">
        <f t="shared" si="6"/>
        <v>49</v>
      </c>
      <c r="D53" s="12">
        <v>1</v>
      </c>
      <c r="E53" s="12" t="str">
        <f t="shared" si="2"/>
        <v>049</v>
      </c>
      <c r="G53" s="14" t="s">
        <v>42</v>
      </c>
      <c r="H53" s="12" t="s">
        <v>3888</v>
      </c>
      <c r="I53" s="12">
        <v>131</v>
      </c>
      <c r="J53" s="12">
        <v>5113</v>
      </c>
      <c r="K53" s="12" t="s">
        <v>20</v>
      </c>
      <c r="L53" s="12">
        <v>1</v>
      </c>
      <c r="M53" s="17">
        <v>21505376</v>
      </c>
      <c r="N53" s="17">
        <f t="shared" si="7"/>
        <v>21505376</v>
      </c>
      <c r="O53" s="12" t="s">
        <v>21</v>
      </c>
      <c r="P53" s="12">
        <f t="shared" si="5"/>
        <v>48</v>
      </c>
      <c r="Q53" s="12">
        <f t="shared" si="3"/>
        <v>166</v>
      </c>
      <c r="R53" s="12" t="str">
        <f t="shared" si="4"/>
        <v>CÔNG TY CỔ PHẦN METUB VIỆT NAM</v>
      </c>
      <c r="W53" s="14" t="s">
        <v>93</v>
      </c>
      <c r="X53" s="14" t="s">
        <v>5119</v>
      </c>
    </row>
    <row r="54" spans="1:24" ht="15" customHeight="1" x14ac:dyDescent="0.2">
      <c r="A54" s="12" t="s">
        <v>18</v>
      </c>
      <c r="B54" s="36" t="s">
        <v>315</v>
      </c>
      <c r="C54" s="12">
        <f t="shared" si="6"/>
        <v>49</v>
      </c>
      <c r="D54" s="12">
        <v>0</v>
      </c>
      <c r="E54" s="12" t="str">
        <f t="shared" si="2"/>
        <v>049</v>
      </c>
      <c r="G54" s="14" t="s">
        <v>42</v>
      </c>
      <c r="H54" s="12" t="s">
        <v>3920</v>
      </c>
      <c r="I54" s="12">
        <v>333821</v>
      </c>
      <c r="J54" s="12">
        <v>131</v>
      </c>
      <c r="K54" s="12" t="s">
        <v>20</v>
      </c>
      <c r="L54" s="12">
        <v>1</v>
      </c>
      <c r="M54" s="17">
        <v>215054</v>
      </c>
      <c r="N54" s="17">
        <f t="shared" si="7"/>
        <v>215054</v>
      </c>
      <c r="O54" s="12" t="s">
        <v>21</v>
      </c>
      <c r="P54" s="12">
        <f t="shared" si="5"/>
        <v>48</v>
      </c>
      <c r="Q54" s="12">
        <f t="shared" si="3"/>
        <v>182</v>
      </c>
      <c r="R54" s="12" t="str">
        <f t="shared" si="4"/>
        <v>CÔNG TY CỔ PHẦN METUB VIỆT NAM</v>
      </c>
      <c r="W54" s="14" t="s">
        <v>43</v>
      </c>
      <c r="X54" s="14" t="s">
        <v>5120</v>
      </c>
    </row>
    <row r="55" spans="1:24" ht="15" customHeight="1" x14ac:dyDescent="0.2">
      <c r="A55" s="12" t="s">
        <v>18</v>
      </c>
      <c r="B55" s="36" t="s">
        <v>470</v>
      </c>
      <c r="C55" s="12">
        <f t="shared" si="6"/>
        <v>50</v>
      </c>
      <c r="D55" s="12">
        <v>1</v>
      </c>
      <c r="E55" s="12" t="str">
        <f t="shared" si="2"/>
        <v>050</v>
      </c>
      <c r="G55" s="14" t="s">
        <v>128</v>
      </c>
      <c r="H55" s="12" t="s">
        <v>3889</v>
      </c>
      <c r="I55" s="12">
        <v>131</v>
      </c>
      <c r="J55" s="12">
        <v>5113</v>
      </c>
      <c r="K55" s="12" t="s">
        <v>20</v>
      </c>
      <c r="L55" s="12">
        <v>1</v>
      </c>
      <c r="M55" s="17">
        <v>16129033</v>
      </c>
      <c r="N55" s="17">
        <f t="shared" si="7"/>
        <v>16129033</v>
      </c>
      <c r="O55" s="12" t="s">
        <v>21</v>
      </c>
      <c r="P55" s="12">
        <f t="shared" si="5"/>
        <v>49</v>
      </c>
      <c r="Q55" s="12">
        <f t="shared" si="3"/>
        <v>151</v>
      </c>
      <c r="R55" s="12" t="str">
        <f t="shared" si="4"/>
        <v>CÔNG TY TNHH NÀNG THƠM COMMUNICATION</v>
      </c>
    </row>
    <row r="56" spans="1:24" ht="15" customHeight="1" x14ac:dyDescent="0.2">
      <c r="A56" s="12" t="s">
        <v>18</v>
      </c>
      <c r="B56" s="36" t="s">
        <v>470</v>
      </c>
      <c r="C56" s="12">
        <f t="shared" si="6"/>
        <v>50</v>
      </c>
      <c r="D56" s="12">
        <v>0</v>
      </c>
      <c r="E56" s="12" t="str">
        <f t="shared" si="2"/>
        <v>050</v>
      </c>
      <c r="G56" s="14" t="s">
        <v>128</v>
      </c>
      <c r="H56" s="12" t="s">
        <v>3921</v>
      </c>
      <c r="I56" s="12">
        <v>333821</v>
      </c>
      <c r="J56" s="12">
        <v>131</v>
      </c>
      <c r="K56" s="12" t="s">
        <v>20</v>
      </c>
      <c r="L56" s="12">
        <v>1</v>
      </c>
      <c r="M56" s="17">
        <v>161291</v>
      </c>
      <c r="N56" s="17">
        <f t="shared" si="7"/>
        <v>161291</v>
      </c>
      <c r="O56" s="12" t="s">
        <v>21</v>
      </c>
      <c r="P56" s="12">
        <f t="shared" si="5"/>
        <v>49</v>
      </c>
      <c r="Q56" s="12">
        <f t="shared" si="3"/>
        <v>167</v>
      </c>
      <c r="R56" s="12" t="str">
        <f t="shared" si="4"/>
        <v>CÔNG TY TNHH NÀNG THƠM COMMUNICATION</v>
      </c>
    </row>
    <row r="57" spans="1:24" ht="15" customHeight="1" x14ac:dyDescent="0.2">
      <c r="A57" s="12" t="s">
        <v>18</v>
      </c>
      <c r="B57" s="36" t="s">
        <v>470</v>
      </c>
      <c r="C57" s="12">
        <f t="shared" si="6"/>
        <v>51</v>
      </c>
      <c r="D57" s="12">
        <v>1</v>
      </c>
      <c r="E57" s="12" t="str">
        <f t="shared" si="2"/>
        <v>051</v>
      </c>
      <c r="G57" s="14" t="s">
        <v>2230</v>
      </c>
      <c r="H57" s="12" t="s">
        <v>3890</v>
      </c>
      <c r="I57" s="12">
        <v>131</v>
      </c>
      <c r="J57" s="12">
        <v>5113</v>
      </c>
      <c r="K57" s="12" t="s">
        <v>20</v>
      </c>
      <c r="L57" s="12">
        <v>1</v>
      </c>
      <c r="M57" s="17">
        <v>11827958</v>
      </c>
      <c r="N57" s="17">
        <f t="shared" si="7"/>
        <v>11827958</v>
      </c>
      <c r="O57" s="12" t="s">
        <v>21</v>
      </c>
      <c r="P57" s="12">
        <f t="shared" si="5"/>
        <v>50</v>
      </c>
      <c r="Q57" s="12">
        <f t="shared" si="3"/>
        <v>105</v>
      </c>
      <c r="R57" s="12" t="str">
        <f t="shared" si="4"/>
        <v>VĂN PHÒNG ĐẠI DIỆN BELECO CO.,LTD. TẠI THÀNH PHỐ HỒ CHÍ MINH</v>
      </c>
    </row>
    <row r="58" spans="1:24" ht="15" customHeight="1" x14ac:dyDescent="0.2">
      <c r="A58" s="12" t="s">
        <v>18</v>
      </c>
      <c r="B58" s="36" t="s">
        <v>470</v>
      </c>
      <c r="C58" s="12">
        <f t="shared" si="6"/>
        <v>51</v>
      </c>
      <c r="D58" s="12">
        <v>0</v>
      </c>
      <c r="E58" s="12" t="str">
        <f t="shared" si="2"/>
        <v>051</v>
      </c>
      <c r="G58" s="14" t="s">
        <v>2230</v>
      </c>
      <c r="H58" s="12" t="s">
        <v>3922</v>
      </c>
      <c r="I58" s="12">
        <v>333821</v>
      </c>
      <c r="J58" s="12">
        <v>131</v>
      </c>
      <c r="K58" s="12" t="s">
        <v>20</v>
      </c>
      <c r="L58" s="12">
        <v>1</v>
      </c>
      <c r="M58" s="17">
        <v>118280</v>
      </c>
      <c r="N58" s="17">
        <f t="shared" si="7"/>
        <v>118280</v>
      </c>
      <c r="O58" s="12" t="s">
        <v>21</v>
      </c>
      <c r="P58" s="12">
        <f t="shared" si="5"/>
        <v>50</v>
      </c>
      <c r="Q58" s="12">
        <f t="shared" si="3"/>
        <v>121</v>
      </c>
      <c r="R58" s="12" t="str">
        <f t="shared" si="4"/>
        <v>VĂN PHÒNG ĐẠI DIỆN BELECO CO.,LTD. TẠI THÀNH PHỐ HỒ CHÍ MINH</v>
      </c>
    </row>
    <row r="59" spans="1:24" ht="15" customHeight="1" x14ac:dyDescent="0.2">
      <c r="A59" s="12" t="s">
        <v>18</v>
      </c>
      <c r="B59" s="36" t="s">
        <v>470</v>
      </c>
      <c r="C59" s="12">
        <f t="shared" si="6"/>
        <v>52</v>
      </c>
      <c r="D59" s="12">
        <v>1</v>
      </c>
      <c r="E59" s="12" t="str">
        <f t="shared" si="2"/>
        <v>052</v>
      </c>
      <c r="G59" s="14" t="s">
        <v>144</v>
      </c>
      <c r="H59" s="12" t="s">
        <v>3891</v>
      </c>
      <c r="I59" s="12">
        <v>131</v>
      </c>
      <c r="J59" s="12">
        <v>5113</v>
      </c>
      <c r="K59" s="12" t="s">
        <v>20</v>
      </c>
      <c r="L59" s="12">
        <v>1</v>
      </c>
      <c r="M59" s="17">
        <v>16129032</v>
      </c>
      <c r="N59" s="17">
        <f t="shared" si="7"/>
        <v>16129032</v>
      </c>
      <c r="O59" s="12" t="s">
        <v>21</v>
      </c>
      <c r="P59" s="12">
        <f t="shared" si="5"/>
        <v>51</v>
      </c>
      <c r="Q59" s="12">
        <f t="shared" si="3"/>
        <v>157</v>
      </c>
      <c r="R59" s="12" t="str">
        <f t="shared" si="4"/>
        <v>CÔNG TY TNHH SPARKLE MEDIA</v>
      </c>
    </row>
    <row r="60" spans="1:24" ht="15" customHeight="1" x14ac:dyDescent="0.2">
      <c r="A60" s="12" t="s">
        <v>18</v>
      </c>
      <c r="B60" s="36" t="s">
        <v>470</v>
      </c>
      <c r="C60" s="12">
        <f t="shared" si="6"/>
        <v>52</v>
      </c>
      <c r="D60" s="12">
        <v>0</v>
      </c>
      <c r="E60" s="12" t="str">
        <f t="shared" si="2"/>
        <v>052</v>
      </c>
      <c r="G60" s="14" t="s">
        <v>144</v>
      </c>
      <c r="H60" s="12" t="s">
        <v>3923</v>
      </c>
      <c r="I60" s="12">
        <v>333821</v>
      </c>
      <c r="J60" s="12">
        <v>131</v>
      </c>
      <c r="K60" s="12" t="s">
        <v>20</v>
      </c>
      <c r="L60" s="12">
        <v>1</v>
      </c>
      <c r="M60" s="17">
        <v>161290</v>
      </c>
      <c r="N60" s="17">
        <f t="shared" si="7"/>
        <v>161290</v>
      </c>
      <c r="O60" s="12" t="s">
        <v>21</v>
      </c>
      <c r="P60" s="12">
        <f t="shared" si="5"/>
        <v>51</v>
      </c>
      <c r="Q60" s="12">
        <f t="shared" si="3"/>
        <v>173</v>
      </c>
      <c r="R60" s="12" t="str">
        <f t="shared" si="4"/>
        <v>CÔNG TY TNHH SPARKLE MEDIA</v>
      </c>
    </row>
    <row r="61" spans="1:24" ht="15" customHeight="1" x14ac:dyDescent="0.2">
      <c r="A61" s="12" t="s">
        <v>18</v>
      </c>
      <c r="B61" s="36" t="s">
        <v>316</v>
      </c>
      <c r="C61" s="12">
        <f t="shared" si="6"/>
        <v>53</v>
      </c>
      <c r="D61" s="12">
        <v>1</v>
      </c>
      <c r="E61" s="12" t="str">
        <f t="shared" si="2"/>
        <v>053</v>
      </c>
      <c r="G61" s="14" t="s">
        <v>29</v>
      </c>
      <c r="H61" s="12" t="s">
        <v>3892</v>
      </c>
      <c r="I61" s="12">
        <v>131</v>
      </c>
      <c r="J61" s="12">
        <v>5113</v>
      </c>
      <c r="K61" s="12" t="s">
        <v>20</v>
      </c>
      <c r="L61" s="12">
        <v>1</v>
      </c>
      <c r="M61" s="17">
        <v>30107527</v>
      </c>
      <c r="N61" s="17">
        <f t="shared" si="7"/>
        <v>30107527</v>
      </c>
      <c r="O61" s="12" t="s">
        <v>21</v>
      </c>
      <c r="P61" s="12">
        <f t="shared" si="5"/>
        <v>52</v>
      </c>
      <c r="Q61" s="12">
        <f t="shared" si="3"/>
        <v>156</v>
      </c>
      <c r="R61" s="12" t="str">
        <f t="shared" si="4"/>
        <v>CÔNG TY TNHH MINDO SOLUTIONS</v>
      </c>
    </row>
    <row r="62" spans="1:24" ht="15" customHeight="1" x14ac:dyDescent="0.2">
      <c r="A62" s="12" t="s">
        <v>18</v>
      </c>
      <c r="B62" s="36" t="s">
        <v>316</v>
      </c>
      <c r="C62" s="12">
        <f t="shared" si="6"/>
        <v>53</v>
      </c>
      <c r="D62" s="12">
        <v>0</v>
      </c>
      <c r="E62" s="12" t="str">
        <f t="shared" si="2"/>
        <v>053</v>
      </c>
      <c r="G62" s="14" t="s">
        <v>29</v>
      </c>
      <c r="H62" s="12" t="s">
        <v>3924</v>
      </c>
      <c r="I62" s="12">
        <v>333821</v>
      </c>
      <c r="J62" s="12">
        <v>131</v>
      </c>
      <c r="K62" s="12" t="s">
        <v>20</v>
      </c>
      <c r="L62" s="12">
        <v>1</v>
      </c>
      <c r="M62" s="17">
        <v>0</v>
      </c>
      <c r="N62" s="17">
        <f t="shared" si="7"/>
        <v>0</v>
      </c>
      <c r="O62" s="12" t="s">
        <v>21</v>
      </c>
      <c r="P62" s="12">
        <f t="shared" si="5"/>
        <v>52</v>
      </c>
      <c r="Q62" s="12">
        <f t="shared" si="3"/>
        <v>172</v>
      </c>
      <c r="R62" s="12" t="str">
        <f t="shared" si="4"/>
        <v>CÔNG TY TNHH MINDO SOLUTIONS</v>
      </c>
    </row>
    <row r="63" spans="1:24" ht="15" customHeight="1" x14ac:dyDescent="0.2">
      <c r="A63" s="12" t="s">
        <v>18</v>
      </c>
      <c r="B63" s="36" t="s">
        <v>471</v>
      </c>
      <c r="C63" s="12">
        <f t="shared" si="6"/>
        <v>54</v>
      </c>
      <c r="D63" s="12">
        <v>1</v>
      </c>
      <c r="E63" s="12" t="str">
        <f t="shared" si="2"/>
        <v>054</v>
      </c>
      <c r="G63" s="14" t="s">
        <v>144</v>
      </c>
      <c r="H63" s="12" t="s">
        <v>3893</v>
      </c>
      <c r="I63" s="12">
        <v>131</v>
      </c>
      <c r="J63" s="12">
        <v>5113</v>
      </c>
      <c r="K63" s="12" t="s">
        <v>20</v>
      </c>
      <c r="L63" s="12">
        <v>1</v>
      </c>
      <c r="M63" s="17">
        <v>32258066</v>
      </c>
      <c r="N63" s="17">
        <f t="shared" si="7"/>
        <v>32258066</v>
      </c>
      <c r="O63" s="12" t="s">
        <v>21</v>
      </c>
      <c r="P63" s="12">
        <f t="shared" si="5"/>
        <v>53</v>
      </c>
      <c r="Q63" s="12">
        <f t="shared" si="3"/>
        <v>179</v>
      </c>
      <c r="R63" s="12" t="str">
        <f t="shared" si="4"/>
        <v>CÔNG TY TNHH SPARKLE MEDIA</v>
      </c>
    </row>
    <row r="64" spans="1:24" ht="15" customHeight="1" x14ac:dyDescent="0.2">
      <c r="A64" s="12" t="s">
        <v>18</v>
      </c>
      <c r="B64" s="36" t="s">
        <v>471</v>
      </c>
      <c r="C64" s="12">
        <f t="shared" si="6"/>
        <v>54</v>
      </c>
      <c r="D64" s="12">
        <v>0</v>
      </c>
      <c r="E64" s="12" t="str">
        <f t="shared" si="2"/>
        <v>054</v>
      </c>
      <c r="G64" s="14" t="s">
        <v>144</v>
      </c>
      <c r="H64" s="12" t="s">
        <v>3925</v>
      </c>
      <c r="I64" s="12">
        <v>333821</v>
      </c>
      <c r="J64" s="12">
        <v>131</v>
      </c>
      <c r="K64" s="12" t="s">
        <v>20</v>
      </c>
      <c r="L64" s="12">
        <v>1</v>
      </c>
      <c r="M64" s="17">
        <v>322582</v>
      </c>
      <c r="N64" s="17">
        <f t="shared" si="7"/>
        <v>322582</v>
      </c>
      <c r="O64" s="12" t="s">
        <v>21</v>
      </c>
      <c r="P64" s="12">
        <f t="shared" si="5"/>
        <v>53</v>
      </c>
      <c r="Q64" s="12">
        <f t="shared" si="3"/>
        <v>195</v>
      </c>
      <c r="R64" s="12" t="str">
        <f t="shared" si="4"/>
        <v>CÔNG TY TNHH SPARKLE MEDIA</v>
      </c>
    </row>
    <row r="65" spans="1:18" ht="15" customHeight="1" x14ac:dyDescent="0.2">
      <c r="A65" s="12" t="s">
        <v>18</v>
      </c>
      <c r="B65" s="36" t="s">
        <v>471</v>
      </c>
      <c r="C65" s="12">
        <f t="shared" si="6"/>
        <v>55</v>
      </c>
      <c r="D65" s="12">
        <v>1</v>
      </c>
      <c r="E65" s="12" t="str">
        <f t="shared" si="2"/>
        <v>055</v>
      </c>
      <c r="G65" s="14" t="s">
        <v>47</v>
      </c>
      <c r="H65" s="12" t="s">
        <v>5108</v>
      </c>
      <c r="I65" s="12">
        <v>131</v>
      </c>
      <c r="J65" s="12">
        <v>5113</v>
      </c>
      <c r="K65" s="12" t="s">
        <v>20</v>
      </c>
      <c r="L65" s="12">
        <v>1</v>
      </c>
      <c r="M65" s="17">
        <v>21505377</v>
      </c>
      <c r="N65" s="17">
        <f t="shared" si="7"/>
        <v>21505377</v>
      </c>
      <c r="O65" s="12" t="s">
        <v>21</v>
      </c>
      <c r="P65" s="12">
        <f t="shared" si="5"/>
        <v>54</v>
      </c>
      <c r="Q65" s="12">
        <f t="shared" si="3"/>
        <v>187</v>
      </c>
      <c r="R65" s="12" t="str">
        <f t="shared" si="4"/>
        <v>CÔNG TY CỔ PHẦN Y&amp;B</v>
      </c>
    </row>
    <row r="66" spans="1:18" ht="15" customHeight="1" x14ac:dyDescent="0.2">
      <c r="A66" s="12" t="s">
        <v>18</v>
      </c>
      <c r="B66" s="36" t="s">
        <v>471</v>
      </c>
      <c r="C66" s="12">
        <f t="shared" si="6"/>
        <v>55</v>
      </c>
      <c r="D66" s="12">
        <v>0</v>
      </c>
      <c r="E66" s="12" t="str">
        <f t="shared" si="2"/>
        <v>055</v>
      </c>
      <c r="G66" s="14" t="s">
        <v>47</v>
      </c>
      <c r="H66" s="12" t="s">
        <v>5110</v>
      </c>
      <c r="I66" s="12">
        <v>333821</v>
      </c>
      <c r="J66" s="12">
        <v>131</v>
      </c>
      <c r="K66" s="12" t="s">
        <v>20</v>
      </c>
      <c r="L66" s="12">
        <v>1</v>
      </c>
      <c r="M66" s="17">
        <v>215054</v>
      </c>
      <c r="N66" s="17">
        <f t="shared" si="7"/>
        <v>215054</v>
      </c>
      <c r="O66" s="12" t="s">
        <v>21</v>
      </c>
      <c r="P66" s="12">
        <f t="shared" si="5"/>
        <v>54</v>
      </c>
      <c r="Q66" s="12">
        <f t="shared" si="3"/>
        <v>192</v>
      </c>
      <c r="R66" s="12" t="str">
        <f t="shared" si="4"/>
        <v>CÔNG TY CỔ PHẦN Y&amp;B</v>
      </c>
    </row>
    <row r="67" spans="1:18" ht="15" customHeight="1" x14ac:dyDescent="0.2">
      <c r="A67" s="12" t="s">
        <v>18</v>
      </c>
      <c r="B67" s="36" t="s">
        <v>318</v>
      </c>
      <c r="C67" s="12">
        <f t="shared" si="6"/>
        <v>56</v>
      </c>
      <c r="D67" s="12">
        <v>1</v>
      </c>
      <c r="E67" s="12" t="str">
        <f t="shared" si="2"/>
        <v>056</v>
      </c>
      <c r="G67" s="14" t="s">
        <v>3881</v>
      </c>
      <c r="H67" s="12" t="s">
        <v>3894</v>
      </c>
      <c r="I67" s="12">
        <v>131</v>
      </c>
      <c r="J67" s="12">
        <v>5113</v>
      </c>
      <c r="K67" s="12" t="s">
        <v>20</v>
      </c>
      <c r="L67" s="12">
        <v>1</v>
      </c>
      <c r="M67" s="17">
        <v>16129032</v>
      </c>
      <c r="N67" s="17">
        <f t="shared" si="7"/>
        <v>16129032</v>
      </c>
      <c r="O67" s="12" t="s">
        <v>21</v>
      </c>
      <c r="P67" s="12">
        <f t="shared" si="5"/>
        <v>55</v>
      </c>
      <c r="Q67" s="12">
        <f t="shared" si="3"/>
        <v>143</v>
      </c>
      <c r="R67" s="12" t="str">
        <f t="shared" si="4"/>
        <v>CÔNG TY TNHH KARMARTS VIỆT NAM</v>
      </c>
    </row>
    <row r="68" spans="1:18" ht="15" customHeight="1" x14ac:dyDescent="0.2">
      <c r="A68" s="12" t="s">
        <v>18</v>
      </c>
      <c r="B68" s="36" t="s">
        <v>318</v>
      </c>
      <c r="C68" s="12">
        <f t="shared" ref="C68:C99" si="8">C67+D68</f>
        <v>56</v>
      </c>
      <c r="D68" s="12">
        <v>0</v>
      </c>
      <c r="E68" s="12" t="str">
        <f t="shared" si="2"/>
        <v>056</v>
      </c>
      <c r="G68" s="14" t="s">
        <v>3881</v>
      </c>
      <c r="H68" s="12" t="s">
        <v>3926</v>
      </c>
      <c r="I68" s="12">
        <v>333821</v>
      </c>
      <c r="J68" s="12">
        <v>131</v>
      </c>
      <c r="K68" s="12" t="s">
        <v>20</v>
      </c>
      <c r="L68" s="12">
        <v>1</v>
      </c>
      <c r="M68" s="17">
        <v>161290</v>
      </c>
      <c r="N68" s="17">
        <f t="shared" ref="N68:N99" si="9">L68*M68</f>
        <v>161290</v>
      </c>
      <c r="O68" s="12" t="s">
        <v>21</v>
      </c>
      <c r="P68" s="12">
        <f t="shared" si="5"/>
        <v>55</v>
      </c>
      <c r="Q68" s="12">
        <f t="shared" si="3"/>
        <v>159</v>
      </c>
      <c r="R68" s="12" t="str">
        <f t="shared" si="4"/>
        <v>CÔNG TY TNHH KARMARTS VIỆT NAM</v>
      </c>
    </row>
    <row r="69" spans="1:18" ht="15" customHeight="1" x14ac:dyDescent="0.2">
      <c r="A69" s="12" t="s">
        <v>18</v>
      </c>
      <c r="B69" s="36" t="s">
        <v>418</v>
      </c>
      <c r="C69" s="12">
        <f t="shared" si="8"/>
        <v>57</v>
      </c>
      <c r="D69" s="12">
        <v>1</v>
      </c>
      <c r="E69" s="12" t="str">
        <f t="shared" ref="E69:E132" si="10">TEXT(C69,"000")</f>
        <v>057</v>
      </c>
      <c r="G69" s="14" t="s">
        <v>128</v>
      </c>
      <c r="H69" s="12" t="s">
        <v>3895</v>
      </c>
      <c r="I69" s="12">
        <v>131</v>
      </c>
      <c r="J69" s="12">
        <v>5113</v>
      </c>
      <c r="K69" s="12" t="s">
        <v>20</v>
      </c>
      <c r="L69" s="12">
        <v>1</v>
      </c>
      <c r="M69" s="17">
        <v>16129032</v>
      </c>
      <c r="N69" s="17">
        <f t="shared" si="9"/>
        <v>16129032</v>
      </c>
      <c r="O69" s="12" t="s">
        <v>21</v>
      </c>
      <c r="P69" s="12">
        <f t="shared" si="5"/>
        <v>56</v>
      </c>
      <c r="Q69" s="12">
        <f t="shared" ref="Q69:Q132" si="11">LEN(H69)</f>
        <v>152</v>
      </c>
      <c r="R69" s="12" t="str">
        <f t="shared" ref="R69:R132" si="12">VLOOKUP(G69,$W$4:$X$100,2,0)</f>
        <v>CÔNG TY TNHH NÀNG THƠM COMMUNICATION</v>
      </c>
    </row>
    <row r="70" spans="1:18" ht="15" customHeight="1" x14ac:dyDescent="0.2">
      <c r="A70" s="12" t="s">
        <v>18</v>
      </c>
      <c r="B70" s="36" t="s">
        <v>418</v>
      </c>
      <c r="C70" s="12">
        <f t="shared" si="8"/>
        <v>57</v>
      </c>
      <c r="D70" s="12">
        <v>0</v>
      </c>
      <c r="E70" s="12" t="str">
        <f t="shared" si="10"/>
        <v>057</v>
      </c>
      <c r="G70" s="14" t="s">
        <v>128</v>
      </c>
      <c r="H70" s="12" t="s">
        <v>3927</v>
      </c>
      <c r="I70" s="12">
        <v>333821</v>
      </c>
      <c r="J70" s="12">
        <v>131</v>
      </c>
      <c r="K70" s="12" t="s">
        <v>20</v>
      </c>
      <c r="L70" s="12">
        <v>1</v>
      </c>
      <c r="M70" s="17">
        <v>161290</v>
      </c>
      <c r="N70" s="17">
        <f t="shared" si="9"/>
        <v>161290</v>
      </c>
      <c r="O70" s="12" t="s">
        <v>21</v>
      </c>
      <c r="P70" s="12">
        <f t="shared" ref="P70:P133" si="13">P69+D70</f>
        <v>56</v>
      </c>
      <c r="Q70" s="12">
        <f t="shared" si="11"/>
        <v>168</v>
      </c>
      <c r="R70" s="12" t="str">
        <f t="shared" si="12"/>
        <v>CÔNG TY TNHH NÀNG THƠM COMMUNICATION</v>
      </c>
    </row>
    <row r="71" spans="1:18" ht="15" customHeight="1" x14ac:dyDescent="0.2">
      <c r="A71" s="12" t="s">
        <v>18</v>
      </c>
      <c r="B71" s="36" t="s">
        <v>522</v>
      </c>
      <c r="C71" s="12">
        <f t="shared" si="8"/>
        <v>58</v>
      </c>
      <c r="D71" s="12">
        <v>1</v>
      </c>
      <c r="E71" s="12" t="str">
        <f t="shared" si="10"/>
        <v>058</v>
      </c>
      <c r="G71" s="14" t="s">
        <v>117</v>
      </c>
      <c r="H71" s="12" t="s">
        <v>3896</v>
      </c>
      <c r="I71" s="12">
        <v>131</v>
      </c>
      <c r="J71" s="12">
        <v>5113</v>
      </c>
      <c r="K71" s="12" t="s">
        <v>20</v>
      </c>
      <c r="L71" s="12">
        <v>1</v>
      </c>
      <c r="M71" s="17">
        <v>6451613</v>
      </c>
      <c r="N71" s="17">
        <f t="shared" si="9"/>
        <v>6451613</v>
      </c>
      <c r="O71" s="12" t="s">
        <v>21</v>
      </c>
      <c r="P71" s="12">
        <f t="shared" si="13"/>
        <v>57</v>
      </c>
      <c r="Q71" s="12">
        <f t="shared" si="11"/>
        <v>192</v>
      </c>
      <c r="R71" s="12" t="str">
        <f t="shared" si="12"/>
        <v>CÔNG TY CỔ PHẦN GENA THÁI BÌNH DƯƠNG</v>
      </c>
    </row>
    <row r="72" spans="1:18" ht="15" customHeight="1" x14ac:dyDescent="0.2">
      <c r="A72" s="12" t="s">
        <v>18</v>
      </c>
      <c r="B72" s="36" t="s">
        <v>522</v>
      </c>
      <c r="C72" s="12">
        <f t="shared" si="8"/>
        <v>58</v>
      </c>
      <c r="D72" s="12">
        <v>0</v>
      </c>
      <c r="E72" s="12" t="str">
        <f t="shared" si="10"/>
        <v>058</v>
      </c>
      <c r="G72" s="14" t="s">
        <v>117</v>
      </c>
      <c r="H72" s="12" t="s">
        <v>5109</v>
      </c>
      <c r="I72" s="12">
        <v>333821</v>
      </c>
      <c r="J72" s="12">
        <v>131</v>
      </c>
      <c r="K72" s="12" t="s">
        <v>20</v>
      </c>
      <c r="L72" s="12">
        <v>1</v>
      </c>
      <c r="M72" s="17">
        <v>64516</v>
      </c>
      <c r="N72" s="17">
        <f t="shared" si="9"/>
        <v>64516</v>
      </c>
      <c r="O72" s="12" t="s">
        <v>21</v>
      </c>
      <c r="P72" s="12">
        <f t="shared" si="13"/>
        <v>57</v>
      </c>
      <c r="Q72" s="12">
        <f t="shared" si="11"/>
        <v>144</v>
      </c>
      <c r="R72" s="12" t="str">
        <f t="shared" si="12"/>
        <v>CÔNG TY CỔ PHẦN GENA THÁI BÌNH DƯƠNG</v>
      </c>
    </row>
    <row r="73" spans="1:18" ht="15" customHeight="1" x14ac:dyDescent="0.2">
      <c r="A73" s="12" t="s">
        <v>18</v>
      </c>
      <c r="B73" s="36" t="s">
        <v>713</v>
      </c>
      <c r="C73" s="12">
        <f t="shared" si="8"/>
        <v>59</v>
      </c>
      <c r="D73" s="12">
        <v>1</v>
      </c>
      <c r="E73" s="12" t="str">
        <f t="shared" si="10"/>
        <v>059</v>
      </c>
      <c r="G73" s="14" t="s">
        <v>29</v>
      </c>
      <c r="H73" s="12" t="s">
        <v>3897</v>
      </c>
      <c r="I73" s="12">
        <v>131</v>
      </c>
      <c r="J73" s="12">
        <v>5113</v>
      </c>
      <c r="K73" s="12" t="s">
        <v>20</v>
      </c>
      <c r="L73" s="12">
        <v>1</v>
      </c>
      <c r="M73" s="17">
        <v>2150538</v>
      </c>
      <c r="N73" s="17">
        <f t="shared" si="9"/>
        <v>2150538</v>
      </c>
      <c r="O73" s="12" t="s">
        <v>21</v>
      </c>
      <c r="P73" s="12">
        <f t="shared" si="13"/>
        <v>58</v>
      </c>
      <c r="Q73" s="12">
        <f t="shared" si="11"/>
        <v>142</v>
      </c>
      <c r="R73" s="12" t="str">
        <f t="shared" si="12"/>
        <v>CÔNG TY TNHH MINDO SOLUTIONS</v>
      </c>
    </row>
    <row r="74" spans="1:18" ht="15" customHeight="1" x14ac:dyDescent="0.2">
      <c r="A74" s="12" t="s">
        <v>18</v>
      </c>
      <c r="B74" s="36" t="s">
        <v>713</v>
      </c>
      <c r="C74" s="12">
        <f t="shared" si="8"/>
        <v>59</v>
      </c>
      <c r="D74" s="12">
        <v>0</v>
      </c>
      <c r="E74" s="12" t="str">
        <f t="shared" si="10"/>
        <v>059</v>
      </c>
      <c r="G74" s="14" t="s">
        <v>29</v>
      </c>
      <c r="H74" s="12" t="s">
        <v>3928</v>
      </c>
      <c r="I74" s="12">
        <v>333821</v>
      </c>
      <c r="J74" s="12">
        <v>131</v>
      </c>
      <c r="K74" s="12" t="s">
        <v>20</v>
      </c>
      <c r="L74" s="12">
        <v>1</v>
      </c>
      <c r="M74" s="17">
        <v>0</v>
      </c>
      <c r="N74" s="17">
        <f t="shared" si="9"/>
        <v>0</v>
      </c>
      <c r="O74" s="12" t="s">
        <v>21</v>
      </c>
      <c r="P74" s="12">
        <f t="shared" si="13"/>
        <v>58</v>
      </c>
      <c r="Q74" s="12">
        <f t="shared" si="11"/>
        <v>158</v>
      </c>
      <c r="R74" s="12" t="str">
        <f t="shared" si="12"/>
        <v>CÔNG TY TNHH MINDO SOLUTIONS</v>
      </c>
    </row>
    <row r="75" spans="1:18" ht="15" customHeight="1" x14ac:dyDescent="0.2">
      <c r="A75" s="12" t="s">
        <v>18</v>
      </c>
      <c r="B75" s="36" t="s">
        <v>452</v>
      </c>
      <c r="C75" s="12">
        <f t="shared" si="8"/>
        <v>60</v>
      </c>
      <c r="D75" s="12">
        <v>1</v>
      </c>
      <c r="E75" s="12" t="str">
        <f t="shared" si="10"/>
        <v>060</v>
      </c>
      <c r="G75" s="14" t="s">
        <v>406</v>
      </c>
      <c r="H75" s="12" t="s">
        <v>3898</v>
      </c>
      <c r="I75" s="12">
        <v>131</v>
      </c>
      <c r="J75" s="12">
        <v>5113</v>
      </c>
      <c r="K75" s="12" t="s">
        <v>20</v>
      </c>
      <c r="L75" s="12">
        <v>1</v>
      </c>
      <c r="M75" s="17">
        <v>16129032</v>
      </c>
      <c r="N75" s="17">
        <f t="shared" si="9"/>
        <v>16129032</v>
      </c>
      <c r="O75" s="12" t="s">
        <v>21</v>
      </c>
      <c r="P75" s="12">
        <f t="shared" si="13"/>
        <v>59</v>
      </c>
      <c r="Q75" s="12">
        <f t="shared" si="11"/>
        <v>155</v>
      </c>
      <c r="R75" s="12" t="str">
        <f t="shared" si="12"/>
        <v>CÔNG TY CP ĐẦU TƯ BULSAN GROUP</v>
      </c>
    </row>
    <row r="76" spans="1:18" ht="15" customHeight="1" x14ac:dyDescent="0.2">
      <c r="A76" s="12" t="s">
        <v>18</v>
      </c>
      <c r="B76" s="36" t="s">
        <v>452</v>
      </c>
      <c r="C76" s="12">
        <f t="shared" si="8"/>
        <v>60</v>
      </c>
      <c r="D76" s="12">
        <v>0</v>
      </c>
      <c r="E76" s="12" t="str">
        <f t="shared" si="10"/>
        <v>060</v>
      </c>
      <c r="G76" s="14" t="s">
        <v>406</v>
      </c>
      <c r="H76" s="12" t="s">
        <v>3929</v>
      </c>
      <c r="I76" s="12">
        <v>333821</v>
      </c>
      <c r="J76" s="12">
        <v>131</v>
      </c>
      <c r="K76" s="12" t="s">
        <v>20</v>
      </c>
      <c r="L76" s="12">
        <v>1</v>
      </c>
      <c r="M76" s="17">
        <v>161290</v>
      </c>
      <c r="N76" s="17">
        <f t="shared" si="9"/>
        <v>161290</v>
      </c>
      <c r="O76" s="12" t="s">
        <v>21</v>
      </c>
      <c r="P76" s="12">
        <f t="shared" si="13"/>
        <v>59</v>
      </c>
      <c r="Q76" s="12">
        <f t="shared" si="11"/>
        <v>171</v>
      </c>
      <c r="R76" s="12" t="str">
        <f t="shared" si="12"/>
        <v>CÔNG TY CP ĐẦU TƯ BULSAN GROUP</v>
      </c>
    </row>
    <row r="77" spans="1:18" ht="15" customHeight="1" x14ac:dyDescent="0.2">
      <c r="A77" s="12" t="s">
        <v>18</v>
      </c>
      <c r="B77" s="36" t="s">
        <v>452</v>
      </c>
      <c r="C77" s="12">
        <f t="shared" si="8"/>
        <v>61</v>
      </c>
      <c r="D77" s="12">
        <v>1</v>
      </c>
      <c r="E77" s="12" t="str">
        <f t="shared" si="10"/>
        <v>061</v>
      </c>
      <c r="G77" s="14" t="s">
        <v>3882</v>
      </c>
      <c r="H77" s="12" t="s">
        <v>3899</v>
      </c>
      <c r="I77" s="12">
        <v>131</v>
      </c>
      <c r="J77" s="12">
        <v>5113</v>
      </c>
      <c r="K77" s="12" t="s">
        <v>20</v>
      </c>
      <c r="L77" s="12">
        <v>1</v>
      </c>
      <c r="M77" s="17">
        <v>16129032</v>
      </c>
      <c r="N77" s="17">
        <f t="shared" si="9"/>
        <v>16129032</v>
      </c>
      <c r="O77" s="12" t="s">
        <v>21</v>
      </c>
      <c r="P77" s="12">
        <f t="shared" si="13"/>
        <v>60</v>
      </c>
      <c r="Q77" s="12">
        <f t="shared" si="11"/>
        <v>154</v>
      </c>
      <c r="R77" s="12" t="str">
        <f t="shared" si="12"/>
        <v>CÔNG TY TNHH MTV THƯƠNG MẠI DỊCH VỤ BLUE OCEAN</v>
      </c>
    </row>
    <row r="78" spans="1:18" ht="15" customHeight="1" x14ac:dyDescent="0.2">
      <c r="A78" s="12" t="s">
        <v>18</v>
      </c>
      <c r="B78" s="36" t="s">
        <v>452</v>
      </c>
      <c r="C78" s="12">
        <f t="shared" si="8"/>
        <v>61</v>
      </c>
      <c r="D78" s="12">
        <v>0</v>
      </c>
      <c r="E78" s="12" t="str">
        <f t="shared" si="10"/>
        <v>061</v>
      </c>
      <c r="G78" s="14" t="s">
        <v>3882</v>
      </c>
      <c r="H78" s="12" t="s">
        <v>3930</v>
      </c>
      <c r="I78" s="12">
        <v>333821</v>
      </c>
      <c r="J78" s="12">
        <v>131</v>
      </c>
      <c r="K78" s="12" t="s">
        <v>20</v>
      </c>
      <c r="L78" s="12">
        <v>1</v>
      </c>
      <c r="M78" s="17">
        <v>161290</v>
      </c>
      <c r="N78" s="17">
        <f t="shared" si="9"/>
        <v>161290</v>
      </c>
      <c r="O78" s="12" t="s">
        <v>21</v>
      </c>
      <c r="P78" s="12">
        <f t="shared" si="13"/>
        <v>60</v>
      </c>
      <c r="Q78" s="12">
        <f t="shared" si="11"/>
        <v>170</v>
      </c>
      <c r="R78" s="12" t="str">
        <f t="shared" si="12"/>
        <v>CÔNG TY TNHH MTV THƯƠNG MẠI DỊCH VỤ BLUE OCEAN</v>
      </c>
    </row>
    <row r="79" spans="1:18" ht="15" customHeight="1" x14ac:dyDescent="0.2">
      <c r="A79" s="12" t="s">
        <v>18</v>
      </c>
      <c r="B79" s="36" t="s">
        <v>453</v>
      </c>
      <c r="C79" s="12">
        <f t="shared" si="8"/>
        <v>62</v>
      </c>
      <c r="D79" s="12">
        <v>1</v>
      </c>
      <c r="E79" s="12" t="str">
        <f t="shared" si="10"/>
        <v>062</v>
      </c>
      <c r="G79" s="14" t="s">
        <v>2230</v>
      </c>
      <c r="H79" s="12" t="s">
        <v>3900</v>
      </c>
      <c r="I79" s="12">
        <v>131</v>
      </c>
      <c r="J79" s="12">
        <v>5113</v>
      </c>
      <c r="K79" s="12" t="s">
        <v>20</v>
      </c>
      <c r="L79" s="12">
        <v>1</v>
      </c>
      <c r="M79" s="17">
        <v>11827957</v>
      </c>
      <c r="N79" s="17">
        <f t="shared" si="9"/>
        <v>11827957</v>
      </c>
      <c r="O79" s="12" t="s">
        <v>21</v>
      </c>
      <c r="P79" s="12">
        <f t="shared" si="13"/>
        <v>61</v>
      </c>
      <c r="Q79" s="12">
        <f t="shared" si="11"/>
        <v>148</v>
      </c>
      <c r="R79" s="12" t="str">
        <f t="shared" si="12"/>
        <v>VĂN PHÒNG ĐẠI DIỆN BELECO CO.,LTD. TẠI THÀNH PHỐ HỒ CHÍ MINH</v>
      </c>
    </row>
    <row r="80" spans="1:18" ht="15" customHeight="1" x14ac:dyDescent="0.2">
      <c r="A80" s="12" t="s">
        <v>18</v>
      </c>
      <c r="B80" s="36" t="s">
        <v>453</v>
      </c>
      <c r="C80" s="12">
        <f t="shared" si="8"/>
        <v>62</v>
      </c>
      <c r="D80" s="12">
        <v>0</v>
      </c>
      <c r="E80" s="12" t="str">
        <f t="shared" si="10"/>
        <v>062</v>
      </c>
      <c r="G80" s="14" t="s">
        <v>2230</v>
      </c>
      <c r="H80" s="12" t="s">
        <v>3931</v>
      </c>
      <c r="I80" s="12">
        <v>333821</v>
      </c>
      <c r="J80" s="12">
        <v>131</v>
      </c>
      <c r="K80" s="12" t="s">
        <v>20</v>
      </c>
      <c r="L80" s="12">
        <v>1</v>
      </c>
      <c r="M80" s="17">
        <v>118280</v>
      </c>
      <c r="N80" s="17">
        <f t="shared" si="9"/>
        <v>118280</v>
      </c>
      <c r="O80" s="12" t="s">
        <v>21</v>
      </c>
      <c r="P80" s="12">
        <f t="shared" si="13"/>
        <v>61</v>
      </c>
      <c r="Q80" s="12">
        <f t="shared" si="11"/>
        <v>164</v>
      </c>
      <c r="R80" s="12" t="str">
        <f t="shared" si="12"/>
        <v>VĂN PHÒNG ĐẠI DIỆN BELECO CO.,LTD. TẠI THÀNH PHỐ HỒ CHÍ MINH</v>
      </c>
    </row>
    <row r="81" spans="1:18" ht="15" customHeight="1" x14ac:dyDescent="0.2">
      <c r="A81" s="12" t="s">
        <v>18</v>
      </c>
      <c r="B81" s="36" t="s">
        <v>523</v>
      </c>
      <c r="C81" s="12">
        <f t="shared" si="8"/>
        <v>63</v>
      </c>
      <c r="D81" s="12">
        <v>1</v>
      </c>
      <c r="E81" s="12" t="str">
        <f t="shared" si="10"/>
        <v>063</v>
      </c>
      <c r="G81" s="14" t="s">
        <v>114</v>
      </c>
      <c r="H81" s="12" t="s">
        <v>3901</v>
      </c>
      <c r="I81" s="12">
        <v>131</v>
      </c>
      <c r="J81" s="12">
        <v>5113</v>
      </c>
      <c r="K81" s="12" t="s">
        <v>20</v>
      </c>
      <c r="L81" s="12">
        <v>1</v>
      </c>
      <c r="M81" s="17">
        <v>32258065</v>
      </c>
      <c r="N81" s="17">
        <f t="shared" si="9"/>
        <v>32258065</v>
      </c>
      <c r="O81" s="12" t="s">
        <v>21</v>
      </c>
      <c r="P81" s="12">
        <f t="shared" si="13"/>
        <v>62</v>
      </c>
      <c r="Q81" s="12">
        <f t="shared" si="11"/>
        <v>142</v>
      </c>
      <c r="R81" s="12" t="str">
        <f t="shared" si="12"/>
        <v>CÔNG TY TNHH DỊCH VỤ TRUYỀN THÔNG MAKE SENSE</v>
      </c>
    </row>
    <row r="82" spans="1:18" ht="15" customHeight="1" x14ac:dyDescent="0.2">
      <c r="A82" s="12" t="s">
        <v>18</v>
      </c>
      <c r="B82" s="36" t="s">
        <v>523</v>
      </c>
      <c r="C82" s="12">
        <f t="shared" si="8"/>
        <v>63</v>
      </c>
      <c r="D82" s="12">
        <v>0</v>
      </c>
      <c r="E82" s="12" t="str">
        <f t="shared" si="10"/>
        <v>063</v>
      </c>
      <c r="G82" s="14" t="s">
        <v>114</v>
      </c>
      <c r="H82" s="12" t="s">
        <v>3932</v>
      </c>
      <c r="I82" s="12">
        <v>333821</v>
      </c>
      <c r="J82" s="12">
        <v>131</v>
      </c>
      <c r="K82" s="12" t="s">
        <v>20</v>
      </c>
      <c r="L82" s="12">
        <v>1</v>
      </c>
      <c r="M82" s="17">
        <v>322581</v>
      </c>
      <c r="N82" s="17">
        <f t="shared" si="9"/>
        <v>322581</v>
      </c>
      <c r="O82" s="12" t="s">
        <v>21</v>
      </c>
      <c r="P82" s="12">
        <f t="shared" si="13"/>
        <v>62</v>
      </c>
      <c r="Q82" s="12">
        <f t="shared" si="11"/>
        <v>158</v>
      </c>
      <c r="R82" s="12" t="str">
        <f t="shared" si="12"/>
        <v>CÔNG TY TNHH DỊCH VỤ TRUYỀN THÔNG MAKE SENSE</v>
      </c>
    </row>
    <row r="83" spans="1:18" ht="15" customHeight="1" x14ac:dyDescent="0.2">
      <c r="A83" s="12" t="s">
        <v>18</v>
      </c>
      <c r="B83" s="36" t="s">
        <v>523</v>
      </c>
      <c r="C83" s="12">
        <f t="shared" si="8"/>
        <v>64</v>
      </c>
      <c r="D83" s="12">
        <v>1</v>
      </c>
      <c r="E83" s="12" t="str">
        <f t="shared" si="10"/>
        <v>064</v>
      </c>
      <c r="G83" s="14" t="s">
        <v>114</v>
      </c>
      <c r="H83" s="12" t="s">
        <v>3902</v>
      </c>
      <c r="I83" s="12">
        <v>131</v>
      </c>
      <c r="J83" s="12">
        <v>5113</v>
      </c>
      <c r="K83" s="12" t="s">
        <v>20</v>
      </c>
      <c r="L83" s="12">
        <v>1</v>
      </c>
      <c r="M83" s="17">
        <v>16129032</v>
      </c>
      <c r="N83" s="17">
        <f t="shared" si="9"/>
        <v>16129032</v>
      </c>
      <c r="O83" s="12" t="s">
        <v>21</v>
      </c>
      <c r="P83" s="12">
        <f t="shared" si="13"/>
        <v>63</v>
      </c>
      <c r="Q83" s="12">
        <f t="shared" si="11"/>
        <v>142</v>
      </c>
      <c r="R83" s="12" t="str">
        <f t="shared" si="12"/>
        <v>CÔNG TY TNHH DỊCH VỤ TRUYỀN THÔNG MAKE SENSE</v>
      </c>
    </row>
    <row r="84" spans="1:18" ht="15" customHeight="1" x14ac:dyDescent="0.2">
      <c r="A84" s="12" t="s">
        <v>18</v>
      </c>
      <c r="B84" s="36" t="s">
        <v>523</v>
      </c>
      <c r="C84" s="12">
        <f t="shared" si="8"/>
        <v>64</v>
      </c>
      <c r="D84" s="12">
        <v>0</v>
      </c>
      <c r="E84" s="12" t="str">
        <f t="shared" si="10"/>
        <v>064</v>
      </c>
      <c r="G84" s="14" t="s">
        <v>114</v>
      </c>
      <c r="H84" s="12" t="s">
        <v>3933</v>
      </c>
      <c r="I84" s="12">
        <v>333821</v>
      </c>
      <c r="J84" s="12">
        <v>131</v>
      </c>
      <c r="K84" s="12" t="s">
        <v>20</v>
      </c>
      <c r="L84" s="12">
        <v>1</v>
      </c>
      <c r="M84" s="17">
        <v>161290</v>
      </c>
      <c r="N84" s="17">
        <f t="shared" si="9"/>
        <v>161290</v>
      </c>
      <c r="O84" s="12" t="s">
        <v>21</v>
      </c>
      <c r="P84" s="12">
        <f t="shared" si="13"/>
        <v>63</v>
      </c>
      <c r="Q84" s="12">
        <f t="shared" si="11"/>
        <v>158</v>
      </c>
      <c r="R84" s="12" t="str">
        <f t="shared" si="12"/>
        <v>CÔNG TY TNHH DỊCH VỤ TRUYỀN THÔNG MAKE SENSE</v>
      </c>
    </row>
    <row r="85" spans="1:18" ht="15" customHeight="1" x14ac:dyDescent="0.2">
      <c r="A85" s="12" t="s">
        <v>18</v>
      </c>
      <c r="B85" s="36" t="s">
        <v>524</v>
      </c>
      <c r="C85" s="12">
        <f t="shared" si="8"/>
        <v>65</v>
      </c>
      <c r="D85" s="12">
        <v>1</v>
      </c>
      <c r="E85" s="12" t="str">
        <f t="shared" si="10"/>
        <v>065</v>
      </c>
      <c r="G85" s="14" t="s">
        <v>29</v>
      </c>
      <c r="H85" s="12" t="s">
        <v>3903</v>
      </c>
      <c r="I85" s="12">
        <v>131</v>
      </c>
      <c r="J85" s="12">
        <v>5113</v>
      </c>
      <c r="K85" s="12" t="s">
        <v>20</v>
      </c>
      <c r="L85" s="12">
        <v>1</v>
      </c>
      <c r="M85" s="17">
        <v>16129032</v>
      </c>
      <c r="N85" s="17">
        <f t="shared" si="9"/>
        <v>16129032</v>
      </c>
      <c r="O85" s="12" t="s">
        <v>21</v>
      </c>
      <c r="P85" s="12">
        <f t="shared" si="13"/>
        <v>64</v>
      </c>
      <c r="Q85" s="12">
        <f t="shared" si="11"/>
        <v>142</v>
      </c>
      <c r="R85" s="12" t="str">
        <f t="shared" si="12"/>
        <v>CÔNG TY TNHH MINDO SOLUTIONS</v>
      </c>
    </row>
    <row r="86" spans="1:18" ht="15" customHeight="1" x14ac:dyDescent="0.2">
      <c r="A86" s="12" t="s">
        <v>18</v>
      </c>
      <c r="B86" s="36" t="s">
        <v>524</v>
      </c>
      <c r="C86" s="12">
        <f t="shared" si="8"/>
        <v>65</v>
      </c>
      <c r="D86" s="12">
        <v>0</v>
      </c>
      <c r="E86" s="12" t="str">
        <f t="shared" si="10"/>
        <v>065</v>
      </c>
      <c r="G86" s="14" t="s">
        <v>29</v>
      </c>
      <c r="H86" s="12" t="s">
        <v>3934</v>
      </c>
      <c r="I86" s="12">
        <v>333821</v>
      </c>
      <c r="J86" s="12">
        <v>131</v>
      </c>
      <c r="K86" s="12" t="s">
        <v>20</v>
      </c>
      <c r="L86" s="12">
        <v>1</v>
      </c>
      <c r="M86" s="17">
        <v>161290</v>
      </c>
      <c r="N86" s="17">
        <f t="shared" si="9"/>
        <v>161290</v>
      </c>
      <c r="O86" s="12" t="s">
        <v>21</v>
      </c>
      <c r="P86" s="12">
        <f t="shared" si="13"/>
        <v>64</v>
      </c>
      <c r="Q86" s="12">
        <f t="shared" si="11"/>
        <v>158</v>
      </c>
      <c r="R86" s="12" t="str">
        <f t="shared" si="12"/>
        <v>CÔNG TY TNHH MINDO SOLUTIONS</v>
      </c>
    </row>
    <row r="87" spans="1:18" ht="15" customHeight="1" x14ac:dyDescent="0.2">
      <c r="A87" s="12" t="s">
        <v>18</v>
      </c>
      <c r="B87" s="36" t="s">
        <v>2044</v>
      </c>
      <c r="C87" s="12">
        <f t="shared" si="8"/>
        <v>66</v>
      </c>
      <c r="D87" s="12">
        <v>1</v>
      </c>
      <c r="E87" s="12" t="str">
        <f t="shared" si="10"/>
        <v>066</v>
      </c>
      <c r="G87" s="14" t="s">
        <v>3883</v>
      </c>
      <c r="H87" s="12" t="s">
        <v>3904</v>
      </c>
      <c r="I87" s="12">
        <v>131</v>
      </c>
      <c r="J87" s="12">
        <v>5113</v>
      </c>
      <c r="K87" s="12" t="s">
        <v>20</v>
      </c>
      <c r="L87" s="12">
        <v>1</v>
      </c>
      <c r="M87" s="17">
        <v>22580645</v>
      </c>
      <c r="N87" s="17">
        <f t="shared" si="9"/>
        <v>22580645</v>
      </c>
      <c r="O87" s="12" t="s">
        <v>21</v>
      </c>
      <c r="P87" s="12">
        <f t="shared" si="13"/>
        <v>65</v>
      </c>
      <c r="Q87" s="12">
        <f t="shared" si="11"/>
        <v>153</v>
      </c>
      <c r="R87" s="12" t="str">
        <f t="shared" si="12"/>
        <v>CÔNG TY TNHH ĐẦU TƯ XUẤT NHẬP KHẨU TÍN VIỆT</v>
      </c>
    </row>
    <row r="88" spans="1:18" ht="15" customHeight="1" x14ac:dyDescent="0.2">
      <c r="A88" s="12" t="s">
        <v>18</v>
      </c>
      <c r="B88" s="36" t="s">
        <v>2044</v>
      </c>
      <c r="C88" s="12">
        <f t="shared" si="8"/>
        <v>66</v>
      </c>
      <c r="D88" s="12">
        <v>0</v>
      </c>
      <c r="E88" s="12" t="str">
        <f t="shared" si="10"/>
        <v>066</v>
      </c>
      <c r="G88" s="14" t="s">
        <v>3883</v>
      </c>
      <c r="H88" s="12" t="s">
        <v>3935</v>
      </c>
      <c r="I88" s="12">
        <v>333821</v>
      </c>
      <c r="J88" s="12">
        <v>131</v>
      </c>
      <c r="K88" s="12" t="s">
        <v>20</v>
      </c>
      <c r="L88" s="12">
        <v>1</v>
      </c>
      <c r="M88" s="17">
        <v>225806</v>
      </c>
      <c r="N88" s="17">
        <f t="shared" si="9"/>
        <v>225806</v>
      </c>
      <c r="O88" s="12" t="s">
        <v>21</v>
      </c>
      <c r="P88" s="12">
        <f t="shared" si="13"/>
        <v>65</v>
      </c>
      <c r="Q88" s="12">
        <f t="shared" si="11"/>
        <v>169</v>
      </c>
      <c r="R88" s="12" t="str">
        <f t="shared" si="12"/>
        <v>CÔNG TY TNHH ĐẦU TƯ XUẤT NHẬP KHẨU TÍN VIỆT</v>
      </c>
    </row>
    <row r="89" spans="1:18" ht="15" customHeight="1" x14ac:dyDescent="0.2">
      <c r="A89" s="12" t="s">
        <v>18</v>
      </c>
      <c r="B89" s="36" t="s">
        <v>2044</v>
      </c>
      <c r="C89" s="12">
        <f t="shared" si="8"/>
        <v>67</v>
      </c>
      <c r="D89" s="12">
        <v>1</v>
      </c>
      <c r="E89" s="12" t="str">
        <f t="shared" si="10"/>
        <v>067</v>
      </c>
      <c r="G89" s="14" t="s">
        <v>113</v>
      </c>
      <c r="H89" s="12" t="s">
        <v>3905</v>
      </c>
      <c r="I89" s="12">
        <v>131</v>
      </c>
      <c r="J89" s="12">
        <v>5113</v>
      </c>
      <c r="K89" s="12" t="s">
        <v>20</v>
      </c>
      <c r="L89" s="12">
        <v>1</v>
      </c>
      <c r="M89" s="17">
        <v>3225806</v>
      </c>
      <c r="N89" s="17">
        <f t="shared" si="9"/>
        <v>3225806</v>
      </c>
      <c r="O89" s="12" t="s">
        <v>21</v>
      </c>
      <c r="P89" s="12">
        <f t="shared" si="13"/>
        <v>66</v>
      </c>
      <c r="Q89" s="12">
        <f t="shared" si="11"/>
        <v>163</v>
      </c>
      <c r="R89" s="12" t="str">
        <f t="shared" si="12"/>
        <v>CÔNG TY TNHH ONPOINT</v>
      </c>
    </row>
    <row r="90" spans="1:18" ht="15" customHeight="1" x14ac:dyDescent="0.2">
      <c r="A90" s="12" t="s">
        <v>18</v>
      </c>
      <c r="B90" s="36" t="s">
        <v>2044</v>
      </c>
      <c r="C90" s="12">
        <f t="shared" si="8"/>
        <v>67</v>
      </c>
      <c r="D90" s="12">
        <v>0</v>
      </c>
      <c r="E90" s="12" t="str">
        <f t="shared" si="10"/>
        <v>067</v>
      </c>
      <c r="G90" s="14" t="s">
        <v>113</v>
      </c>
      <c r="H90" s="12" t="s">
        <v>3936</v>
      </c>
      <c r="I90" s="12">
        <v>333821</v>
      </c>
      <c r="J90" s="12">
        <v>131</v>
      </c>
      <c r="K90" s="12" t="s">
        <v>20</v>
      </c>
      <c r="L90" s="12">
        <v>1</v>
      </c>
      <c r="M90" s="17">
        <v>32258</v>
      </c>
      <c r="N90" s="17">
        <f t="shared" si="9"/>
        <v>32258</v>
      </c>
      <c r="O90" s="12" t="s">
        <v>21</v>
      </c>
      <c r="P90" s="12">
        <f t="shared" si="13"/>
        <v>66</v>
      </c>
      <c r="Q90" s="12">
        <f t="shared" si="11"/>
        <v>179</v>
      </c>
      <c r="R90" s="12" t="str">
        <f t="shared" si="12"/>
        <v>CÔNG TY TNHH ONPOINT</v>
      </c>
    </row>
    <row r="91" spans="1:18" ht="15" customHeight="1" x14ac:dyDescent="0.2">
      <c r="A91" s="12" t="s">
        <v>18</v>
      </c>
      <c r="B91" s="36" t="s">
        <v>525</v>
      </c>
      <c r="C91" s="12">
        <f t="shared" si="8"/>
        <v>68</v>
      </c>
      <c r="D91" s="12">
        <v>1</v>
      </c>
      <c r="E91" s="12" t="str">
        <f t="shared" si="10"/>
        <v>068</v>
      </c>
      <c r="G91" s="14" t="s">
        <v>144</v>
      </c>
      <c r="H91" s="12" t="s">
        <v>3906</v>
      </c>
      <c r="I91" s="12">
        <v>131</v>
      </c>
      <c r="J91" s="12">
        <v>5113</v>
      </c>
      <c r="K91" s="12" t="s">
        <v>20</v>
      </c>
      <c r="L91" s="12">
        <v>1</v>
      </c>
      <c r="M91" s="17">
        <v>16129032</v>
      </c>
      <c r="N91" s="17">
        <f t="shared" si="9"/>
        <v>16129032</v>
      </c>
      <c r="O91" s="12" t="s">
        <v>21</v>
      </c>
      <c r="P91" s="12">
        <f t="shared" si="13"/>
        <v>67</v>
      </c>
      <c r="Q91" s="12">
        <f t="shared" si="11"/>
        <v>162</v>
      </c>
      <c r="R91" s="12" t="str">
        <f t="shared" si="12"/>
        <v>CÔNG TY TNHH SPARKLE MEDIA</v>
      </c>
    </row>
    <row r="92" spans="1:18" ht="15" customHeight="1" x14ac:dyDescent="0.2">
      <c r="A92" s="12" t="s">
        <v>18</v>
      </c>
      <c r="B92" s="36" t="s">
        <v>525</v>
      </c>
      <c r="C92" s="12">
        <f t="shared" si="8"/>
        <v>68</v>
      </c>
      <c r="D92" s="12">
        <v>0</v>
      </c>
      <c r="E92" s="12" t="str">
        <f t="shared" si="10"/>
        <v>068</v>
      </c>
      <c r="G92" s="14" t="s">
        <v>144</v>
      </c>
      <c r="H92" s="12" t="s">
        <v>3937</v>
      </c>
      <c r="I92" s="12">
        <v>333821</v>
      </c>
      <c r="J92" s="12">
        <v>131</v>
      </c>
      <c r="K92" s="12" t="s">
        <v>20</v>
      </c>
      <c r="L92" s="12">
        <v>1</v>
      </c>
      <c r="M92" s="17">
        <v>161290</v>
      </c>
      <c r="N92" s="17">
        <f t="shared" si="9"/>
        <v>161290</v>
      </c>
      <c r="O92" s="12" t="s">
        <v>21</v>
      </c>
      <c r="P92" s="12">
        <f t="shared" si="13"/>
        <v>67</v>
      </c>
      <c r="Q92" s="12">
        <f t="shared" si="11"/>
        <v>178</v>
      </c>
      <c r="R92" s="12" t="str">
        <f t="shared" si="12"/>
        <v>CÔNG TY TNHH SPARKLE MEDIA</v>
      </c>
    </row>
    <row r="93" spans="1:18" ht="15" customHeight="1" x14ac:dyDescent="0.2">
      <c r="A93" s="12" t="s">
        <v>18</v>
      </c>
      <c r="B93" s="36" t="s">
        <v>2043</v>
      </c>
      <c r="C93" s="12">
        <f t="shared" si="8"/>
        <v>69</v>
      </c>
      <c r="D93" s="12">
        <v>1</v>
      </c>
      <c r="E93" s="12" t="str">
        <f t="shared" si="10"/>
        <v>069</v>
      </c>
      <c r="G93" s="14" t="s">
        <v>29</v>
      </c>
      <c r="H93" s="12" t="s">
        <v>3907</v>
      </c>
      <c r="I93" s="12">
        <v>131</v>
      </c>
      <c r="J93" s="12">
        <v>5113</v>
      </c>
      <c r="K93" s="12" t="s">
        <v>20</v>
      </c>
      <c r="L93" s="12">
        <v>1</v>
      </c>
      <c r="M93" s="17">
        <v>16129032</v>
      </c>
      <c r="N93" s="17">
        <f t="shared" si="9"/>
        <v>16129032</v>
      </c>
      <c r="O93" s="12" t="s">
        <v>21</v>
      </c>
      <c r="P93" s="12">
        <f t="shared" si="13"/>
        <v>68</v>
      </c>
      <c r="Q93" s="12">
        <f t="shared" si="11"/>
        <v>142</v>
      </c>
      <c r="R93" s="12" t="str">
        <f t="shared" si="12"/>
        <v>CÔNG TY TNHH MINDO SOLUTIONS</v>
      </c>
    </row>
    <row r="94" spans="1:18" ht="15" customHeight="1" x14ac:dyDescent="0.2">
      <c r="A94" s="12" t="s">
        <v>18</v>
      </c>
      <c r="B94" s="36" t="s">
        <v>2043</v>
      </c>
      <c r="C94" s="12">
        <f t="shared" si="8"/>
        <v>69</v>
      </c>
      <c r="D94" s="12">
        <v>0</v>
      </c>
      <c r="E94" s="12" t="str">
        <f t="shared" si="10"/>
        <v>069</v>
      </c>
      <c r="G94" s="14" t="s">
        <v>29</v>
      </c>
      <c r="H94" s="12" t="s">
        <v>3938</v>
      </c>
      <c r="I94" s="12">
        <v>333821</v>
      </c>
      <c r="J94" s="12">
        <v>131</v>
      </c>
      <c r="K94" s="12" t="s">
        <v>20</v>
      </c>
      <c r="L94" s="12">
        <v>1</v>
      </c>
      <c r="M94" s="17">
        <v>161290</v>
      </c>
      <c r="N94" s="17">
        <f t="shared" si="9"/>
        <v>161290</v>
      </c>
      <c r="O94" s="12" t="s">
        <v>21</v>
      </c>
      <c r="P94" s="12">
        <f t="shared" si="13"/>
        <v>68</v>
      </c>
      <c r="Q94" s="12">
        <f t="shared" si="11"/>
        <v>158</v>
      </c>
      <c r="R94" s="12" t="str">
        <f t="shared" si="12"/>
        <v>CÔNG TY TNHH MINDO SOLUTIONS</v>
      </c>
    </row>
    <row r="95" spans="1:18" ht="15" customHeight="1" x14ac:dyDescent="0.2">
      <c r="A95" s="12" t="s">
        <v>18</v>
      </c>
      <c r="B95" s="36" t="s">
        <v>383</v>
      </c>
      <c r="C95" s="12">
        <f t="shared" si="8"/>
        <v>70</v>
      </c>
      <c r="D95" s="12">
        <v>1</v>
      </c>
      <c r="E95" s="12" t="str">
        <f t="shared" si="10"/>
        <v>070</v>
      </c>
      <c r="G95" s="14" t="s">
        <v>3884</v>
      </c>
      <c r="H95" s="12" t="s">
        <v>3908</v>
      </c>
      <c r="I95" s="12">
        <v>131</v>
      </c>
      <c r="J95" s="12">
        <v>5113</v>
      </c>
      <c r="K95" s="12" t="s">
        <v>20</v>
      </c>
      <c r="L95" s="12">
        <v>1</v>
      </c>
      <c r="M95" s="17">
        <v>16129032</v>
      </c>
      <c r="N95" s="17">
        <f t="shared" si="9"/>
        <v>16129032</v>
      </c>
      <c r="O95" s="12" t="s">
        <v>21</v>
      </c>
      <c r="P95" s="12">
        <f t="shared" si="13"/>
        <v>69</v>
      </c>
      <c r="Q95" s="12">
        <f t="shared" si="11"/>
        <v>148</v>
      </c>
      <c r="R95" s="12" t="str">
        <f t="shared" si="12"/>
        <v>CÔNG TY TNHH CAF VIỆT NAM</v>
      </c>
    </row>
    <row r="96" spans="1:18" ht="15" customHeight="1" x14ac:dyDescent="0.2">
      <c r="A96" s="12" t="s">
        <v>18</v>
      </c>
      <c r="B96" s="36" t="s">
        <v>383</v>
      </c>
      <c r="C96" s="12">
        <f t="shared" si="8"/>
        <v>70</v>
      </c>
      <c r="D96" s="12">
        <v>0</v>
      </c>
      <c r="E96" s="12" t="str">
        <f t="shared" si="10"/>
        <v>070</v>
      </c>
      <c r="G96" s="14" t="s">
        <v>3884</v>
      </c>
      <c r="H96" s="12" t="s">
        <v>3939</v>
      </c>
      <c r="I96" s="12">
        <v>333821</v>
      </c>
      <c r="J96" s="12">
        <v>131</v>
      </c>
      <c r="K96" s="12" t="s">
        <v>20</v>
      </c>
      <c r="L96" s="12">
        <v>1</v>
      </c>
      <c r="M96" s="17">
        <v>161290</v>
      </c>
      <c r="N96" s="17">
        <f t="shared" si="9"/>
        <v>161290</v>
      </c>
      <c r="O96" s="12" t="s">
        <v>21</v>
      </c>
      <c r="P96" s="12">
        <f t="shared" si="13"/>
        <v>69</v>
      </c>
      <c r="Q96" s="12">
        <f t="shared" si="11"/>
        <v>164</v>
      </c>
      <c r="R96" s="12" t="str">
        <f t="shared" si="12"/>
        <v>CÔNG TY TNHH CAF VIỆT NAM</v>
      </c>
    </row>
    <row r="97" spans="1:18" ht="15" customHeight="1" x14ac:dyDescent="0.2">
      <c r="A97" s="12" t="s">
        <v>18</v>
      </c>
      <c r="B97" s="36" t="s">
        <v>457</v>
      </c>
      <c r="C97" s="12">
        <f t="shared" si="8"/>
        <v>71</v>
      </c>
      <c r="D97" s="12">
        <v>1</v>
      </c>
      <c r="E97" s="12" t="str">
        <f t="shared" si="10"/>
        <v>071</v>
      </c>
      <c r="G97" s="14" t="s">
        <v>46</v>
      </c>
      <c r="H97" s="12" t="s">
        <v>3909</v>
      </c>
      <c r="I97" s="12">
        <v>131</v>
      </c>
      <c r="J97" s="12">
        <v>5113</v>
      </c>
      <c r="K97" s="12" t="s">
        <v>20</v>
      </c>
      <c r="L97" s="12">
        <v>1</v>
      </c>
      <c r="M97" s="17">
        <v>21505376</v>
      </c>
      <c r="N97" s="17">
        <f t="shared" si="9"/>
        <v>21505376</v>
      </c>
      <c r="O97" s="12" t="s">
        <v>21</v>
      </c>
      <c r="P97" s="12">
        <f t="shared" si="13"/>
        <v>70</v>
      </c>
      <c r="Q97" s="12">
        <f t="shared" si="11"/>
        <v>169</v>
      </c>
      <c r="R97" s="12" t="str">
        <f t="shared" si="12"/>
        <v>CÔNG TY TNHH ZEE</v>
      </c>
    </row>
    <row r="98" spans="1:18" ht="15" customHeight="1" x14ac:dyDescent="0.2">
      <c r="A98" s="12" t="s">
        <v>18</v>
      </c>
      <c r="B98" s="36" t="s">
        <v>457</v>
      </c>
      <c r="C98" s="12">
        <f t="shared" si="8"/>
        <v>71</v>
      </c>
      <c r="D98" s="12">
        <v>0</v>
      </c>
      <c r="E98" s="12" t="str">
        <f t="shared" si="10"/>
        <v>071</v>
      </c>
      <c r="G98" s="14" t="s">
        <v>46</v>
      </c>
      <c r="H98" s="12" t="s">
        <v>3940</v>
      </c>
      <c r="I98" s="12">
        <v>333821</v>
      </c>
      <c r="J98" s="12">
        <v>131</v>
      </c>
      <c r="K98" s="12" t="s">
        <v>20</v>
      </c>
      <c r="L98" s="12">
        <v>1</v>
      </c>
      <c r="M98" s="17">
        <v>215054</v>
      </c>
      <c r="N98" s="17">
        <f t="shared" si="9"/>
        <v>215054</v>
      </c>
      <c r="O98" s="12" t="s">
        <v>21</v>
      </c>
      <c r="P98" s="12">
        <f t="shared" si="13"/>
        <v>70</v>
      </c>
      <c r="Q98" s="12">
        <f t="shared" si="11"/>
        <v>185</v>
      </c>
      <c r="R98" s="12" t="str">
        <f t="shared" si="12"/>
        <v>CÔNG TY TNHH ZEE</v>
      </c>
    </row>
    <row r="99" spans="1:18" ht="15" customHeight="1" x14ac:dyDescent="0.2">
      <c r="A99" s="12" t="s">
        <v>18</v>
      </c>
      <c r="B99" s="36" t="s">
        <v>457</v>
      </c>
      <c r="C99" s="12">
        <f t="shared" si="8"/>
        <v>72</v>
      </c>
      <c r="D99" s="12">
        <v>1</v>
      </c>
      <c r="E99" s="12" t="str">
        <f t="shared" si="10"/>
        <v>072</v>
      </c>
      <c r="G99" s="14" t="s">
        <v>42</v>
      </c>
      <c r="H99" s="12" t="s">
        <v>3910</v>
      </c>
      <c r="I99" s="12">
        <v>131</v>
      </c>
      <c r="J99" s="12">
        <v>5113</v>
      </c>
      <c r="K99" s="12" t="s">
        <v>20</v>
      </c>
      <c r="L99" s="12">
        <v>1</v>
      </c>
      <c r="M99" s="17">
        <v>16129032</v>
      </c>
      <c r="N99" s="17">
        <f t="shared" si="9"/>
        <v>16129032</v>
      </c>
      <c r="O99" s="12" t="s">
        <v>21</v>
      </c>
      <c r="P99" s="12">
        <f t="shared" si="13"/>
        <v>71</v>
      </c>
      <c r="Q99" s="12">
        <f t="shared" si="11"/>
        <v>132</v>
      </c>
      <c r="R99" s="12" t="str">
        <f t="shared" si="12"/>
        <v>CÔNG TY CỔ PHẦN METUB VIỆT NAM</v>
      </c>
    </row>
    <row r="100" spans="1:18" ht="15" customHeight="1" x14ac:dyDescent="0.2">
      <c r="A100" s="12" t="s">
        <v>18</v>
      </c>
      <c r="B100" s="36" t="s">
        <v>457</v>
      </c>
      <c r="C100" s="12">
        <f t="shared" ref="C100:C163" si="14">C99+D100</f>
        <v>72</v>
      </c>
      <c r="D100" s="12">
        <v>0</v>
      </c>
      <c r="E100" s="12" t="str">
        <f t="shared" si="10"/>
        <v>072</v>
      </c>
      <c r="G100" s="14" t="s">
        <v>42</v>
      </c>
      <c r="H100" s="12" t="s">
        <v>3941</v>
      </c>
      <c r="I100" s="12">
        <v>333821</v>
      </c>
      <c r="J100" s="12">
        <v>131</v>
      </c>
      <c r="K100" s="12" t="s">
        <v>20</v>
      </c>
      <c r="L100" s="12">
        <v>1</v>
      </c>
      <c r="M100" s="17">
        <v>161290</v>
      </c>
      <c r="N100" s="17">
        <f t="shared" ref="N100:N163" si="15">L100*M100</f>
        <v>161290</v>
      </c>
      <c r="O100" s="12" t="s">
        <v>21</v>
      </c>
      <c r="P100" s="12">
        <f t="shared" si="13"/>
        <v>71</v>
      </c>
      <c r="Q100" s="12">
        <f t="shared" si="11"/>
        <v>148</v>
      </c>
      <c r="R100" s="12" t="str">
        <f t="shared" si="12"/>
        <v>CÔNG TY CỔ PHẦN METUB VIỆT NAM</v>
      </c>
    </row>
    <row r="101" spans="1:18" ht="15" customHeight="1" x14ac:dyDescent="0.2">
      <c r="A101" s="12" t="s">
        <v>18</v>
      </c>
      <c r="B101" s="36" t="s">
        <v>320</v>
      </c>
      <c r="C101" s="12">
        <f t="shared" si="14"/>
        <v>73</v>
      </c>
      <c r="D101" s="12">
        <v>1</v>
      </c>
      <c r="E101" s="12" t="str">
        <f t="shared" si="10"/>
        <v>073</v>
      </c>
      <c r="G101" s="14" t="s">
        <v>1664</v>
      </c>
      <c r="H101" s="12" t="s">
        <v>3911</v>
      </c>
      <c r="I101" s="12">
        <v>131</v>
      </c>
      <c r="J101" s="12">
        <v>5113</v>
      </c>
      <c r="K101" s="12" t="s">
        <v>20</v>
      </c>
      <c r="L101" s="12">
        <v>1</v>
      </c>
      <c r="M101" s="17">
        <v>16129032</v>
      </c>
      <c r="N101" s="17">
        <f t="shared" si="15"/>
        <v>16129032</v>
      </c>
      <c r="O101" s="12" t="s">
        <v>21</v>
      </c>
      <c r="P101" s="12">
        <f t="shared" si="13"/>
        <v>72</v>
      </c>
      <c r="Q101" s="12">
        <f t="shared" si="11"/>
        <v>187</v>
      </c>
      <c r="R101" s="12" t="str">
        <f t="shared" si="12"/>
        <v>CÔNG TY CỔ PHẦN THƯƠNG MẠI DỊCH VỤ UNICORN</v>
      </c>
    </row>
    <row r="102" spans="1:18" ht="15" customHeight="1" x14ac:dyDescent="0.2">
      <c r="A102" s="12" t="s">
        <v>18</v>
      </c>
      <c r="B102" s="36" t="s">
        <v>320</v>
      </c>
      <c r="C102" s="12">
        <f t="shared" si="14"/>
        <v>73</v>
      </c>
      <c r="D102" s="12">
        <v>0</v>
      </c>
      <c r="E102" s="12" t="str">
        <f t="shared" si="10"/>
        <v>073</v>
      </c>
      <c r="G102" s="14" t="s">
        <v>1664</v>
      </c>
      <c r="H102" s="12" t="s">
        <v>5111</v>
      </c>
      <c r="I102" s="12">
        <v>333821</v>
      </c>
      <c r="J102" s="12">
        <v>131</v>
      </c>
      <c r="K102" s="12" t="s">
        <v>20</v>
      </c>
      <c r="L102" s="12">
        <v>1</v>
      </c>
      <c r="M102" s="17">
        <v>161290</v>
      </c>
      <c r="N102" s="17">
        <f t="shared" si="15"/>
        <v>161290</v>
      </c>
      <c r="O102" s="12" t="s">
        <v>21</v>
      </c>
      <c r="P102" s="12">
        <f t="shared" si="13"/>
        <v>72</v>
      </c>
      <c r="Q102" s="12">
        <f t="shared" si="11"/>
        <v>131</v>
      </c>
      <c r="R102" s="12" t="str">
        <f t="shared" si="12"/>
        <v>CÔNG TY CỔ PHẦN THƯƠNG MẠI DỊCH VỤ UNICORN</v>
      </c>
    </row>
    <row r="103" spans="1:18" ht="15" customHeight="1" x14ac:dyDescent="0.2">
      <c r="A103" s="12" t="s">
        <v>18</v>
      </c>
      <c r="B103" s="36" t="s">
        <v>320</v>
      </c>
      <c r="C103" s="12">
        <f t="shared" si="14"/>
        <v>74</v>
      </c>
      <c r="D103" s="12">
        <v>1</v>
      </c>
      <c r="E103" s="12" t="str">
        <f t="shared" si="10"/>
        <v>074</v>
      </c>
      <c r="G103" s="14" t="s">
        <v>1353</v>
      </c>
      <c r="H103" s="12" t="s">
        <v>3912</v>
      </c>
      <c r="I103" s="12">
        <v>131</v>
      </c>
      <c r="J103" s="12">
        <v>5113</v>
      </c>
      <c r="K103" s="12" t="s">
        <v>20</v>
      </c>
      <c r="L103" s="12">
        <v>1</v>
      </c>
      <c r="M103" s="17">
        <v>16129032</v>
      </c>
      <c r="N103" s="17">
        <f t="shared" si="15"/>
        <v>16129032</v>
      </c>
      <c r="O103" s="12" t="s">
        <v>21</v>
      </c>
      <c r="P103" s="12">
        <f t="shared" si="13"/>
        <v>73</v>
      </c>
      <c r="Q103" s="12">
        <f t="shared" si="11"/>
        <v>158</v>
      </c>
      <c r="R103" s="12" t="str">
        <f t="shared" si="12"/>
        <v>CÔNG TY CỔ PHẦN MAISON RETAIL MANAGEMENT INTERNATIONAL</v>
      </c>
    </row>
    <row r="104" spans="1:18" ht="15" customHeight="1" x14ac:dyDescent="0.2">
      <c r="A104" s="12" t="s">
        <v>18</v>
      </c>
      <c r="B104" s="36" t="s">
        <v>320</v>
      </c>
      <c r="C104" s="12">
        <f t="shared" si="14"/>
        <v>74</v>
      </c>
      <c r="D104" s="12">
        <v>0</v>
      </c>
      <c r="E104" s="12" t="str">
        <f t="shared" si="10"/>
        <v>074</v>
      </c>
      <c r="G104" s="14" t="s">
        <v>1353</v>
      </c>
      <c r="H104" s="12" t="s">
        <v>3942</v>
      </c>
      <c r="I104" s="12">
        <v>333821</v>
      </c>
      <c r="J104" s="12">
        <v>131</v>
      </c>
      <c r="K104" s="12" t="s">
        <v>20</v>
      </c>
      <c r="L104" s="12">
        <v>1</v>
      </c>
      <c r="M104" s="17">
        <v>161290</v>
      </c>
      <c r="N104" s="17">
        <f t="shared" si="15"/>
        <v>161290</v>
      </c>
      <c r="O104" s="12" t="s">
        <v>21</v>
      </c>
      <c r="P104" s="12">
        <f t="shared" si="13"/>
        <v>73</v>
      </c>
      <c r="Q104" s="12">
        <f t="shared" si="11"/>
        <v>174</v>
      </c>
      <c r="R104" s="12" t="str">
        <f t="shared" si="12"/>
        <v>CÔNG TY CỔ PHẦN MAISON RETAIL MANAGEMENT INTERNATIONAL</v>
      </c>
    </row>
    <row r="105" spans="1:18" ht="15" customHeight="1" x14ac:dyDescent="0.2">
      <c r="A105" s="12" t="s">
        <v>18</v>
      </c>
      <c r="B105" s="36" t="s">
        <v>320</v>
      </c>
      <c r="C105" s="12">
        <f t="shared" si="14"/>
        <v>75</v>
      </c>
      <c r="D105" s="12">
        <v>1</v>
      </c>
      <c r="E105" s="12" t="str">
        <f t="shared" si="10"/>
        <v>075</v>
      </c>
      <c r="G105" s="14" t="s">
        <v>3885</v>
      </c>
      <c r="H105" s="12" t="s">
        <v>3913</v>
      </c>
      <c r="I105" s="12">
        <v>131</v>
      </c>
      <c r="J105" s="12">
        <v>5113</v>
      </c>
      <c r="K105" s="12" t="s">
        <v>20</v>
      </c>
      <c r="L105" s="12">
        <v>1</v>
      </c>
      <c r="M105" s="17">
        <v>16129032</v>
      </c>
      <c r="N105" s="17">
        <f t="shared" si="15"/>
        <v>16129032</v>
      </c>
      <c r="O105" s="12" t="s">
        <v>21</v>
      </c>
      <c r="P105" s="12">
        <f t="shared" si="13"/>
        <v>74</v>
      </c>
      <c r="Q105" s="12">
        <f t="shared" si="11"/>
        <v>154</v>
      </c>
      <c r="R105" s="12" t="str">
        <f t="shared" si="12"/>
        <v>CÔNG TY TNHH DỊCH VỤ TRUYỀN THÔNG VÀ GIẢI TRÍ SỰ KIỆN BSTARS</v>
      </c>
    </row>
    <row r="106" spans="1:18" ht="15" customHeight="1" x14ac:dyDescent="0.2">
      <c r="A106" s="12" t="s">
        <v>18</v>
      </c>
      <c r="B106" s="36" t="s">
        <v>320</v>
      </c>
      <c r="C106" s="12">
        <f t="shared" si="14"/>
        <v>75</v>
      </c>
      <c r="D106" s="12">
        <v>0</v>
      </c>
      <c r="E106" s="12" t="str">
        <f t="shared" si="10"/>
        <v>075</v>
      </c>
      <c r="G106" s="14" t="s">
        <v>3885</v>
      </c>
      <c r="H106" s="12" t="s">
        <v>3943</v>
      </c>
      <c r="I106" s="12">
        <v>333821</v>
      </c>
      <c r="J106" s="12">
        <v>131</v>
      </c>
      <c r="K106" s="12" t="s">
        <v>20</v>
      </c>
      <c r="L106" s="12">
        <v>1</v>
      </c>
      <c r="M106" s="17">
        <v>161290</v>
      </c>
      <c r="N106" s="17">
        <f t="shared" si="15"/>
        <v>161290</v>
      </c>
      <c r="O106" s="12" t="s">
        <v>21</v>
      </c>
      <c r="P106" s="12">
        <f t="shared" si="13"/>
        <v>74</v>
      </c>
      <c r="Q106" s="12">
        <f t="shared" si="11"/>
        <v>170</v>
      </c>
      <c r="R106" s="12" t="str">
        <f t="shared" si="12"/>
        <v>CÔNG TY TNHH DỊCH VỤ TRUYỀN THÔNG VÀ GIẢI TRÍ SỰ KIỆN BSTARS</v>
      </c>
    </row>
    <row r="107" spans="1:18" ht="15" customHeight="1" x14ac:dyDescent="0.2">
      <c r="A107" s="12" t="s">
        <v>18</v>
      </c>
      <c r="B107" s="36" t="s">
        <v>2045</v>
      </c>
      <c r="C107" s="12">
        <f t="shared" si="14"/>
        <v>76</v>
      </c>
      <c r="D107" s="12">
        <v>1</v>
      </c>
      <c r="E107" s="12" t="str">
        <f t="shared" si="10"/>
        <v>076</v>
      </c>
      <c r="G107" s="14" t="s">
        <v>2381</v>
      </c>
      <c r="H107" s="12" t="s">
        <v>3914</v>
      </c>
      <c r="I107" s="12">
        <v>131</v>
      </c>
      <c r="J107" s="12">
        <v>5113</v>
      </c>
      <c r="K107" s="12" t="s">
        <v>20</v>
      </c>
      <c r="L107" s="12">
        <v>1</v>
      </c>
      <c r="M107" s="17">
        <v>16129032</v>
      </c>
      <c r="N107" s="17">
        <f t="shared" si="15"/>
        <v>16129032</v>
      </c>
      <c r="O107" s="12" t="s">
        <v>21</v>
      </c>
      <c r="P107" s="12">
        <f t="shared" si="13"/>
        <v>75</v>
      </c>
      <c r="Q107" s="12">
        <f t="shared" si="11"/>
        <v>164</v>
      </c>
      <c r="R107" s="12" t="str">
        <f t="shared" si="12"/>
        <v>CÔNG TY TNHH TOOM MEDIA</v>
      </c>
    </row>
    <row r="108" spans="1:18" ht="15" customHeight="1" x14ac:dyDescent="0.2">
      <c r="A108" s="12" t="s">
        <v>18</v>
      </c>
      <c r="B108" s="36" t="s">
        <v>2045</v>
      </c>
      <c r="C108" s="12">
        <f t="shared" si="14"/>
        <v>76</v>
      </c>
      <c r="D108" s="12">
        <v>0</v>
      </c>
      <c r="E108" s="12" t="str">
        <f t="shared" si="10"/>
        <v>076</v>
      </c>
      <c r="G108" s="14" t="s">
        <v>2381</v>
      </c>
      <c r="H108" s="12" t="s">
        <v>3944</v>
      </c>
      <c r="I108" s="12">
        <v>333821</v>
      </c>
      <c r="J108" s="12">
        <v>131</v>
      </c>
      <c r="K108" s="12" t="s">
        <v>20</v>
      </c>
      <c r="L108" s="12">
        <v>1</v>
      </c>
      <c r="M108" s="17">
        <v>161290</v>
      </c>
      <c r="N108" s="17">
        <f t="shared" si="15"/>
        <v>161290</v>
      </c>
      <c r="O108" s="12" t="s">
        <v>21</v>
      </c>
      <c r="P108" s="12">
        <f t="shared" si="13"/>
        <v>75</v>
      </c>
      <c r="Q108" s="12">
        <f t="shared" si="11"/>
        <v>180</v>
      </c>
      <c r="R108" s="12" t="str">
        <f t="shared" si="12"/>
        <v>CÔNG TY TNHH TOOM MEDIA</v>
      </c>
    </row>
    <row r="109" spans="1:18" ht="15" customHeight="1" x14ac:dyDescent="0.2">
      <c r="A109" s="12" t="s">
        <v>18</v>
      </c>
      <c r="B109" s="36" t="s">
        <v>2382</v>
      </c>
      <c r="C109" s="12">
        <f t="shared" si="14"/>
        <v>77</v>
      </c>
      <c r="D109" s="12">
        <v>1</v>
      </c>
      <c r="E109" s="12" t="str">
        <f t="shared" si="10"/>
        <v>077</v>
      </c>
      <c r="G109" s="14" t="s">
        <v>85</v>
      </c>
      <c r="H109" s="12" t="s">
        <v>3915</v>
      </c>
      <c r="I109" s="12">
        <v>131</v>
      </c>
      <c r="J109" s="12">
        <v>5113</v>
      </c>
      <c r="K109" s="12" t="s">
        <v>20</v>
      </c>
      <c r="L109" s="12">
        <v>1</v>
      </c>
      <c r="M109" s="17">
        <v>16129032</v>
      </c>
      <c r="N109" s="17">
        <f t="shared" si="15"/>
        <v>16129032</v>
      </c>
      <c r="O109" s="12" t="s">
        <v>21</v>
      </c>
      <c r="P109" s="12">
        <f t="shared" si="13"/>
        <v>76</v>
      </c>
      <c r="Q109" s="12">
        <f t="shared" si="11"/>
        <v>175</v>
      </c>
      <c r="R109" s="12" t="str">
        <f t="shared" si="12"/>
        <v>CÔNG TY CỔ PHẦN CÔNG NGHỆ UPBASE</v>
      </c>
    </row>
    <row r="110" spans="1:18" ht="15" customHeight="1" x14ac:dyDescent="0.2">
      <c r="A110" s="12" t="s">
        <v>18</v>
      </c>
      <c r="B110" s="36" t="s">
        <v>2382</v>
      </c>
      <c r="C110" s="12">
        <f t="shared" si="14"/>
        <v>77</v>
      </c>
      <c r="D110" s="12">
        <v>0</v>
      </c>
      <c r="E110" s="12" t="str">
        <f t="shared" si="10"/>
        <v>077</v>
      </c>
      <c r="G110" s="14" t="s">
        <v>85</v>
      </c>
      <c r="H110" s="12" t="s">
        <v>3945</v>
      </c>
      <c r="I110" s="12">
        <v>333821</v>
      </c>
      <c r="J110" s="12">
        <v>131</v>
      </c>
      <c r="K110" s="12" t="s">
        <v>20</v>
      </c>
      <c r="L110" s="12">
        <v>1</v>
      </c>
      <c r="M110" s="17">
        <v>161290</v>
      </c>
      <c r="N110" s="17">
        <f t="shared" si="15"/>
        <v>161290</v>
      </c>
      <c r="O110" s="12" t="s">
        <v>21</v>
      </c>
      <c r="P110" s="12">
        <f t="shared" si="13"/>
        <v>76</v>
      </c>
      <c r="Q110" s="12">
        <f t="shared" si="11"/>
        <v>191</v>
      </c>
      <c r="R110" s="12" t="str">
        <f t="shared" si="12"/>
        <v>CÔNG TY CỔ PHẦN CÔNG NGHỆ UPBASE</v>
      </c>
    </row>
    <row r="111" spans="1:18" ht="15" customHeight="1" x14ac:dyDescent="0.2">
      <c r="A111" s="12" t="s">
        <v>18</v>
      </c>
      <c r="B111" s="36" t="s">
        <v>2504</v>
      </c>
      <c r="C111" s="12">
        <f t="shared" si="14"/>
        <v>78</v>
      </c>
      <c r="D111" s="12">
        <v>1</v>
      </c>
      <c r="E111" s="12" t="str">
        <f t="shared" si="10"/>
        <v>078</v>
      </c>
      <c r="G111" s="14" t="s">
        <v>144</v>
      </c>
      <c r="H111" s="12" t="s">
        <v>3916</v>
      </c>
      <c r="I111" s="12">
        <v>131</v>
      </c>
      <c r="J111" s="12">
        <v>5113</v>
      </c>
      <c r="K111" s="12" t="s">
        <v>20</v>
      </c>
      <c r="L111" s="12">
        <v>1</v>
      </c>
      <c r="M111" s="17">
        <v>48387096</v>
      </c>
      <c r="N111" s="17">
        <f t="shared" si="15"/>
        <v>48387096</v>
      </c>
      <c r="O111" s="12" t="s">
        <v>21</v>
      </c>
      <c r="P111" s="12">
        <f t="shared" si="13"/>
        <v>77</v>
      </c>
      <c r="Q111" s="12">
        <f t="shared" si="11"/>
        <v>120</v>
      </c>
      <c r="R111" s="12" t="str">
        <f t="shared" si="12"/>
        <v>CÔNG TY TNHH SPARKLE MEDIA</v>
      </c>
    </row>
    <row r="112" spans="1:18" ht="15" customHeight="1" x14ac:dyDescent="0.2">
      <c r="A112" s="12" t="s">
        <v>18</v>
      </c>
      <c r="B112" s="36" t="s">
        <v>2504</v>
      </c>
      <c r="C112" s="12">
        <f t="shared" si="14"/>
        <v>78</v>
      </c>
      <c r="D112" s="12">
        <v>0</v>
      </c>
      <c r="E112" s="12" t="str">
        <f t="shared" si="10"/>
        <v>078</v>
      </c>
      <c r="G112" s="14" t="s">
        <v>144</v>
      </c>
      <c r="H112" s="12" t="s">
        <v>3946</v>
      </c>
      <c r="I112" s="12">
        <v>333821</v>
      </c>
      <c r="J112" s="12">
        <v>131</v>
      </c>
      <c r="K112" s="12" t="s">
        <v>20</v>
      </c>
      <c r="L112" s="12">
        <v>1</v>
      </c>
      <c r="M112" s="17">
        <v>483870</v>
      </c>
      <c r="N112" s="17">
        <f t="shared" si="15"/>
        <v>483870</v>
      </c>
      <c r="O112" s="12" t="s">
        <v>21</v>
      </c>
      <c r="P112" s="12">
        <f t="shared" si="13"/>
        <v>77</v>
      </c>
      <c r="Q112" s="12">
        <f t="shared" si="11"/>
        <v>136</v>
      </c>
      <c r="R112" s="12" t="str">
        <f t="shared" si="12"/>
        <v>CÔNG TY TNHH SPARKLE MEDIA</v>
      </c>
    </row>
    <row r="113" spans="1:18" ht="15" customHeight="1" x14ac:dyDescent="0.2">
      <c r="A113" s="12" t="s">
        <v>18</v>
      </c>
      <c r="B113" s="36" t="s">
        <v>2513</v>
      </c>
      <c r="C113" s="12">
        <f t="shared" si="14"/>
        <v>79</v>
      </c>
      <c r="D113" s="12">
        <v>1</v>
      </c>
      <c r="E113" s="12" t="str">
        <f t="shared" si="10"/>
        <v>079</v>
      </c>
      <c r="G113" s="14" t="s">
        <v>3886</v>
      </c>
      <c r="H113" s="12" t="s">
        <v>3917</v>
      </c>
      <c r="I113" s="12">
        <v>131</v>
      </c>
      <c r="J113" s="12">
        <v>5113</v>
      </c>
      <c r="K113" s="12" t="s">
        <v>20</v>
      </c>
      <c r="L113" s="12">
        <v>1</v>
      </c>
      <c r="M113" s="17">
        <v>11223344</v>
      </c>
      <c r="N113" s="17">
        <f t="shared" si="15"/>
        <v>11223344</v>
      </c>
      <c r="O113" s="12" t="s">
        <v>21</v>
      </c>
      <c r="P113" s="12">
        <f t="shared" si="13"/>
        <v>78</v>
      </c>
      <c r="Q113" s="12">
        <f t="shared" si="11"/>
        <v>154</v>
      </c>
      <c r="R113" s="12" t="str">
        <f t="shared" si="12"/>
        <v>CÔNG TY TNHH TƯ VẤN GIẢI PHÁP DOANH NGHIỆP TPC</v>
      </c>
    </row>
    <row r="114" spans="1:18" ht="15" customHeight="1" x14ac:dyDescent="0.2">
      <c r="A114" s="12" t="s">
        <v>18</v>
      </c>
      <c r="B114" s="36" t="s">
        <v>2513</v>
      </c>
      <c r="C114" s="12">
        <f t="shared" si="14"/>
        <v>79</v>
      </c>
      <c r="D114" s="12">
        <v>0</v>
      </c>
      <c r="E114" s="12" t="str">
        <f t="shared" si="10"/>
        <v>079</v>
      </c>
      <c r="G114" s="14" t="s">
        <v>3886</v>
      </c>
      <c r="H114" s="12" t="s">
        <v>3947</v>
      </c>
      <c r="I114" s="12">
        <v>333821</v>
      </c>
      <c r="J114" s="12">
        <v>131</v>
      </c>
      <c r="K114" s="12" t="s">
        <v>20</v>
      </c>
      <c r="L114" s="12">
        <v>1</v>
      </c>
      <c r="M114" s="17">
        <v>112233</v>
      </c>
      <c r="N114" s="17">
        <f t="shared" si="15"/>
        <v>112233</v>
      </c>
      <c r="O114" s="12" t="s">
        <v>21</v>
      </c>
      <c r="P114" s="12">
        <f t="shared" si="13"/>
        <v>78</v>
      </c>
      <c r="Q114" s="12">
        <f t="shared" si="11"/>
        <v>170</v>
      </c>
      <c r="R114" s="12" t="str">
        <f t="shared" si="12"/>
        <v>CÔNG TY TNHH TƯ VẤN GIẢI PHÁP DOANH NGHIỆP TPC</v>
      </c>
    </row>
    <row r="115" spans="1:18" ht="15" customHeight="1" x14ac:dyDescent="0.2">
      <c r="A115" s="12" t="s">
        <v>18</v>
      </c>
      <c r="B115" s="36" t="s">
        <v>2513</v>
      </c>
      <c r="C115" s="12">
        <f t="shared" si="14"/>
        <v>80</v>
      </c>
      <c r="D115" s="12">
        <v>1</v>
      </c>
      <c r="E115" s="12" t="str">
        <f t="shared" si="10"/>
        <v>080</v>
      </c>
      <c r="G115" s="14" t="s">
        <v>3883</v>
      </c>
      <c r="H115" s="12" t="s">
        <v>3918</v>
      </c>
      <c r="I115" s="12">
        <v>131</v>
      </c>
      <c r="J115" s="12">
        <v>5113</v>
      </c>
      <c r="K115" s="12" t="s">
        <v>20</v>
      </c>
      <c r="L115" s="12">
        <v>1</v>
      </c>
      <c r="M115" s="17">
        <v>3225806</v>
      </c>
      <c r="N115" s="17">
        <f t="shared" si="15"/>
        <v>3225806</v>
      </c>
      <c r="O115" s="12" t="s">
        <v>21</v>
      </c>
      <c r="P115" s="12">
        <f t="shared" si="13"/>
        <v>79</v>
      </c>
      <c r="Q115" s="12">
        <f t="shared" si="11"/>
        <v>100</v>
      </c>
      <c r="R115" s="12" t="str">
        <f t="shared" si="12"/>
        <v>CÔNG TY TNHH ĐẦU TƯ XUẤT NHẬP KHẨU TÍN VIỆT</v>
      </c>
    </row>
    <row r="116" spans="1:18" ht="15" customHeight="1" x14ac:dyDescent="0.2">
      <c r="A116" s="12" t="s">
        <v>18</v>
      </c>
      <c r="B116" s="36" t="s">
        <v>2513</v>
      </c>
      <c r="C116" s="12">
        <f t="shared" si="14"/>
        <v>80</v>
      </c>
      <c r="D116" s="12">
        <v>0</v>
      </c>
      <c r="E116" s="12" t="str">
        <f t="shared" si="10"/>
        <v>080</v>
      </c>
      <c r="G116" s="14" t="s">
        <v>3883</v>
      </c>
      <c r="H116" s="12" t="s">
        <v>3948</v>
      </c>
      <c r="I116" s="12">
        <v>333821</v>
      </c>
      <c r="J116" s="12">
        <v>131</v>
      </c>
      <c r="K116" s="12" t="s">
        <v>20</v>
      </c>
      <c r="L116" s="12">
        <v>1</v>
      </c>
      <c r="M116" s="17">
        <v>32258</v>
      </c>
      <c r="N116" s="17">
        <f t="shared" si="15"/>
        <v>32258</v>
      </c>
      <c r="O116" s="12" t="s">
        <v>21</v>
      </c>
      <c r="P116" s="12">
        <f t="shared" si="13"/>
        <v>79</v>
      </c>
      <c r="Q116" s="12">
        <f t="shared" si="11"/>
        <v>116</v>
      </c>
      <c r="R116" s="12" t="str">
        <f t="shared" si="12"/>
        <v>CÔNG TY TNHH ĐẦU TƯ XUẤT NHẬP KHẨU TÍN VIỆT</v>
      </c>
    </row>
    <row r="117" spans="1:18" ht="15" customHeight="1" x14ac:dyDescent="0.2">
      <c r="A117" s="12" t="s">
        <v>2678</v>
      </c>
      <c r="B117" s="36">
        <v>45968</v>
      </c>
      <c r="C117" s="12">
        <f t="shared" si="14"/>
        <v>81</v>
      </c>
      <c r="D117" s="12">
        <v>1</v>
      </c>
      <c r="E117" s="12" t="str">
        <f t="shared" si="10"/>
        <v>081</v>
      </c>
      <c r="G117" s="14" t="s">
        <v>4993</v>
      </c>
      <c r="H117" s="12" t="s">
        <v>3094</v>
      </c>
      <c r="I117" s="12">
        <v>64277</v>
      </c>
      <c r="J117" s="12">
        <v>112111</v>
      </c>
      <c r="K117" s="12" t="s">
        <v>20</v>
      </c>
      <c r="L117" s="12">
        <v>1</v>
      </c>
      <c r="M117" s="17">
        <v>22000</v>
      </c>
      <c r="N117" s="17">
        <f t="shared" si="15"/>
        <v>22000</v>
      </c>
      <c r="O117" s="12" t="s">
        <v>21</v>
      </c>
      <c r="P117" s="12">
        <f t="shared" si="13"/>
        <v>80</v>
      </c>
      <c r="Q117" s="12">
        <f t="shared" si="11"/>
        <v>13</v>
      </c>
      <c r="R117" s="12" t="str">
        <f t="shared" si="12"/>
        <v>NGÂN HÀNG THƯƠNG MẠI CỔ PHẦN NGOẠI THƯƠNG VIỆT NAM</v>
      </c>
    </row>
    <row r="118" spans="1:18" ht="15" customHeight="1" x14ac:dyDescent="0.2">
      <c r="A118" s="12" t="s">
        <v>2679</v>
      </c>
      <c r="B118" s="36">
        <v>45968</v>
      </c>
      <c r="C118" s="12">
        <f t="shared" si="14"/>
        <v>82</v>
      </c>
      <c r="D118" s="12">
        <v>1</v>
      </c>
      <c r="E118" s="12" t="str">
        <f t="shared" si="10"/>
        <v>082</v>
      </c>
      <c r="G118" s="14" t="s">
        <v>2229</v>
      </c>
      <c r="H118" s="12" t="s">
        <v>5018</v>
      </c>
      <c r="I118" s="12">
        <v>112111</v>
      </c>
      <c r="J118" s="12">
        <v>131</v>
      </c>
      <c r="K118" s="12" t="s">
        <v>20</v>
      </c>
      <c r="L118" s="12">
        <v>1</v>
      </c>
      <c r="M118" s="17">
        <v>15967742</v>
      </c>
      <c r="N118" s="17">
        <f t="shared" si="15"/>
        <v>15967742</v>
      </c>
      <c r="O118" s="12" t="s">
        <v>21</v>
      </c>
      <c r="P118" s="12">
        <f t="shared" si="13"/>
        <v>81</v>
      </c>
      <c r="Q118" s="12">
        <f t="shared" si="11"/>
        <v>105</v>
      </c>
      <c r="R118" s="12" t="str">
        <f t="shared" si="12"/>
        <v>CÔNG TY TNHH ACTSONE VIỆT NAM</v>
      </c>
    </row>
    <row r="119" spans="1:18" ht="15" customHeight="1" x14ac:dyDescent="0.2">
      <c r="A119" s="12" t="s">
        <v>2679</v>
      </c>
      <c r="B119" s="36">
        <v>45968</v>
      </c>
      <c r="C119" s="12">
        <f t="shared" si="14"/>
        <v>83</v>
      </c>
      <c r="D119" s="12">
        <v>1</v>
      </c>
      <c r="E119" s="12" t="str">
        <f t="shared" si="10"/>
        <v>083</v>
      </c>
      <c r="G119" s="14" t="s">
        <v>2230</v>
      </c>
      <c r="H119" s="12" t="s">
        <v>5019</v>
      </c>
      <c r="I119" s="12">
        <v>112111</v>
      </c>
      <c r="J119" s="12">
        <v>131</v>
      </c>
      <c r="K119" s="12" t="s">
        <v>20</v>
      </c>
      <c r="L119" s="12">
        <v>1</v>
      </c>
      <c r="M119" s="17">
        <v>11709678</v>
      </c>
      <c r="N119" s="17">
        <f t="shared" si="15"/>
        <v>11709678</v>
      </c>
      <c r="O119" s="12" t="s">
        <v>21</v>
      </c>
      <c r="P119" s="12">
        <f t="shared" si="13"/>
        <v>82</v>
      </c>
      <c r="Q119" s="12">
        <f t="shared" si="11"/>
        <v>110</v>
      </c>
      <c r="R119" s="12" t="str">
        <f t="shared" si="12"/>
        <v>VĂN PHÒNG ĐẠI DIỆN BELECO CO.,LTD. TẠI THÀNH PHỐ HỒ CHÍ MINH</v>
      </c>
    </row>
    <row r="120" spans="1:18" ht="15" customHeight="1" x14ac:dyDescent="0.2">
      <c r="A120" s="12" t="s">
        <v>2679</v>
      </c>
      <c r="B120" s="36">
        <v>45971</v>
      </c>
      <c r="C120" s="12">
        <f t="shared" si="14"/>
        <v>84</v>
      </c>
      <c r="D120" s="12">
        <v>1</v>
      </c>
      <c r="E120" s="12" t="str">
        <f t="shared" si="10"/>
        <v>084</v>
      </c>
      <c r="G120" s="14" t="s">
        <v>144</v>
      </c>
      <c r="H120" s="12" t="s">
        <v>5026</v>
      </c>
      <c r="I120" s="12">
        <v>112111</v>
      </c>
      <c r="J120" s="12">
        <v>131</v>
      </c>
      <c r="K120" s="12" t="s">
        <v>20</v>
      </c>
      <c r="L120" s="12">
        <v>1</v>
      </c>
      <c r="M120" s="17">
        <v>31935484</v>
      </c>
      <c r="N120" s="17">
        <f t="shared" si="15"/>
        <v>31935484</v>
      </c>
      <c r="O120" s="12" t="s">
        <v>21</v>
      </c>
      <c r="P120" s="12">
        <f t="shared" si="13"/>
        <v>83</v>
      </c>
      <c r="Q120" s="12">
        <f t="shared" si="11"/>
        <v>184</v>
      </c>
      <c r="R120" s="12" t="str">
        <f t="shared" si="12"/>
        <v>CÔNG TY TNHH SPARKLE MEDIA</v>
      </c>
    </row>
    <row r="121" spans="1:18" ht="15" customHeight="1" x14ac:dyDescent="0.2">
      <c r="A121" s="12" t="s">
        <v>2679</v>
      </c>
      <c r="B121" s="36">
        <v>45977</v>
      </c>
      <c r="C121" s="12">
        <f t="shared" si="14"/>
        <v>85</v>
      </c>
      <c r="D121" s="12">
        <v>1</v>
      </c>
      <c r="E121" s="12" t="str">
        <f t="shared" si="10"/>
        <v>085</v>
      </c>
      <c r="G121" s="14" t="s">
        <v>47</v>
      </c>
      <c r="H121" s="12" t="s">
        <v>5112</v>
      </c>
      <c r="I121" s="12">
        <v>112111</v>
      </c>
      <c r="J121" s="12">
        <v>131</v>
      </c>
      <c r="K121" s="12" t="s">
        <v>20</v>
      </c>
      <c r="L121" s="12">
        <v>1</v>
      </c>
      <c r="M121" s="17">
        <v>21290323</v>
      </c>
      <c r="N121" s="17">
        <f t="shared" si="15"/>
        <v>21290323</v>
      </c>
      <c r="O121" s="12" t="s">
        <v>21</v>
      </c>
      <c r="P121" s="12">
        <f t="shared" si="13"/>
        <v>84</v>
      </c>
      <c r="Q121" s="12">
        <f t="shared" si="11"/>
        <v>192</v>
      </c>
      <c r="R121" s="12" t="str">
        <f t="shared" si="12"/>
        <v>CÔNG TY CỔ PHẦN Y&amp;B</v>
      </c>
    </row>
    <row r="122" spans="1:18" ht="15" customHeight="1" x14ac:dyDescent="0.2">
      <c r="A122" s="12" t="s">
        <v>2679</v>
      </c>
      <c r="B122" s="36">
        <v>45980</v>
      </c>
      <c r="C122" s="12">
        <f t="shared" si="14"/>
        <v>86</v>
      </c>
      <c r="D122" s="12">
        <v>1</v>
      </c>
      <c r="E122" s="12" t="str">
        <f t="shared" si="10"/>
        <v>086</v>
      </c>
      <c r="G122" s="14" t="s">
        <v>3881</v>
      </c>
      <c r="H122" s="12" t="s">
        <v>5023</v>
      </c>
      <c r="I122" s="12">
        <v>112111</v>
      </c>
      <c r="J122" s="12">
        <v>131</v>
      </c>
      <c r="K122" s="12" t="s">
        <v>20</v>
      </c>
      <c r="L122" s="12">
        <v>1</v>
      </c>
      <c r="M122" s="17">
        <v>15967742</v>
      </c>
      <c r="N122" s="17">
        <f t="shared" si="15"/>
        <v>15967742</v>
      </c>
      <c r="O122" s="12" t="s">
        <v>21</v>
      </c>
      <c r="P122" s="12">
        <f t="shared" si="13"/>
        <v>85</v>
      </c>
      <c r="Q122" s="12">
        <f t="shared" si="11"/>
        <v>148</v>
      </c>
      <c r="R122" s="12" t="str">
        <f t="shared" si="12"/>
        <v>CÔNG TY TNHH KARMARTS VIỆT NAM</v>
      </c>
    </row>
    <row r="123" spans="1:18" ht="15" customHeight="1" x14ac:dyDescent="0.2">
      <c r="A123" s="12" t="s">
        <v>2679</v>
      </c>
      <c r="B123" s="36">
        <v>45981</v>
      </c>
      <c r="C123" s="12">
        <f t="shared" si="14"/>
        <v>87</v>
      </c>
      <c r="D123" s="12">
        <v>1</v>
      </c>
      <c r="E123" s="12" t="str">
        <f t="shared" si="10"/>
        <v>087</v>
      </c>
      <c r="G123" s="14" t="s">
        <v>128</v>
      </c>
      <c r="H123" s="12" t="s">
        <v>5022</v>
      </c>
      <c r="I123" s="12">
        <v>112111</v>
      </c>
      <c r="J123" s="12">
        <v>131</v>
      </c>
      <c r="K123" s="12" t="s">
        <v>20</v>
      </c>
      <c r="L123" s="12">
        <v>1</v>
      </c>
      <c r="M123" s="17">
        <v>15967742</v>
      </c>
      <c r="N123" s="17">
        <f t="shared" si="15"/>
        <v>15967742</v>
      </c>
      <c r="O123" s="12" t="s">
        <v>21</v>
      </c>
      <c r="P123" s="12">
        <f t="shared" si="13"/>
        <v>86</v>
      </c>
      <c r="Q123" s="12">
        <f t="shared" si="11"/>
        <v>156</v>
      </c>
      <c r="R123" s="12" t="str">
        <f t="shared" si="12"/>
        <v>CÔNG TY TNHH NÀNG THƠM COMMUNICATION</v>
      </c>
    </row>
    <row r="124" spans="1:18" ht="15" customHeight="1" x14ac:dyDescent="0.2">
      <c r="A124" s="12" t="s">
        <v>2679</v>
      </c>
      <c r="B124" s="36">
        <v>45986</v>
      </c>
      <c r="C124" s="12">
        <f t="shared" si="14"/>
        <v>88</v>
      </c>
      <c r="D124" s="12">
        <v>1</v>
      </c>
      <c r="E124" s="12" t="str">
        <f t="shared" si="10"/>
        <v>088</v>
      </c>
      <c r="G124" s="14" t="s">
        <v>4993</v>
      </c>
      <c r="H124" s="12" t="s">
        <v>2687</v>
      </c>
      <c r="I124" s="12">
        <v>112111</v>
      </c>
      <c r="J124" s="12">
        <v>5154</v>
      </c>
      <c r="K124" s="12" t="s">
        <v>20</v>
      </c>
      <c r="L124" s="12">
        <v>1</v>
      </c>
      <c r="M124" s="17">
        <v>7365</v>
      </c>
      <c r="N124" s="17">
        <f t="shared" si="15"/>
        <v>7365</v>
      </c>
      <c r="O124" s="12" t="s">
        <v>21</v>
      </c>
      <c r="P124" s="12">
        <f t="shared" si="13"/>
        <v>87</v>
      </c>
      <c r="Q124" s="12">
        <f t="shared" si="11"/>
        <v>12</v>
      </c>
      <c r="R124" s="12" t="str">
        <f t="shared" si="12"/>
        <v>NGÂN HÀNG THƯƠNG MẠI CỔ PHẦN NGOẠI THƯƠNG VIỆT NAM</v>
      </c>
    </row>
    <row r="125" spans="1:18" ht="15" customHeight="1" x14ac:dyDescent="0.2">
      <c r="A125" s="12" t="s">
        <v>2679</v>
      </c>
      <c r="B125" s="36">
        <v>45989</v>
      </c>
      <c r="C125" s="12">
        <f t="shared" si="14"/>
        <v>89</v>
      </c>
      <c r="D125" s="12">
        <v>1</v>
      </c>
      <c r="E125" s="12" t="str">
        <f t="shared" si="10"/>
        <v>089</v>
      </c>
      <c r="G125" s="14" t="s">
        <v>42</v>
      </c>
      <c r="H125" s="12" t="s">
        <v>5021</v>
      </c>
      <c r="I125" s="12">
        <v>112111</v>
      </c>
      <c r="J125" s="12">
        <v>131</v>
      </c>
      <c r="K125" s="12" t="s">
        <v>20</v>
      </c>
      <c r="L125" s="12">
        <v>1</v>
      </c>
      <c r="M125" s="17">
        <v>21290322</v>
      </c>
      <c r="N125" s="17">
        <f t="shared" si="15"/>
        <v>21290322</v>
      </c>
      <c r="O125" s="12" t="s">
        <v>21</v>
      </c>
      <c r="P125" s="12">
        <f t="shared" si="13"/>
        <v>88</v>
      </c>
      <c r="Q125" s="12">
        <f t="shared" si="11"/>
        <v>171</v>
      </c>
      <c r="R125" s="12" t="str">
        <f t="shared" si="12"/>
        <v>CÔNG TY CỔ PHẦN METUB VIỆT NAM</v>
      </c>
    </row>
    <row r="126" spans="1:18" ht="15" customHeight="1" x14ac:dyDescent="0.2">
      <c r="A126" s="12" t="s">
        <v>2679</v>
      </c>
      <c r="B126" s="36">
        <v>45992</v>
      </c>
      <c r="C126" s="12">
        <f t="shared" si="14"/>
        <v>90</v>
      </c>
      <c r="D126" s="12">
        <v>1</v>
      </c>
      <c r="E126" s="12" t="str">
        <f t="shared" si="10"/>
        <v>090</v>
      </c>
      <c r="G126" s="14" t="s">
        <v>2230</v>
      </c>
      <c r="H126" s="12" t="s">
        <v>5031</v>
      </c>
      <c r="I126" s="12">
        <v>112111</v>
      </c>
      <c r="J126" s="12">
        <v>131</v>
      </c>
      <c r="K126" s="12" t="s">
        <v>20</v>
      </c>
      <c r="L126" s="12">
        <v>1</v>
      </c>
      <c r="M126" s="17">
        <v>11709677</v>
      </c>
      <c r="N126" s="17">
        <f t="shared" si="15"/>
        <v>11709677</v>
      </c>
      <c r="O126" s="12" t="s">
        <v>21</v>
      </c>
      <c r="P126" s="12">
        <f t="shared" si="13"/>
        <v>89</v>
      </c>
      <c r="Q126" s="12">
        <f t="shared" si="11"/>
        <v>153</v>
      </c>
      <c r="R126" s="12" t="str">
        <f t="shared" si="12"/>
        <v>VĂN PHÒNG ĐẠI DIỆN BELECO CO.,LTD. TẠI THÀNH PHỐ HỒ CHÍ MINH</v>
      </c>
    </row>
    <row r="127" spans="1:18" ht="15" customHeight="1" x14ac:dyDescent="0.2">
      <c r="A127" s="12" t="s">
        <v>2679</v>
      </c>
      <c r="B127" s="36">
        <v>45992</v>
      </c>
      <c r="C127" s="12">
        <f t="shared" si="14"/>
        <v>91</v>
      </c>
      <c r="D127" s="12">
        <v>1</v>
      </c>
      <c r="E127" s="12" t="str">
        <f t="shared" si="10"/>
        <v>091</v>
      </c>
      <c r="G127" s="14" t="s">
        <v>29</v>
      </c>
      <c r="H127" s="12" t="s">
        <v>5024</v>
      </c>
      <c r="I127" s="12">
        <v>112111</v>
      </c>
      <c r="J127" s="12">
        <v>131</v>
      </c>
      <c r="K127" s="12" t="s">
        <v>20</v>
      </c>
      <c r="L127" s="12">
        <v>1</v>
      </c>
      <c r="M127" s="17">
        <v>30107527</v>
      </c>
      <c r="N127" s="17">
        <f t="shared" si="15"/>
        <v>30107527</v>
      </c>
      <c r="O127" s="12" t="s">
        <v>21</v>
      </c>
      <c r="P127" s="12">
        <f t="shared" si="13"/>
        <v>90</v>
      </c>
      <c r="Q127" s="12">
        <f t="shared" si="11"/>
        <v>161</v>
      </c>
      <c r="R127" s="12" t="str">
        <f t="shared" si="12"/>
        <v>CÔNG TY TNHH MINDO SOLUTIONS</v>
      </c>
    </row>
    <row r="128" spans="1:18" ht="15" customHeight="1" x14ac:dyDescent="0.2">
      <c r="A128" s="12" t="s">
        <v>2679</v>
      </c>
      <c r="B128" s="36">
        <v>45993</v>
      </c>
      <c r="C128" s="12">
        <f t="shared" si="14"/>
        <v>92</v>
      </c>
      <c r="D128" s="12">
        <v>1</v>
      </c>
      <c r="E128" s="12" t="str">
        <f t="shared" si="10"/>
        <v>092</v>
      </c>
      <c r="G128" s="14" t="s">
        <v>3882</v>
      </c>
      <c r="H128" s="12" t="s">
        <v>5113</v>
      </c>
      <c r="I128" s="12">
        <v>112111</v>
      </c>
      <c r="J128" s="12">
        <v>131</v>
      </c>
      <c r="K128" s="12" t="s">
        <v>20</v>
      </c>
      <c r="L128" s="12">
        <v>1</v>
      </c>
      <c r="M128" s="17">
        <v>15967742</v>
      </c>
      <c r="N128" s="17">
        <f t="shared" si="15"/>
        <v>15967742</v>
      </c>
      <c r="O128" s="12" t="s">
        <v>21</v>
      </c>
      <c r="P128" s="12">
        <f t="shared" si="13"/>
        <v>91</v>
      </c>
      <c r="Q128" s="12">
        <f t="shared" si="11"/>
        <v>159</v>
      </c>
      <c r="R128" s="12" t="str">
        <f t="shared" si="12"/>
        <v>CÔNG TY TNHH MTV THƯƠNG MẠI DỊCH VỤ BLUE OCEAN</v>
      </c>
    </row>
    <row r="129" spans="1:18" ht="15" customHeight="1" x14ac:dyDescent="0.2">
      <c r="A129" s="12" t="s">
        <v>2679</v>
      </c>
      <c r="B129" s="36">
        <v>45996</v>
      </c>
      <c r="C129" s="12">
        <f t="shared" si="14"/>
        <v>93</v>
      </c>
      <c r="D129" s="12">
        <v>1</v>
      </c>
      <c r="E129" s="12" t="str">
        <f t="shared" si="10"/>
        <v>093</v>
      </c>
      <c r="G129" s="14" t="s">
        <v>128</v>
      </c>
      <c r="H129" s="12" t="s">
        <v>5025</v>
      </c>
      <c r="I129" s="12">
        <v>112111</v>
      </c>
      <c r="J129" s="12">
        <v>131</v>
      </c>
      <c r="K129" s="12" t="s">
        <v>20</v>
      </c>
      <c r="L129" s="12">
        <v>1</v>
      </c>
      <c r="M129" s="17">
        <v>15967742</v>
      </c>
      <c r="N129" s="17">
        <f t="shared" si="15"/>
        <v>15967742</v>
      </c>
      <c r="O129" s="12" t="s">
        <v>21</v>
      </c>
      <c r="P129" s="12">
        <f t="shared" si="13"/>
        <v>92</v>
      </c>
      <c r="Q129" s="12">
        <f t="shared" si="11"/>
        <v>157</v>
      </c>
      <c r="R129" s="12" t="str">
        <f t="shared" si="12"/>
        <v>CÔNG TY TNHH NÀNG THƠM COMMUNICATION</v>
      </c>
    </row>
    <row r="130" spans="1:18" ht="15" customHeight="1" x14ac:dyDescent="0.2">
      <c r="A130" s="12" t="s">
        <v>2679</v>
      </c>
      <c r="B130" s="36">
        <v>45998</v>
      </c>
      <c r="C130" s="12">
        <f t="shared" si="14"/>
        <v>94</v>
      </c>
      <c r="D130" s="12">
        <v>1</v>
      </c>
      <c r="E130" s="12" t="str">
        <f t="shared" si="10"/>
        <v>094</v>
      </c>
      <c r="G130" s="14" t="s">
        <v>117</v>
      </c>
      <c r="H130" s="12" t="s">
        <v>5020</v>
      </c>
      <c r="I130" s="12">
        <v>112111</v>
      </c>
      <c r="J130" s="12">
        <v>131</v>
      </c>
      <c r="K130" s="12" t="s">
        <v>20</v>
      </c>
      <c r="L130" s="12">
        <v>1</v>
      </c>
      <c r="M130" s="17">
        <v>31935484</v>
      </c>
      <c r="N130" s="17">
        <f t="shared" si="15"/>
        <v>31935484</v>
      </c>
      <c r="O130" s="12" t="s">
        <v>21</v>
      </c>
      <c r="P130" s="12">
        <f t="shared" si="13"/>
        <v>93</v>
      </c>
      <c r="Q130" s="12">
        <f t="shared" si="11"/>
        <v>167</v>
      </c>
      <c r="R130" s="12" t="str">
        <f t="shared" si="12"/>
        <v>CÔNG TY CỔ PHẦN GENA THÁI BÌNH DƯƠNG</v>
      </c>
    </row>
    <row r="131" spans="1:18" ht="15" customHeight="1" x14ac:dyDescent="0.2">
      <c r="A131" s="12" t="s">
        <v>2679</v>
      </c>
      <c r="B131" s="36">
        <v>46001</v>
      </c>
      <c r="C131" s="12">
        <f t="shared" si="14"/>
        <v>95</v>
      </c>
      <c r="D131" s="12">
        <v>1</v>
      </c>
      <c r="E131" s="12" t="str">
        <f t="shared" si="10"/>
        <v>095</v>
      </c>
      <c r="G131" s="14" t="s">
        <v>29</v>
      </c>
      <c r="H131" s="12" t="s">
        <v>5030</v>
      </c>
      <c r="I131" s="12">
        <v>112111</v>
      </c>
      <c r="J131" s="12">
        <v>131</v>
      </c>
      <c r="K131" s="12" t="s">
        <v>20</v>
      </c>
      <c r="L131" s="12">
        <v>1</v>
      </c>
      <c r="M131" s="17">
        <v>2150538</v>
      </c>
      <c r="N131" s="17">
        <f t="shared" si="15"/>
        <v>2150538</v>
      </c>
      <c r="O131" s="12" t="s">
        <v>21</v>
      </c>
      <c r="P131" s="12">
        <f t="shared" si="13"/>
        <v>94</v>
      </c>
      <c r="Q131" s="12">
        <f t="shared" si="11"/>
        <v>147</v>
      </c>
      <c r="R131" s="12" t="str">
        <f t="shared" si="12"/>
        <v>CÔNG TY TNHH MINDO SOLUTIONS</v>
      </c>
    </row>
    <row r="132" spans="1:18" ht="15" customHeight="1" x14ac:dyDescent="0.2">
      <c r="A132" s="12" t="s">
        <v>2679</v>
      </c>
      <c r="B132" s="36">
        <v>46001</v>
      </c>
      <c r="C132" s="12">
        <f t="shared" si="14"/>
        <v>96</v>
      </c>
      <c r="D132" s="12">
        <v>1</v>
      </c>
      <c r="E132" s="12" t="str">
        <f t="shared" si="10"/>
        <v>096</v>
      </c>
      <c r="G132" s="14" t="s">
        <v>29</v>
      </c>
      <c r="H132" s="12" t="s">
        <v>5029</v>
      </c>
      <c r="I132" s="12">
        <v>112111</v>
      </c>
      <c r="J132" s="12">
        <v>131</v>
      </c>
      <c r="K132" s="12" t="s">
        <v>20</v>
      </c>
      <c r="L132" s="12">
        <v>1</v>
      </c>
      <c r="M132" s="17">
        <v>15967742</v>
      </c>
      <c r="N132" s="17">
        <f t="shared" si="15"/>
        <v>15967742</v>
      </c>
      <c r="O132" s="12" t="s">
        <v>21</v>
      </c>
      <c r="P132" s="12">
        <f t="shared" si="13"/>
        <v>95</v>
      </c>
      <c r="Q132" s="12">
        <f t="shared" si="11"/>
        <v>147</v>
      </c>
      <c r="R132" s="12" t="str">
        <f t="shared" si="12"/>
        <v>CÔNG TY TNHH MINDO SOLUTIONS</v>
      </c>
    </row>
    <row r="133" spans="1:18" ht="15" customHeight="1" x14ac:dyDescent="0.2">
      <c r="A133" s="12" t="s">
        <v>2679</v>
      </c>
      <c r="B133" s="36">
        <v>46004</v>
      </c>
      <c r="C133" s="12">
        <f t="shared" si="14"/>
        <v>97</v>
      </c>
      <c r="D133" s="12">
        <v>1</v>
      </c>
      <c r="E133" s="12" t="str">
        <f t="shared" ref="E133:E196" si="16">TEXT(C133,"000")</f>
        <v>097</v>
      </c>
      <c r="G133" s="14" t="s">
        <v>406</v>
      </c>
      <c r="H133" s="12" t="s">
        <v>5028</v>
      </c>
      <c r="I133" s="12">
        <v>112111</v>
      </c>
      <c r="J133" s="12">
        <v>131</v>
      </c>
      <c r="K133" s="12" t="s">
        <v>20</v>
      </c>
      <c r="L133" s="12">
        <v>1</v>
      </c>
      <c r="M133" s="17">
        <v>15967742</v>
      </c>
      <c r="N133" s="17">
        <f t="shared" si="15"/>
        <v>15967742</v>
      </c>
      <c r="O133" s="12" t="s">
        <v>21</v>
      </c>
      <c r="P133" s="12">
        <f t="shared" si="13"/>
        <v>96</v>
      </c>
      <c r="Q133" s="12">
        <f t="shared" ref="Q133:Q147" si="17">LEN(H133)</f>
        <v>160</v>
      </c>
      <c r="R133" s="12" t="str">
        <f t="shared" ref="R133:R192" si="18">VLOOKUP(G133,$W$4:$X$100,2,0)</f>
        <v>CÔNG TY CP ĐẦU TƯ BULSAN GROUP</v>
      </c>
    </row>
    <row r="134" spans="1:18" ht="15" customHeight="1" x14ac:dyDescent="0.2">
      <c r="A134" s="12" t="s">
        <v>18</v>
      </c>
      <c r="B134" s="36">
        <v>46007</v>
      </c>
      <c r="C134" s="12">
        <f t="shared" ref="C134" si="19">C133+D134</f>
        <v>98</v>
      </c>
      <c r="D134" s="12">
        <v>1</v>
      </c>
      <c r="E134" s="12" t="str">
        <f t="shared" si="16"/>
        <v>098</v>
      </c>
      <c r="G134" s="14" t="s">
        <v>3003</v>
      </c>
      <c r="H134" s="12" t="s">
        <v>3161</v>
      </c>
      <c r="I134" s="12">
        <v>131</v>
      </c>
      <c r="J134" s="12">
        <v>5118</v>
      </c>
      <c r="K134" s="12" t="s">
        <v>20</v>
      </c>
      <c r="L134" s="12">
        <v>1</v>
      </c>
      <c r="M134" s="17">
        <v>379000000</v>
      </c>
      <c r="N134" s="17">
        <f t="shared" si="15"/>
        <v>379000000</v>
      </c>
      <c r="O134" s="12" t="s">
        <v>21</v>
      </c>
      <c r="P134" s="12">
        <f t="shared" ref="P134" si="20">P133+D134</f>
        <v>97</v>
      </c>
      <c r="Q134" s="12">
        <f t="shared" ref="Q134:Q136" si="21">LEN(H134)</f>
        <v>36</v>
      </c>
      <c r="R134" s="12" t="str">
        <f t="shared" si="18"/>
        <v>TIKTOK PTE. LTD.</v>
      </c>
    </row>
    <row r="135" spans="1:18" ht="15" customHeight="1" x14ac:dyDescent="0.2">
      <c r="A135" s="12" t="s">
        <v>2679</v>
      </c>
      <c r="B135" s="36">
        <v>46007</v>
      </c>
      <c r="C135" s="12">
        <f>C134+D135</f>
        <v>99</v>
      </c>
      <c r="D135" s="12">
        <v>1</v>
      </c>
      <c r="E135" s="12" t="str">
        <f t="shared" si="16"/>
        <v>099</v>
      </c>
      <c r="G135" s="14" t="s">
        <v>3003</v>
      </c>
      <c r="H135" s="12" t="s">
        <v>3162</v>
      </c>
      <c r="I135" s="12">
        <v>112111</v>
      </c>
      <c r="J135" s="12">
        <v>131</v>
      </c>
      <c r="K135" s="12" t="s">
        <v>20</v>
      </c>
      <c r="L135" s="12">
        <v>1</v>
      </c>
      <c r="M135" s="17">
        <v>374827429</v>
      </c>
      <c r="N135" s="17">
        <f t="shared" si="15"/>
        <v>374827429</v>
      </c>
      <c r="O135" s="12" t="s">
        <v>21</v>
      </c>
      <c r="P135" s="12">
        <f>P134+D135</f>
        <v>98</v>
      </c>
      <c r="Q135" s="12">
        <f t="shared" si="21"/>
        <v>41</v>
      </c>
      <c r="R135" s="12" t="str">
        <f t="shared" si="18"/>
        <v>TIKTOK PTE. LTD.</v>
      </c>
    </row>
    <row r="136" spans="1:18" ht="15" customHeight="1" x14ac:dyDescent="0.2">
      <c r="A136" s="12" t="s">
        <v>2679</v>
      </c>
      <c r="B136" s="36">
        <v>46007</v>
      </c>
      <c r="C136" s="12">
        <f>C135+D136</f>
        <v>99</v>
      </c>
      <c r="D136" s="12">
        <v>0</v>
      </c>
      <c r="E136" s="12" t="str">
        <f t="shared" si="16"/>
        <v>099</v>
      </c>
      <c r="G136" s="14" t="s">
        <v>3003</v>
      </c>
      <c r="H136" s="12" t="s">
        <v>3094</v>
      </c>
      <c r="I136" s="12">
        <v>6425</v>
      </c>
      <c r="J136" s="12">
        <v>131</v>
      </c>
      <c r="K136" s="12" t="s">
        <v>20</v>
      </c>
      <c r="L136" s="12">
        <v>1</v>
      </c>
      <c r="M136" s="17">
        <v>4172571</v>
      </c>
      <c r="N136" s="17">
        <f t="shared" si="15"/>
        <v>4172571</v>
      </c>
      <c r="O136" s="12" t="s">
        <v>21</v>
      </c>
      <c r="P136" s="12">
        <f>P135+D136</f>
        <v>98</v>
      </c>
      <c r="Q136" s="12">
        <f t="shared" si="21"/>
        <v>13</v>
      </c>
      <c r="R136" s="12" t="str">
        <f t="shared" si="18"/>
        <v>TIKTOK PTE. LTD.</v>
      </c>
    </row>
    <row r="137" spans="1:18" ht="15" customHeight="1" x14ac:dyDescent="0.2">
      <c r="A137" s="12" t="s">
        <v>2679</v>
      </c>
      <c r="B137" s="36">
        <v>46011</v>
      </c>
      <c r="C137" s="12">
        <f>C136+D137</f>
        <v>100</v>
      </c>
      <c r="D137" s="12">
        <v>1</v>
      </c>
      <c r="E137" s="12" t="str">
        <f t="shared" si="16"/>
        <v>100</v>
      </c>
      <c r="G137" s="14" t="s">
        <v>3883</v>
      </c>
      <c r="H137" s="12" t="s">
        <v>5032</v>
      </c>
      <c r="I137" s="12">
        <v>112111</v>
      </c>
      <c r="J137" s="12">
        <v>131</v>
      </c>
      <c r="K137" s="12" t="s">
        <v>20</v>
      </c>
      <c r="L137" s="12">
        <v>1</v>
      </c>
      <c r="M137" s="17">
        <v>22354839</v>
      </c>
      <c r="N137" s="17">
        <f t="shared" si="15"/>
        <v>22354839</v>
      </c>
      <c r="O137" s="12" t="s">
        <v>21</v>
      </c>
      <c r="P137" s="12">
        <f>P136+D137</f>
        <v>99</v>
      </c>
      <c r="Q137" s="12">
        <f t="shared" si="17"/>
        <v>158</v>
      </c>
      <c r="R137" s="12" t="str">
        <f t="shared" si="18"/>
        <v>CÔNG TY TNHH ĐẦU TƯ XUẤT NHẬP KHẨU TÍN VIỆT</v>
      </c>
    </row>
    <row r="138" spans="1:18" ht="15" customHeight="1" x14ac:dyDescent="0.2">
      <c r="A138" s="12" t="s">
        <v>2679</v>
      </c>
      <c r="B138" s="36">
        <v>46015</v>
      </c>
      <c r="C138" s="12">
        <f t="shared" si="14"/>
        <v>101</v>
      </c>
      <c r="D138" s="12">
        <v>1</v>
      </c>
      <c r="E138" s="12" t="str">
        <f t="shared" si="16"/>
        <v>101</v>
      </c>
      <c r="G138" s="14" t="s">
        <v>117</v>
      </c>
      <c r="H138" s="12" t="s">
        <v>5034</v>
      </c>
      <c r="I138" s="12">
        <v>112111</v>
      </c>
      <c r="J138" s="12">
        <v>131</v>
      </c>
      <c r="K138" s="12" t="s">
        <v>20</v>
      </c>
      <c r="L138" s="12">
        <v>1</v>
      </c>
      <c r="M138" s="17">
        <v>6387097</v>
      </c>
      <c r="N138" s="17">
        <f t="shared" si="15"/>
        <v>6387097</v>
      </c>
      <c r="O138" s="12" t="s">
        <v>21</v>
      </c>
      <c r="P138" s="12">
        <f t="shared" ref="P138:P147" si="22">P137+D138</f>
        <v>100</v>
      </c>
      <c r="Q138" s="12">
        <f t="shared" si="17"/>
        <v>197</v>
      </c>
      <c r="R138" s="12" t="str">
        <f t="shared" si="18"/>
        <v>CÔNG TY CỔ PHẦN GENA THÁI BÌNH DƯƠNG</v>
      </c>
    </row>
    <row r="139" spans="1:18" ht="15" customHeight="1" x14ac:dyDescent="0.2">
      <c r="A139" s="12" t="s">
        <v>2679</v>
      </c>
      <c r="B139" s="36">
        <v>46017</v>
      </c>
      <c r="C139" s="12">
        <f t="shared" si="14"/>
        <v>102</v>
      </c>
      <c r="D139" s="12">
        <v>1</v>
      </c>
      <c r="E139" s="12" t="str">
        <f t="shared" si="16"/>
        <v>102</v>
      </c>
      <c r="G139" s="14" t="s">
        <v>3884</v>
      </c>
      <c r="H139" s="12" t="s">
        <v>5114</v>
      </c>
      <c r="I139" s="12">
        <v>112111</v>
      </c>
      <c r="J139" s="12">
        <v>131</v>
      </c>
      <c r="K139" s="12" t="s">
        <v>20</v>
      </c>
      <c r="L139" s="12">
        <v>1</v>
      </c>
      <c r="M139" s="17">
        <v>15967742</v>
      </c>
      <c r="N139" s="17">
        <f t="shared" si="15"/>
        <v>15967742</v>
      </c>
      <c r="O139" s="12" t="s">
        <v>21</v>
      </c>
      <c r="P139" s="12">
        <f t="shared" si="22"/>
        <v>101</v>
      </c>
      <c r="Q139" s="12">
        <f t="shared" si="17"/>
        <v>153</v>
      </c>
      <c r="R139" s="12" t="str">
        <f t="shared" si="18"/>
        <v>CÔNG TY TNHH CAF VIỆT NAM</v>
      </c>
    </row>
    <row r="140" spans="1:18" ht="15" customHeight="1" x14ac:dyDescent="0.2">
      <c r="A140" s="12" t="s">
        <v>2679</v>
      </c>
      <c r="B140" s="36">
        <v>46018</v>
      </c>
      <c r="C140" s="12">
        <f t="shared" si="14"/>
        <v>103</v>
      </c>
      <c r="D140" s="12">
        <v>1</v>
      </c>
      <c r="E140" s="12" t="str">
        <f t="shared" si="16"/>
        <v>103</v>
      </c>
      <c r="G140" s="14" t="s">
        <v>3885</v>
      </c>
      <c r="H140" s="12" t="s">
        <v>5027</v>
      </c>
      <c r="I140" s="12">
        <v>112111</v>
      </c>
      <c r="J140" s="12">
        <v>131</v>
      </c>
      <c r="K140" s="12" t="s">
        <v>20</v>
      </c>
      <c r="L140" s="12">
        <v>1</v>
      </c>
      <c r="M140" s="17">
        <v>7983871</v>
      </c>
      <c r="N140" s="17">
        <f t="shared" si="15"/>
        <v>7983871</v>
      </c>
      <c r="O140" s="12" t="s">
        <v>21</v>
      </c>
      <c r="P140" s="12">
        <f t="shared" si="22"/>
        <v>102</v>
      </c>
      <c r="Q140" s="12">
        <f t="shared" si="17"/>
        <v>159</v>
      </c>
      <c r="R140" s="12" t="str">
        <f t="shared" si="18"/>
        <v>CÔNG TY TNHH DỊCH VỤ TRUYỀN THÔNG VÀ GIẢI TRÍ SỰ KIỆN BSTARS</v>
      </c>
    </row>
    <row r="141" spans="1:18" ht="15" customHeight="1" x14ac:dyDescent="0.2">
      <c r="A141" s="12" t="s">
        <v>2679</v>
      </c>
      <c r="B141" s="36">
        <v>46020</v>
      </c>
      <c r="C141" s="12">
        <f t="shared" si="14"/>
        <v>104</v>
      </c>
      <c r="D141" s="12">
        <v>1</v>
      </c>
      <c r="E141" s="12" t="str">
        <f t="shared" si="16"/>
        <v>104</v>
      </c>
      <c r="G141" s="14" t="s">
        <v>114</v>
      </c>
      <c r="H141" s="12" t="s">
        <v>5035</v>
      </c>
      <c r="I141" s="12">
        <v>112111</v>
      </c>
      <c r="J141" s="12">
        <v>131</v>
      </c>
      <c r="K141" s="12" t="s">
        <v>20</v>
      </c>
      <c r="L141" s="12">
        <v>1</v>
      </c>
      <c r="M141" s="17">
        <v>31935484</v>
      </c>
      <c r="N141" s="17">
        <f t="shared" si="15"/>
        <v>31935484</v>
      </c>
      <c r="O141" s="12" t="s">
        <v>21</v>
      </c>
      <c r="P141" s="12">
        <f t="shared" si="22"/>
        <v>103</v>
      </c>
      <c r="Q141" s="12">
        <f t="shared" si="17"/>
        <v>147</v>
      </c>
      <c r="R141" s="12" t="str">
        <f t="shared" si="18"/>
        <v>CÔNG TY TNHH DỊCH VỤ TRUYỀN THÔNG MAKE SENSE</v>
      </c>
    </row>
    <row r="142" spans="1:18" ht="15" customHeight="1" x14ac:dyDescent="0.2">
      <c r="A142" s="12" t="s">
        <v>2679</v>
      </c>
      <c r="B142" s="36">
        <v>46020</v>
      </c>
      <c r="C142" s="12">
        <f t="shared" si="14"/>
        <v>105</v>
      </c>
      <c r="D142" s="12">
        <v>1</v>
      </c>
      <c r="E142" s="12" t="str">
        <f t="shared" si="16"/>
        <v>105</v>
      </c>
      <c r="G142" s="14" t="s">
        <v>1353</v>
      </c>
      <c r="H142" s="12" t="s">
        <v>5115</v>
      </c>
      <c r="I142" s="12">
        <v>112111</v>
      </c>
      <c r="J142" s="12">
        <v>131</v>
      </c>
      <c r="K142" s="12" t="s">
        <v>20</v>
      </c>
      <c r="L142" s="12">
        <v>1</v>
      </c>
      <c r="M142" s="17">
        <v>15967742</v>
      </c>
      <c r="N142" s="17">
        <f t="shared" si="15"/>
        <v>15967742</v>
      </c>
      <c r="O142" s="12" t="s">
        <v>21</v>
      </c>
      <c r="P142" s="12">
        <f t="shared" si="22"/>
        <v>104</v>
      </c>
      <c r="Q142" s="12">
        <f t="shared" si="17"/>
        <v>163</v>
      </c>
      <c r="R142" s="12" t="str">
        <f t="shared" si="18"/>
        <v>CÔNG TY CỔ PHẦN MAISON RETAIL MANAGEMENT INTERNATIONAL</v>
      </c>
    </row>
    <row r="143" spans="1:18" ht="15" customHeight="1" x14ac:dyDescent="0.2">
      <c r="A143" s="12" t="s">
        <v>2679</v>
      </c>
      <c r="B143" s="36">
        <v>46021</v>
      </c>
      <c r="C143" s="12">
        <f t="shared" si="14"/>
        <v>106</v>
      </c>
      <c r="D143" s="12">
        <v>1</v>
      </c>
      <c r="E143" s="12" t="str">
        <f t="shared" si="16"/>
        <v>106</v>
      </c>
      <c r="G143" s="14" t="s">
        <v>42</v>
      </c>
      <c r="H143" s="12" t="s">
        <v>5116</v>
      </c>
      <c r="I143" s="12">
        <v>112111</v>
      </c>
      <c r="J143" s="12">
        <v>131</v>
      </c>
      <c r="K143" s="12" t="s">
        <v>20</v>
      </c>
      <c r="L143" s="12">
        <v>1</v>
      </c>
      <c r="M143" s="17">
        <v>15967742</v>
      </c>
      <c r="N143" s="17">
        <f t="shared" si="15"/>
        <v>15967742</v>
      </c>
      <c r="O143" s="12" t="s">
        <v>21</v>
      </c>
      <c r="P143" s="12">
        <f t="shared" si="22"/>
        <v>105</v>
      </c>
      <c r="Q143" s="12">
        <f t="shared" si="17"/>
        <v>137</v>
      </c>
      <c r="R143" s="12" t="str">
        <f t="shared" si="18"/>
        <v>CÔNG TY CỔ PHẦN METUB VIỆT NAM</v>
      </c>
    </row>
    <row r="144" spans="1:18" ht="15" customHeight="1" x14ac:dyDescent="0.2">
      <c r="A144" s="12" t="s">
        <v>2679</v>
      </c>
      <c r="B144" s="36">
        <v>46021</v>
      </c>
      <c r="C144" s="12">
        <f t="shared" si="14"/>
        <v>107</v>
      </c>
      <c r="D144" s="12">
        <v>1</v>
      </c>
      <c r="E144" s="12" t="str">
        <f t="shared" si="16"/>
        <v>107</v>
      </c>
      <c r="G144" s="14" t="s">
        <v>93</v>
      </c>
      <c r="H144" s="12" t="s">
        <v>4917</v>
      </c>
      <c r="I144" s="12">
        <v>112111</v>
      </c>
      <c r="J144" s="12">
        <v>131</v>
      </c>
      <c r="K144" s="12" t="s">
        <v>20</v>
      </c>
      <c r="L144" s="12">
        <v>1</v>
      </c>
      <c r="M144" s="17">
        <v>16129032</v>
      </c>
      <c r="N144" s="17">
        <f t="shared" si="15"/>
        <v>16129032</v>
      </c>
      <c r="O144" s="12" t="s">
        <v>21</v>
      </c>
      <c r="P144" s="12">
        <f t="shared" si="22"/>
        <v>106</v>
      </c>
      <c r="Q144" s="12">
        <f t="shared" si="17"/>
        <v>32</v>
      </c>
      <c r="R144" s="12" t="str">
        <f t="shared" si="18"/>
        <v>KHÁC</v>
      </c>
    </row>
    <row r="145" spans="1:18" ht="15" customHeight="1" x14ac:dyDescent="0.2">
      <c r="A145" s="12" t="s">
        <v>2679</v>
      </c>
      <c r="B145" s="36">
        <v>46021</v>
      </c>
      <c r="C145" s="12">
        <f t="shared" si="14"/>
        <v>108</v>
      </c>
      <c r="D145" s="12">
        <v>1</v>
      </c>
      <c r="E145" s="12" t="str">
        <f t="shared" si="16"/>
        <v>108</v>
      </c>
      <c r="G145" s="14" t="s">
        <v>114</v>
      </c>
      <c r="H145" s="12" t="s">
        <v>5117</v>
      </c>
      <c r="I145" s="12">
        <v>112111</v>
      </c>
      <c r="J145" s="12">
        <v>131</v>
      </c>
      <c r="K145" s="12" t="s">
        <v>20</v>
      </c>
      <c r="L145" s="12">
        <v>1</v>
      </c>
      <c r="M145" s="17">
        <v>15967742</v>
      </c>
      <c r="N145" s="17">
        <f t="shared" si="15"/>
        <v>15967742</v>
      </c>
      <c r="O145" s="12" t="s">
        <v>21</v>
      </c>
      <c r="P145" s="12">
        <f t="shared" si="22"/>
        <v>107</v>
      </c>
      <c r="Q145" s="12">
        <f t="shared" si="17"/>
        <v>147</v>
      </c>
      <c r="R145" s="12" t="str">
        <f t="shared" si="18"/>
        <v>CÔNG TY TNHH DỊCH VỤ TRUYỀN THÔNG MAKE SENSE</v>
      </c>
    </row>
    <row r="146" spans="1:18" ht="15" customHeight="1" x14ac:dyDescent="0.2">
      <c r="A146" s="12" t="s">
        <v>2679</v>
      </c>
      <c r="B146" s="36">
        <v>46022</v>
      </c>
      <c r="C146" s="12">
        <f t="shared" si="14"/>
        <v>109</v>
      </c>
      <c r="D146" s="12">
        <v>1</v>
      </c>
      <c r="E146" s="12" t="str">
        <f t="shared" si="16"/>
        <v>109</v>
      </c>
      <c r="G146" s="14" t="s">
        <v>2381</v>
      </c>
      <c r="H146" s="12" t="s">
        <v>5118</v>
      </c>
      <c r="I146" s="12">
        <v>112111</v>
      </c>
      <c r="J146" s="12">
        <v>131</v>
      </c>
      <c r="K146" s="12" t="s">
        <v>20</v>
      </c>
      <c r="L146" s="12">
        <v>1</v>
      </c>
      <c r="M146" s="17">
        <v>15967742</v>
      </c>
      <c r="N146" s="17">
        <f t="shared" si="15"/>
        <v>15967742</v>
      </c>
      <c r="O146" s="12" t="s">
        <v>21</v>
      </c>
      <c r="P146" s="12">
        <f t="shared" si="22"/>
        <v>108</v>
      </c>
      <c r="Q146" s="12">
        <f t="shared" si="17"/>
        <v>169</v>
      </c>
      <c r="R146" s="12" t="str">
        <f t="shared" si="18"/>
        <v>CÔNG TY TNHH TOOM MEDIA</v>
      </c>
    </row>
    <row r="147" spans="1:18" ht="15" customHeight="1" x14ac:dyDescent="0.2">
      <c r="A147" s="12" t="s">
        <v>2679</v>
      </c>
      <c r="B147" s="36">
        <v>46022</v>
      </c>
      <c r="C147" s="12">
        <f t="shared" si="14"/>
        <v>110</v>
      </c>
      <c r="D147" s="12">
        <v>1</v>
      </c>
      <c r="E147" s="12" t="str">
        <f t="shared" si="16"/>
        <v>110</v>
      </c>
      <c r="G147" s="14" t="s">
        <v>4993</v>
      </c>
      <c r="H147" s="12" t="s">
        <v>2687</v>
      </c>
      <c r="I147" s="12">
        <v>112111</v>
      </c>
      <c r="J147" s="12">
        <v>5154</v>
      </c>
      <c r="K147" s="12" t="s">
        <v>20</v>
      </c>
      <c r="L147" s="12">
        <v>1</v>
      </c>
      <c r="M147" s="17">
        <v>79452</v>
      </c>
      <c r="N147" s="17">
        <f t="shared" si="15"/>
        <v>79452</v>
      </c>
      <c r="O147" s="12" t="s">
        <v>21</v>
      </c>
      <c r="P147" s="12">
        <f t="shared" si="22"/>
        <v>109</v>
      </c>
      <c r="Q147" s="12">
        <f t="shared" si="17"/>
        <v>12</v>
      </c>
      <c r="R147" s="12" t="str">
        <f t="shared" si="18"/>
        <v>NGÂN HÀNG THƯƠNG MẠI CỔ PHẦN NGOẠI THƯƠNG VIỆT NAM</v>
      </c>
    </row>
    <row r="148" spans="1:18" ht="15" customHeight="1" x14ac:dyDescent="0.2">
      <c r="A148" s="12" t="s">
        <v>2719</v>
      </c>
      <c r="B148" s="36" t="s">
        <v>866</v>
      </c>
      <c r="C148" s="12">
        <f t="shared" si="14"/>
        <v>111</v>
      </c>
      <c r="D148" s="12">
        <v>1</v>
      </c>
      <c r="E148" s="12" t="str">
        <f t="shared" si="16"/>
        <v>111</v>
      </c>
      <c r="G148" s="14" t="s">
        <v>3865</v>
      </c>
      <c r="H148" s="12" t="s">
        <v>5061</v>
      </c>
      <c r="I148" s="12">
        <v>331</v>
      </c>
      <c r="J148" s="12">
        <v>1111</v>
      </c>
      <c r="K148" s="12" t="s">
        <v>20</v>
      </c>
      <c r="L148" s="12">
        <v>1</v>
      </c>
      <c r="M148" s="17">
        <v>6600000</v>
      </c>
      <c r="N148" s="17">
        <f t="shared" si="15"/>
        <v>6600000</v>
      </c>
      <c r="O148" s="12" t="s">
        <v>21</v>
      </c>
      <c r="P148" s="12">
        <f t="shared" ref="P148:P192" si="23">P147+D148</f>
        <v>110</v>
      </c>
      <c r="Q148" s="12">
        <f t="shared" ref="Q148:Q192" si="24">LEN(H148)</f>
        <v>79</v>
      </c>
      <c r="R148" s="12" t="str">
        <f t="shared" si="18"/>
        <v>CÔNG TY TNHH TƯ VẤN DỊCH VỤ CHỒI XANH</v>
      </c>
    </row>
    <row r="149" spans="1:18" ht="15" customHeight="1" x14ac:dyDescent="0.2">
      <c r="A149" s="12" t="s">
        <v>2719</v>
      </c>
      <c r="B149" s="36" t="s">
        <v>468</v>
      </c>
      <c r="C149" s="12">
        <f t="shared" si="14"/>
        <v>112</v>
      </c>
      <c r="D149" s="12">
        <v>1</v>
      </c>
      <c r="E149" s="12" t="str">
        <f t="shared" si="16"/>
        <v>112</v>
      </c>
      <c r="G149" s="14" t="s">
        <v>3866</v>
      </c>
      <c r="H149" s="12" t="s">
        <v>5062</v>
      </c>
      <c r="I149" s="12">
        <v>331</v>
      </c>
      <c r="J149" s="12">
        <v>1111</v>
      </c>
      <c r="K149" s="12" t="s">
        <v>20</v>
      </c>
      <c r="L149" s="12">
        <v>1</v>
      </c>
      <c r="M149" s="17">
        <v>384426</v>
      </c>
      <c r="N149" s="17">
        <f t="shared" si="15"/>
        <v>384426</v>
      </c>
      <c r="O149" s="12" t="s">
        <v>21</v>
      </c>
      <c r="P149" s="12">
        <f t="shared" si="23"/>
        <v>111</v>
      </c>
      <c r="Q149" s="12">
        <f t="shared" si="24"/>
        <v>52</v>
      </c>
      <c r="R149" s="12" t="str">
        <f t="shared" si="18"/>
        <v>CÔNG TY CỔ PHẦN YESHI</v>
      </c>
    </row>
    <row r="150" spans="1:18" ht="15" customHeight="1" x14ac:dyDescent="0.2">
      <c r="A150" s="12" t="s">
        <v>2719</v>
      </c>
      <c r="B150" s="36" t="s">
        <v>468</v>
      </c>
      <c r="C150" s="12">
        <f t="shared" si="14"/>
        <v>113</v>
      </c>
      <c r="D150" s="12">
        <v>1</v>
      </c>
      <c r="E150" s="12" t="str">
        <f t="shared" si="16"/>
        <v>113</v>
      </c>
      <c r="G150" s="14" t="s">
        <v>3866</v>
      </c>
      <c r="H150" s="12" t="s">
        <v>5063</v>
      </c>
      <c r="I150" s="12">
        <v>331</v>
      </c>
      <c r="J150" s="12">
        <v>1111</v>
      </c>
      <c r="K150" s="12" t="s">
        <v>20</v>
      </c>
      <c r="L150" s="12">
        <v>1</v>
      </c>
      <c r="M150" s="17">
        <v>65835</v>
      </c>
      <c r="N150" s="17">
        <f t="shared" si="15"/>
        <v>65835</v>
      </c>
      <c r="O150" s="12" t="s">
        <v>21</v>
      </c>
      <c r="P150" s="12">
        <f t="shared" si="23"/>
        <v>112</v>
      </c>
      <c r="Q150" s="12">
        <f t="shared" si="24"/>
        <v>52</v>
      </c>
      <c r="R150" s="12" t="str">
        <f t="shared" si="18"/>
        <v>CÔNG TY CỔ PHẦN YESHI</v>
      </c>
    </row>
    <row r="151" spans="1:18" ht="15" customHeight="1" x14ac:dyDescent="0.2">
      <c r="A151" s="12" t="s">
        <v>2719</v>
      </c>
      <c r="B151" s="36" t="s">
        <v>414</v>
      </c>
      <c r="C151" s="12">
        <f t="shared" si="14"/>
        <v>114</v>
      </c>
      <c r="D151" s="12">
        <v>1</v>
      </c>
      <c r="E151" s="12" t="str">
        <f t="shared" si="16"/>
        <v>114</v>
      </c>
      <c r="G151" s="14" t="s">
        <v>64</v>
      </c>
      <c r="H151" s="12" t="s">
        <v>5064</v>
      </c>
      <c r="I151" s="12">
        <v>331</v>
      </c>
      <c r="J151" s="12">
        <v>1111</v>
      </c>
      <c r="K151" s="12" t="s">
        <v>20</v>
      </c>
      <c r="L151" s="12">
        <v>1</v>
      </c>
      <c r="M151" s="17">
        <v>99000</v>
      </c>
      <c r="N151" s="17">
        <f t="shared" si="15"/>
        <v>99000</v>
      </c>
      <c r="O151" s="12" t="s">
        <v>21</v>
      </c>
      <c r="P151" s="12">
        <f t="shared" si="23"/>
        <v>113</v>
      </c>
      <c r="Q151" s="12">
        <f t="shared" si="24"/>
        <v>61</v>
      </c>
      <c r="R151" s="12" t="str">
        <f t="shared" si="18"/>
        <v>Công ty Cổ phần Mắt Bão</v>
      </c>
    </row>
    <row r="152" spans="1:18" ht="15" customHeight="1" x14ac:dyDescent="0.2">
      <c r="A152" s="12" t="s">
        <v>2719</v>
      </c>
      <c r="B152" s="36" t="s">
        <v>599</v>
      </c>
      <c r="C152" s="12">
        <f t="shared" si="14"/>
        <v>115</v>
      </c>
      <c r="D152" s="12">
        <v>1</v>
      </c>
      <c r="E152" s="12" t="str">
        <f t="shared" si="16"/>
        <v>115</v>
      </c>
      <c r="G152" s="14" t="s">
        <v>64</v>
      </c>
      <c r="H152" s="12" t="s">
        <v>5065</v>
      </c>
      <c r="I152" s="12">
        <v>331</v>
      </c>
      <c r="J152" s="12">
        <v>1111</v>
      </c>
      <c r="K152" s="12" t="s">
        <v>20</v>
      </c>
      <c r="L152" s="12">
        <v>1</v>
      </c>
      <c r="M152" s="17">
        <v>860040</v>
      </c>
      <c r="N152" s="17">
        <f t="shared" si="15"/>
        <v>860040</v>
      </c>
      <c r="O152" s="12" t="s">
        <v>21</v>
      </c>
      <c r="P152" s="12">
        <f t="shared" si="23"/>
        <v>114</v>
      </c>
      <c r="Q152" s="12">
        <f t="shared" si="24"/>
        <v>96</v>
      </c>
      <c r="R152" s="12" t="str">
        <f t="shared" si="18"/>
        <v>Công ty Cổ phần Mắt Bão</v>
      </c>
    </row>
    <row r="153" spans="1:18" ht="15" customHeight="1" x14ac:dyDescent="0.2">
      <c r="A153" s="12" t="s">
        <v>2719</v>
      </c>
      <c r="B153" s="36" t="s">
        <v>469</v>
      </c>
      <c r="C153" s="12">
        <f t="shared" si="14"/>
        <v>116</v>
      </c>
      <c r="D153" s="12">
        <v>1</v>
      </c>
      <c r="E153" s="12" t="str">
        <f t="shared" si="16"/>
        <v>116</v>
      </c>
      <c r="G153" s="14" t="s">
        <v>3867</v>
      </c>
      <c r="H153" s="12" t="s">
        <v>5066</v>
      </c>
      <c r="I153" s="12">
        <v>331</v>
      </c>
      <c r="J153" s="12">
        <v>1111</v>
      </c>
      <c r="K153" s="12" t="s">
        <v>20</v>
      </c>
      <c r="L153" s="12">
        <v>1</v>
      </c>
      <c r="M153" s="17">
        <v>290000</v>
      </c>
      <c r="N153" s="17">
        <f t="shared" si="15"/>
        <v>290000</v>
      </c>
      <c r="O153" s="12" t="s">
        <v>21</v>
      </c>
      <c r="P153" s="12">
        <f t="shared" si="23"/>
        <v>115</v>
      </c>
      <c r="Q153" s="12">
        <f t="shared" si="24"/>
        <v>51</v>
      </c>
      <c r="R153" s="12" t="str">
        <f t="shared" si="18"/>
        <v>CÔNG TY TNHH THƯƠNG MẠI DỊCH VỤ THE NOON</v>
      </c>
    </row>
    <row r="154" spans="1:18" ht="15" customHeight="1" x14ac:dyDescent="0.2">
      <c r="A154" s="12" t="s">
        <v>2719</v>
      </c>
      <c r="B154" s="36" t="s">
        <v>415</v>
      </c>
      <c r="C154" s="12">
        <f t="shared" si="14"/>
        <v>117</v>
      </c>
      <c r="D154" s="12">
        <v>1</v>
      </c>
      <c r="E154" s="12" t="str">
        <f t="shared" si="16"/>
        <v>117</v>
      </c>
      <c r="G154" s="14" t="s">
        <v>3868</v>
      </c>
      <c r="H154" s="12" t="s">
        <v>5067</v>
      </c>
      <c r="I154" s="12">
        <v>331</v>
      </c>
      <c r="J154" s="12">
        <v>1111</v>
      </c>
      <c r="K154" s="12" t="s">
        <v>20</v>
      </c>
      <c r="L154" s="12">
        <v>1</v>
      </c>
      <c r="M154" s="17">
        <v>239000</v>
      </c>
      <c r="N154" s="17">
        <f t="shared" si="15"/>
        <v>239000</v>
      </c>
      <c r="O154" s="12" t="s">
        <v>21</v>
      </c>
      <c r="P154" s="12">
        <f t="shared" si="23"/>
        <v>116</v>
      </c>
      <c r="Q154" s="12">
        <f t="shared" si="24"/>
        <v>54</v>
      </c>
      <c r="R154" s="12" t="str">
        <f t="shared" si="18"/>
        <v>CÔNG TY TRÁCH NHIỆM HỮU HẠN PIZZA VIỆT NAM</v>
      </c>
    </row>
    <row r="155" spans="1:18" ht="15" customHeight="1" x14ac:dyDescent="0.2">
      <c r="A155" s="12" t="s">
        <v>2719</v>
      </c>
      <c r="B155" s="36" t="s">
        <v>448</v>
      </c>
      <c r="C155" s="12">
        <f t="shared" si="14"/>
        <v>118</v>
      </c>
      <c r="D155" s="12">
        <v>1</v>
      </c>
      <c r="E155" s="12" t="str">
        <f t="shared" si="16"/>
        <v>118</v>
      </c>
      <c r="G155" s="14" t="s">
        <v>3869</v>
      </c>
      <c r="H155" s="12" t="s">
        <v>5068</v>
      </c>
      <c r="I155" s="12">
        <v>331</v>
      </c>
      <c r="J155" s="12">
        <v>1111</v>
      </c>
      <c r="K155" s="12" t="s">
        <v>20</v>
      </c>
      <c r="L155" s="12">
        <v>1</v>
      </c>
      <c r="M155" s="17">
        <v>572400</v>
      </c>
      <c r="N155" s="17">
        <f t="shared" si="15"/>
        <v>572400</v>
      </c>
      <c r="O155" s="12" t="s">
        <v>21</v>
      </c>
      <c r="P155" s="12">
        <f t="shared" si="23"/>
        <v>117</v>
      </c>
      <c r="Q155" s="12">
        <f t="shared" si="24"/>
        <v>51</v>
      </c>
      <c r="R155" s="12" t="str">
        <f t="shared" si="18"/>
        <v>CÔNG TY TNHH THƯƠNG MẠI DỊCH VỤ MẠCH KIM CHÂU</v>
      </c>
    </row>
    <row r="156" spans="1:18" ht="15" customHeight="1" x14ac:dyDescent="0.2">
      <c r="A156" s="12" t="s">
        <v>2719</v>
      </c>
      <c r="B156" s="36" t="s">
        <v>450</v>
      </c>
      <c r="C156" s="12">
        <f t="shared" si="14"/>
        <v>119</v>
      </c>
      <c r="D156" s="12">
        <v>1</v>
      </c>
      <c r="E156" s="12" t="str">
        <f t="shared" si="16"/>
        <v>119</v>
      </c>
      <c r="G156" s="14" t="s">
        <v>37</v>
      </c>
      <c r="H156" s="12" t="s">
        <v>5069</v>
      </c>
      <c r="I156" s="12">
        <v>331</v>
      </c>
      <c r="J156" s="12">
        <v>1111</v>
      </c>
      <c r="K156" s="12" t="s">
        <v>20</v>
      </c>
      <c r="L156" s="12">
        <v>1</v>
      </c>
      <c r="M156" s="17">
        <v>4320000</v>
      </c>
      <c r="N156" s="17">
        <f t="shared" si="15"/>
        <v>4320000</v>
      </c>
      <c r="O156" s="12" t="s">
        <v>21</v>
      </c>
      <c r="P156" s="12">
        <f t="shared" si="23"/>
        <v>118</v>
      </c>
      <c r="Q156" s="12">
        <f t="shared" si="24"/>
        <v>53</v>
      </c>
      <c r="R156" s="12" t="str">
        <f t="shared" si="18"/>
        <v>CÔNG TY TNHH TƯ VẤN VÀ KẾ TOÁN T&amp;C</v>
      </c>
    </row>
    <row r="157" spans="1:18" ht="15" customHeight="1" x14ac:dyDescent="0.2">
      <c r="A157" s="12" t="s">
        <v>2719</v>
      </c>
      <c r="B157" s="36" t="s">
        <v>314</v>
      </c>
      <c r="C157" s="12">
        <f t="shared" si="14"/>
        <v>120</v>
      </c>
      <c r="D157" s="12">
        <v>1</v>
      </c>
      <c r="E157" s="12" t="str">
        <f t="shared" si="16"/>
        <v>120</v>
      </c>
      <c r="G157" s="14" t="s">
        <v>3869</v>
      </c>
      <c r="H157" s="12" t="s">
        <v>5070</v>
      </c>
      <c r="I157" s="12">
        <v>331</v>
      </c>
      <c r="J157" s="12">
        <v>1111</v>
      </c>
      <c r="K157" s="12" t="s">
        <v>20</v>
      </c>
      <c r="L157" s="12">
        <v>1</v>
      </c>
      <c r="M157" s="17">
        <v>513000</v>
      </c>
      <c r="N157" s="17">
        <f t="shared" si="15"/>
        <v>513000</v>
      </c>
      <c r="O157" s="12" t="s">
        <v>21</v>
      </c>
      <c r="P157" s="12">
        <f t="shared" si="23"/>
        <v>119</v>
      </c>
      <c r="Q157" s="12">
        <f t="shared" si="24"/>
        <v>51</v>
      </c>
      <c r="R157" s="12" t="str">
        <f t="shared" si="18"/>
        <v>CÔNG TY TNHH THƯƠNG MẠI DỊCH VỤ MẠCH KIM CHÂU</v>
      </c>
    </row>
    <row r="158" spans="1:18" ht="15" customHeight="1" x14ac:dyDescent="0.2">
      <c r="A158" s="12" t="s">
        <v>2719</v>
      </c>
      <c r="B158" s="36" t="s">
        <v>600</v>
      </c>
      <c r="C158" s="12">
        <f t="shared" si="14"/>
        <v>121</v>
      </c>
      <c r="D158" s="12">
        <v>1</v>
      </c>
      <c r="E158" s="12" t="str">
        <f t="shared" si="16"/>
        <v>121</v>
      </c>
      <c r="G158" s="14" t="s">
        <v>19</v>
      </c>
      <c r="H158" s="12" t="s">
        <v>5071</v>
      </c>
      <c r="I158" s="12">
        <v>331</v>
      </c>
      <c r="J158" s="12">
        <v>1111</v>
      </c>
      <c r="K158" s="12" t="s">
        <v>20</v>
      </c>
      <c r="L158" s="12">
        <v>1</v>
      </c>
      <c r="M158" s="17">
        <v>22000</v>
      </c>
      <c r="N158" s="17">
        <f t="shared" si="15"/>
        <v>22000</v>
      </c>
      <c r="O158" s="12" t="s">
        <v>21</v>
      </c>
      <c r="P158" s="12">
        <f t="shared" si="23"/>
        <v>120</v>
      </c>
      <c r="Q158" s="12">
        <f t="shared" si="24"/>
        <v>44</v>
      </c>
      <c r="R158" s="12" t="str">
        <f t="shared" si="18"/>
        <v>CHI NHÁNH THÀNH PHỐ HỒ CHÍ MINH - CÔNG TY CỔ PHẦN DI CHUYỂN XANH VÀ THÔNG MINH GSM</v>
      </c>
    </row>
    <row r="159" spans="1:18" ht="15" customHeight="1" x14ac:dyDescent="0.2">
      <c r="A159" s="12" t="s">
        <v>2719</v>
      </c>
      <c r="B159" s="36" t="s">
        <v>316</v>
      </c>
      <c r="C159" s="12">
        <f t="shared" si="14"/>
        <v>122</v>
      </c>
      <c r="D159" s="12">
        <v>1</v>
      </c>
      <c r="E159" s="12" t="str">
        <f t="shared" si="16"/>
        <v>122</v>
      </c>
      <c r="G159" s="14" t="s">
        <v>61</v>
      </c>
      <c r="H159" s="12" t="s">
        <v>5072</v>
      </c>
      <c r="I159" s="12">
        <v>331</v>
      </c>
      <c r="J159" s="12">
        <v>1111</v>
      </c>
      <c r="K159" s="12" t="s">
        <v>20</v>
      </c>
      <c r="L159" s="12">
        <v>1</v>
      </c>
      <c r="M159" s="17">
        <v>415800</v>
      </c>
      <c r="N159" s="17">
        <f t="shared" si="15"/>
        <v>415800</v>
      </c>
      <c r="O159" s="12" t="s">
        <v>21</v>
      </c>
      <c r="P159" s="12">
        <f t="shared" si="23"/>
        <v>121</v>
      </c>
      <c r="Q159" s="12">
        <f t="shared" si="24"/>
        <v>53</v>
      </c>
      <c r="R159" s="12" t="str">
        <f t="shared" si="18"/>
        <v>CÔNG TY CỔ PHẦN SOM TUM THAI</v>
      </c>
    </row>
    <row r="160" spans="1:18" ht="15" customHeight="1" x14ac:dyDescent="0.2">
      <c r="A160" s="12" t="s">
        <v>2719</v>
      </c>
      <c r="B160" s="36" t="s">
        <v>417</v>
      </c>
      <c r="C160" s="12">
        <f t="shared" si="14"/>
        <v>123</v>
      </c>
      <c r="D160" s="12">
        <v>1</v>
      </c>
      <c r="E160" s="12" t="str">
        <f t="shared" si="16"/>
        <v>123</v>
      </c>
      <c r="G160" s="14" t="s">
        <v>3867</v>
      </c>
      <c r="H160" s="12" t="s">
        <v>5073</v>
      </c>
      <c r="I160" s="12">
        <v>331</v>
      </c>
      <c r="J160" s="12">
        <v>1111</v>
      </c>
      <c r="K160" s="12" t="s">
        <v>20</v>
      </c>
      <c r="L160" s="12">
        <v>1</v>
      </c>
      <c r="M160" s="17">
        <v>603000</v>
      </c>
      <c r="N160" s="17">
        <f t="shared" si="15"/>
        <v>603000</v>
      </c>
      <c r="O160" s="12" t="s">
        <v>21</v>
      </c>
      <c r="P160" s="12">
        <f t="shared" si="23"/>
        <v>122</v>
      </c>
      <c r="Q160" s="12">
        <f t="shared" si="24"/>
        <v>51</v>
      </c>
      <c r="R160" s="12" t="str">
        <f t="shared" si="18"/>
        <v>CÔNG TY TNHH THƯƠNG MẠI DỊCH VỤ THE NOON</v>
      </c>
    </row>
    <row r="161" spans="1:18" ht="15" customHeight="1" x14ac:dyDescent="0.2">
      <c r="A161" s="12" t="s">
        <v>2719</v>
      </c>
      <c r="B161" s="36" t="s">
        <v>418</v>
      </c>
      <c r="C161" s="12">
        <f t="shared" si="14"/>
        <v>124</v>
      </c>
      <c r="D161" s="12">
        <v>1</v>
      </c>
      <c r="E161" s="12" t="str">
        <f t="shared" si="16"/>
        <v>124</v>
      </c>
      <c r="G161" s="14" t="s">
        <v>2375</v>
      </c>
      <c r="H161" s="12" t="s">
        <v>5074</v>
      </c>
      <c r="I161" s="12">
        <v>331</v>
      </c>
      <c r="J161" s="12">
        <v>1111</v>
      </c>
      <c r="K161" s="12" t="s">
        <v>20</v>
      </c>
      <c r="L161" s="12">
        <v>1</v>
      </c>
      <c r="M161" s="17">
        <v>974106</v>
      </c>
      <c r="N161" s="17">
        <f t="shared" si="15"/>
        <v>974106</v>
      </c>
      <c r="O161" s="12" t="s">
        <v>21</v>
      </c>
      <c r="P161" s="12">
        <f t="shared" si="23"/>
        <v>123</v>
      </c>
      <c r="Q161" s="12">
        <f t="shared" si="24"/>
        <v>53</v>
      </c>
      <c r="R161" s="12" t="str">
        <f t="shared" si="18"/>
        <v>CÔNG TY TNHH GODMOTHER VIỆT NAM</v>
      </c>
    </row>
    <row r="162" spans="1:18" ht="15" customHeight="1" x14ac:dyDescent="0.2">
      <c r="A162" s="12" t="s">
        <v>2719</v>
      </c>
      <c r="B162" s="36" t="s">
        <v>2042</v>
      </c>
      <c r="C162" s="12">
        <f t="shared" si="14"/>
        <v>125</v>
      </c>
      <c r="D162" s="12">
        <v>1</v>
      </c>
      <c r="E162" s="12" t="str">
        <f t="shared" si="16"/>
        <v>125</v>
      </c>
      <c r="G162" s="14" t="s">
        <v>3870</v>
      </c>
      <c r="H162" s="12" t="s">
        <v>5075</v>
      </c>
      <c r="I162" s="12">
        <v>331</v>
      </c>
      <c r="J162" s="12">
        <v>1111</v>
      </c>
      <c r="K162" s="12" t="s">
        <v>20</v>
      </c>
      <c r="L162" s="12">
        <v>1</v>
      </c>
      <c r="M162" s="17">
        <v>633100</v>
      </c>
      <c r="N162" s="17">
        <f t="shared" si="15"/>
        <v>633100</v>
      </c>
      <c r="O162" s="12" t="s">
        <v>21</v>
      </c>
      <c r="P162" s="12">
        <f t="shared" si="23"/>
        <v>124</v>
      </c>
      <c r="Q162" s="12">
        <f t="shared" si="24"/>
        <v>54</v>
      </c>
      <c r="R162" s="12" t="str">
        <f t="shared" si="18"/>
        <v>CÔNG TY TNHH MTV THƯƠNG MẠI DỊCH VỤ BÌNH ĐÔNG</v>
      </c>
    </row>
    <row r="163" spans="1:18" ht="15" customHeight="1" x14ac:dyDescent="0.2">
      <c r="A163" s="12" t="s">
        <v>2719</v>
      </c>
      <c r="B163" s="36" t="s">
        <v>522</v>
      </c>
      <c r="C163" s="12">
        <f t="shared" si="14"/>
        <v>126</v>
      </c>
      <c r="D163" s="12">
        <v>1</v>
      </c>
      <c r="E163" s="12" t="str">
        <f t="shared" si="16"/>
        <v>126</v>
      </c>
      <c r="G163" s="14" t="s">
        <v>2370</v>
      </c>
      <c r="H163" s="12" t="s">
        <v>5076</v>
      </c>
      <c r="I163" s="12">
        <v>331</v>
      </c>
      <c r="J163" s="12">
        <v>1111</v>
      </c>
      <c r="K163" s="12" t="s">
        <v>20</v>
      </c>
      <c r="L163" s="12">
        <v>1</v>
      </c>
      <c r="M163" s="17">
        <v>473040</v>
      </c>
      <c r="N163" s="17">
        <f t="shared" si="15"/>
        <v>473040</v>
      </c>
      <c r="O163" s="12" t="s">
        <v>21</v>
      </c>
      <c r="P163" s="12">
        <f t="shared" si="23"/>
        <v>125</v>
      </c>
      <c r="Q163" s="12">
        <f t="shared" si="24"/>
        <v>52</v>
      </c>
      <c r="R163" s="12" t="str">
        <f t="shared" si="18"/>
        <v>CÔNG TY CỔ PHẦN AKA HOUSE</v>
      </c>
    </row>
    <row r="164" spans="1:18" ht="15" customHeight="1" x14ac:dyDescent="0.2">
      <c r="A164" s="12" t="s">
        <v>2719</v>
      </c>
      <c r="B164" s="36" t="s">
        <v>602</v>
      </c>
      <c r="C164" s="12">
        <f t="shared" ref="C164:C192" si="25">C163+D164</f>
        <v>127</v>
      </c>
      <c r="D164" s="12">
        <v>1</v>
      </c>
      <c r="E164" s="12" t="str">
        <f t="shared" si="16"/>
        <v>127</v>
      </c>
      <c r="G164" s="14" t="s">
        <v>3871</v>
      </c>
      <c r="H164" s="12" t="s">
        <v>5077</v>
      </c>
      <c r="I164" s="12">
        <v>331</v>
      </c>
      <c r="J164" s="12">
        <v>1111</v>
      </c>
      <c r="K164" s="12" t="s">
        <v>20</v>
      </c>
      <c r="L164" s="12">
        <v>1</v>
      </c>
      <c r="M164" s="17">
        <v>953506</v>
      </c>
      <c r="N164" s="17">
        <f t="shared" ref="N164:N198" si="26">L164*M164</f>
        <v>953506</v>
      </c>
      <c r="O164" s="12" t="s">
        <v>21</v>
      </c>
      <c r="P164" s="12">
        <f t="shared" si="23"/>
        <v>126</v>
      </c>
      <c r="Q164" s="12">
        <f t="shared" si="24"/>
        <v>41</v>
      </c>
      <c r="R164" s="12" t="str">
        <f t="shared" si="18"/>
        <v>TỔNG CÔNG TY CỔ PHẦN BƯU CHÍNH VIETTEL</v>
      </c>
    </row>
    <row r="165" spans="1:18" ht="15" customHeight="1" x14ac:dyDescent="0.2">
      <c r="A165" s="12" t="s">
        <v>2719</v>
      </c>
      <c r="B165" s="36" t="s">
        <v>602</v>
      </c>
      <c r="C165" s="12">
        <f t="shared" si="25"/>
        <v>128</v>
      </c>
      <c r="D165" s="12">
        <v>1</v>
      </c>
      <c r="E165" s="12" t="str">
        <f t="shared" si="16"/>
        <v>128</v>
      </c>
      <c r="G165" s="14" t="s">
        <v>3872</v>
      </c>
      <c r="H165" s="12" t="s">
        <v>5078</v>
      </c>
      <c r="I165" s="12">
        <v>331</v>
      </c>
      <c r="J165" s="12">
        <v>1111</v>
      </c>
      <c r="K165" s="12" t="s">
        <v>20</v>
      </c>
      <c r="L165" s="12">
        <v>1</v>
      </c>
      <c r="M165" s="17">
        <v>37000</v>
      </c>
      <c r="N165" s="17">
        <f t="shared" si="26"/>
        <v>37000</v>
      </c>
      <c r="O165" s="12" t="s">
        <v>21</v>
      </c>
      <c r="P165" s="12">
        <f t="shared" si="23"/>
        <v>127</v>
      </c>
      <c r="Q165" s="12">
        <f t="shared" si="24"/>
        <v>42</v>
      </c>
      <c r="R165" s="12" t="str">
        <f t="shared" si="18"/>
        <v>CÔNG TY TNHH GRAB</v>
      </c>
    </row>
    <row r="166" spans="1:18" ht="15" customHeight="1" x14ac:dyDescent="0.2">
      <c r="A166" s="12" t="s">
        <v>2719</v>
      </c>
      <c r="B166" s="36" t="s">
        <v>452</v>
      </c>
      <c r="C166" s="12">
        <f t="shared" si="25"/>
        <v>129</v>
      </c>
      <c r="D166" s="12">
        <v>1</v>
      </c>
      <c r="E166" s="12" t="str">
        <f t="shared" si="16"/>
        <v>129</v>
      </c>
      <c r="G166" s="14" t="s">
        <v>3870</v>
      </c>
      <c r="H166" s="12" t="s">
        <v>5079</v>
      </c>
      <c r="I166" s="12">
        <v>331</v>
      </c>
      <c r="J166" s="12">
        <v>1111</v>
      </c>
      <c r="K166" s="12" t="s">
        <v>20</v>
      </c>
      <c r="L166" s="12">
        <v>1</v>
      </c>
      <c r="M166" s="17">
        <v>91000</v>
      </c>
      <c r="N166" s="17">
        <f t="shared" si="26"/>
        <v>91000</v>
      </c>
      <c r="O166" s="12" t="s">
        <v>21</v>
      </c>
      <c r="P166" s="12">
        <f t="shared" si="23"/>
        <v>128</v>
      </c>
      <c r="Q166" s="12">
        <f t="shared" si="24"/>
        <v>49</v>
      </c>
      <c r="R166" s="12" t="str">
        <f t="shared" si="18"/>
        <v>CÔNG TY TNHH MTV THƯƠNG MẠI DỊCH VỤ BÌNH ĐÔNG</v>
      </c>
    </row>
    <row r="167" spans="1:18" ht="15" customHeight="1" x14ac:dyDescent="0.2">
      <c r="A167" s="12" t="s">
        <v>2719</v>
      </c>
      <c r="B167" s="36" t="s">
        <v>452</v>
      </c>
      <c r="C167" s="12">
        <f t="shared" si="25"/>
        <v>130</v>
      </c>
      <c r="D167" s="12">
        <v>1</v>
      </c>
      <c r="E167" s="12" t="str">
        <f t="shared" si="16"/>
        <v>130</v>
      </c>
      <c r="G167" s="14" t="s">
        <v>3872</v>
      </c>
      <c r="H167" s="12" t="s">
        <v>5080</v>
      </c>
      <c r="I167" s="12">
        <v>331</v>
      </c>
      <c r="J167" s="12">
        <v>1111</v>
      </c>
      <c r="K167" s="12" t="s">
        <v>20</v>
      </c>
      <c r="L167" s="12">
        <v>1</v>
      </c>
      <c r="M167" s="17">
        <v>32000</v>
      </c>
      <c r="N167" s="17">
        <f t="shared" si="26"/>
        <v>32000</v>
      </c>
      <c r="O167" s="12" t="s">
        <v>21</v>
      </c>
      <c r="P167" s="12">
        <f t="shared" si="23"/>
        <v>129</v>
      </c>
      <c r="Q167" s="12">
        <f t="shared" si="24"/>
        <v>42</v>
      </c>
      <c r="R167" s="12" t="str">
        <f t="shared" si="18"/>
        <v>CÔNG TY TNHH GRAB</v>
      </c>
    </row>
    <row r="168" spans="1:18" ht="15" customHeight="1" x14ac:dyDescent="0.2">
      <c r="A168" s="12" t="s">
        <v>2719</v>
      </c>
      <c r="B168" s="36" t="s">
        <v>588</v>
      </c>
      <c r="C168" s="12">
        <f t="shared" si="25"/>
        <v>131</v>
      </c>
      <c r="D168" s="12">
        <v>1</v>
      </c>
      <c r="E168" s="12" t="str">
        <f t="shared" si="16"/>
        <v>131</v>
      </c>
      <c r="G168" s="14" t="s">
        <v>25</v>
      </c>
      <c r="H168" s="12" t="s">
        <v>5081</v>
      </c>
      <c r="I168" s="12">
        <v>331</v>
      </c>
      <c r="J168" s="12">
        <v>1111</v>
      </c>
      <c r="K168" s="12" t="s">
        <v>20</v>
      </c>
      <c r="L168" s="12">
        <v>1</v>
      </c>
      <c r="M168" s="17">
        <v>791640</v>
      </c>
      <c r="N168" s="17">
        <f t="shared" si="26"/>
        <v>791640</v>
      </c>
      <c r="O168" s="12" t="s">
        <v>21</v>
      </c>
      <c r="P168" s="12">
        <f t="shared" si="23"/>
        <v>130</v>
      </c>
      <c r="Q168" s="12">
        <f t="shared" si="24"/>
        <v>55</v>
      </c>
      <c r="R168" s="12" t="str">
        <f t="shared" si="18"/>
        <v>CÔNG TY CỔ PHẦN TẬP ĐOÀN GOLDEN GATE - CHI NHÁNH MIỀN NAM</v>
      </c>
    </row>
    <row r="169" spans="1:18" ht="15" customHeight="1" x14ac:dyDescent="0.2">
      <c r="A169" s="12" t="s">
        <v>2719</v>
      </c>
      <c r="B169" s="36" t="s">
        <v>379</v>
      </c>
      <c r="C169" s="12">
        <f t="shared" si="25"/>
        <v>132</v>
      </c>
      <c r="D169" s="12">
        <v>1</v>
      </c>
      <c r="E169" s="12" t="str">
        <f t="shared" si="16"/>
        <v>132</v>
      </c>
      <c r="G169" s="14" t="s">
        <v>3872</v>
      </c>
      <c r="H169" s="12" t="s">
        <v>5082</v>
      </c>
      <c r="I169" s="12">
        <v>331</v>
      </c>
      <c r="J169" s="12">
        <v>1111</v>
      </c>
      <c r="K169" s="12" t="s">
        <v>20</v>
      </c>
      <c r="L169" s="12">
        <v>1</v>
      </c>
      <c r="M169" s="17">
        <v>23000</v>
      </c>
      <c r="N169" s="17">
        <f t="shared" si="26"/>
        <v>23000</v>
      </c>
      <c r="O169" s="12" t="s">
        <v>21</v>
      </c>
      <c r="P169" s="12">
        <f t="shared" si="23"/>
        <v>131</v>
      </c>
      <c r="Q169" s="12">
        <f t="shared" si="24"/>
        <v>42</v>
      </c>
      <c r="R169" s="12" t="str">
        <f t="shared" si="18"/>
        <v>CÔNG TY TNHH GRAB</v>
      </c>
    </row>
    <row r="170" spans="1:18" ht="15" customHeight="1" x14ac:dyDescent="0.2">
      <c r="A170" s="12" t="s">
        <v>2719</v>
      </c>
      <c r="B170" s="36" t="s">
        <v>453</v>
      </c>
      <c r="C170" s="12">
        <f t="shared" si="25"/>
        <v>133</v>
      </c>
      <c r="D170" s="12">
        <v>1</v>
      </c>
      <c r="E170" s="12" t="str">
        <f t="shared" si="16"/>
        <v>133</v>
      </c>
      <c r="G170" s="14" t="s">
        <v>3872</v>
      </c>
      <c r="H170" s="12" t="s">
        <v>5083</v>
      </c>
      <c r="I170" s="12">
        <v>331</v>
      </c>
      <c r="J170" s="12">
        <v>1111</v>
      </c>
      <c r="K170" s="12" t="s">
        <v>20</v>
      </c>
      <c r="L170" s="12">
        <v>1</v>
      </c>
      <c r="M170" s="17">
        <v>18000</v>
      </c>
      <c r="N170" s="17">
        <f t="shared" si="26"/>
        <v>18000</v>
      </c>
      <c r="O170" s="12" t="s">
        <v>21</v>
      </c>
      <c r="P170" s="12">
        <f t="shared" si="23"/>
        <v>132</v>
      </c>
      <c r="Q170" s="12">
        <f t="shared" si="24"/>
        <v>42</v>
      </c>
      <c r="R170" s="12" t="str">
        <f t="shared" si="18"/>
        <v>CÔNG TY TNHH GRAB</v>
      </c>
    </row>
    <row r="171" spans="1:18" ht="15" customHeight="1" x14ac:dyDescent="0.2">
      <c r="A171" s="12" t="s">
        <v>2719</v>
      </c>
      <c r="B171" s="36" t="s">
        <v>455</v>
      </c>
      <c r="C171" s="12">
        <f t="shared" si="25"/>
        <v>134</v>
      </c>
      <c r="D171" s="12">
        <v>1</v>
      </c>
      <c r="E171" s="12" t="str">
        <f t="shared" si="16"/>
        <v>134</v>
      </c>
      <c r="G171" s="14" t="s">
        <v>25</v>
      </c>
      <c r="H171" s="12" t="s">
        <v>5084</v>
      </c>
      <c r="I171" s="12">
        <v>331</v>
      </c>
      <c r="J171" s="12">
        <v>1111</v>
      </c>
      <c r="K171" s="12" t="s">
        <v>20</v>
      </c>
      <c r="L171" s="12">
        <v>1</v>
      </c>
      <c r="M171" s="17">
        <v>1276560</v>
      </c>
      <c r="N171" s="17">
        <f t="shared" si="26"/>
        <v>1276560</v>
      </c>
      <c r="O171" s="12" t="s">
        <v>21</v>
      </c>
      <c r="P171" s="12">
        <f t="shared" si="23"/>
        <v>133</v>
      </c>
      <c r="Q171" s="12">
        <f t="shared" si="24"/>
        <v>55</v>
      </c>
      <c r="R171" s="12" t="str">
        <f t="shared" si="18"/>
        <v>CÔNG TY CỔ PHẦN TẬP ĐOÀN GOLDEN GATE - CHI NHÁNH MIỀN NAM</v>
      </c>
    </row>
    <row r="172" spans="1:18" ht="15" customHeight="1" x14ac:dyDescent="0.2">
      <c r="A172" s="12" t="s">
        <v>2719</v>
      </c>
      <c r="B172" s="36" t="s">
        <v>672</v>
      </c>
      <c r="C172" s="12">
        <f t="shared" si="25"/>
        <v>135</v>
      </c>
      <c r="D172" s="12">
        <v>1</v>
      </c>
      <c r="E172" s="12" t="str">
        <f t="shared" si="16"/>
        <v>135</v>
      </c>
      <c r="G172" s="14" t="s">
        <v>37</v>
      </c>
      <c r="H172" s="12" t="s">
        <v>5085</v>
      </c>
      <c r="I172" s="12">
        <v>331</v>
      </c>
      <c r="J172" s="12">
        <v>1111</v>
      </c>
      <c r="K172" s="12" t="s">
        <v>20</v>
      </c>
      <c r="L172" s="12">
        <v>1</v>
      </c>
      <c r="M172" s="17">
        <v>3240000</v>
      </c>
      <c r="N172" s="17">
        <f t="shared" si="26"/>
        <v>3240000</v>
      </c>
      <c r="O172" s="12" t="s">
        <v>21</v>
      </c>
      <c r="P172" s="12">
        <f t="shared" si="23"/>
        <v>134</v>
      </c>
      <c r="Q172" s="12">
        <f t="shared" si="24"/>
        <v>53</v>
      </c>
      <c r="R172" s="12" t="str">
        <f t="shared" si="18"/>
        <v>CÔNG TY TNHH TƯ VẤN VÀ KẾ TOÁN T&amp;C</v>
      </c>
    </row>
    <row r="173" spans="1:18" ht="15" customHeight="1" x14ac:dyDescent="0.2">
      <c r="A173" s="12" t="s">
        <v>2719</v>
      </c>
      <c r="B173" s="36" t="s">
        <v>589</v>
      </c>
      <c r="C173" s="12">
        <f t="shared" si="25"/>
        <v>136</v>
      </c>
      <c r="D173" s="12">
        <v>1</v>
      </c>
      <c r="E173" s="12" t="str">
        <f t="shared" si="16"/>
        <v>136</v>
      </c>
      <c r="G173" s="14" t="s">
        <v>123</v>
      </c>
      <c r="H173" s="12" t="s">
        <v>5086</v>
      </c>
      <c r="I173" s="12">
        <v>331</v>
      </c>
      <c r="J173" s="12">
        <v>1111</v>
      </c>
      <c r="K173" s="12" t="s">
        <v>20</v>
      </c>
      <c r="L173" s="12">
        <v>1</v>
      </c>
      <c r="M173" s="17">
        <v>244080</v>
      </c>
      <c r="N173" s="17">
        <f t="shared" si="26"/>
        <v>244080</v>
      </c>
      <c r="O173" s="12" t="s">
        <v>21</v>
      </c>
      <c r="P173" s="12">
        <f t="shared" si="23"/>
        <v>135</v>
      </c>
      <c r="Q173" s="12">
        <f t="shared" si="24"/>
        <v>53</v>
      </c>
      <c r="R173" s="12" t="str">
        <f t="shared" si="18"/>
        <v>CHI NHÁNH CÔNG TY CỔ PHẦN PIZZA 4PS - NHÀ HÀNG PIZZA 4PS HAI BÀ TRƯNG</v>
      </c>
    </row>
    <row r="174" spans="1:18" ht="15" customHeight="1" x14ac:dyDescent="0.2">
      <c r="A174" s="12" t="s">
        <v>2719</v>
      </c>
      <c r="B174" s="36" t="s">
        <v>526</v>
      </c>
      <c r="C174" s="12">
        <f t="shared" si="25"/>
        <v>137</v>
      </c>
      <c r="D174" s="12">
        <v>1</v>
      </c>
      <c r="E174" s="12" t="str">
        <f t="shared" si="16"/>
        <v>137</v>
      </c>
      <c r="G174" s="14" t="s">
        <v>52</v>
      </c>
      <c r="H174" s="12" t="s">
        <v>5087</v>
      </c>
      <c r="I174" s="12">
        <v>331</v>
      </c>
      <c r="J174" s="12">
        <v>1111</v>
      </c>
      <c r="K174" s="12" t="s">
        <v>20</v>
      </c>
      <c r="L174" s="12">
        <v>1</v>
      </c>
      <c r="M174" s="17">
        <v>402840</v>
      </c>
      <c r="N174" s="17">
        <f t="shared" si="26"/>
        <v>402840</v>
      </c>
      <c r="O174" s="12" t="s">
        <v>21</v>
      </c>
      <c r="P174" s="12">
        <f t="shared" si="23"/>
        <v>136</v>
      </c>
      <c r="Q174" s="12">
        <f t="shared" si="24"/>
        <v>53</v>
      </c>
      <c r="R174" s="12" t="str">
        <f t="shared" si="18"/>
        <v>CÔNG TY TNHH MỘC F&amp;B</v>
      </c>
    </row>
    <row r="175" spans="1:18" ht="15" customHeight="1" x14ac:dyDescent="0.2">
      <c r="A175" s="12" t="s">
        <v>2719</v>
      </c>
      <c r="B175" s="36" t="s">
        <v>527</v>
      </c>
      <c r="C175" s="12">
        <f t="shared" si="25"/>
        <v>138</v>
      </c>
      <c r="D175" s="12">
        <v>1</v>
      </c>
      <c r="E175" s="12" t="str">
        <f t="shared" si="16"/>
        <v>138</v>
      </c>
      <c r="G175" s="14" t="s">
        <v>3867</v>
      </c>
      <c r="H175" s="12" t="s">
        <v>5088</v>
      </c>
      <c r="I175" s="12">
        <v>331</v>
      </c>
      <c r="J175" s="12">
        <v>1111</v>
      </c>
      <c r="K175" s="12" t="s">
        <v>20</v>
      </c>
      <c r="L175" s="12">
        <v>1</v>
      </c>
      <c r="M175" s="17">
        <v>1172000</v>
      </c>
      <c r="N175" s="17">
        <f t="shared" si="26"/>
        <v>1172000</v>
      </c>
      <c r="O175" s="12" t="s">
        <v>21</v>
      </c>
      <c r="P175" s="12">
        <f t="shared" si="23"/>
        <v>137</v>
      </c>
      <c r="Q175" s="12">
        <f t="shared" si="24"/>
        <v>51</v>
      </c>
      <c r="R175" s="12" t="str">
        <f t="shared" si="18"/>
        <v>CÔNG TY TNHH THƯƠNG MẠI DỊCH VỤ THE NOON</v>
      </c>
    </row>
    <row r="176" spans="1:18" ht="15" customHeight="1" x14ac:dyDescent="0.2">
      <c r="A176" s="12" t="s">
        <v>2719</v>
      </c>
      <c r="B176" s="36" t="s">
        <v>2043</v>
      </c>
      <c r="C176" s="12">
        <f t="shared" si="25"/>
        <v>139</v>
      </c>
      <c r="D176" s="12">
        <v>1</v>
      </c>
      <c r="E176" s="12" t="str">
        <f t="shared" si="16"/>
        <v>139</v>
      </c>
      <c r="G176" s="14" t="s">
        <v>988</v>
      </c>
      <c r="H176" s="12" t="s">
        <v>5089</v>
      </c>
      <c r="I176" s="12">
        <v>331</v>
      </c>
      <c r="J176" s="12">
        <v>1111</v>
      </c>
      <c r="K176" s="12" t="s">
        <v>20</v>
      </c>
      <c r="L176" s="12">
        <v>1</v>
      </c>
      <c r="M176" s="17">
        <v>150000</v>
      </c>
      <c r="N176" s="17">
        <f t="shared" si="26"/>
        <v>150000</v>
      </c>
      <c r="O176" s="12" t="s">
        <v>21</v>
      </c>
      <c r="P176" s="12">
        <f t="shared" si="23"/>
        <v>138</v>
      </c>
      <c r="Q176" s="12">
        <f t="shared" si="24"/>
        <v>53</v>
      </c>
      <c r="R176" s="12" t="str">
        <f t="shared" si="18"/>
        <v>CÔNG TY CỔ PHẦN EVERY HALF BEAN</v>
      </c>
    </row>
    <row r="177" spans="1:18" ht="15" customHeight="1" x14ac:dyDescent="0.2">
      <c r="A177" s="12" t="s">
        <v>2719</v>
      </c>
      <c r="B177" s="36" t="s">
        <v>604</v>
      </c>
      <c r="C177" s="12">
        <f t="shared" si="25"/>
        <v>140</v>
      </c>
      <c r="D177" s="12">
        <v>1</v>
      </c>
      <c r="E177" s="12" t="str">
        <f t="shared" si="16"/>
        <v>140</v>
      </c>
      <c r="G177" s="14" t="s">
        <v>3873</v>
      </c>
      <c r="H177" s="12" t="s">
        <v>5090</v>
      </c>
      <c r="I177" s="12">
        <v>331</v>
      </c>
      <c r="J177" s="12">
        <v>1111</v>
      </c>
      <c r="K177" s="12" t="s">
        <v>20</v>
      </c>
      <c r="L177" s="12">
        <v>1</v>
      </c>
      <c r="M177" s="17">
        <v>728000</v>
      </c>
      <c r="N177" s="17">
        <f t="shared" si="26"/>
        <v>728000</v>
      </c>
      <c r="O177" s="12" t="s">
        <v>21</v>
      </c>
      <c r="P177" s="12">
        <f t="shared" si="23"/>
        <v>139</v>
      </c>
      <c r="Q177" s="12">
        <f t="shared" si="24"/>
        <v>47</v>
      </c>
      <c r="R177" s="12" t="str">
        <f t="shared" si="18"/>
        <v>CÔNG TY TNHH TBS VIỆT NAM</v>
      </c>
    </row>
    <row r="178" spans="1:18" ht="15" customHeight="1" x14ac:dyDescent="0.2">
      <c r="A178" s="12" t="s">
        <v>2719</v>
      </c>
      <c r="B178" s="36" t="s">
        <v>604</v>
      </c>
      <c r="C178" s="12">
        <f t="shared" si="25"/>
        <v>141</v>
      </c>
      <c r="D178" s="12">
        <v>1</v>
      </c>
      <c r="E178" s="12" t="str">
        <f t="shared" si="16"/>
        <v>141</v>
      </c>
      <c r="G178" s="14" t="s">
        <v>25</v>
      </c>
      <c r="H178" s="12" t="s">
        <v>5091</v>
      </c>
      <c r="I178" s="12">
        <v>331</v>
      </c>
      <c r="J178" s="12">
        <v>1111</v>
      </c>
      <c r="K178" s="12" t="s">
        <v>20</v>
      </c>
      <c r="L178" s="12">
        <v>1</v>
      </c>
      <c r="M178" s="17">
        <v>444960</v>
      </c>
      <c r="N178" s="17">
        <f t="shared" si="26"/>
        <v>444960</v>
      </c>
      <c r="O178" s="12" t="s">
        <v>21</v>
      </c>
      <c r="P178" s="12">
        <f t="shared" si="23"/>
        <v>140</v>
      </c>
      <c r="Q178" s="12">
        <f t="shared" si="24"/>
        <v>50</v>
      </c>
      <c r="R178" s="12" t="str">
        <f t="shared" si="18"/>
        <v>CÔNG TY CỔ PHẦN TẬP ĐOÀN GOLDEN GATE - CHI NHÁNH MIỀN NAM</v>
      </c>
    </row>
    <row r="179" spans="1:18" ht="15" customHeight="1" x14ac:dyDescent="0.2">
      <c r="A179" s="12" t="s">
        <v>2719</v>
      </c>
      <c r="B179" s="36" t="s">
        <v>604</v>
      </c>
      <c r="C179" s="12">
        <f t="shared" si="25"/>
        <v>142</v>
      </c>
      <c r="D179" s="12">
        <v>1</v>
      </c>
      <c r="E179" s="12" t="str">
        <f t="shared" si="16"/>
        <v>142</v>
      </c>
      <c r="G179" s="14" t="s">
        <v>274</v>
      </c>
      <c r="H179" s="12" t="s">
        <v>5092</v>
      </c>
      <c r="I179" s="12">
        <v>331</v>
      </c>
      <c r="J179" s="12">
        <v>1111</v>
      </c>
      <c r="K179" s="12" t="s">
        <v>20</v>
      </c>
      <c r="L179" s="12">
        <v>1</v>
      </c>
      <c r="M179" s="17">
        <v>1857100</v>
      </c>
      <c r="N179" s="17">
        <f t="shared" si="26"/>
        <v>1857100</v>
      </c>
      <c r="O179" s="12" t="s">
        <v>21</v>
      </c>
      <c r="P179" s="12">
        <f t="shared" si="23"/>
        <v>141</v>
      </c>
      <c r="Q179" s="12">
        <f t="shared" si="24"/>
        <v>56</v>
      </c>
      <c r="R179" s="12" t="str">
        <f t="shared" si="18"/>
        <v>CÔNG TY CỔ PHẦN KING FOOD MARKET</v>
      </c>
    </row>
    <row r="180" spans="1:18" ht="15" customHeight="1" x14ac:dyDescent="0.2">
      <c r="A180" s="12" t="s">
        <v>2719</v>
      </c>
      <c r="B180" s="36" t="s">
        <v>604</v>
      </c>
      <c r="C180" s="12">
        <f t="shared" si="25"/>
        <v>143</v>
      </c>
      <c r="D180" s="12">
        <v>1</v>
      </c>
      <c r="E180" s="12" t="str">
        <f t="shared" si="16"/>
        <v>143</v>
      </c>
      <c r="G180" s="14" t="s">
        <v>3874</v>
      </c>
      <c r="H180" s="12" t="s">
        <v>5093</v>
      </c>
      <c r="I180" s="12">
        <v>331</v>
      </c>
      <c r="J180" s="12">
        <v>1111</v>
      </c>
      <c r="K180" s="12" t="s">
        <v>20</v>
      </c>
      <c r="L180" s="12">
        <v>1</v>
      </c>
      <c r="M180" s="17">
        <v>74000</v>
      </c>
      <c r="N180" s="17">
        <f t="shared" si="26"/>
        <v>74000</v>
      </c>
      <c r="O180" s="12" t="s">
        <v>21</v>
      </c>
      <c r="P180" s="12">
        <f t="shared" si="23"/>
        <v>142</v>
      </c>
      <c r="Q180" s="12">
        <f t="shared" si="24"/>
        <v>56</v>
      </c>
      <c r="R180" s="12" t="str">
        <f t="shared" si="18"/>
        <v>CÔNG TY TNHH VÒNG TRÒN ĐỎ</v>
      </c>
    </row>
    <row r="181" spans="1:18" ht="15" customHeight="1" x14ac:dyDescent="0.2">
      <c r="A181" s="12" t="s">
        <v>2719</v>
      </c>
      <c r="B181" s="36" t="s">
        <v>2045</v>
      </c>
      <c r="C181" s="12">
        <f t="shared" si="25"/>
        <v>144</v>
      </c>
      <c r="D181" s="12">
        <v>1</v>
      </c>
      <c r="E181" s="12" t="str">
        <f t="shared" si="16"/>
        <v>144</v>
      </c>
      <c r="G181" s="14" t="s">
        <v>3875</v>
      </c>
      <c r="H181" s="12" t="s">
        <v>5094</v>
      </c>
      <c r="I181" s="12">
        <v>331</v>
      </c>
      <c r="J181" s="12">
        <v>1111</v>
      </c>
      <c r="K181" s="12" t="s">
        <v>20</v>
      </c>
      <c r="L181" s="12">
        <v>1</v>
      </c>
      <c r="M181" s="17">
        <v>556200</v>
      </c>
      <c r="N181" s="17">
        <f t="shared" si="26"/>
        <v>556200</v>
      </c>
      <c r="O181" s="12" t="s">
        <v>21</v>
      </c>
      <c r="P181" s="12">
        <f t="shared" si="23"/>
        <v>143</v>
      </c>
      <c r="Q181" s="12">
        <f t="shared" si="24"/>
        <v>52</v>
      </c>
      <c r="R181" s="12" t="str">
        <f t="shared" si="18"/>
        <v>CÔNG TY TNHH CHADA THÁI</v>
      </c>
    </row>
    <row r="182" spans="1:18" ht="15" customHeight="1" x14ac:dyDescent="0.2">
      <c r="A182" s="12" t="s">
        <v>2719</v>
      </c>
      <c r="B182" s="36" t="s">
        <v>1930</v>
      </c>
      <c r="C182" s="12">
        <f t="shared" si="25"/>
        <v>145</v>
      </c>
      <c r="D182" s="12">
        <v>1</v>
      </c>
      <c r="E182" s="12" t="str">
        <f t="shared" si="16"/>
        <v>145</v>
      </c>
      <c r="G182" s="14" t="s">
        <v>3872</v>
      </c>
      <c r="H182" s="12" t="s">
        <v>5095</v>
      </c>
      <c r="I182" s="12">
        <v>331</v>
      </c>
      <c r="J182" s="12">
        <v>1111</v>
      </c>
      <c r="K182" s="12" t="s">
        <v>20</v>
      </c>
      <c r="L182" s="12">
        <v>1</v>
      </c>
      <c r="M182" s="17">
        <v>20000</v>
      </c>
      <c r="N182" s="17">
        <f t="shared" si="26"/>
        <v>20000</v>
      </c>
      <c r="O182" s="12" t="s">
        <v>21</v>
      </c>
      <c r="P182" s="12">
        <f t="shared" si="23"/>
        <v>144</v>
      </c>
      <c r="Q182" s="12">
        <f t="shared" si="24"/>
        <v>42</v>
      </c>
      <c r="R182" s="12" t="str">
        <f t="shared" si="18"/>
        <v>CÔNG TY TNHH GRAB</v>
      </c>
    </row>
    <row r="183" spans="1:18" ht="15" customHeight="1" x14ac:dyDescent="0.2">
      <c r="A183" s="12" t="s">
        <v>2719</v>
      </c>
      <c r="B183" s="36" t="s">
        <v>1930</v>
      </c>
      <c r="C183" s="12">
        <f t="shared" si="25"/>
        <v>146</v>
      </c>
      <c r="D183" s="12">
        <v>1</v>
      </c>
      <c r="E183" s="12" t="str">
        <f t="shared" si="16"/>
        <v>146</v>
      </c>
      <c r="G183" s="14" t="s">
        <v>3872</v>
      </c>
      <c r="H183" s="12" t="s">
        <v>5096</v>
      </c>
      <c r="I183" s="12">
        <v>331</v>
      </c>
      <c r="J183" s="12">
        <v>1111</v>
      </c>
      <c r="K183" s="12" t="s">
        <v>20</v>
      </c>
      <c r="L183" s="12">
        <v>1</v>
      </c>
      <c r="M183" s="17">
        <v>51000</v>
      </c>
      <c r="N183" s="17">
        <f t="shared" si="26"/>
        <v>51000</v>
      </c>
      <c r="O183" s="12" t="s">
        <v>21</v>
      </c>
      <c r="P183" s="12">
        <f t="shared" si="23"/>
        <v>145</v>
      </c>
      <c r="Q183" s="12">
        <f t="shared" si="24"/>
        <v>42</v>
      </c>
      <c r="R183" s="12" t="str">
        <f t="shared" si="18"/>
        <v>CÔNG TY TNHH GRAB</v>
      </c>
    </row>
    <row r="184" spans="1:18" ht="15" customHeight="1" x14ac:dyDescent="0.2">
      <c r="A184" s="12" t="s">
        <v>2719</v>
      </c>
      <c r="B184" s="36" t="s">
        <v>1930</v>
      </c>
      <c r="C184" s="12">
        <f t="shared" si="25"/>
        <v>147</v>
      </c>
      <c r="D184" s="12">
        <v>1</v>
      </c>
      <c r="E184" s="12" t="str">
        <f t="shared" si="16"/>
        <v>147</v>
      </c>
      <c r="G184" s="14" t="s">
        <v>3872</v>
      </c>
      <c r="H184" s="12" t="s">
        <v>5097</v>
      </c>
      <c r="I184" s="12">
        <v>331</v>
      </c>
      <c r="J184" s="12">
        <v>1111</v>
      </c>
      <c r="K184" s="12" t="s">
        <v>20</v>
      </c>
      <c r="L184" s="12">
        <v>1</v>
      </c>
      <c r="M184" s="17">
        <v>23000</v>
      </c>
      <c r="N184" s="17">
        <f t="shared" si="26"/>
        <v>23000</v>
      </c>
      <c r="O184" s="12" t="s">
        <v>21</v>
      </c>
      <c r="P184" s="12">
        <f t="shared" si="23"/>
        <v>146</v>
      </c>
      <c r="Q184" s="12">
        <f t="shared" si="24"/>
        <v>42</v>
      </c>
      <c r="R184" s="12" t="str">
        <f t="shared" si="18"/>
        <v>CÔNG TY TNHH GRAB</v>
      </c>
    </row>
    <row r="185" spans="1:18" ht="15" customHeight="1" x14ac:dyDescent="0.2">
      <c r="A185" s="12" t="s">
        <v>2719</v>
      </c>
      <c r="B185" s="36" t="s">
        <v>1930</v>
      </c>
      <c r="C185" s="12">
        <f t="shared" si="25"/>
        <v>148</v>
      </c>
      <c r="D185" s="12">
        <v>1</v>
      </c>
      <c r="E185" s="12" t="str">
        <f t="shared" si="16"/>
        <v>148</v>
      </c>
      <c r="G185" s="14" t="s">
        <v>25</v>
      </c>
      <c r="H185" s="12" t="s">
        <v>5098</v>
      </c>
      <c r="I185" s="12">
        <v>331</v>
      </c>
      <c r="J185" s="12">
        <v>1111</v>
      </c>
      <c r="K185" s="12" t="s">
        <v>20</v>
      </c>
      <c r="L185" s="12">
        <v>1</v>
      </c>
      <c r="M185" s="17">
        <v>826200</v>
      </c>
      <c r="N185" s="17">
        <f t="shared" si="26"/>
        <v>826200</v>
      </c>
      <c r="O185" s="12" t="s">
        <v>21</v>
      </c>
      <c r="P185" s="12">
        <f t="shared" si="23"/>
        <v>147</v>
      </c>
      <c r="Q185" s="12">
        <f t="shared" si="24"/>
        <v>55</v>
      </c>
      <c r="R185" s="12" t="str">
        <f t="shared" si="18"/>
        <v>CÔNG TY CỔ PHẦN TẬP ĐOÀN GOLDEN GATE - CHI NHÁNH MIỀN NAM</v>
      </c>
    </row>
    <row r="186" spans="1:18" ht="15" customHeight="1" x14ac:dyDescent="0.2">
      <c r="A186" s="12" t="s">
        <v>2719</v>
      </c>
      <c r="B186" s="36" t="s">
        <v>2561</v>
      </c>
      <c r="C186" s="12">
        <f t="shared" si="25"/>
        <v>149</v>
      </c>
      <c r="D186" s="12">
        <v>1</v>
      </c>
      <c r="E186" s="12" t="str">
        <f t="shared" si="16"/>
        <v>149</v>
      </c>
      <c r="G186" s="14" t="s">
        <v>3876</v>
      </c>
      <c r="H186" s="12" t="s">
        <v>5099</v>
      </c>
      <c r="I186" s="12">
        <v>331</v>
      </c>
      <c r="J186" s="12">
        <v>1111</v>
      </c>
      <c r="K186" s="12" t="s">
        <v>20</v>
      </c>
      <c r="L186" s="12">
        <v>1</v>
      </c>
      <c r="M186" s="17">
        <v>2147400</v>
      </c>
      <c r="N186" s="17">
        <f t="shared" si="26"/>
        <v>2147400</v>
      </c>
      <c r="O186" s="12" t="s">
        <v>21</v>
      </c>
      <c r="P186" s="12">
        <f t="shared" si="23"/>
        <v>148</v>
      </c>
      <c r="Q186" s="12">
        <f t="shared" si="24"/>
        <v>49</v>
      </c>
      <c r="R186" s="12" t="str">
        <f t="shared" si="18"/>
        <v>CÔNG TY TNHH MAY THÊU GIÀY AN PHƯỚC</v>
      </c>
    </row>
    <row r="187" spans="1:18" ht="15" customHeight="1" x14ac:dyDescent="0.2">
      <c r="A187" s="12" t="s">
        <v>2719</v>
      </c>
      <c r="B187" s="36" t="s">
        <v>2504</v>
      </c>
      <c r="C187" s="12">
        <f t="shared" si="25"/>
        <v>150</v>
      </c>
      <c r="D187" s="12">
        <v>1</v>
      </c>
      <c r="E187" s="12" t="str">
        <f t="shared" si="16"/>
        <v>150</v>
      </c>
      <c r="G187" s="14" t="s">
        <v>3877</v>
      </c>
      <c r="H187" s="12" t="s">
        <v>5100</v>
      </c>
      <c r="I187" s="12">
        <v>331</v>
      </c>
      <c r="J187" s="12">
        <v>1111</v>
      </c>
      <c r="K187" s="12" t="s">
        <v>20</v>
      </c>
      <c r="L187" s="12">
        <v>1</v>
      </c>
      <c r="M187" s="17">
        <v>544320</v>
      </c>
      <c r="N187" s="17">
        <f t="shared" si="26"/>
        <v>544320</v>
      </c>
      <c r="O187" s="12" t="s">
        <v>21</v>
      </c>
      <c r="P187" s="12">
        <f t="shared" si="23"/>
        <v>149</v>
      </c>
      <c r="Q187" s="12">
        <f t="shared" si="24"/>
        <v>52</v>
      </c>
      <c r="R187" s="12" t="str">
        <f t="shared" si="18"/>
        <v>CÔNG TY TNHH CRHCMC</v>
      </c>
    </row>
    <row r="188" spans="1:18" ht="15" customHeight="1" x14ac:dyDescent="0.2">
      <c r="A188" s="12" t="s">
        <v>2719</v>
      </c>
      <c r="B188" s="36" t="s">
        <v>2504</v>
      </c>
      <c r="C188" s="12">
        <f t="shared" si="25"/>
        <v>151</v>
      </c>
      <c r="D188" s="12">
        <v>1</v>
      </c>
      <c r="E188" s="12" t="str">
        <f t="shared" si="16"/>
        <v>151</v>
      </c>
      <c r="G188" s="14" t="s">
        <v>875</v>
      </c>
      <c r="H188" s="12" t="s">
        <v>5101</v>
      </c>
      <c r="I188" s="12">
        <v>331</v>
      </c>
      <c r="J188" s="12">
        <v>1111</v>
      </c>
      <c r="K188" s="12" t="s">
        <v>20</v>
      </c>
      <c r="L188" s="12">
        <v>1</v>
      </c>
      <c r="M188" s="17">
        <v>500660</v>
      </c>
      <c r="N188" s="17">
        <f t="shared" si="26"/>
        <v>500660</v>
      </c>
      <c r="O188" s="12" t="s">
        <v>21</v>
      </c>
      <c r="P188" s="12">
        <f t="shared" si="23"/>
        <v>150</v>
      </c>
      <c r="Q188" s="12">
        <f t="shared" si="24"/>
        <v>53</v>
      </c>
      <c r="R188" s="12" t="str">
        <f t="shared" si="18"/>
        <v>CÔNG TY TNHH GF CAPITAL (VIỆT NAM)</v>
      </c>
    </row>
    <row r="189" spans="1:18" ht="15" customHeight="1" x14ac:dyDescent="0.2">
      <c r="A189" s="12" t="s">
        <v>2719</v>
      </c>
      <c r="B189" s="36" t="s">
        <v>2504</v>
      </c>
      <c r="C189" s="12">
        <f t="shared" si="25"/>
        <v>152</v>
      </c>
      <c r="D189" s="12">
        <v>1</v>
      </c>
      <c r="E189" s="12" t="str">
        <f t="shared" si="16"/>
        <v>152</v>
      </c>
      <c r="G189" s="14" t="s">
        <v>3872</v>
      </c>
      <c r="H189" s="12" t="s">
        <v>5102</v>
      </c>
      <c r="I189" s="12">
        <v>331</v>
      </c>
      <c r="J189" s="12">
        <v>1111</v>
      </c>
      <c r="K189" s="12" t="s">
        <v>20</v>
      </c>
      <c r="L189" s="12">
        <v>1</v>
      </c>
      <c r="M189" s="17">
        <v>40000</v>
      </c>
      <c r="N189" s="17">
        <f t="shared" si="26"/>
        <v>40000</v>
      </c>
      <c r="O189" s="12" t="s">
        <v>21</v>
      </c>
      <c r="P189" s="12">
        <f t="shared" si="23"/>
        <v>151</v>
      </c>
      <c r="Q189" s="12">
        <f t="shared" si="24"/>
        <v>42</v>
      </c>
      <c r="R189" s="12" t="str">
        <f t="shared" si="18"/>
        <v>CÔNG TY TNHH GRAB</v>
      </c>
    </row>
    <row r="190" spans="1:18" ht="15" customHeight="1" x14ac:dyDescent="0.2">
      <c r="A190" s="12" t="s">
        <v>2719</v>
      </c>
      <c r="B190" s="36" t="s">
        <v>2504</v>
      </c>
      <c r="C190" s="12">
        <f t="shared" si="25"/>
        <v>153</v>
      </c>
      <c r="D190" s="12">
        <v>1</v>
      </c>
      <c r="E190" s="12" t="str">
        <f t="shared" si="16"/>
        <v>153</v>
      </c>
      <c r="G190" s="14" t="s">
        <v>3872</v>
      </c>
      <c r="H190" s="12" t="s">
        <v>5103</v>
      </c>
      <c r="I190" s="12">
        <v>331</v>
      </c>
      <c r="J190" s="12">
        <v>1111</v>
      </c>
      <c r="K190" s="12" t="s">
        <v>20</v>
      </c>
      <c r="L190" s="12">
        <v>1</v>
      </c>
      <c r="M190" s="17">
        <v>324000</v>
      </c>
      <c r="N190" s="17">
        <f t="shared" si="26"/>
        <v>324000</v>
      </c>
      <c r="O190" s="12" t="s">
        <v>21</v>
      </c>
      <c r="P190" s="12">
        <f t="shared" si="23"/>
        <v>152</v>
      </c>
      <c r="Q190" s="12">
        <f t="shared" si="24"/>
        <v>42</v>
      </c>
      <c r="R190" s="12" t="str">
        <f t="shared" si="18"/>
        <v>CÔNG TY TNHH GRAB</v>
      </c>
    </row>
    <row r="191" spans="1:18" ht="15" customHeight="1" x14ac:dyDescent="0.2">
      <c r="A191" s="12" t="s">
        <v>2719</v>
      </c>
      <c r="B191" s="36" t="s">
        <v>2513</v>
      </c>
      <c r="C191" s="12">
        <f t="shared" si="25"/>
        <v>154</v>
      </c>
      <c r="D191" s="12">
        <v>1</v>
      </c>
      <c r="E191" s="12" t="str">
        <f t="shared" si="16"/>
        <v>154</v>
      </c>
      <c r="G191" s="14" t="s">
        <v>3871</v>
      </c>
      <c r="H191" s="12" t="s">
        <v>5104</v>
      </c>
      <c r="I191" s="12">
        <v>331</v>
      </c>
      <c r="J191" s="12">
        <v>1111</v>
      </c>
      <c r="K191" s="12" t="s">
        <v>20</v>
      </c>
      <c r="L191" s="12">
        <v>1</v>
      </c>
      <c r="M191" s="17">
        <v>69200</v>
      </c>
      <c r="N191" s="17">
        <f t="shared" si="26"/>
        <v>69200</v>
      </c>
      <c r="O191" s="12" t="s">
        <v>21</v>
      </c>
      <c r="P191" s="12">
        <f t="shared" si="23"/>
        <v>153</v>
      </c>
      <c r="Q191" s="12">
        <f t="shared" si="24"/>
        <v>40</v>
      </c>
      <c r="R191" s="12" t="str">
        <f t="shared" si="18"/>
        <v>TỔNG CÔNG TY CỔ PHẦN BƯU CHÍNH VIETTEL</v>
      </c>
    </row>
    <row r="192" spans="1:18" ht="15" customHeight="1" x14ac:dyDescent="0.2">
      <c r="A192" s="12" t="s">
        <v>2719</v>
      </c>
      <c r="B192" s="36" t="s">
        <v>2513</v>
      </c>
      <c r="C192" s="12">
        <f t="shared" si="25"/>
        <v>155</v>
      </c>
      <c r="D192" s="12">
        <v>1</v>
      </c>
      <c r="E192" s="12" t="str">
        <f t="shared" si="16"/>
        <v>155</v>
      </c>
      <c r="G192" s="14" t="s">
        <v>3872</v>
      </c>
      <c r="H192" s="12" t="s">
        <v>5105</v>
      </c>
      <c r="I192" s="12">
        <v>331</v>
      </c>
      <c r="J192" s="12">
        <v>1111</v>
      </c>
      <c r="K192" s="12" t="s">
        <v>20</v>
      </c>
      <c r="L192" s="12">
        <v>1</v>
      </c>
      <c r="M192" s="17">
        <v>34000</v>
      </c>
      <c r="N192" s="17">
        <f t="shared" si="26"/>
        <v>34000</v>
      </c>
      <c r="O192" s="12" t="s">
        <v>21</v>
      </c>
      <c r="P192" s="12">
        <f t="shared" si="23"/>
        <v>154</v>
      </c>
      <c r="Q192" s="12">
        <f t="shared" si="24"/>
        <v>42</v>
      </c>
      <c r="R192" s="12" t="str">
        <f t="shared" si="18"/>
        <v>CÔNG TY TNHH GRAB</v>
      </c>
    </row>
    <row r="193" spans="1:18" ht="15" customHeight="1" x14ac:dyDescent="0.2">
      <c r="A193" s="12" t="s">
        <v>18</v>
      </c>
      <c r="B193" s="13">
        <v>45961</v>
      </c>
      <c r="C193" s="12">
        <f t="shared" ref="C193:C198" si="27">C192+D193</f>
        <v>156</v>
      </c>
      <c r="D193" s="12">
        <v>1</v>
      </c>
      <c r="E193" s="12" t="str">
        <f t="shared" si="16"/>
        <v>156</v>
      </c>
      <c r="G193" s="14" t="s">
        <v>43</v>
      </c>
      <c r="H193" s="12" t="s">
        <v>371</v>
      </c>
      <c r="I193" s="12">
        <v>64271</v>
      </c>
      <c r="J193" s="12">
        <v>3383</v>
      </c>
      <c r="K193" s="12" t="s">
        <v>20</v>
      </c>
      <c r="L193" s="12">
        <v>1</v>
      </c>
      <c r="M193" s="17">
        <v>690300</v>
      </c>
      <c r="N193" s="17">
        <f t="shared" si="26"/>
        <v>690300</v>
      </c>
      <c r="O193" s="12" t="s">
        <v>21</v>
      </c>
      <c r="P193" s="12">
        <f t="shared" ref="P193:P198" si="28">P192+D193</f>
        <v>155</v>
      </c>
      <c r="Q193" s="12">
        <f t="shared" ref="Q193:Q198" si="29">LEN(H193)</f>
        <v>30</v>
      </c>
      <c r="R193" s="12" t="str">
        <f t="shared" ref="R193:R198" si="30">VLOOKUP(G193,$W$4:$X$100,2,0)</f>
        <v>BẢO HIỂM XÃ HỘI</v>
      </c>
    </row>
    <row r="194" spans="1:18" ht="15" customHeight="1" x14ac:dyDescent="0.2">
      <c r="A194" s="12" t="s">
        <v>18</v>
      </c>
      <c r="B194" s="13">
        <v>45991</v>
      </c>
      <c r="C194" s="12">
        <f t="shared" si="27"/>
        <v>157</v>
      </c>
      <c r="D194" s="12">
        <v>1</v>
      </c>
      <c r="E194" s="12" t="str">
        <f t="shared" si="16"/>
        <v>157</v>
      </c>
      <c r="G194" s="14" t="s">
        <v>43</v>
      </c>
      <c r="H194" s="12" t="s">
        <v>372</v>
      </c>
      <c r="I194" s="12">
        <v>64271</v>
      </c>
      <c r="J194" s="12">
        <v>3383</v>
      </c>
      <c r="K194" s="12" t="s">
        <v>20</v>
      </c>
      <c r="L194" s="12">
        <v>1</v>
      </c>
      <c r="M194" s="17">
        <v>690300</v>
      </c>
      <c r="N194" s="17">
        <f t="shared" si="26"/>
        <v>690300</v>
      </c>
      <c r="O194" s="12" t="s">
        <v>21</v>
      </c>
      <c r="P194" s="12">
        <f t="shared" si="28"/>
        <v>156</v>
      </c>
      <c r="Q194" s="12">
        <f t="shared" si="29"/>
        <v>30</v>
      </c>
      <c r="R194" s="12" t="str">
        <f t="shared" si="30"/>
        <v>BẢO HIỂM XÃ HỘI</v>
      </c>
    </row>
    <row r="195" spans="1:18" ht="15" customHeight="1" x14ac:dyDescent="0.2">
      <c r="A195" s="12" t="s">
        <v>18</v>
      </c>
      <c r="B195" s="13">
        <v>46022</v>
      </c>
      <c r="C195" s="12">
        <f t="shared" si="27"/>
        <v>158</v>
      </c>
      <c r="D195" s="12">
        <v>1</v>
      </c>
      <c r="E195" s="12" t="str">
        <f t="shared" si="16"/>
        <v>158</v>
      </c>
      <c r="G195" s="14" t="s">
        <v>43</v>
      </c>
      <c r="H195" s="12" t="s">
        <v>373</v>
      </c>
      <c r="I195" s="12">
        <v>64271</v>
      </c>
      <c r="J195" s="12">
        <v>3383</v>
      </c>
      <c r="K195" s="12" t="s">
        <v>20</v>
      </c>
      <c r="L195" s="12">
        <v>1</v>
      </c>
      <c r="M195" s="17">
        <v>690300</v>
      </c>
      <c r="N195" s="17">
        <f t="shared" si="26"/>
        <v>690300</v>
      </c>
      <c r="O195" s="12" t="s">
        <v>21</v>
      </c>
      <c r="P195" s="12">
        <f t="shared" si="28"/>
        <v>157</v>
      </c>
      <c r="Q195" s="12">
        <f t="shared" si="29"/>
        <v>30</v>
      </c>
      <c r="R195" s="12" t="str">
        <f t="shared" si="30"/>
        <v>BẢO HIỂM XÃ HỘI</v>
      </c>
    </row>
    <row r="196" spans="1:18" ht="15" customHeight="1" x14ac:dyDescent="0.2">
      <c r="A196" s="12" t="s">
        <v>2719</v>
      </c>
      <c r="B196" s="13">
        <v>45961</v>
      </c>
      <c r="C196" s="12">
        <f t="shared" si="27"/>
        <v>159</v>
      </c>
      <c r="D196" s="12">
        <v>1</v>
      </c>
      <c r="E196" s="12" t="str">
        <f t="shared" si="16"/>
        <v>159</v>
      </c>
      <c r="G196" s="14" t="s">
        <v>43</v>
      </c>
      <c r="H196" s="12" t="s">
        <v>2684</v>
      </c>
      <c r="I196" s="12">
        <v>3383</v>
      </c>
      <c r="J196" s="12">
        <v>1111</v>
      </c>
      <c r="K196" s="12" t="s">
        <v>20</v>
      </c>
      <c r="L196" s="12">
        <v>1</v>
      </c>
      <c r="M196" s="17">
        <v>690300</v>
      </c>
      <c r="N196" s="17">
        <f t="shared" si="26"/>
        <v>690300</v>
      </c>
      <c r="O196" s="12" t="s">
        <v>21</v>
      </c>
      <c r="P196" s="12">
        <f t="shared" si="28"/>
        <v>158</v>
      </c>
      <c r="Q196" s="12">
        <f t="shared" si="29"/>
        <v>34</v>
      </c>
      <c r="R196" s="12" t="str">
        <f t="shared" si="30"/>
        <v>BẢO HIỂM XÃ HỘI</v>
      </c>
    </row>
    <row r="197" spans="1:18" ht="15" customHeight="1" x14ac:dyDescent="0.2">
      <c r="A197" s="12" t="s">
        <v>2719</v>
      </c>
      <c r="B197" s="13">
        <v>45991</v>
      </c>
      <c r="C197" s="12">
        <f t="shared" si="27"/>
        <v>160</v>
      </c>
      <c r="D197" s="12">
        <v>1</v>
      </c>
      <c r="E197" s="12" t="str">
        <f t="shared" ref="E197:E198" si="31">TEXT(C197,"000")</f>
        <v>160</v>
      </c>
      <c r="G197" s="14" t="s">
        <v>43</v>
      </c>
      <c r="H197" s="12" t="s">
        <v>2685</v>
      </c>
      <c r="I197" s="12">
        <v>3383</v>
      </c>
      <c r="J197" s="12">
        <v>1111</v>
      </c>
      <c r="K197" s="12" t="s">
        <v>20</v>
      </c>
      <c r="L197" s="12">
        <v>1</v>
      </c>
      <c r="M197" s="17">
        <v>690300</v>
      </c>
      <c r="N197" s="17">
        <f t="shared" si="26"/>
        <v>690300</v>
      </c>
      <c r="O197" s="12" t="s">
        <v>21</v>
      </c>
      <c r="P197" s="12">
        <f t="shared" si="28"/>
        <v>159</v>
      </c>
      <c r="Q197" s="12">
        <f t="shared" si="29"/>
        <v>34</v>
      </c>
      <c r="R197" s="12" t="str">
        <f t="shared" si="30"/>
        <v>BẢO HIỂM XÃ HỘI</v>
      </c>
    </row>
    <row r="198" spans="1:18" ht="15" customHeight="1" x14ac:dyDescent="0.2">
      <c r="A198" s="12" t="s">
        <v>2719</v>
      </c>
      <c r="B198" s="13">
        <v>46022</v>
      </c>
      <c r="C198" s="12">
        <f t="shared" si="27"/>
        <v>161</v>
      </c>
      <c r="D198" s="12">
        <v>1</v>
      </c>
      <c r="E198" s="12" t="str">
        <f t="shared" si="31"/>
        <v>161</v>
      </c>
      <c r="G198" s="14" t="s">
        <v>43</v>
      </c>
      <c r="H198" s="12" t="s">
        <v>3036</v>
      </c>
      <c r="I198" s="12">
        <v>3383</v>
      </c>
      <c r="J198" s="12">
        <v>1111</v>
      </c>
      <c r="K198" s="12" t="s">
        <v>20</v>
      </c>
      <c r="L198" s="12">
        <v>1</v>
      </c>
      <c r="M198" s="17">
        <v>690300</v>
      </c>
      <c r="N198" s="17">
        <f t="shared" si="26"/>
        <v>690300</v>
      </c>
      <c r="O198" s="12" t="s">
        <v>21</v>
      </c>
      <c r="P198" s="12">
        <f t="shared" si="28"/>
        <v>160</v>
      </c>
      <c r="Q198" s="12">
        <f t="shared" si="29"/>
        <v>34</v>
      </c>
      <c r="R198" s="12" t="str">
        <f t="shared" si="30"/>
        <v>BẢO HIỂM XÃ HỘI</v>
      </c>
    </row>
    <row r="199" spans="1:18" ht="15" customHeight="1" x14ac:dyDescent="0.2">
      <c r="B199" s="13"/>
    </row>
    <row r="200" spans="1:18" ht="15" customHeight="1" x14ac:dyDescent="0.2">
      <c r="B200" s="13"/>
    </row>
    <row r="201" spans="1:18" ht="15" customHeight="1" x14ac:dyDescent="0.2">
      <c r="B201" s="13"/>
    </row>
    <row r="202" spans="1:18" ht="15" customHeight="1" x14ac:dyDescent="0.2">
      <c r="B202" s="13"/>
    </row>
    <row r="203" spans="1:18" ht="15" customHeight="1" x14ac:dyDescent="0.2">
      <c r="B203" s="13"/>
    </row>
    <row r="204" spans="1:18" ht="15" customHeight="1" x14ac:dyDescent="0.2">
      <c r="B204" s="13"/>
    </row>
    <row r="205" spans="1:18" ht="15" customHeight="1" x14ac:dyDescent="0.2">
      <c r="B205" s="13"/>
    </row>
    <row r="206" spans="1:18" ht="15" customHeight="1" x14ac:dyDescent="0.2">
      <c r="B206" s="13"/>
    </row>
  </sheetData>
  <autoFilter ref="A3:R198" xr:uid="{00000000-0001-0000-1800-000000000000}"/>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P98"/>
  <sheetViews>
    <sheetView workbookViewId="0">
      <selection sqref="A1:A2"/>
    </sheetView>
  </sheetViews>
  <sheetFormatPr defaultRowHeight="15" x14ac:dyDescent="0.25"/>
  <cols>
    <col min="8" max="8" width="27.7109375" customWidth="1"/>
    <col min="13" max="14" width="10.7109375" bestFit="1" customWidth="1"/>
  </cols>
  <sheetData>
    <row r="1" spans="1:16" ht="15.75" thickBot="1" x14ac:dyDescent="0.3">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16" ht="15.75" thickBot="1" x14ac:dyDescent="0.3">
      <c r="A2" s="205"/>
      <c r="B2" s="220"/>
      <c r="C2" s="205"/>
      <c r="D2" s="208"/>
      <c r="E2" s="208"/>
      <c r="F2" s="203"/>
      <c r="G2" s="212"/>
      <c r="H2" s="214"/>
      <c r="I2" s="46" t="s">
        <v>13</v>
      </c>
      <c r="J2" s="47" t="s">
        <v>14</v>
      </c>
      <c r="K2" s="205"/>
      <c r="L2" s="205"/>
      <c r="M2" s="218"/>
      <c r="N2" s="218"/>
      <c r="O2" s="38" t="s">
        <v>100</v>
      </c>
      <c r="P2" s="38"/>
    </row>
    <row r="3" spans="1:16" x14ac:dyDescent="0.25">
      <c r="A3" s="48"/>
      <c r="B3" s="83"/>
      <c r="C3" s="48">
        <v>0</v>
      </c>
      <c r="D3" s="49"/>
      <c r="E3" s="49"/>
      <c r="F3" s="49"/>
      <c r="G3" s="51" t="s">
        <v>15</v>
      </c>
      <c r="H3" s="52"/>
      <c r="I3" s="52"/>
      <c r="J3" s="52"/>
      <c r="K3" s="48"/>
      <c r="L3" s="48"/>
      <c r="M3" s="84"/>
      <c r="N3" s="84"/>
      <c r="O3" s="38" t="s">
        <v>16</v>
      </c>
      <c r="P3" s="38" t="s">
        <v>17</v>
      </c>
    </row>
    <row r="4" spans="1:16" x14ac:dyDescent="0.25">
      <c r="A4" s="12" t="s">
        <v>18</v>
      </c>
      <c r="B4" s="36" t="s">
        <v>442</v>
      </c>
      <c r="C4" s="12">
        <f t="shared" ref="C4:C35" si="0">C3+D4</f>
        <v>1</v>
      </c>
      <c r="D4" s="12">
        <v>1</v>
      </c>
      <c r="E4" s="12"/>
      <c r="F4" s="12"/>
      <c r="G4" s="12" t="s">
        <v>3996</v>
      </c>
      <c r="H4" s="12" t="s">
        <v>4003</v>
      </c>
      <c r="I4" s="12"/>
      <c r="J4" s="12">
        <v>331</v>
      </c>
      <c r="K4" s="12" t="s">
        <v>20</v>
      </c>
      <c r="L4" s="12">
        <v>1</v>
      </c>
      <c r="M4" s="17">
        <v>1100000</v>
      </c>
      <c r="N4" s="17">
        <f t="shared" ref="N4:N35" si="1">L4*M4</f>
        <v>1100000</v>
      </c>
      <c r="O4" s="12"/>
      <c r="P4" s="12">
        <v>1</v>
      </c>
    </row>
    <row r="5" spans="1:16" x14ac:dyDescent="0.25">
      <c r="A5" s="12" t="s">
        <v>18</v>
      </c>
      <c r="B5" s="36" t="s">
        <v>445</v>
      </c>
      <c r="C5" s="12">
        <f t="shared" si="0"/>
        <v>2</v>
      </c>
      <c r="D5" s="12">
        <v>1</v>
      </c>
      <c r="E5" s="12"/>
      <c r="F5" s="12"/>
      <c r="G5" s="12" t="s">
        <v>64</v>
      </c>
      <c r="H5" s="12" t="s">
        <v>4004</v>
      </c>
      <c r="I5" s="12"/>
      <c r="J5" s="12">
        <v>331</v>
      </c>
      <c r="K5" s="12" t="s">
        <v>20</v>
      </c>
      <c r="L5" s="12">
        <v>1</v>
      </c>
      <c r="M5" s="17">
        <v>99000</v>
      </c>
      <c r="N5" s="17">
        <f t="shared" si="1"/>
        <v>99000</v>
      </c>
      <c r="O5" s="12"/>
      <c r="P5" s="12">
        <v>2</v>
      </c>
    </row>
    <row r="6" spans="1:16" x14ac:dyDescent="0.25">
      <c r="A6" s="12" t="s">
        <v>18</v>
      </c>
      <c r="B6" s="36" t="s">
        <v>445</v>
      </c>
      <c r="C6" s="12">
        <f t="shared" si="0"/>
        <v>3</v>
      </c>
      <c r="D6" s="12">
        <v>1</v>
      </c>
      <c r="E6" s="12"/>
      <c r="F6" s="12"/>
      <c r="G6" s="12" t="s">
        <v>64</v>
      </c>
      <c r="H6" s="12" t="s">
        <v>4005</v>
      </c>
      <c r="I6" s="12"/>
      <c r="J6" s="12">
        <v>331</v>
      </c>
      <c r="K6" s="12" t="s">
        <v>20</v>
      </c>
      <c r="L6" s="12">
        <v>1</v>
      </c>
      <c r="M6" s="17">
        <v>1662120</v>
      </c>
      <c r="N6" s="17">
        <f t="shared" si="1"/>
        <v>1662120</v>
      </c>
      <c r="O6" s="12"/>
      <c r="P6" s="12">
        <v>3</v>
      </c>
    </row>
    <row r="7" spans="1:16" x14ac:dyDescent="0.25">
      <c r="A7" s="12" t="s">
        <v>18</v>
      </c>
      <c r="B7" s="36" t="s">
        <v>599</v>
      </c>
      <c r="C7" s="12">
        <f t="shared" si="0"/>
        <v>4</v>
      </c>
      <c r="D7" s="12">
        <v>1</v>
      </c>
      <c r="E7" s="12"/>
      <c r="F7" s="12"/>
      <c r="G7" s="12" t="s">
        <v>3997</v>
      </c>
      <c r="H7" s="12" t="s">
        <v>4006</v>
      </c>
      <c r="I7" s="12"/>
      <c r="J7" s="12">
        <v>331</v>
      </c>
      <c r="K7" s="12" t="s">
        <v>20</v>
      </c>
      <c r="L7" s="12">
        <v>1</v>
      </c>
      <c r="M7" s="17">
        <v>1500000</v>
      </c>
      <c r="N7" s="17">
        <f t="shared" si="1"/>
        <v>1500000</v>
      </c>
      <c r="O7" s="12"/>
      <c r="P7" s="12">
        <v>4</v>
      </c>
    </row>
    <row r="8" spans="1:16" x14ac:dyDescent="0.25">
      <c r="A8" s="12" t="s">
        <v>18</v>
      </c>
      <c r="B8" s="36" t="s">
        <v>451</v>
      </c>
      <c r="C8" s="12">
        <f t="shared" si="0"/>
        <v>5</v>
      </c>
      <c r="D8" s="12">
        <v>1</v>
      </c>
      <c r="E8" s="12"/>
      <c r="F8" s="12"/>
      <c r="G8" s="12" t="s">
        <v>3998</v>
      </c>
      <c r="H8" s="12" t="s">
        <v>4007</v>
      </c>
      <c r="I8" s="12"/>
      <c r="J8" s="12">
        <v>331</v>
      </c>
      <c r="K8" s="12" t="s">
        <v>20</v>
      </c>
      <c r="L8" s="12">
        <v>1</v>
      </c>
      <c r="M8" s="17">
        <v>352000</v>
      </c>
      <c r="N8" s="17">
        <f t="shared" si="1"/>
        <v>352000</v>
      </c>
      <c r="O8" s="12"/>
      <c r="P8" s="12">
        <v>5</v>
      </c>
    </row>
    <row r="9" spans="1:16" x14ac:dyDescent="0.25">
      <c r="A9" s="12" t="s">
        <v>18</v>
      </c>
      <c r="B9" s="36" t="s">
        <v>713</v>
      </c>
      <c r="C9" s="12">
        <f t="shared" si="0"/>
        <v>6</v>
      </c>
      <c r="D9" s="12">
        <v>1</v>
      </c>
      <c r="E9" s="12"/>
      <c r="F9" s="12"/>
      <c r="G9" s="12" t="s">
        <v>1024</v>
      </c>
      <c r="H9" s="12" t="s">
        <v>4008</v>
      </c>
      <c r="I9" s="12"/>
      <c r="J9" s="12">
        <v>331</v>
      </c>
      <c r="K9" s="12" t="s">
        <v>20</v>
      </c>
      <c r="L9" s="12">
        <v>1</v>
      </c>
      <c r="M9" s="17">
        <v>1099999</v>
      </c>
      <c r="N9" s="17">
        <f t="shared" si="1"/>
        <v>1099999</v>
      </c>
      <c r="O9" s="12"/>
      <c r="P9" s="12">
        <v>6</v>
      </c>
    </row>
    <row r="10" spans="1:16" x14ac:dyDescent="0.25">
      <c r="A10" s="12" t="s">
        <v>18</v>
      </c>
      <c r="B10" s="36" t="s">
        <v>588</v>
      </c>
      <c r="C10" s="12">
        <f t="shared" si="0"/>
        <v>7</v>
      </c>
      <c r="D10" s="12">
        <v>1</v>
      </c>
      <c r="E10" s="12"/>
      <c r="F10" s="12"/>
      <c r="G10" s="12" t="s">
        <v>3999</v>
      </c>
      <c r="H10" s="12" t="s">
        <v>4009</v>
      </c>
      <c r="I10" s="12"/>
      <c r="J10" s="12">
        <v>331</v>
      </c>
      <c r="K10" s="12" t="s">
        <v>20</v>
      </c>
      <c r="L10" s="12">
        <v>1</v>
      </c>
      <c r="M10" s="17">
        <v>4200000</v>
      </c>
      <c r="N10" s="17">
        <f t="shared" si="1"/>
        <v>4200000</v>
      </c>
      <c r="O10" s="12"/>
      <c r="P10" s="12">
        <v>7</v>
      </c>
    </row>
    <row r="11" spans="1:16" x14ac:dyDescent="0.25">
      <c r="A11" s="12" t="s">
        <v>18</v>
      </c>
      <c r="B11" s="36" t="s">
        <v>588</v>
      </c>
      <c r="C11" s="12">
        <f t="shared" si="0"/>
        <v>8</v>
      </c>
      <c r="D11" s="12">
        <v>1</v>
      </c>
      <c r="E11" s="12"/>
      <c r="F11" s="12"/>
      <c r="G11" s="12" t="s">
        <v>3999</v>
      </c>
      <c r="H11" s="12" t="s">
        <v>4010</v>
      </c>
      <c r="I11" s="12"/>
      <c r="J11" s="12">
        <v>331</v>
      </c>
      <c r="K11" s="12" t="s">
        <v>20</v>
      </c>
      <c r="L11" s="12">
        <v>1</v>
      </c>
      <c r="M11" s="17">
        <v>140000</v>
      </c>
      <c r="N11" s="17">
        <f t="shared" si="1"/>
        <v>140000</v>
      </c>
      <c r="O11" s="12"/>
      <c r="P11" s="12">
        <v>8</v>
      </c>
    </row>
    <row r="12" spans="1:16" x14ac:dyDescent="0.25">
      <c r="A12" s="12" t="s">
        <v>18</v>
      </c>
      <c r="B12" s="36" t="s">
        <v>588</v>
      </c>
      <c r="C12" s="12">
        <f t="shared" si="0"/>
        <v>9</v>
      </c>
      <c r="D12" s="12">
        <v>1</v>
      </c>
      <c r="E12" s="12"/>
      <c r="F12" s="12"/>
      <c r="G12" s="12" t="s">
        <v>3999</v>
      </c>
      <c r="H12" s="12" t="s">
        <v>4011</v>
      </c>
      <c r="I12" s="12"/>
      <c r="J12" s="12">
        <v>331</v>
      </c>
      <c r="K12" s="12" t="s">
        <v>20</v>
      </c>
      <c r="L12" s="12">
        <v>1</v>
      </c>
      <c r="M12" s="17">
        <v>4200000</v>
      </c>
      <c r="N12" s="17">
        <f t="shared" si="1"/>
        <v>4200000</v>
      </c>
      <c r="O12" s="12"/>
      <c r="P12" s="12">
        <v>9</v>
      </c>
    </row>
    <row r="13" spans="1:16" x14ac:dyDescent="0.25">
      <c r="A13" s="12" t="s">
        <v>18</v>
      </c>
      <c r="B13" s="36" t="s">
        <v>588</v>
      </c>
      <c r="C13" s="12">
        <f t="shared" si="0"/>
        <v>10</v>
      </c>
      <c r="D13" s="12">
        <v>1</v>
      </c>
      <c r="E13" s="12"/>
      <c r="F13" s="12"/>
      <c r="G13" s="12" t="s">
        <v>3999</v>
      </c>
      <c r="H13" s="12" t="s">
        <v>4012</v>
      </c>
      <c r="I13" s="12"/>
      <c r="J13" s="12">
        <v>331</v>
      </c>
      <c r="K13" s="12" t="s">
        <v>20</v>
      </c>
      <c r="L13" s="12">
        <v>1</v>
      </c>
      <c r="M13" s="17">
        <v>150000</v>
      </c>
      <c r="N13" s="17">
        <f t="shared" si="1"/>
        <v>150000</v>
      </c>
      <c r="O13" s="12"/>
      <c r="P13" s="12">
        <v>10</v>
      </c>
    </row>
    <row r="14" spans="1:16" x14ac:dyDescent="0.25">
      <c r="A14" s="12" t="s">
        <v>18</v>
      </c>
      <c r="B14" s="36" t="s">
        <v>588</v>
      </c>
      <c r="C14" s="12">
        <f t="shared" si="0"/>
        <v>11</v>
      </c>
      <c r="D14" s="12">
        <v>1</v>
      </c>
      <c r="E14" s="12"/>
      <c r="F14" s="12"/>
      <c r="G14" s="12" t="s">
        <v>19</v>
      </c>
      <c r="H14" s="12" t="s">
        <v>4013</v>
      </c>
      <c r="I14" s="12"/>
      <c r="J14" s="12">
        <v>331</v>
      </c>
      <c r="K14" s="12" t="s">
        <v>20</v>
      </c>
      <c r="L14" s="12">
        <v>1</v>
      </c>
      <c r="M14" s="17">
        <v>33000</v>
      </c>
      <c r="N14" s="17">
        <f t="shared" si="1"/>
        <v>33000</v>
      </c>
      <c r="O14" s="12"/>
      <c r="P14" s="12">
        <v>11</v>
      </c>
    </row>
    <row r="15" spans="1:16" x14ac:dyDescent="0.25">
      <c r="A15" s="12" t="s">
        <v>18</v>
      </c>
      <c r="B15" s="36" t="s">
        <v>379</v>
      </c>
      <c r="C15" s="12">
        <f t="shared" si="0"/>
        <v>12</v>
      </c>
      <c r="D15" s="12">
        <v>1</v>
      </c>
      <c r="E15" s="12"/>
      <c r="F15" s="12"/>
      <c r="G15" s="12" t="s">
        <v>19</v>
      </c>
      <c r="H15" s="12" t="s">
        <v>4014</v>
      </c>
      <c r="I15" s="12"/>
      <c r="J15" s="12">
        <v>331</v>
      </c>
      <c r="K15" s="12" t="s">
        <v>20</v>
      </c>
      <c r="L15" s="12">
        <v>1</v>
      </c>
      <c r="M15" s="17">
        <v>40000</v>
      </c>
      <c r="N15" s="17">
        <f t="shared" si="1"/>
        <v>40000</v>
      </c>
      <c r="O15" s="12"/>
      <c r="P15" s="12">
        <v>12</v>
      </c>
    </row>
    <row r="16" spans="1:16" x14ac:dyDescent="0.25">
      <c r="A16" s="12" t="s">
        <v>18</v>
      </c>
      <c r="B16" s="36" t="s">
        <v>524</v>
      </c>
      <c r="C16" s="12">
        <f t="shared" si="0"/>
        <v>13</v>
      </c>
      <c r="D16" s="12">
        <v>1</v>
      </c>
      <c r="E16" s="12"/>
      <c r="F16" s="12"/>
      <c r="G16" s="12" t="s">
        <v>4000</v>
      </c>
      <c r="H16" s="12" t="s">
        <v>4015</v>
      </c>
      <c r="I16" s="12"/>
      <c r="J16" s="12">
        <v>331</v>
      </c>
      <c r="K16" s="12" t="s">
        <v>20</v>
      </c>
      <c r="L16" s="12">
        <v>1</v>
      </c>
      <c r="M16" s="17">
        <v>3417876</v>
      </c>
      <c r="N16" s="17">
        <f t="shared" si="1"/>
        <v>3417876</v>
      </c>
      <c r="O16" s="12"/>
      <c r="P16" s="12">
        <v>13</v>
      </c>
    </row>
    <row r="17" spans="1:16" x14ac:dyDescent="0.25">
      <c r="A17" s="12" t="s">
        <v>18</v>
      </c>
      <c r="B17" s="36" t="s">
        <v>603</v>
      </c>
      <c r="C17" s="12">
        <f t="shared" si="0"/>
        <v>14</v>
      </c>
      <c r="D17" s="12">
        <v>1</v>
      </c>
      <c r="E17" s="12"/>
      <c r="F17" s="12"/>
      <c r="G17" s="12" t="s">
        <v>4001</v>
      </c>
      <c r="H17" s="12" t="s">
        <v>4016</v>
      </c>
      <c r="I17" s="12"/>
      <c r="J17" s="12">
        <v>331</v>
      </c>
      <c r="K17" s="12" t="s">
        <v>20</v>
      </c>
      <c r="L17" s="12">
        <v>1</v>
      </c>
      <c r="M17" s="17">
        <v>5500</v>
      </c>
      <c r="N17" s="17">
        <f t="shared" si="1"/>
        <v>5500</v>
      </c>
      <c r="O17" s="12"/>
      <c r="P17" s="12">
        <v>14</v>
      </c>
    </row>
    <row r="18" spans="1:16" x14ac:dyDescent="0.25">
      <c r="A18" s="12" t="s">
        <v>18</v>
      </c>
      <c r="B18" s="36" t="s">
        <v>516</v>
      </c>
      <c r="C18" s="12">
        <f t="shared" si="0"/>
        <v>15</v>
      </c>
      <c r="D18" s="12">
        <v>1</v>
      </c>
      <c r="E18" s="12"/>
      <c r="F18" s="12"/>
      <c r="G18" s="12" t="s">
        <v>3998</v>
      </c>
      <c r="H18" s="12" t="s">
        <v>4017</v>
      </c>
      <c r="I18" s="12"/>
      <c r="J18" s="12">
        <v>331</v>
      </c>
      <c r="K18" s="12" t="s">
        <v>20</v>
      </c>
      <c r="L18" s="12">
        <v>1</v>
      </c>
      <c r="M18" s="17">
        <v>308000</v>
      </c>
      <c r="N18" s="17">
        <f t="shared" si="1"/>
        <v>308000</v>
      </c>
      <c r="O18" s="12"/>
      <c r="P18" s="12">
        <v>15</v>
      </c>
    </row>
    <row r="19" spans="1:16" x14ac:dyDescent="0.25">
      <c r="A19" s="12" t="s">
        <v>18</v>
      </c>
      <c r="B19" s="36" t="s">
        <v>604</v>
      </c>
      <c r="C19" s="12">
        <f t="shared" si="0"/>
        <v>16</v>
      </c>
      <c r="D19" s="12">
        <v>1</v>
      </c>
      <c r="E19" s="12"/>
      <c r="F19" s="12"/>
      <c r="G19" s="12" t="s">
        <v>41</v>
      </c>
      <c r="H19" s="12" t="s">
        <v>4018</v>
      </c>
      <c r="I19" s="12"/>
      <c r="J19" s="12">
        <v>331</v>
      </c>
      <c r="K19" s="12" t="s">
        <v>20</v>
      </c>
      <c r="L19" s="12">
        <v>1</v>
      </c>
      <c r="M19" s="17">
        <v>3209600</v>
      </c>
      <c r="N19" s="17">
        <f t="shared" si="1"/>
        <v>3209600</v>
      </c>
      <c r="O19" s="12"/>
      <c r="P19" s="12">
        <v>16</v>
      </c>
    </row>
    <row r="20" spans="1:16" x14ac:dyDescent="0.25">
      <c r="A20" s="12" t="s">
        <v>18</v>
      </c>
      <c r="B20" s="36" t="s">
        <v>2045</v>
      </c>
      <c r="C20" s="12">
        <f t="shared" si="0"/>
        <v>17</v>
      </c>
      <c r="D20" s="12">
        <v>1</v>
      </c>
      <c r="E20" s="12"/>
      <c r="F20" s="12"/>
      <c r="G20" s="12" t="s">
        <v>4002</v>
      </c>
      <c r="H20" s="12" t="s">
        <v>4019</v>
      </c>
      <c r="I20" s="12"/>
      <c r="J20" s="12">
        <v>331</v>
      </c>
      <c r="K20" s="12" t="s">
        <v>20</v>
      </c>
      <c r="L20" s="12">
        <v>1</v>
      </c>
      <c r="M20" s="17">
        <v>1770000</v>
      </c>
      <c r="N20" s="17">
        <f t="shared" si="1"/>
        <v>1770000</v>
      </c>
      <c r="O20" s="12"/>
      <c r="P20" s="12">
        <v>17</v>
      </c>
    </row>
    <row r="21" spans="1:16" x14ac:dyDescent="0.25">
      <c r="A21" s="12" t="s">
        <v>18</v>
      </c>
      <c r="B21" s="36" t="s">
        <v>311</v>
      </c>
      <c r="C21" s="12">
        <f t="shared" si="0"/>
        <v>18</v>
      </c>
      <c r="D21" s="12">
        <v>1</v>
      </c>
      <c r="E21" s="12"/>
      <c r="F21" s="12"/>
      <c r="G21" s="12" t="s">
        <v>66</v>
      </c>
      <c r="H21" s="12" t="s">
        <v>4025</v>
      </c>
      <c r="I21" s="12">
        <v>131</v>
      </c>
      <c r="J21" s="12">
        <v>5113</v>
      </c>
      <c r="K21" s="12" t="s">
        <v>20</v>
      </c>
      <c r="L21" s="12">
        <v>1</v>
      </c>
      <c r="M21" s="17">
        <v>32258065</v>
      </c>
      <c r="N21" s="17">
        <f t="shared" si="1"/>
        <v>32258065</v>
      </c>
      <c r="O21" s="12"/>
      <c r="P21" s="12">
        <v>18</v>
      </c>
    </row>
    <row r="22" spans="1:16" x14ac:dyDescent="0.25">
      <c r="A22" s="12" t="s">
        <v>18</v>
      </c>
      <c r="B22" s="36" t="s">
        <v>311</v>
      </c>
      <c r="C22" s="12">
        <f t="shared" si="0"/>
        <v>18</v>
      </c>
      <c r="D22" s="12">
        <v>0</v>
      </c>
      <c r="E22" s="12"/>
      <c r="F22" s="12"/>
      <c r="G22" s="12" t="s">
        <v>66</v>
      </c>
      <c r="H22" s="12" t="s">
        <v>4064</v>
      </c>
      <c r="I22" s="12">
        <v>333821</v>
      </c>
      <c r="J22" s="12">
        <v>131</v>
      </c>
      <c r="K22" s="12" t="s">
        <v>20</v>
      </c>
      <c r="L22" s="12">
        <v>1</v>
      </c>
      <c r="M22" s="17">
        <v>322581</v>
      </c>
      <c r="N22" s="17">
        <f t="shared" si="1"/>
        <v>322581</v>
      </c>
      <c r="O22" s="12"/>
      <c r="P22" s="12">
        <v>18</v>
      </c>
    </row>
    <row r="23" spans="1:16" x14ac:dyDescent="0.25">
      <c r="A23" s="12" t="s">
        <v>18</v>
      </c>
      <c r="B23" s="36" t="s">
        <v>868</v>
      </c>
      <c r="C23" s="12">
        <f t="shared" si="0"/>
        <v>19</v>
      </c>
      <c r="D23" s="12">
        <v>1</v>
      </c>
      <c r="E23" s="12"/>
      <c r="F23" s="12"/>
      <c r="G23" s="12" t="s">
        <v>58</v>
      </c>
      <c r="H23" s="12" t="s">
        <v>4026</v>
      </c>
      <c r="I23" s="12">
        <v>131</v>
      </c>
      <c r="J23" s="12">
        <v>5113</v>
      </c>
      <c r="K23" s="12" t="s">
        <v>20</v>
      </c>
      <c r="L23" s="12">
        <v>1</v>
      </c>
      <c r="M23" s="17">
        <v>65167807</v>
      </c>
      <c r="N23" s="17">
        <f t="shared" si="1"/>
        <v>65167807</v>
      </c>
      <c r="O23" s="12"/>
      <c r="P23" s="12">
        <v>19</v>
      </c>
    </row>
    <row r="24" spans="1:16" x14ac:dyDescent="0.25">
      <c r="A24" s="12" t="s">
        <v>18</v>
      </c>
      <c r="B24" s="36" t="s">
        <v>868</v>
      </c>
      <c r="C24" s="12">
        <f t="shared" si="0"/>
        <v>19</v>
      </c>
      <c r="D24" s="12">
        <v>0</v>
      </c>
      <c r="E24" s="12"/>
      <c r="F24" s="12"/>
      <c r="G24" s="12" t="s">
        <v>58</v>
      </c>
      <c r="H24" s="12" t="s">
        <v>4065</v>
      </c>
      <c r="I24" s="12">
        <v>333821</v>
      </c>
      <c r="J24" s="12">
        <v>131</v>
      </c>
      <c r="K24" s="12" t="s">
        <v>20</v>
      </c>
      <c r="L24" s="12">
        <v>1</v>
      </c>
      <c r="M24" s="17">
        <v>651678</v>
      </c>
      <c r="N24" s="17">
        <f t="shared" si="1"/>
        <v>651678</v>
      </c>
      <c r="O24" s="12"/>
      <c r="P24" s="12">
        <v>19</v>
      </c>
    </row>
    <row r="25" spans="1:16" x14ac:dyDescent="0.25">
      <c r="A25" s="12" t="s">
        <v>18</v>
      </c>
      <c r="B25" s="36" t="s">
        <v>414</v>
      </c>
      <c r="C25" s="12">
        <f t="shared" si="0"/>
        <v>20</v>
      </c>
      <c r="D25" s="12">
        <v>1</v>
      </c>
      <c r="E25" s="12"/>
      <c r="F25" s="12"/>
      <c r="G25" s="12" t="s">
        <v>127</v>
      </c>
      <c r="H25" s="12" t="s">
        <v>4027</v>
      </c>
      <c r="I25" s="12">
        <v>131</v>
      </c>
      <c r="J25" s="12">
        <v>5113</v>
      </c>
      <c r="K25" s="12" t="s">
        <v>20</v>
      </c>
      <c r="L25" s="12">
        <v>1</v>
      </c>
      <c r="M25" s="17">
        <v>83870968</v>
      </c>
      <c r="N25" s="17">
        <f t="shared" si="1"/>
        <v>83870968</v>
      </c>
      <c r="O25" s="12"/>
      <c r="P25" s="12">
        <v>20</v>
      </c>
    </row>
    <row r="26" spans="1:16" x14ac:dyDescent="0.25">
      <c r="A26" s="12" t="s">
        <v>18</v>
      </c>
      <c r="B26" s="36" t="s">
        <v>414</v>
      </c>
      <c r="C26" s="12">
        <f t="shared" si="0"/>
        <v>20</v>
      </c>
      <c r="D26" s="12">
        <v>0</v>
      </c>
      <c r="E26" s="12"/>
      <c r="F26" s="12"/>
      <c r="G26" s="12" t="s">
        <v>127</v>
      </c>
      <c r="H26" s="12" t="s">
        <v>4066</v>
      </c>
      <c r="I26" s="12">
        <v>333821</v>
      </c>
      <c r="J26" s="12">
        <v>131</v>
      </c>
      <c r="K26" s="12" t="s">
        <v>20</v>
      </c>
      <c r="L26" s="12">
        <v>1</v>
      </c>
      <c r="M26" s="17">
        <v>838710</v>
      </c>
      <c r="N26" s="17">
        <f t="shared" si="1"/>
        <v>838710</v>
      </c>
      <c r="O26" s="12"/>
      <c r="P26" s="12">
        <v>20</v>
      </c>
    </row>
    <row r="27" spans="1:16" x14ac:dyDescent="0.25">
      <c r="A27" s="12" t="s">
        <v>18</v>
      </c>
      <c r="B27" s="36" t="s">
        <v>599</v>
      </c>
      <c r="C27" s="12">
        <f t="shared" si="0"/>
        <v>21</v>
      </c>
      <c r="D27" s="12">
        <v>1</v>
      </c>
      <c r="E27" s="12"/>
      <c r="F27" s="12"/>
      <c r="G27" s="12" t="s">
        <v>4020</v>
      </c>
      <c r="H27" s="12" t="s">
        <v>4028</v>
      </c>
      <c r="I27" s="12">
        <v>131</v>
      </c>
      <c r="J27" s="12">
        <v>5113</v>
      </c>
      <c r="K27" s="12" t="s">
        <v>20</v>
      </c>
      <c r="L27" s="12">
        <v>1</v>
      </c>
      <c r="M27" s="17">
        <v>10967741</v>
      </c>
      <c r="N27" s="17">
        <f t="shared" si="1"/>
        <v>10967741</v>
      </c>
      <c r="O27" s="12"/>
      <c r="P27" s="12">
        <v>21</v>
      </c>
    </row>
    <row r="28" spans="1:16" x14ac:dyDescent="0.25">
      <c r="A28" s="12" t="s">
        <v>18</v>
      </c>
      <c r="B28" s="36" t="s">
        <v>599</v>
      </c>
      <c r="C28" s="12">
        <f t="shared" si="0"/>
        <v>21</v>
      </c>
      <c r="D28" s="12">
        <v>0</v>
      </c>
      <c r="E28" s="12"/>
      <c r="F28" s="12"/>
      <c r="G28" s="12" t="s">
        <v>4020</v>
      </c>
      <c r="H28" s="12" t="s">
        <v>4067</v>
      </c>
      <c r="I28" s="12">
        <v>333821</v>
      </c>
      <c r="J28" s="12">
        <v>131</v>
      </c>
      <c r="K28" s="12" t="s">
        <v>20</v>
      </c>
      <c r="L28" s="12">
        <v>1</v>
      </c>
      <c r="M28" s="17">
        <v>109677</v>
      </c>
      <c r="N28" s="17">
        <f t="shared" si="1"/>
        <v>109677</v>
      </c>
      <c r="O28" s="12"/>
      <c r="P28" s="12">
        <v>21</v>
      </c>
    </row>
    <row r="29" spans="1:16" x14ac:dyDescent="0.25">
      <c r="A29" s="12" t="s">
        <v>18</v>
      </c>
      <c r="B29" s="36" t="s">
        <v>415</v>
      </c>
      <c r="C29" s="12">
        <f t="shared" si="0"/>
        <v>22</v>
      </c>
      <c r="D29" s="12">
        <v>1</v>
      </c>
      <c r="E29" s="12"/>
      <c r="F29" s="12"/>
      <c r="G29" s="12" t="s">
        <v>4020</v>
      </c>
      <c r="H29" s="12" t="s">
        <v>4029</v>
      </c>
      <c r="I29" s="12">
        <v>131</v>
      </c>
      <c r="J29" s="12">
        <v>5113</v>
      </c>
      <c r="K29" s="12" t="s">
        <v>20</v>
      </c>
      <c r="L29" s="12">
        <v>1</v>
      </c>
      <c r="M29" s="17">
        <v>10967741</v>
      </c>
      <c r="N29" s="17">
        <f t="shared" si="1"/>
        <v>10967741</v>
      </c>
      <c r="O29" s="12"/>
      <c r="P29" s="12">
        <v>22</v>
      </c>
    </row>
    <row r="30" spans="1:16" x14ac:dyDescent="0.25">
      <c r="A30" s="12" t="s">
        <v>18</v>
      </c>
      <c r="B30" s="36" t="s">
        <v>415</v>
      </c>
      <c r="C30" s="12">
        <f t="shared" si="0"/>
        <v>22</v>
      </c>
      <c r="D30" s="12">
        <v>0</v>
      </c>
      <c r="E30" s="12"/>
      <c r="F30" s="12"/>
      <c r="G30" s="12" t="s">
        <v>4020</v>
      </c>
      <c r="H30" s="12" t="s">
        <v>4068</v>
      </c>
      <c r="I30" s="12">
        <v>333821</v>
      </c>
      <c r="J30" s="12">
        <v>131</v>
      </c>
      <c r="K30" s="12" t="s">
        <v>20</v>
      </c>
      <c r="L30" s="12">
        <v>1</v>
      </c>
      <c r="M30" s="17">
        <v>109677</v>
      </c>
      <c r="N30" s="17">
        <f t="shared" si="1"/>
        <v>109677</v>
      </c>
      <c r="O30" s="12"/>
      <c r="P30" s="12">
        <v>22</v>
      </c>
    </row>
    <row r="31" spans="1:16" x14ac:dyDescent="0.25">
      <c r="A31" s="12" t="s">
        <v>18</v>
      </c>
      <c r="B31" s="36" t="s">
        <v>292</v>
      </c>
      <c r="C31" s="12">
        <f t="shared" si="0"/>
        <v>23</v>
      </c>
      <c r="D31" s="12">
        <v>1</v>
      </c>
      <c r="E31" s="12"/>
      <c r="F31" s="12"/>
      <c r="G31" s="12" t="s">
        <v>113</v>
      </c>
      <c r="H31" s="12" t="s">
        <v>4030</v>
      </c>
      <c r="I31" s="12">
        <v>131</v>
      </c>
      <c r="J31" s="12">
        <v>5113</v>
      </c>
      <c r="K31" s="12" t="s">
        <v>20</v>
      </c>
      <c r="L31" s="12">
        <v>1</v>
      </c>
      <c r="M31" s="17">
        <v>28351613</v>
      </c>
      <c r="N31" s="17">
        <f t="shared" si="1"/>
        <v>28351613</v>
      </c>
      <c r="O31" s="12"/>
      <c r="P31" s="12">
        <v>23</v>
      </c>
    </row>
    <row r="32" spans="1:16" x14ac:dyDescent="0.25">
      <c r="A32" s="12" t="s">
        <v>18</v>
      </c>
      <c r="B32" s="36" t="s">
        <v>292</v>
      </c>
      <c r="C32" s="12">
        <f t="shared" si="0"/>
        <v>23</v>
      </c>
      <c r="D32" s="12">
        <v>0</v>
      </c>
      <c r="E32" s="12"/>
      <c r="F32" s="12"/>
      <c r="G32" s="12" t="s">
        <v>113</v>
      </c>
      <c r="H32" s="12" t="s">
        <v>4069</v>
      </c>
      <c r="I32" s="12">
        <v>333821</v>
      </c>
      <c r="J32" s="12">
        <v>131</v>
      </c>
      <c r="K32" s="12" t="s">
        <v>20</v>
      </c>
      <c r="L32" s="12">
        <v>1</v>
      </c>
      <c r="M32" s="17">
        <v>283516</v>
      </c>
      <c r="N32" s="17">
        <f t="shared" si="1"/>
        <v>283516</v>
      </c>
      <c r="O32" s="12"/>
      <c r="P32" s="12">
        <v>23</v>
      </c>
    </row>
    <row r="33" spans="1:16" x14ac:dyDescent="0.25">
      <c r="A33" s="12" t="s">
        <v>18</v>
      </c>
      <c r="B33" s="36" t="s">
        <v>470</v>
      </c>
      <c r="C33" s="12">
        <f t="shared" si="0"/>
        <v>24</v>
      </c>
      <c r="D33" s="12">
        <v>1</v>
      </c>
      <c r="E33" s="12"/>
      <c r="F33" s="12"/>
      <c r="G33" s="12" t="s">
        <v>1360</v>
      </c>
      <c r="H33" s="12" t="s">
        <v>4031</v>
      </c>
      <c r="I33" s="12">
        <v>131</v>
      </c>
      <c r="J33" s="12">
        <v>5113</v>
      </c>
      <c r="K33" s="12" t="s">
        <v>20</v>
      </c>
      <c r="L33" s="12">
        <v>1</v>
      </c>
      <c r="M33" s="17">
        <v>156903226</v>
      </c>
      <c r="N33" s="17">
        <f t="shared" si="1"/>
        <v>156903226</v>
      </c>
      <c r="O33" s="12"/>
      <c r="P33" s="12">
        <v>24</v>
      </c>
    </row>
    <row r="34" spans="1:16" x14ac:dyDescent="0.25">
      <c r="A34" s="12" t="s">
        <v>18</v>
      </c>
      <c r="B34" s="36" t="s">
        <v>470</v>
      </c>
      <c r="C34" s="12">
        <f t="shared" si="0"/>
        <v>24</v>
      </c>
      <c r="D34" s="12">
        <v>0</v>
      </c>
      <c r="E34" s="12"/>
      <c r="F34" s="12"/>
      <c r="G34" s="12" t="s">
        <v>1360</v>
      </c>
      <c r="H34" s="12" t="s">
        <v>4070</v>
      </c>
      <c r="I34" s="12">
        <v>333821</v>
      </c>
      <c r="J34" s="12">
        <v>131</v>
      </c>
      <c r="K34" s="12" t="s">
        <v>20</v>
      </c>
      <c r="L34" s="12">
        <v>1</v>
      </c>
      <c r="M34" s="17">
        <v>1569032</v>
      </c>
      <c r="N34" s="17">
        <f t="shared" si="1"/>
        <v>1569032</v>
      </c>
      <c r="O34" s="12"/>
      <c r="P34" s="12">
        <v>24</v>
      </c>
    </row>
    <row r="35" spans="1:16" x14ac:dyDescent="0.25">
      <c r="A35" s="12" t="s">
        <v>18</v>
      </c>
      <c r="B35" s="36" t="s">
        <v>378</v>
      </c>
      <c r="C35" s="12">
        <f t="shared" si="0"/>
        <v>25</v>
      </c>
      <c r="D35" s="12">
        <v>1</v>
      </c>
      <c r="E35" s="12"/>
      <c r="F35" s="12"/>
      <c r="G35" s="12" t="s">
        <v>4021</v>
      </c>
      <c r="H35" s="12" t="s">
        <v>4032</v>
      </c>
      <c r="I35" s="12">
        <v>131</v>
      </c>
      <c r="J35" s="12">
        <v>5113</v>
      </c>
      <c r="K35" s="12" t="s">
        <v>20</v>
      </c>
      <c r="L35" s="12">
        <v>1</v>
      </c>
      <c r="M35" s="17">
        <v>45959596</v>
      </c>
      <c r="N35" s="17">
        <f t="shared" si="1"/>
        <v>45959596</v>
      </c>
      <c r="O35" s="12"/>
      <c r="P35" s="12">
        <v>25</v>
      </c>
    </row>
    <row r="36" spans="1:16" x14ac:dyDescent="0.25">
      <c r="A36" s="12" t="s">
        <v>18</v>
      </c>
      <c r="B36" s="36" t="s">
        <v>378</v>
      </c>
      <c r="C36" s="12">
        <f t="shared" ref="C36:C67" si="2">C35+D36</f>
        <v>25</v>
      </c>
      <c r="D36" s="12">
        <v>0</v>
      </c>
      <c r="E36" s="12"/>
      <c r="F36" s="12"/>
      <c r="G36" s="12" t="s">
        <v>4021</v>
      </c>
      <c r="H36" s="12" t="s">
        <v>4071</v>
      </c>
      <c r="I36" s="12">
        <v>333821</v>
      </c>
      <c r="J36" s="12">
        <v>131</v>
      </c>
      <c r="K36" s="12" t="s">
        <v>20</v>
      </c>
      <c r="L36" s="12">
        <v>1</v>
      </c>
      <c r="M36" s="17">
        <v>459596</v>
      </c>
      <c r="N36" s="17">
        <f t="shared" ref="N36:N67" si="3">L36*M36</f>
        <v>459596</v>
      </c>
      <c r="O36" s="12"/>
      <c r="P36" s="12">
        <v>25</v>
      </c>
    </row>
    <row r="37" spans="1:16" x14ac:dyDescent="0.25">
      <c r="A37" s="12" t="s">
        <v>18</v>
      </c>
      <c r="B37" s="36" t="s">
        <v>378</v>
      </c>
      <c r="C37" s="12">
        <f t="shared" si="2"/>
        <v>26</v>
      </c>
      <c r="D37" s="12">
        <v>1</v>
      </c>
      <c r="E37" s="12"/>
      <c r="F37" s="12"/>
      <c r="G37" s="12" t="s">
        <v>4021</v>
      </c>
      <c r="H37" s="12" t="s">
        <v>4033</v>
      </c>
      <c r="I37" s="12">
        <v>131</v>
      </c>
      <c r="J37" s="12">
        <v>5113</v>
      </c>
      <c r="K37" s="12" t="s">
        <v>20</v>
      </c>
      <c r="L37" s="12">
        <v>1</v>
      </c>
      <c r="M37" s="17">
        <v>36311434</v>
      </c>
      <c r="N37" s="17">
        <f t="shared" si="3"/>
        <v>36311434</v>
      </c>
      <c r="O37" s="12"/>
      <c r="P37" s="12">
        <v>26</v>
      </c>
    </row>
    <row r="38" spans="1:16" x14ac:dyDescent="0.25">
      <c r="A38" s="12" t="s">
        <v>18</v>
      </c>
      <c r="B38" s="36" t="s">
        <v>378</v>
      </c>
      <c r="C38" s="12">
        <f t="shared" si="2"/>
        <v>26</v>
      </c>
      <c r="D38" s="12">
        <v>0</v>
      </c>
      <c r="E38" s="12"/>
      <c r="F38" s="12"/>
      <c r="G38" s="12" t="s">
        <v>4021</v>
      </c>
      <c r="H38" s="12" t="s">
        <v>4072</v>
      </c>
      <c r="I38" s="12">
        <v>333821</v>
      </c>
      <c r="J38" s="12">
        <v>131</v>
      </c>
      <c r="K38" s="12" t="s">
        <v>20</v>
      </c>
      <c r="L38" s="12">
        <v>1</v>
      </c>
      <c r="M38" s="17">
        <v>363114</v>
      </c>
      <c r="N38" s="17">
        <f t="shared" si="3"/>
        <v>363114</v>
      </c>
      <c r="O38" s="12"/>
      <c r="P38" s="12">
        <v>26</v>
      </c>
    </row>
    <row r="39" spans="1:16" x14ac:dyDescent="0.25">
      <c r="A39" s="12" t="s">
        <v>18</v>
      </c>
      <c r="B39" s="36" t="s">
        <v>378</v>
      </c>
      <c r="C39" s="12">
        <f t="shared" si="2"/>
        <v>27</v>
      </c>
      <c r="D39" s="12">
        <v>1</v>
      </c>
      <c r="E39" s="12"/>
      <c r="F39" s="12"/>
      <c r="G39" s="12" t="s">
        <v>4020</v>
      </c>
      <c r="H39" s="12" t="s">
        <v>4034</v>
      </c>
      <c r="I39" s="12">
        <v>131</v>
      </c>
      <c r="J39" s="12">
        <v>5113</v>
      </c>
      <c r="K39" s="12" t="s">
        <v>20</v>
      </c>
      <c r="L39" s="12">
        <v>1</v>
      </c>
      <c r="M39" s="17">
        <v>10967742</v>
      </c>
      <c r="N39" s="17">
        <f t="shared" si="3"/>
        <v>10967742</v>
      </c>
      <c r="O39" s="12"/>
      <c r="P39" s="12">
        <v>27</v>
      </c>
    </row>
    <row r="40" spans="1:16" x14ac:dyDescent="0.25">
      <c r="A40" s="12" t="s">
        <v>18</v>
      </c>
      <c r="B40" s="36" t="s">
        <v>378</v>
      </c>
      <c r="C40" s="12">
        <f t="shared" si="2"/>
        <v>27</v>
      </c>
      <c r="D40" s="12">
        <v>0</v>
      </c>
      <c r="E40" s="12"/>
      <c r="F40" s="12"/>
      <c r="G40" s="12" t="s">
        <v>4020</v>
      </c>
      <c r="H40" s="12" t="s">
        <v>4073</v>
      </c>
      <c r="I40" s="12">
        <v>333821</v>
      </c>
      <c r="J40" s="12">
        <v>131</v>
      </c>
      <c r="K40" s="12" t="s">
        <v>20</v>
      </c>
      <c r="L40" s="12">
        <v>1</v>
      </c>
      <c r="M40" s="17">
        <v>109677</v>
      </c>
      <c r="N40" s="17">
        <f t="shared" si="3"/>
        <v>109677</v>
      </c>
      <c r="O40" s="12"/>
      <c r="P40" s="12">
        <v>27</v>
      </c>
    </row>
    <row r="41" spans="1:16" x14ac:dyDescent="0.25">
      <c r="A41" s="12" t="s">
        <v>18</v>
      </c>
      <c r="B41" s="36" t="s">
        <v>378</v>
      </c>
      <c r="C41" s="12">
        <f t="shared" si="2"/>
        <v>28</v>
      </c>
      <c r="D41" s="12">
        <v>1</v>
      </c>
      <c r="E41" s="12"/>
      <c r="F41" s="12"/>
      <c r="G41" s="12" t="s">
        <v>4020</v>
      </c>
      <c r="H41" s="12" t="s">
        <v>4035</v>
      </c>
      <c r="I41" s="12">
        <v>131</v>
      </c>
      <c r="J41" s="12">
        <v>5113</v>
      </c>
      <c r="K41" s="12" t="s">
        <v>20</v>
      </c>
      <c r="L41" s="12">
        <v>1</v>
      </c>
      <c r="M41" s="17">
        <v>-10967741</v>
      </c>
      <c r="N41" s="17">
        <f t="shared" si="3"/>
        <v>-10967741</v>
      </c>
      <c r="O41" s="12"/>
      <c r="P41" s="12">
        <v>28</v>
      </c>
    </row>
    <row r="42" spans="1:16" x14ac:dyDescent="0.25">
      <c r="A42" s="12" t="s">
        <v>18</v>
      </c>
      <c r="B42" s="36" t="s">
        <v>378</v>
      </c>
      <c r="C42" s="12">
        <f t="shared" si="2"/>
        <v>28</v>
      </c>
      <c r="D42" s="12">
        <v>0</v>
      </c>
      <c r="E42" s="12"/>
      <c r="F42" s="12"/>
      <c r="G42" s="12" t="s">
        <v>4020</v>
      </c>
      <c r="H42" s="12" t="s">
        <v>4074</v>
      </c>
      <c r="I42" s="12">
        <v>333821</v>
      </c>
      <c r="J42" s="12">
        <v>131</v>
      </c>
      <c r="K42" s="12" t="s">
        <v>20</v>
      </c>
      <c r="L42" s="12">
        <v>1</v>
      </c>
      <c r="M42" s="17">
        <v>0</v>
      </c>
      <c r="N42" s="17">
        <f t="shared" si="3"/>
        <v>0</v>
      </c>
      <c r="O42" s="12"/>
      <c r="P42" s="12">
        <v>28</v>
      </c>
    </row>
    <row r="43" spans="1:16" x14ac:dyDescent="0.25">
      <c r="A43" s="12" t="s">
        <v>18</v>
      </c>
      <c r="B43" s="36" t="s">
        <v>416</v>
      </c>
      <c r="C43" s="12">
        <f t="shared" si="2"/>
        <v>29</v>
      </c>
      <c r="D43" s="12">
        <v>1</v>
      </c>
      <c r="E43" s="12"/>
      <c r="F43" s="12"/>
      <c r="G43" s="12" t="s">
        <v>539</v>
      </c>
      <c r="H43" s="12" t="s">
        <v>4036</v>
      </c>
      <c r="I43" s="12">
        <v>131</v>
      </c>
      <c r="J43" s="12">
        <v>5113</v>
      </c>
      <c r="K43" s="12" t="s">
        <v>20</v>
      </c>
      <c r="L43" s="12">
        <v>1</v>
      </c>
      <c r="M43" s="17">
        <v>12903226</v>
      </c>
      <c r="N43" s="17">
        <f t="shared" si="3"/>
        <v>12903226</v>
      </c>
      <c r="O43" s="12"/>
      <c r="P43" s="12">
        <v>29</v>
      </c>
    </row>
    <row r="44" spans="1:16" x14ac:dyDescent="0.25">
      <c r="A44" s="12" t="s">
        <v>18</v>
      </c>
      <c r="B44" s="36" t="s">
        <v>416</v>
      </c>
      <c r="C44" s="12">
        <f t="shared" si="2"/>
        <v>29</v>
      </c>
      <c r="D44" s="12">
        <v>0</v>
      </c>
      <c r="E44" s="12"/>
      <c r="F44" s="12"/>
      <c r="G44" s="12" t="s">
        <v>539</v>
      </c>
      <c r="H44" s="12" t="s">
        <v>4075</v>
      </c>
      <c r="I44" s="12">
        <v>333821</v>
      </c>
      <c r="J44" s="12">
        <v>131</v>
      </c>
      <c r="K44" s="12" t="s">
        <v>20</v>
      </c>
      <c r="L44" s="12">
        <v>1</v>
      </c>
      <c r="M44" s="17">
        <v>129032</v>
      </c>
      <c r="N44" s="17">
        <f t="shared" si="3"/>
        <v>129032</v>
      </c>
      <c r="O44" s="12"/>
      <c r="P44" s="12">
        <v>29</v>
      </c>
    </row>
    <row r="45" spans="1:16" x14ac:dyDescent="0.25">
      <c r="A45" s="12" t="s">
        <v>18</v>
      </c>
      <c r="B45" s="36" t="s">
        <v>418</v>
      </c>
      <c r="C45" s="12">
        <f t="shared" si="2"/>
        <v>30</v>
      </c>
      <c r="D45" s="12">
        <v>1</v>
      </c>
      <c r="E45" s="12"/>
      <c r="F45" s="12"/>
      <c r="G45" s="12" t="s">
        <v>1891</v>
      </c>
      <c r="H45" s="12" t="s">
        <v>4037</v>
      </c>
      <c r="I45" s="12">
        <v>131</v>
      </c>
      <c r="J45" s="12">
        <v>5113</v>
      </c>
      <c r="K45" s="12" t="s">
        <v>20</v>
      </c>
      <c r="L45" s="12">
        <v>1</v>
      </c>
      <c r="M45" s="17">
        <v>28374194</v>
      </c>
      <c r="N45" s="17">
        <f t="shared" si="3"/>
        <v>28374194</v>
      </c>
      <c r="O45" s="12"/>
      <c r="P45" s="12">
        <v>30</v>
      </c>
    </row>
    <row r="46" spans="1:16" x14ac:dyDescent="0.25">
      <c r="A46" s="12" t="s">
        <v>18</v>
      </c>
      <c r="B46" s="36" t="s">
        <v>418</v>
      </c>
      <c r="C46" s="12">
        <f t="shared" si="2"/>
        <v>30</v>
      </c>
      <c r="D46" s="12">
        <v>0</v>
      </c>
      <c r="E46" s="12"/>
      <c r="F46" s="12"/>
      <c r="G46" s="12" t="s">
        <v>1891</v>
      </c>
      <c r="H46" s="12" t="s">
        <v>4076</v>
      </c>
      <c r="I46" s="12">
        <v>333821</v>
      </c>
      <c r="J46" s="12">
        <v>131</v>
      </c>
      <c r="K46" s="12" t="s">
        <v>20</v>
      </c>
      <c r="L46" s="12">
        <v>1</v>
      </c>
      <c r="M46" s="17">
        <v>283742</v>
      </c>
      <c r="N46" s="17">
        <f t="shared" si="3"/>
        <v>283742</v>
      </c>
      <c r="O46" s="12"/>
      <c r="P46" s="12">
        <v>30</v>
      </c>
    </row>
    <row r="47" spans="1:16" x14ac:dyDescent="0.25">
      <c r="A47" s="12" t="s">
        <v>18</v>
      </c>
      <c r="B47" s="36" t="s">
        <v>319</v>
      </c>
      <c r="C47" s="12">
        <f t="shared" si="2"/>
        <v>31</v>
      </c>
      <c r="D47" s="12">
        <v>1</v>
      </c>
      <c r="E47" s="12"/>
      <c r="F47" s="12"/>
      <c r="G47" s="12" t="s">
        <v>4022</v>
      </c>
      <c r="H47" s="12" t="s">
        <v>4038</v>
      </c>
      <c r="I47" s="12">
        <v>131</v>
      </c>
      <c r="J47" s="12">
        <v>5113</v>
      </c>
      <c r="K47" s="12" t="s">
        <v>20</v>
      </c>
      <c r="L47" s="12">
        <v>1</v>
      </c>
      <c r="M47" s="17">
        <v>12903223</v>
      </c>
      <c r="N47" s="17">
        <f t="shared" si="3"/>
        <v>12903223</v>
      </c>
      <c r="O47" s="12"/>
      <c r="P47" s="12">
        <v>31</v>
      </c>
    </row>
    <row r="48" spans="1:16" x14ac:dyDescent="0.25">
      <c r="A48" s="12" t="s">
        <v>18</v>
      </c>
      <c r="B48" s="36" t="s">
        <v>319</v>
      </c>
      <c r="C48" s="12">
        <f t="shared" si="2"/>
        <v>31</v>
      </c>
      <c r="D48" s="12">
        <v>0</v>
      </c>
      <c r="E48" s="12"/>
      <c r="F48" s="12"/>
      <c r="G48" s="12" t="s">
        <v>4022</v>
      </c>
      <c r="H48" s="12" t="s">
        <v>4077</v>
      </c>
      <c r="I48" s="12">
        <v>333821</v>
      </c>
      <c r="J48" s="12">
        <v>131</v>
      </c>
      <c r="K48" s="12" t="s">
        <v>20</v>
      </c>
      <c r="L48" s="12">
        <v>1</v>
      </c>
      <c r="M48" s="17">
        <v>129032</v>
      </c>
      <c r="N48" s="17">
        <f t="shared" si="3"/>
        <v>129032</v>
      </c>
      <c r="O48" s="12"/>
      <c r="P48" s="12">
        <v>31</v>
      </c>
    </row>
    <row r="49" spans="1:16" x14ac:dyDescent="0.25">
      <c r="A49" s="12" t="s">
        <v>18</v>
      </c>
      <c r="B49" s="36" t="s">
        <v>319</v>
      </c>
      <c r="C49" s="12">
        <f t="shared" si="2"/>
        <v>32</v>
      </c>
      <c r="D49" s="12">
        <v>1</v>
      </c>
      <c r="E49" s="12"/>
      <c r="F49" s="12"/>
      <c r="G49" s="12" t="s">
        <v>4023</v>
      </c>
      <c r="H49" s="12" t="s">
        <v>4039</v>
      </c>
      <c r="I49" s="12">
        <v>131</v>
      </c>
      <c r="J49" s="12">
        <v>5113</v>
      </c>
      <c r="K49" s="12" t="s">
        <v>20</v>
      </c>
      <c r="L49" s="12">
        <v>1</v>
      </c>
      <c r="M49" s="17">
        <v>21935484</v>
      </c>
      <c r="N49" s="17">
        <f t="shared" si="3"/>
        <v>21935484</v>
      </c>
      <c r="O49" s="12"/>
      <c r="P49" s="12">
        <v>32</v>
      </c>
    </row>
    <row r="50" spans="1:16" x14ac:dyDescent="0.25">
      <c r="A50" s="12" t="s">
        <v>18</v>
      </c>
      <c r="B50" s="36" t="s">
        <v>319</v>
      </c>
      <c r="C50" s="12">
        <f t="shared" si="2"/>
        <v>32</v>
      </c>
      <c r="D50" s="12">
        <v>0</v>
      </c>
      <c r="E50" s="12"/>
      <c r="F50" s="12"/>
      <c r="G50" s="12" t="s">
        <v>4023</v>
      </c>
      <c r="H50" s="12" t="s">
        <v>4078</v>
      </c>
      <c r="I50" s="12">
        <v>333821</v>
      </c>
      <c r="J50" s="12">
        <v>131</v>
      </c>
      <c r="K50" s="12" t="s">
        <v>20</v>
      </c>
      <c r="L50" s="12">
        <v>1</v>
      </c>
      <c r="M50" s="17">
        <v>219355</v>
      </c>
      <c r="N50" s="17">
        <f t="shared" si="3"/>
        <v>219355</v>
      </c>
      <c r="O50" s="12"/>
      <c r="P50" s="12">
        <v>32</v>
      </c>
    </row>
    <row r="51" spans="1:16" x14ac:dyDescent="0.25">
      <c r="A51" s="12" t="s">
        <v>18</v>
      </c>
      <c r="B51" s="36" t="s">
        <v>522</v>
      </c>
      <c r="C51" s="12">
        <f t="shared" si="2"/>
        <v>33</v>
      </c>
      <c r="D51" s="12">
        <v>1</v>
      </c>
      <c r="E51" s="12"/>
      <c r="F51" s="12"/>
      <c r="G51" s="12" t="s">
        <v>80</v>
      </c>
      <c r="H51" s="12" t="s">
        <v>4040</v>
      </c>
      <c r="I51" s="12">
        <v>131</v>
      </c>
      <c r="J51" s="12">
        <v>5113</v>
      </c>
      <c r="K51" s="12" t="s">
        <v>20</v>
      </c>
      <c r="L51" s="12">
        <v>1</v>
      </c>
      <c r="M51" s="17">
        <v>38709677</v>
      </c>
      <c r="N51" s="17">
        <f t="shared" si="3"/>
        <v>38709677</v>
      </c>
      <c r="O51" s="12"/>
      <c r="P51" s="12">
        <v>33</v>
      </c>
    </row>
    <row r="52" spans="1:16" x14ac:dyDescent="0.25">
      <c r="A52" s="12" t="s">
        <v>18</v>
      </c>
      <c r="B52" s="36" t="s">
        <v>522</v>
      </c>
      <c r="C52" s="12">
        <f t="shared" si="2"/>
        <v>33</v>
      </c>
      <c r="D52" s="12">
        <v>0</v>
      </c>
      <c r="E52" s="12"/>
      <c r="F52" s="12"/>
      <c r="G52" s="12" t="s">
        <v>80</v>
      </c>
      <c r="H52" s="12" t="s">
        <v>4079</v>
      </c>
      <c r="I52" s="12">
        <v>333821</v>
      </c>
      <c r="J52" s="12">
        <v>131</v>
      </c>
      <c r="K52" s="12" t="s">
        <v>20</v>
      </c>
      <c r="L52" s="12">
        <v>1</v>
      </c>
      <c r="M52" s="17">
        <v>387097</v>
      </c>
      <c r="N52" s="17">
        <f t="shared" si="3"/>
        <v>387097</v>
      </c>
      <c r="O52" s="12"/>
      <c r="P52" s="12">
        <v>33</v>
      </c>
    </row>
    <row r="53" spans="1:16" x14ac:dyDescent="0.25">
      <c r="A53" s="12" t="s">
        <v>18</v>
      </c>
      <c r="B53" s="36" t="s">
        <v>453</v>
      </c>
      <c r="C53" s="12">
        <f t="shared" si="2"/>
        <v>34</v>
      </c>
      <c r="D53" s="12">
        <v>1</v>
      </c>
      <c r="E53" s="12"/>
      <c r="F53" s="12"/>
      <c r="G53" s="12" t="s">
        <v>1362</v>
      </c>
      <c r="H53" s="12" t="s">
        <v>4041</v>
      </c>
      <c r="I53" s="12">
        <v>131</v>
      </c>
      <c r="J53" s="12">
        <v>5113</v>
      </c>
      <c r="K53" s="12" t="s">
        <v>20</v>
      </c>
      <c r="L53" s="12">
        <v>1</v>
      </c>
      <c r="M53" s="17">
        <v>26881720</v>
      </c>
      <c r="N53" s="17">
        <f t="shared" si="3"/>
        <v>26881720</v>
      </c>
      <c r="O53" s="12"/>
      <c r="P53" s="12">
        <v>34</v>
      </c>
    </row>
    <row r="54" spans="1:16" x14ac:dyDescent="0.25">
      <c r="A54" s="12" t="s">
        <v>18</v>
      </c>
      <c r="B54" s="36" t="s">
        <v>453</v>
      </c>
      <c r="C54" s="12">
        <f t="shared" si="2"/>
        <v>34</v>
      </c>
      <c r="D54" s="12">
        <v>0</v>
      </c>
      <c r="E54" s="12"/>
      <c r="F54" s="12"/>
      <c r="G54" s="12" t="s">
        <v>1362</v>
      </c>
      <c r="H54" s="12" t="s">
        <v>4080</v>
      </c>
      <c r="I54" s="12">
        <v>333821</v>
      </c>
      <c r="J54" s="12">
        <v>131</v>
      </c>
      <c r="K54" s="12" t="s">
        <v>20</v>
      </c>
      <c r="L54" s="12">
        <v>1</v>
      </c>
      <c r="M54" s="17">
        <v>268817</v>
      </c>
      <c r="N54" s="17">
        <f t="shared" si="3"/>
        <v>268817</v>
      </c>
      <c r="O54" s="12"/>
      <c r="P54" s="12">
        <v>34</v>
      </c>
    </row>
    <row r="55" spans="1:16" x14ac:dyDescent="0.25">
      <c r="A55" s="12" t="s">
        <v>18</v>
      </c>
      <c r="B55" s="36" t="s">
        <v>524</v>
      </c>
      <c r="C55" s="12">
        <f t="shared" si="2"/>
        <v>35</v>
      </c>
      <c r="D55" s="12">
        <v>1</v>
      </c>
      <c r="E55" s="12"/>
      <c r="F55" s="12"/>
      <c r="G55" s="12" t="s">
        <v>1891</v>
      </c>
      <c r="H55" s="12" t="s">
        <v>4042</v>
      </c>
      <c r="I55" s="12">
        <v>131</v>
      </c>
      <c r="J55" s="12">
        <v>5113</v>
      </c>
      <c r="K55" s="12" t="s">
        <v>20</v>
      </c>
      <c r="L55" s="12">
        <v>1</v>
      </c>
      <c r="M55" s="17">
        <v>86021505</v>
      </c>
      <c r="N55" s="17">
        <f t="shared" si="3"/>
        <v>86021505</v>
      </c>
      <c r="O55" s="12"/>
      <c r="P55" s="12">
        <v>35</v>
      </c>
    </row>
    <row r="56" spans="1:16" x14ac:dyDescent="0.25">
      <c r="A56" s="12" t="s">
        <v>18</v>
      </c>
      <c r="B56" s="36" t="s">
        <v>524</v>
      </c>
      <c r="C56" s="12">
        <f t="shared" si="2"/>
        <v>35</v>
      </c>
      <c r="D56" s="12">
        <v>0</v>
      </c>
      <c r="E56" s="12"/>
      <c r="F56" s="12"/>
      <c r="G56" s="12" t="s">
        <v>1891</v>
      </c>
      <c r="H56" s="12" t="s">
        <v>4081</v>
      </c>
      <c r="I56" s="12">
        <v>333821</v>
      </c>
      <c r="J56" s="12">
        <v>131</v>
      </c>
      <c r="K56" s="12" t="s">
        <v>20</v>
      </c>
      <c r="L56" s="12">
        <v>1</v>
      </c>
      <c r="M56" s="17">
        <v>860215</v>
      </c>
      <c r="N56" s="17">
        <f t="shared" si="3"/>
        <v>860215</v>
      </c>
      <c r="O56" s="12"/>
      <c r="P56" s="12">
        <v>35</v>
      </c>
    </row>
    <row r="57" spans="1:16" x14ac:dyDescent="0.25">
      <c r="A57" s="12" t="s">
        <v>18</v>
      </c>
      <c r="B57" s="36" t="s">
        <v>524</v>
      </c>
      <c r="C57" s="12">
        <f t="shared" si="2"/>
        <v>36</v>
      </c>
      <c r="D57" s="12">
        <v>1</v>
      </c>
      <c r="E57" s="12"/>
      <c r="F57" s="12"/>
      <c r="G57" s="12" t="s">
        <v>1727</v>
      </c>
      <c r="H57" s="12" t="s">
        <v>4043</v>
      </c>
      <c r="I57" s="12">
        <v>131</v>
      </c>
      <c r="J57" s="12">
        <v>5113</v>
      </c>
      <c r="K57" s="12" t="s">
        <v>20</v>
      </c>
      <c r="L57" s="12">
        <v>1</v>
      </c>
      <c r="M57" s="17">
        <v>21935484</v>
      </c>
      <c r="N57" s="17">
        <f t="shared" si="3"/>
        <v>21935484</v>
      </c>
      <c r="O57" s="12"/>
      <c r="P57" s="12">
        <v>36</v>
      </c>
    </row>
    <row r="58" spans="1:16" x14ac:dyDescent="0.25">
      <c r="A58" s="12" t="s">
        <v>18</v>
      </c>
      <c r="B58" s="36" t="s">
        <v>524</v>
      </c>
      <c r="C58" s="12">
        <f t="shared" si="2"/>
        <v>36</v>
      </c>
      <c r="D58" s="12">
        <v>0</v>
      </c>
      <c r="E58" s="12"/>
      <c r="F58" s="12"/>
      <c r="G58" s="12" t="s">
        <v>1727</v>
      </c>
      <c r="H58" s="12" t="s">
        <v>4082</v>
      </c>
      <c r="I58" s="12">
        <v>333821</v>
      </c>
      <c r="J58" s="12">
        <v>131</v>
      </c>
      <c r="K58" s="12" t="s">
        <v>20</v>
      </c>
      <c r="L58" s="12">
        <v>1</v>
      </c>
      <c r="M58" s="17">
        <v>219355</v>
      </c>
      <c r="N58" s="17">
        <f t="shared" si="3"/>
        <v>219355</v>
      </c>
      <c r="O58" s="12"/>
      <c r="P58" s="12">
        <v>36</v>
      </c>
    </row>
    <row r="59" spans="1:16" x14ac:dyDescent="0.25">
      <c r="A59" s="12" t="s">
        <v>18</v>
      </c>
      <c r="B59" s="36" t="s">
        <v>515</v>
      </c>
      <c r="C59" s="12">
        <f t="shared" si="2"/>
        <v>37</v>
      </c>
      <c r="D59" s="12">
        <v>1</v>
      </c>
      <c r="E59" s="12"/>
      <c r="F59" s="12"/>
      <c r="G59" s="12" t="s">
        <v>1891</v>
      </c>
      <c r="H59" s="12" t="s">
        <v>4044</v>
      </c>
      <c r="I59" s="12">
        <v>131</v>
      </c>
      <c r="J59" s="12">
        <v>5113</v>
      </c>
      <c r="K59" s="12" t="s">
        <v>20</v>
      </c>
      <c r="L59" s="12">
        <v>1</v>
      </c>
      <c r="M59" s="17">
        <v>21935484</v>
      </c>
      <c r="N59" s="17">
        <f t="shared" si="3"/>
        <v>21935484</v>
      </c>
      <c r="O59" s="12"/>
      <c r="P59" s="12">
        <v>37</v>
      </c>
    </row>
    <row r="60" spans="1:16" x14ac:dyDescent="0.25">
      <c r="A60" s="12" t="s">
        <v>18</v>
      </c>
      <c r="B60" s="36" t="s">
        <v>515</v>
      </c>
      <c r="C60" s="12">
        <f t="shared" si="2"/>
        <v>37</v>
      </c>
      <c r="D60" s="12">
        <v>0</v>
      </c>
      <c r="E60" s="12"/>
      <c r="F60" s="12"/>
      <c r="G60" s="12" t="s">
        <v>1891</v>
      </c>
      <c r="H60" s="12" t="s">
        <v>4083</v>
      </c>
      <c r="I60" s="12">
        <v>333821</v>
      </c>
      <c r="J60" s="12">
        <v>131</v>
      </c>
      <c r="K60" s="12" t="s">
        <v>20</v>
      </c>
      <c r="L60" s="12">
        <v>1</v>
      </c>
      <c r="M60" s="17">
        <v>219355</v>
      </c>
      <c r="N60" s="17">
        <f t="shared" si="3"/>
        <v>219355</v>
      </c>
      <c r="O60" s="12"/>
      <c r="P60" s="12">
        <v>37</v>
      </c>
    </row>
    <row r="61" spans="1:16" x14ac:dyDescent="0.25">
      <c r="A61" s="12" t="s">
        <v>18</v>
      </c>
      <c r="B61" s="36" t="s">
        <v>589</v>
      </c>
      <c r="C61" s="12">
        <f t="shared" si="2"/>
        <v>38</v>
      </c>
      <c r="D61" s="12">
        <v>1</v>
      </c>
      <c r="E61" s="12"/>
      <c r="F61" s="12"/>
      <c r="G61" s="12" t="s">
        <v>58</v>
      </c>
      <c r="H61" s="12" t="s">
        <v>4045</v>
      </c>
      <c r="I61" s="12">
        <v>131</v>
      </c>
      <c r="J61" s="12">
        <v>5113</v>
      </c>
      <c r="K61" s="12" t="s">
        <v>20</v>
      </c>
      <c r="L61" s="12">
        <v>1</v>
      </c>
      <c r="M61" s="17">
        <v>21935484</v>
      </c>
      <c r="N61" s="17">
        <f t="shared" si="3"/>
        <v>21935484</v>
      </c>
      <c r="O61" s="12"/>
      <c r="P61" s="12">
        <v>38</v>
      </c>
    </row>
    <row r="62" spans="1:16" x14ac:dyDescent="0.25">
      <c r="A62" s="12" t="s">
        <v>18</v>
      </c>
      <c r="B62" s="36" t="s">
        <v>589</v>
      </c>
      <c r="C62" s="12">
        <f t="shared" si="2"/>
        <v>38</v>
      </c>
      <c r="D62" s="12">
        <v>0</v>
      </c>
      <c r="E62" s="12"/>
      <c r="F62" s="12"/>
      <c r="G62" s="12" t="s">
        <v>58</v>
      </c>
      <c r="H62" s="12" t="s">
        <v>4084</v>
      </c>
      <c r="I62" s="12">
        <v>333821</v>
      </c>
      <c r="J62" s="12">
        <v>131</v>
      </c>
      <c r="K62" s="12" t="s">
        <v>20</v>
      </c>
      <c r="L62" s="12">
        <v>1</v>
      </c>
      <c r="M62" s="17">
        <v>219355</v>
      </c>
      <c r="N62" s="17">
        <f t="shared" si="3"/>
        <v>219355</v>
      </c>
      <c r="O62" s="12"/>
      <c r="P62" s="12">
        <v>38</v>
      </c>
    </row>
    <row r="63" spans="1:16" x14ac:dyDescent="0.25">
      <c r="A63" s="12" t="s">
        <v>18</v>
      </c>
      <c r="B63" s="36" t="s">
        <v>589</v>
      </c>
      <c r="C63" s="12">
        <f t="shared" si="2"/>
        <v>39</v>
      </c>
      <c r="D63" s="12">
        <v>1</v>
      </c>
      <c r="E63" s="12"/>
      <c r="F63" s="12"/>
      <c r="G63" s="12" t="s">
        <v>4024</v>
      </c>
      <c r="H63" s="12" t="s">
        <v>4046</v>
      </c>
      <c r="I63" s="12">
        <v>131</v>
      </c>
      <c r="J63" s="12">
        <v>5113</v>
      </c>
      <c r="K63" s="12" t="s">
        <v>20</v>
      </c>
      <c r="L63" s="12">
        <v>1</v>
      </c>
      <c r="M63" s="17">
        <v>21935484</v>
      </c>
      <c r="N63" s="17">
        <f t="shared" si="3"/>
        <v>21935484</v>
      </c>
      <c r="O63" s="12"/>
      <c r="P63" s="12">
        <v>39</v>
      </c>
    </row>
    <row r="64" spans="1:16" x14ac:dyDescent="0.25">
      <c r="A64" s="12" t="s">
        <v>18</v>
      </c>
      <c r="B64" s="36" t="s">
        <v>589</v>
      </c>
      <c r="C64" s="12">
        <f t="shared" si="2"/>
        <v>39</v>
      </c>
      <c r="D64" s="12">
        <v>0</v>
      </c>
      <c r="E64" s="12"/>
      <c r="F64" s="12"/>
      <c r="G64" s="12" t="s">
        <v>4024</v>
      </c>
      <c r="H64" s="12" t="s">
        <v>4085</v>
      </c>
      <c r="I64" s="12">
        <v>333821</v>
      </c>
      <c r="J64" s="12">
        <v>131</v>
      </c>
      <c r="K64" s="12" t="s">
        <v>20</v>
      </c>
      <c r="L64" s="12">
        <v>1</v>
      </c>
      <c r="M64" s="17">
        <v>219355</v>
      </c>
      <c r="N64" s="17">
        <f t="shared" si="3"/>
        <v>219355</v>
      </c>
      <c r="O64" s="12"/>
      <c r="P64" s="12">
        <v>39</v>
      </c>
    </row>
    <row r="65" spans="1:16" x14ac:dyDescent="0.25">
      <c r="A65" s="12" t="s">
        <v>18</v>
      </c>
      <c r="B65" s="36" t="s">
        <v>526</v>
      </c>
      <c r="C65" s="12">
        <f t="shared" si="2"/>
        <v>40</v>
      </c>
      <c r="D65" s="12">
        <v>1</v>
      </c>
      <c r="E65" s="12"/>
      <c r="F65" s="12"/>
      <c r="G65" s="12" t="s">
        <v>113</v>
      </c>
      <c r="H65" s="12" t="s">
        <v>4047</v>
      </c>
      <c r="I65" s="12">
        <v>131</v>
      </c>
      <c r="J65" s="12">
        <v>5113</v>
      </c>
      <c r="K65" s="12" t="s">
        <v>20</v>
      </c>
      <c r="L65" s="12">
        <v>1</v>
      </c>
      <c r="M65" s="17">
        <v>69892473</v>
      </c>
      <c r="N65" s="17">
        <f t="shared" si="3"/>
        <v>69892473</v>
      </c>
      <c r="O65" s="12"/>
      <c r="P65" s="12">
        <v>40</v>
      </c>
    </row>
    <row r="66" spans="1:16" x14ac:dyDescent="0.25">
      <c r="A66" s="12" t="s">
        <v>18</v>
      </c>
      <c r="B66" s="36" t="s">
        <v>526</v>
      </c>
      <c r="C66" s="12">
        <f t="shared" si="2"/>
        <v>40</v>
      </c>
      <c r="D66" s="12">
        <v>0</v>
      </c>
      <c r="E66" s="12"/>
      <c r="F66" s="12"/>
      <c r="G66" s="12" t="s">
        <v>113</v>
      </c>
      <c r="H66" s="12" t="s">
        <v>4086</v>
      </c>
      <c r="I66" s="12">
        <v>333821</v>
      </c>
      <c r="J66" s="12">
        <v>131</v>
      </c>
      <c r="K66" s="12" t="s">
        <v>20</v>
      </c>
      <c r="L66" s="12">
        <v>1</v>
      </c>
      <c r="M66" s="17">
        <v>698925</v>
      </c>
      <c r="N66" s="17">
        <f t="shared" si="3"/>
        <v>698925</v>
      </c>
      <c r="O66" s="12"/>
      <c r="P66" s="12">
        <v>40</v>
      </c>
    </row>
    <row r="67" spans="1:16" x14ac:dyDescent="0.25">
      <c r="A67" s="12" t="s">
        <v>18</v>
      </c>
      <c r="B67" s="36" t="s">
        <v>381</v>
      </c>
      <c r="C67" s="12">
        <f t="shared" si="2"/>
        <v>41</v>
      </c>
      <c r="D67" s="12">
        <v>1</v>
      </c>
      <c r="E67" s="12"/>
      <c r="F67" s="12"/>
      <c r="G67" s="12" t="s">
        <v>83</v>
      </c>
      <c r="H67" s="12" t="s">
        <v>4048</v>
      </c>
      <c r="I67" s="12">
        <v>131</v>
      </c>
      <c r="J67" s="12">
        <v>5113</v>
      </c>
      <c r="K67" s="12" t="s">
        <v>20</v>
      </c>
      <c r="L67" s="12">
        <v>1</v>
      </c>
      <c r="M67" s="17">
        <v>12903226</v>
      </c>
      <c r="N67" s="17">
        <f t="shared" si="3"/>
        <v>12903226</v>
      </c>
      <c r="O67" s="12"/>
      <c r="P67" s="12">
        <v>41</v>
      </c>
    </row>
    <row r="68" spans="1:16" x14ac:dyDescent="0.25">
      <c r="A68" s="12" t="s">
        <v>18</v>
      </c>
      <c r="B68" s="36" t="s">
        <v>381</v>
      </c>
      <c r="C68" s="12">
        <f t="shared" ref="C68:C98" si="4">C67+D68</f>
        <v>41</v>
      </c>
      <c r="D68" s="12">
        <v>0</v>
      </c>
      <c r="E68" s="12"/>
      <c r="F68" s="12"/>
      <c r="G68" s="12" t="s">
        <v>83</v>
      </c>
      <c r="H68" s="12" t="s">
        <v>4087</v>
      </c>
      <c r="I68" s="12">
        <v>333821</v>
      </c>
      <c r="J68" s="12">
        <v>131</v>
      </c>
      <c r="K68" s="12" t="s">
        <v>20</v>
      </c>
      <c r="L68" s="12">
        <v>1</v>
      </c>
      <c r="M68" s="17">
        <v>129032</v>
      </c>
      <c r="N68" s="17">
        <f t="shared" ref="N68:N98" si="5">L68*M68</f>
        <v>129032</v>
      </c>
      <c r="O68" s="12"/>
      <c r="P68" s="12">
        <v>41</v>
      </c>
    </row>
    <row r="69" spans="1:16" x14ac:dyDescent="0.25">
      <c r="A69" s="12" t="s">
        <v>18</v>
      </c>
      <c r="B69" s="36" t="s">
        <v>381</v>
      </c>
      <c r="C69" s="12">
        <f t="shared" si="4"/>
        <v>42</v>
      </c>
      <c r="D69" s="12">
        <v>1</v>
      </c>
      <c r="E69" s="12"/>
      <c r="F69" s="12"/>
      <c r="G69" s="12" t="s">
        <v>46</v>
      </c>
      <c r="H69" s="12" t="s">
        <v>4049</v>
      </c>
      <c r="I69" s="12">
        <v>131</v>
      </c>
      <c r="J69" s="12">
        <v>5113</v>
      </c>
      <c r="K69" s="12" t="s">
        <v>20</v>
      </c>
      <c r="L69" s="12">
        <v>1</v>
      </c>
      <c r="M69" s="17">
        <v>53225807</v>
      </c>
      <c r="N69" s="17">
        <f t="shared" si="5"/>
        <v>53225807</v>
      </c>
      <c r="O69" s="12"/>
      <c r="P69" s="12">
        <v>42</v>
      </c>
    </row>
    <row r="70" spans="1:16" x14ac:dyDescent="0.25">
      <c r="A70" s="12" t="s">
        <v>18</v>
      </c>
      <c r="B70" s="36" t="s">
        <v>381</v>
      </c>
      <c r="C70" s="12">
        <f t="shared" si="4"/>
        <v>42</v>
      </c>
      <c r="D70" s="12">
        <v>0</v>
      </c>
      <c r="E70" s="12"/>
      <c r="F70" s="12"/>
      <c r="G70" s="12" t="s">
        <v>46</v>
      </c>
      <c r="H70" s="12" t="s">
        <v>4088</v>
      </c>
      <c r="I70" s="12">
        <v>333821</v>
      </c>
      <c r="J70" s="12">
        <v>131</v>
      </c>
      <c r="K70" s="12" t="s">
        <v>20</v>
      </c>
      <c r="L70" s="12">
        <v>1</v>
      </c>
      <c r="M70" s="17">
        <v>532258</v>
      </c>
      <c r="N70" s="17">
        <f t="shared" si="5"/>
        <v>532258</v>
      </c>
      <c r="O70" s="12"/>
      <c r="P70" s="12">
        <v>42</v>
      </c>
    </row>
    <row r="71" spans="1:16" x14ac:dyDescent="0.25">
      <c r="A71" s="12" t="s">
        <v>18</v>
      </c>
      <c r="B71" s="36" t="s">
        <v>381</v>
      </c>
      <c r="C71" s="12">
        <f t="shared" si="4"/>
        <v>43</v>
      </c>
      <c r="D71" s="12">
        <v>1</v>
      </c>
      <c r="E71" s="12"/>
      <c r="F71" s="12"/>
      <c r="G71" s="12" t="s">
        <v>113</v>
      </c>
      <c r="H71" s="12" t="s">
        <v>4050</v>
      </c>
      <c r="I71" s="12">
        <v>131</v>
      </c>
      <c r="J71" s="12">
        <v>5113</v>
      </c>
      <c r="K71" s="12" t="s">
        <v>20</v>
      </c>
      <c r="L71" s="12">
        <v>1</v>
      </c>
      <c r="M71" s="17">
        <v>5404040</v>
      </c>
      <c r="N71" s="17">
        <f t="shared" si="5"/>
        <v>5404040</v>
      </c>
      <c r="O71" s="12"/>
      <c r="P71" s="12">
        <v>43</v>
      </c>
    </row>
    <row r="72" spans="1:16" x14ac:dyDescent="0.25">
      <c r="A72" s="12" t="s">
        <v>18</v>
      </c>
      <c r="B72" s="36" t="s">
        <v>381</v>
      </c>
      <c r="C72" s="12">
        <f t="shared" si="4"/>
        <v>43</v>
      </c>
      <c r="D72" s="12">
        <v>0</v>
      </c>
      <c r="E72" s="12"/>
      <c r="F72" s="12"/>
      <c r="G72" s="12" t="s">
        <v>113</v>
      </c>
      <c r="H72" s="12" t="s">
        <v>4089</v>
      </c>
      <c r="I72" s="12">
        <v>333821</v>
      </c>
      <c r="J72" s="12">
        <v>131</v>
      </c>
      <c r="K72" s="12" t="s">
        <v>20</v>
      </c>
      <c r="L72" s="12">
        <v>1</v>
      </c>
      <c r="M72" s="17">
        <v>54040</v>
      </c>
      <c r="N72" s="17">
        <f t="shared" si="5"/>
        <v>54040</v>
      </c>
      <c r="O72" s="12"/>
      <c r="P72" s="12">
        <v>43</v>
      </c>
    </row>
    <row r="73" spans="1:16" x14ac:dyDescent="0.25">
      <c r="A73" s="12" t="s">
        <v>18</v>
      </c>
      <c r="B73" s="36" t="s">
        <v>382</v>
      </c>
      <c r="C73" s="12">
        <f t="shared" si="4"/>
        <v>44</v>
      </c>
      <c r="D73" s="12">
        <v>1</v>
      </c>
      <c r="E73" s="12"/>
      <c r="F73" s="12"/>
      <c r="G73" s="12" t="s">
        <v>29</v>
      </c>
      <c r="H73" s="12" t="s">
        <v>4051</v>
      </c>
      <c r="I73" s="12">
        <v>131</v>
      </c>
      <c r="J73" s="12">
        <v>5113</v>
      </c>
      <c r="K73" s="12" t="s">
        <v>20</v>
      </c>
      <c r="L73" s="12">
        <v>1</v>
      </c>
      <c r="M73" s="17">
        <v>145161290</v>
      </c>
      <c r="N73" s="17">
        <f t="shared" si="5"/>
        <v>145161290</v>
      </c>
      <c r="O73" s="12"/>
      <c r="P73" s="12">
        <v>44</v>
      </c>
    </row>
    <row r="74" spans="1:16" x14ac:dyDescent="0.25">
      <c r="A74" s="12" t="s">
        <v>18</v>
      </c>
      <c r="B74" s="36" t="s">
        <v>382</v>
      </c>
      <c r="C74" s="12">
        <f t="shared" si="4"/>
        <v>44</v>
      </c>
      <c r="D74" s="12">
        <v>0</v>
      </c>
      <c r="E74" s="12"/>
      <c r="F74" s="12"/>
      <c r="G74" s="12" t="s">
        <v>29</v>
      </c>
      <c r="H74" s="12" t="s">
        <v>4090</v>
      </c>
      <c r="I74" s="12">
        <v>333821</v>
      </c>
      <c r="J74" s="12">
        <v>131</v>
      </c>
      <c r="K74" s="12" t="s">
        <v>20</v>
      </c>
      <c r="L74" s="12">
        <v>1</v>
      </c>
      <c r="M74" s="17">
        <v>1451613</v>
      </c>
      <c r="N74" s="17">
        <f t="shared" si="5"/>
        <v>1451613</v>
      </c>
      <c r="O74" s="12"/>
      <c r="P74" s="12">
        <v>44</v>
      </c>
    </row>
    <row r="75" spans="1:16" x14ac:dyDescent="0.25">
      <c r="A75" s="12" t="s">
        <v>18</v>
      </c>
      <c r="B75" s="36" t="s">
        <v>382</v>
      </c>
      <c r="C75" s="12">
        <f t="shared" si="4"/>
        <v>45</v>
      </c>
      <c r="D75" s="12">
        <v>1</v>
      </c>
      <c r="E75" s="12"/>
      <c r="F75" s="12"/>
      <c r="G75" s="12" t="s">
        <v>1860</v>
      </c>
      <c r="H75" s="12" t="s">
        <v>4052</v>
      </c>
      <c r="I75" s="12">
        <v>131</v>
      </c>
      <c r="J75" s="12">
        <v>5113</v>
      </c>
      <c r="K75" s="12" t="s">
        <v>20</v>
      </c>
      <c r="L75" s="12">
        <v>1</v>
      </c>
      <c r="M75" s="17">
        <v>12903226</v>
      </c>
      <c r="N75" s="17">
        <f t="shared" si="5"/>
        <v>12903226</v>
      </c>
      <c r="O75" s="12"/>
      <c r="P75" s="12">
        <v>45</v>
      </c>
    </row>
    <row r="76" spans="1:16" x14ac:dyDescent="0.25">
      <c r="A76" s="12" t="s">
        <v>18</v>
      </c>
      <c r="B76" s="36" t="s">
        <v>382</v>
      </c>
      <c r="C76" s="12">
        <f t="shared" si="4"/>
        <v>45</v>
      </c>
      <c r="D76" s="12">
        <v>0</v>
      </c>
      <c r="E76" s="12"/>
      <c r="F76" s="12"/>
      <c r="G76" s="12" t="s">
        <v>1860</v>
      </c>
      <c r="H76" s="12" t="s">
        <v>4091</v>
      </c>
      <c r="I76" s="12">
        <v>333821</v>
      </c>
      <c r="J76" s="12">
        <v>131</v>
      </c>
      <c r="K76" s="12" t="s">
        <v>20</v>
      </c>
      <c r="L76" s="12">
        <v>1</v>
      </c>
      <c r="M76" s="17">
        <v>129032</v>
      </c>
      <c r="N76" s="17">
        <f t="shared" si="5"/>
        <v>129032</v>
      </c>
      <c r="O76" s="12"/>
      <c r="P76" s="12">
        <v>45</v>
      </c>
    </row>
    <row r="77" spans="1:16" x14ac:dyDescent="0.25">
      <c r="A77" s="12" t="s">
        <v>18</v>
      </c>
      <c r="B77" s="36" t="s">
        <v>382</v>
      </c>
      <c r="C77" s="12">
        <f t="shared" si="4"/>
        <v>46</v>
      </c>
      <c r="D77" s="12">
        <v>1</v>
      </c>
      <c r="E77" s="12"/>
      <c r="F77" s="12"/>
      <c r="G77" s="12" t="s">
        <v>57</v>
      </c>
      <c r="H77" s="12" t="s">
        <v>4053</v>
      </c>
      <c r="I77" s="12">
        <v>131</v>
      </c>
      <c r="J77" s="12">
        <v>5113</v>
      </c>
      <c r="K77" s="12" t="s">
        <v>20</v>
      </c>
      <c r="L77" s="12">
        <v>1</v>
      </c>
      <c r="M77" s="17">
        <v>21935484</v>
      </c>
      <c r="N77" s="17">
        <f t="shared" si="5"/>
        <v>21935484</v>
      </c>
      <c r="O77" s="12"/>
      <c r="P77" s="12">
        <v>46</v>
      </c>
    </row>
    <row r="78" spans="1:16" x14ac:dyDescent="0.25">
      <c r="A78" s="12" t="s">
        <v>18</v>
      </c>
      <c r="B78" s="36" t="s">
        <v>603</v>
      </c>
      <c r="C78" s="12">
        <f t="shared" si="4"/>
        <v>47</v>
      </c>
      <c r="D78" s="12">
        <v>1</v>
      </c>
      <c r="E78" s="12"/>
      <c r="F78" s="12"/>
      <c r="G78" s="12" t="s">
        <v>80</v>
      </c>
      <c r="H78" s="12" t="s">
        <v>4054</v>
      </c>
      <c r="I78" s="12">
        <v>131</v>
      </c>
      <c r="J78" s="12">
        <v>5113</v>
      </c>
      <c r="K78" s="12" t="s">
        <v>20</v>
      </c>
      <c r="L78" s="12">
        <v>1</v>
      </c>
      <c r="M78" s="17">
        <v>38709677</v>
      </c>
      <c r="N78" s="17">
        <f t="shared" si="5"/>
        <v>38709677</v>
      </c>
      <c r="O78" s="12"/>
      <c r="P78" s="12">
        <v>46</v>
      </c>
    </row>
    <row r="79" spans="1:16" x14ac:dyDescent="0.25">
      <c r="A79" s="12" t="s">
        <v>18</v>
      </c>
      <c r="B79" s="36" t="s">
        <v>382</v>
      </c>
      <c r="C79" s="12">
        <f t="shared" si="4"/>
        <v>47</v>
      </c>
      <c r="D79" s="12">
        <v>0</v>
      </c>
      <c r="E79" s="12"/>
      <c r="F79" s="12"/>
      <c r="G79" s="12" t="s">
        <v>57</v>
      </c>
      <c r="H79" s="12" t="s">
        <v>4092</v>
      </c>
      <c r="I79" s="12">
        <v>333821</v>
      </c>
      <c r="J79" s="12">
        <v>131</v>
      </c>
      <c r="K79" s="12" t="s">
        <v>20</v>
      </c>
      <c r="L79" s="12">
        <v>1</v>
      </c>
      <c r="M79" s="17">
        <v>219355</v>
      </c>
      <c r="N79" s="17">
        <f t="shared" si="5"/>
        <v>219355</v>
      </c>
      <c r="O79" s="12"/>
      <c r="P79" s="12">
        <v>46</v>
      </c>
    </row>
    <row r="80" spans="1:16" x14ac:dyDescent="0.25">
      <c r="A80" s="12" t="s">
        <v>18</v>
      </c>
      <c r="B80" s="36" t="s">
        <v>603</v>
      </c>
      <c r="C80" s="12">
        <f t="shared" si="4"/>
        <v>47</v>
      </c>
      <c r="D80" s="12">
        <v>0</v>
      </c>
      <c r="E80" s="12"/>
      <c r="F80" s="12"/>
      <c r="G80" s="12" t="s">
        <v>80</v>
      </c>
      <c r="H80" s="12" t="s">
        <v>4093</v>
      </c>
      <c r="I80" s="12">
        <v>333821</v>
      </c>
      <c r="J80" s="12">
        <v>131</v>
      </c>
      <c r="K80" s="12" t="s">
        <v>20</v>
      </c>
      <c r="L80" s="12">
        <v>1</v>
      </c>
      <c r="M80" s="17">
        <v>387097</v>
      </c>
      <c r="N80" s="17">
        <f t="shared" si="5"/>
        <v>387097</v>
      </c>
      <c r="O80" s="12"/>
      <c r="P80" s="12">
        <v>46</v>
      </c>
    </row>
    <row r="81" spans="1:16" x14ac:dyDescent="0.25">
      <c r="A81" s="12" t="s">
        <v>18</v>
      </c>
      <c r="B81" s="36" t="s">
        <v>457</v>
      </c>
      <c r="C81" s="12">
        <f t="shared" si="4"/>
        <v>48</v>
      </c>
      <c r="D81" s="12">
        <v>1</v>
      </c>
      <c r="E81" s="12"/>
      <c r="F81" s="12"/>
      <c r="G81" s="12" t="s">
        <v>46</v>
      </c>
      <c r="H81" s="12" t="s">
        <v>4055</v>
      </c>
      <c r="I81" s="12">
        <v>131</v>
      </c>
      <c r="J81" s="12">
        <v>5113</v>
      </c>
      <c r="K81" s="12" t="s">
        <v>20</v>
      </c>
      <c r="L81" s="12">
        <v>1</v>
      </c>
      <c r="M81" s="17">
        <v>21505377</v>
      </c>
      <c r="N81" s="17">
        <f t="shared" si="5"/>
        <v>21505377</v>
      </c>
      <c r="O81" s="12"/>
      <c r="P81" s="12">
        <v>47</v>
      </c>
    </row>
    <row r="82" spans="1:16" x14ac:dyDescent="0.25">
      <c r="A82" s="12" t="s">
        <v>18</v>
      </c>
      <c r="B82" s="36" t="s">
        <v>457</v>
      </c>
      <c r="C82" s="12">
        <f t="shared" si="4"/>
        <v>49</v>
      </c>
      <c r="D82" s="12">
        <v>1</v>
      </c>
      <c r="E82" s="12"/>
      <c r="F82" s="12"/>
      <c r="G82" s="12" t="s">
        <v>46</v>
      </c>
      <c r="H82" s="12" t="s">
        <v>4056</v>
      </c>
      <c r="I82" s="12">
        <v>131</v>
      </c>
      <c r="J82" s="12">
        <v>5113</v>
      </c>
      <c r="K82" s="12" t="s">
        <v>20</v>
      </c>
      <c r="L82" s="12">
        <v>1</v>
      </c>
      <c r="M82" s="17">
        <v>53225806</v>
      </c>
      <c r="N82" s="17">
        <f t="shared" si="5"/>
        <v>53225806</v>
      </c>
      <c r="O82" s="12"/>
      <c r="P82" s="12">
        <v>47</v>
      </c>
    </row>
    <row r="83" spans="1:16" x14ac:dyDescent="0.25">
      <c r="A83" s="12" t="s">
        <v>18</v>
      </c>
      <c r="B83" s="36" t="s">
        <v>457</v>
      </c>
      <c r="C83" s="12">
        <f t="shared" si="4"/>
        <v>49</v>
      </c>
      <c r="D83" s="12">
        <v>0</v>
      </c>
      <c r="E83" s="12"/>
      <c r="F83" s="12"/>
      <c r="G83" s="12" t="s">
        <v>46</v>
      </c>
      <c r="H83" s="12" t="s">
        <v>4094</v>
      </c>
      <c r="I83" s="12">
        <v>333821</v>
      </c>
      <c r="J83" s="12">
        <v>131</v>
      </c>
      <c r="K83" s="12" t="s">
        <v>20</v>
      </c>
      <c r="L83" s="12">
        <v>1</v>
      </c>
      <c r="M83" s="17">
        <v>215054</v>
      </c>
      <c r="N83" s="17">
        <f t="shared" si="5"/>
        <v>215054</v>
      </c>
      <c r="O83" s="12"/>
      <c r="P83" s="12">
        <v>47</v>
      </c>
    </row>
    <row r="84" spans="1:16" x14ac:dyDescent="0.25">
      <c r="A84" s="12" t="s">
        <v>18</v>
      </c>
      <c r="B84" s="36" t="s">
        <v>457</v>
      </c>
      <c r="C84" s="12">
        <f t="shared" si="4"/>
        <v>49</v>
      </c>
      <c r="D84" s="12">
        <v>0</v>
      </c>
      <c r="E84" s="12"/>
      <c r="F84" s="12"/>
      <c r="G84" s="12" t="s">
        <v>46</v>
      </c>
      <c r="H84" s="12" t="s">
        <v>4095</v>
      </c>
      <c r="I84" s="12">
        <v>333821</v>
      </c>
      <c r="J84" s="12">
        <v>131</v>
      </c>
      <c r="K84" s="12" t="s">
        <v>20</v>
      </c>
      <c r="L84" s="12">
        <v>1</v>
      </c>
      <c r="M84" s="17">
        <v>532258</v>
      </c>
      <c r="N84" s="17">
        <f t="shared" si="5"/>
        <v>532258</v>
      </c>
      <c r="O84" s="12"/>
      <c r="P84" s="12">
        <v>47</v>
      </c>
    </row>
    <row r="85" spans="1:16" x14ac:dyDescent="0.25">
      <c r="A85" s="12" t="s">
        <v>18</v>
      </c>
      <c r="B85" s="36" t="s">
        <v>320</v>
      </c>
      <c r="C85" s="12">
        <f t="shared" si="4"/>
        <v>50</v>
      </c>
      <c r="D85" s="12">
        <v>1</v>
      </c>
      <c r="E85" s="12"/>
      <c r="F85" s="12"/>
      <c r="G85" s="12" t="s">
        <v>4021</v>
      </c>
      <c r="H85" s="12" t="s">
        <v>4057</v>
      </c>
      <c r="I85" s="12">
        <v>131</v>
      </c>
      <c r="J85" s="12">
        <v>5113</v>
      </c>
      <c r="K85" s="12" t="s">
        <v>20</v>
      </c>
      <c r="L85" s="12">
        <v>1</v>
      </c>
      <c r="M85" s="17">
        <v>49494949</v>
      </c>
      <c r="N85" s="17">
        <f t="shared" si="5"/>
        <v>49494949</v>
      </c>
      <c r="O85" s="12"/>
      <c r="P85" s="12">
        <v>48</v>
      </c>
    </row>
    <row r="86" spans="1:16" x14ac:dyDescent="0.25">
      <c r="A86" s="12" t="s">
        <v>18</v>
      </c>
      <c r="B86" s="36" t="s">
        <v>604</v>
      </c>
      <c r="C86" s="12">
        <f t="shared" si="4"/>
        <v>51</v>
      </c>
      <c r="D86" s="12">
        <v>1</v>
      </c>
      <c r="E86" s="12"/>
      <c r="F86" s="12"/>
      <c r="G86" s="12" t="s">
        <v>110</v>
      </c>
      <c r="H86" s="12" t="s">
        <v>4058</v>
      </c>
      <c r="I86" s="12">
        <v>131</v>
      </c>
      <c r="J86" s="12">
        <v>5113</v>
      </c>
      <c r="K86" s="12" t="s">
        <v>20</v>
      </c>
      <c r="L86" s="12">
        <v>1</v>
      </c>
      <c r="M86" s="17">
        <v>77419355</v>
      </c>
      <c r="N86" s="17">
        <f t="shared" si="5"/>
        <v>77419355</v>
      </c>
      <c r="O86" s="12"/>
      <c r="P86" s="12">
        <v>48</v>
      </c>
    </row>
    <row r="87" spans="1:16" x14ac:dyDescent="0.25">
      <c r="A87" s="12" t="s">
        <v>18</v>
      </c>
      <c r="B87" s="36" t="s">
        <v>320</v>
      </c>
      <c r="C87" s="12">
        <f t="shared" si="4"/>
        <v>51</v>
      </c>
      <c r="D87" s="12">
        <v>0</v>
      </c>
      <c r="E87" s="12"/>
      <c r="F87" s="12"/>
      <c r="G87" s="12" t="s">
        <v>4021</v>
      </c>
      <c r="H87" s="12" t="s">
        <v>4096</v>
      </c>
      <c r="I87" s="12">
        <v>333821</v>
      </c>
      <c r="J87" s="12">
        <v>131</v>
      </c>
      <c r="K87" s="12" t="s">
        <v>20</v>
      </c>
      <c r="L87" s="12">
        <v>1</v>
      </c>
      <c r="M87" s="17">
        <v>494949</v>
      </c>
      <c r="N87" s="17">
        <f t="shared" si="5"/>
        <v>494949</v>
      </c>
      <c r="O87" s="12"/>
      <c r="P87" s="12">
        <v>48</v>
      </c>
    </row>
    <row r="88" spans="1:16" x14ac:dyDescent="0.25">
      <c r="A88" s="12" t="s">
        <v>18</v>
      </c>
      <c r="B88" s="36" t="s">
        <v>604</v>
      </c>
      <c r="C88" s="12">
        <f t="shared" si="4"/>
        <v>51</v>
      </c>
      <c r="D88" s="12">
        <v>0</v>
      </c>
      <c r="E88" s="12"/>
      <c r="F88" s="12"/>
      <c r="G88" s="12" t="s">
        <v>110</v>
      </c>
      <c r="H88" s="12" t="s">
        <v>4097</v>
      </c>
      <c r="I88" s="12">
        <v>333821</v>
      </c>
      <c r="J88" s="12">
        <v>131</v>
      </c>
      <c r="K88" s="12" t="s">
        <v>20</v>
      </c>
      <c r="L88" s="12">
        <v>1</v>
      </c>
      <c r="M88" s="17">
        <v>774194</v>
      </c>
      <c r="N88" s="17">
        <f t="shared" si="5"/>
        <v>774194</v>
      </c>
      <c r="O88" s="12"/>
      <c r="P88" s="12">
        <v>48</v>
      </c>
    </row>
    <row r="89" spans="1:16" x14ac:dyDescent="0.25">
      <c r="A89" s="12" t="s">
        <v>18</v>
      </c>
      <c r="B89" s="36" t="s">
        <v>2045</v>
      </c>
      <c r="C89" s="12">
        <f t="shared" si="4"/>
        <v>52</v>
      </c>
      <c r="D89" s="12">
        <v>1</v>
      </c>
      <c r="E89" s="12"/>
      <c r="F89" s="12"/>
      <c r="G89" s="12" t="s">
        <v>1891</v>
      </c>
      <c r="H89" s="12" t="s">
        <v>4059</v>
      </c>
      <c r="I89" s="12">
        <v>131</v>
      </c>
      <c r="J89" s="12">
        <v>5113</v>
      </c>
      <c r="K89" s="12" t="s">
        <v>20</v>
      </c>
      <c r="L89" s="12">
        <v>1</v>
      </c>
      <c r="M89" s="17">
        <v>38709678</v>
      </c>
      <c r="N89" s="17">
        <f t="shared" si="5"/>
        <v>38709678</v>
      </c>
      <c r="O89" s="12"/>
      <c r="P89" s="12">
        <v>49</v>
      </c>
    </row>
    <row r="90" spans="1:16" x14ac:dyDescent="0.25">
      <c r="A90" s="12" t="s">
        <v>18</v>
      </c>
      <c r="B90" s="36" t="s">
        <v>2045</v>
      </c>
      <c r="C90" s="12">
        <f t="shared" si="4"/>
        <v>53</v>
      </c>
      <c r="D90" s="12">
        <v>1</v>
      </c>
      <c r="E90" s="12"/>
      <c r="F90" s="12"/>
      <c r="G90" s="12" t="s">
        <v>1891</v>
      </c>
      <c r="H90" s="12" t="s">
        <v>4060</v>
      </c>
      <c r="I90" s="12">
        <v>131</v>
      </c>
      <c r="J90" s="12">
        <v>5113</v>
      </c>
      <c r="K90" s="12" t="s">
        <v>20</v>
      </c>
      <c r="L90" s="12">
        <v>1</v>
      </c>
      <c r="M90" s="17">
        <v>28374194</v>
      </c>
      <c r="N90" s="17">
        <f t="shared" si="5"/>
        <v>28374194</v>
      </c>
      <c r="O90" s="12"/>
      <c r="P90" s="12">
        <v>49</v>
      </c>
    </row>
    <row r="91" spans="1:16" x14ac:dyDescent="0.25">
      <c r="A91" s="12" t="s">
        <v>18</v>
      </c>
      <c r="B91" s="36" t="s">
        <v>2045</v>
      </c>
      <c r="C91" s="12">
        <f t="shared" si="4"/>
        <v>53</v>
      </c>
      <c r="D91" s="12">
        <v>0</v>
      </c>
      <c r="E91" s="12"/>
      <c r="F91" s="12"/>
      <c r="G91" s="12" t="s">
        <v>1891</v>
      </c>
      <c r="H91" s="12" t="s">
        <v>4098</v>
      </c>
      <c r="I91" s="12">
        <v>333821</v>
      </c>
      <c r="J91" s="12">
        <v>131</v>
      </c>
      <c r="K91" s="12" t="s">
        <v>20</v>
      </c>
      <c r="L91" s="12">
        <v>1</v>
      </c>
      <c r="M91" s="17">
        <v>387097</v>
      </c>
      <c r="N91" s="17">
        <f t="shared" si="5"/>
        <v>387097</v>
      </c>
      <c r="O91" s="12"/>
      <c r="P91" s="12">
        <v>49</v>
      </c>
    </row>
    <row r="92" spans="1:16" x14ac:dyDescent="0.25">
      <c r="A92" s="12" t="s">
        <v>18</v>
      </c>
      <c r="B92" s="36" t="s">
        <v>2045</v>
      </c>
      <c r="C92" s="12">
        <f t="shared" si="4"/>
        <v>53</v>
      </c>
      <c r="D92" s="12">
        <v>0</v>
      </c>
      <c r="E92" s="12"/>
      <c r="F92" s="12"/>
      <c r="G92" s="12" t="s">
        <v>1891</v>
      </c>
      <c r="H92" s="12" t="s">
        <v>4099</v>
      </c>
      <c r="I92" s="12">
        <v>333821</v>
      </c>
      <c r="J92" s="12">
        <v>131</v>
      </c>
      <c r="K92" s="12" t="s">
        <v>20</v>
      </c>
      <c r="L92" s="12">
        <v>1</v>
      </c>
      <c r="M92" s="17">
        <v>283742</v>
      </c>
      <c r="N92" s="17">
        <f t="shared" si="5"/>
        <v>283742</v>
      </c>
      <c r="O92" s="12"/>
      <c r="P92" s="12">
        <v>49</v>
      </c>
    </row>
    <row r="93" spans="1:16" x14ac:dyDescent="0.25">
      <c r="A93" s="12" t="s">
        <v>18</v>
      </c>
      <c r="B93" s="36" t="s">
        <v>2504</v>
      </c>
      <c r="C93" s="12">
        <f t="shared" si="4"/>
        <v>54</v>
      </c>
      <c r="D93" s="12">
        <v>1</v>
      </c>
      <c r="E93" s="12"/>
      <c r="F93" s="12"/>
      <c r="G93" s="12" t="s">
        <v>59</v>
      </c>
      <c r="H93" s="12" t="s">
        <v>4061</v>
      </c>
      <c r="I93" s="12">
        <v>131</v>
      </c>
      <c r="J93" s="12">
        <v>5113</v>
      </c>
      <c r="K93" s="12" t="s">
        <v>20</v>
      </c>
      <c r="L93" s="12">
        <v>1</v>
      </c>
      <c r="M93" s="17">
        <v>91919192</v>
      </c>
      <c r="N93" s="17">
        <f t="shared" si="5"/>
        <v>91919192</v>
      </c>
      <c r="O93" s="12"/>
      <c r="P93" s="12">
        <v>50</v>
      </c>
    </row>
    <row r="94" spans="1:16" x14ac:dyDescent="0.25">
      <c r="A94" s="12" t="s">
        <v>18</v>
      </c>
      <c r="B94" s="36" t="s">
        <v>2513</v>
      </c>
      <c r="C94" s="12">
        <f t="shared" si="4"/>
        <v>55</v>
      </c>
      <c r="D94" s="12">
        <v>1</v>
      </c>
      <c r="E94" s="12"/>
      <c r="F94" s="12"/>
      <c r="G94" s="12" t="s">
        <v>58</v>
      </c>
      <c r="H94" s="12" t="s">
        <v>4062</v>
      </c>
      <c r="I94" s="12">
        <v>131</v>
      </c>
      <c r="J94" s="12">
        <v>5113</v>
      </c>
      <c r="K94" s="12" t="s">
        <v>20</v>
      </c>
      <c r="L94" s="12">
        <v>1</v>
      </c>
      <c r="M94" s="17">
        <v>1320435</v>
      </c>
      <c r="N94" s="17">
        <f t="shared" si="5"/>
        <v>1320435</v>
      </c>
      <c r="O94" s="12"/>
      <c r="P94" s="12">
        <v>50</v>
      </c>
    </row>
    <row r="95" spans="1:16" x14ac:dyDescent="0.25">
      <c r="A95" s="12" t="s">
        <v>18</v>
      </c>
      <c r="B95" s="36" t="s">
        <v>2504</v>
      </c>
      <c r="C95" s="12">
        <f t="shared" si="4"/>
        <v>55</v>
      </c>
      <c r="D95" s="12">
        <v>0</v>
      </c>
      <c r="E95" s="12"/>
      <c r="F95" s="12"/>
      <c r="G95" s="12" t="s">
        <v>59</v>
      </c>
      <c r="H95" s="12" t="s">
        <v>4100</v>
      </c>
      <c r="I95" s="12">
        <v>333821</v>
      </c>
      <c r="J95" s="12">
        <v>131</v>
      </c>
      <c r="K95" s="12" t="s">
        <v>20</v>
      </c>
      <c r="L95" s="12">
        <v>1</v>
      </c>
      <c r="M95" s="17">
        <v>919192</v>
      </c>
      <c r="N95" s="17">
        <f t="shared" si="5"/>
        <v>919192</v>
      </c>
      <c r="O95" s="12"/>
      <c r="P95" s="12">
        <v>50</v>
      </c>
    </row>
    <row r="96" spans="1:16" x14ac:dyDescent="0.25">
      <c r="A96" s="12" t="s">
        <v>18</v>
      </c>
      <c r="B96" s="36" t="s">
        <v>2513</v>
      </c>
      <c r="C96" s="12">
        <f t="shared" si="4"/>
        <v>55</v>
      </c>
      <c r="D96" s="12">
        <v>0</v>
      </c>
      <c r="E96" s="12"/>
      <c r="F96" s="12"/>
      <c r="G96" s="12" t="s">
        <v>58</v>
      </c>
      <c r="H96" s="12" t="s">
        <v>4101</v>
      </c>
      <c r="I96" s="12">
        <v>333821</v>
      </c>
      <c r="J96" s="12">
        <v>131</v>
      </c>
      <c r="K96" s="12" t="s">
        <v>20</v>
      </c>
      <c r="L96" s="12">
        <v>1</v>
      </c>
      <c r="M96" s="17">
        <v>13204</v>
      </c>
      <c r="N96" s="17">
        <f t="shared" si="5"/>
        <v>13204</v>
      </c>
      <c r="O96" s="12"/>
      <c r="P96" s="12">
        <v>50</v>
      </c>
    </row>
    <row r="97" spans="1:16" x14ac:dyDescent="0.25">
      <c r="A97" s="12" t="s">
        <v>18</v>
      </c>
      <c r="B97" s="36" t="s">
        <v>2513</v>
      </c>
      <c r="C97" s="12">
        <f t="shared" si="4"/>
        <v>56</v>
      </c>
      <c r="D97" s="12">
        <v>1</v>
      </c>
      <c r="E97" s="12"/>
      <c r="F97" s="12"/>
      <c r="G97" s="12" t="s">
        <v>58</v>
      </c>
      <c r="H97" s="12" t="s">
        <v>4063</v>
      </c>
      <c r="I97" s="12">
        <v>131</v>
      </c>
      <c r="J97" s="12">
        <v>5113</v>
      </c>
      <c r="K97" s="12" t="s">
        <v>20</v>
      </c>
      <c r="L97" s="12">
        <v>1</v>
      </c>
      <c r="M97" s="17">
        <v>300351</v>
      </c>
      <c r="N97" s="17">
        <f t="shared" si="5"/>
        <v>300351</v>
      </c>
      <c r="O97" s="12"/>
      <c r="P97" s="12">
        <v>51</v>
      </c>
    </row>
    <row r="98" spans="1:16" x14ac:dyDescent="0.25">
      <c r="A98" s="12" t="s">
        <v>18</v>
      </c>
      <c r="B98" s="36" t="s">
        <v>2513</v>
      </c>
      <c r="C98" s="12">
        <f t="shared" si="4"/>
        <v>56</v>
      </c>
      <c r="D98" s="12">
        <v>0</v>
      </c>
      <c r="E98" s="12"/>
      <c r="F98" s="12"/>
      <c r="G98" s="12" t="s">
        <v>58</v>
      </c>
      <c r="H98" s="12" t="s">
        <v>4102</v>
      </c>
      <c r="I98" s="12">
        <v>333821</v>
      </c>
      <c r="J98" s="12">
        <v>131</v>
      </c>
      <c r="K98" s="12" t="s">
        <v>20</v>
      </c>
      <c r="L98" s="12">
        <v>1</v>
      </c>
      <c r="M98" s="17">
        <v>3004</v>
      </c>
      <c r="N98" s="17">
        <f t="shared" si="5"/>
        <v>3004</v>
      </c>
      <c r="O98" s="12"/>
      <c r="P98" s="12">
        <v>51</v>
      </c>
    </row>
  </sheetData>
  <autoFilter ref="A3:P98" xr:uid="{00000000-0009-0000-0000-000019000000}">
    <sortState xmlns:xlrd2="http://schemas.microsoft.com/office/spreadsheetml/2017/richdata2" ref="A4:P98">
      <sortCondition ref="P3:P98"/>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P51"/>
  <sheetViews>
    <sheetView topLeftCell="A7" workbookViewId="0">
      <selection activeCell="P1" sqref="P1"/>
    </sheetView>
  </sheetViews>
  <sheetFormatPr defaultRowHeight="15" x14ac:dyDescent="0.25"/>
  <cols>
    <col min="6" max="6" width="9.85546875" bestFit="1" customWidth="1"/>
    <col min="8" max="8" width="27.7109375" customWidth="1"/>
    <col min="13" max="14" width="10.7109375" bestFit="1" customWidth="1"/>
  </cols>
  <sheetData>
    <row r="1" spans="1:16" ht="15.75" thickBot="1" x14ac:dyDescent="0.3">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16" ht="15.75" thickBot="1" x14ac:dyDescent="0.3">
      <c r="A2" s="205"/>
      <c r="B2" s="220"/>
      <c r="C2" s="205"/>
      <c r="D2" s="208"/>
      <c r="E2" s="208"/>
      <c r="F2" s="203"/>
      <c r="G2" s="212"/>
      <c r="H2" s="214"/>
      <c r="I2" s="46" t="s">
        <v>13</v>
      </c>
      <c r="J2" s="47" t="s">
        <v>14</v>
      </c>
      <c r="K2" s="205"/>
      <c r="L2" s="205"/>
      <c r="M2" s="218"/>
      <c r="N2" s="218"/>
      <c r="O2" s="38" t="s">
        <v>100</v>
      </c>
      <c r="P2" s="38"/>
    </row>
    <row r="3" spans="1:16" x14ac:dyDescent="0.25">
      <c r="A3" s="48"/>
      <c r="B3" s="83"/>
      <c r="C3" s="48">
        <v>1</v>
      </c>
      <c r="D3" s="49"/>
      <c r="E3" s="49"/>
      <c r="F3" s="49"/>
      <c r="G3" s="51" t="s">
        <v>15</v>
      </c>
      <c r="H3" s="52"/>
      <c r="I3" s="52"/>
      <c r="J3" s="52"/>
      <c r="K3" s="48"/>
      <c r="L3" s="48"/>
      <c r="M3" s="84"/>
      <c r="N3" s="84"/>
      <c r="O3" s="38" t="s">
        <v>16</v>
      </c>
      <c r="P3" s="38" t="s">
        <v>17</v>
      </c>
    </row>
    <row r="4" spans="1:16" x14ac:dyDescent="0.25">
      <c r="A4" s="12" t="s">
        <v>18</v>
      </c>
      <c r="B4" s="36" t="s">
        <v>374</v>
      </c>
      <c r="C4" s="12">
        <f t="shared" ref="C4:C28" si="0">C3+D4</f>
        <v>2</v>
      </c>
      <c r="D4" s="12">
        <v>1</v>
      </c>
      <c r="E4" s="12" t="str">
        <f>TEXT(C4,"000")</f>
        <v>002</v>
      </c>
      <c r="F4" s="12"/>
      <c r="G4" s="12" t="s">
        <v>64</v>
      </c>
      <c r="H4" s="12" t="s">
        <v>4106</v>
      </c>
      <c r="I4" s="12">
        <v>64276</v>
      </c>
      <c r="J4" s="12">
        <v>331</v>
      </c>
      <c r="K4" s="12" t="s">
        <v>20</v>
      </c>
      <c r="L4" s="12">
        <v>1</v>
      </c>
      <c r="M4" s="17">
        <v>99000</v>
      </c>
      <c r="N4" s="17">
        <f t="shared" ref="N4:N44" si="1">L4*M4</f>
        <v>99000</v>
      </c>
      <c r="O4" s="12" t="s">
        <v>21</v>
      </c>
      <c r="P4" s="12">
        <v>1</v>
      </c>
    </row>
    <row r="5" spans="1:16" x14ac:dyDescent="0.25">
      <c r="A5" s="12" t="s">
        <v>18</v>
      </c>
      <c r="B5" s="36" t="s">
        <v>446</v>
      </c>
      <c r="C5" s="12">
        <f t="shared" si="0"/>
        <v>3</v>
      </c>
      <c r="D5" s="12">
        <v>1</v>
      </c>
      <c r="E5" s="12" t="str">
        <f t="shared" ref="E5:E51" si="2">TEXT(C5,"000")</f>
        <v>003</v>
      </c>
      <c r="F5" s="12"/>
      <c r="G5" s="12" t="s">
        <v>64</v>
      </c>
      <c r="H5" s="12" t="s">
        <v>4577</v>
      </c>
      <c r="I5" s="12">
        <v>64276</v>
      </c>
      <c r="J5" s="12">
        <v>331</v>
      </c>
      <c r="K5" s="12" t="s">
        <v>20</v>
      </c>
      <c r="L5" s="12">
        <v>1</v>
      </c>
      <c r="M5" s="17">
        <v>1662120</v>
      </c>
      <c r="N5" s="17">
        <f t="shared" si="1"/>
        <v>1662120</v>
      </c>
      <c r="O5" s="12" t="s">
        <v>21</v>
      </c>
      <c r="P5" s="12">
        <f>P4+D5</f>
        <v>2</v>
      </c>
    </row>
    <row r="6" spans="1:16" x14ac:dyDescent="0.25">
      <c r="A6" s="12" t="s">
        <v>18</v>
      </c>
      <c r="B6" s="36" t="s">
        <v>413</v>
      </c>
      <c r="C6" s="12">
        <f t="shared" si="0"/>
        <v>4</v>
      </c>
      <c r="D6" s="12">
        <v>1</v>
      </c>
      <c r="E6" s="12" t="str">
        <f t="shared" si="2"/>
        <v>004</v>
      </c>
      <c r="F6" s="12"/>
      <c r="G6" s="12" t="s">
        <v>4105</v>
      </c>
      <c r="H6" s="12" t="s">
        <v>4107</v>
      </c>
      <c r="I6" s="12">
        <v>64275</v>
      </c>
      <c r="J6" s="12">
        <v>331</v>
      </c>
      <c r="K6" s="12" t="s">
        <v>20</v>
      </c>
      <c r="L6" s="12">
        <v>1</v>
      </c>
      <c r="M6" s="17">
        <v>5002800</v>
      </c>
      <c r="N6" s="17">
        <f t="shared" si="1"/>
        <v>5002800</v>
      </c>
      <c r="O6" s="12" t="s">
        <v>21</v>
      </c>
      <c r="P6" s="12">
        <f t="shared" ref="P6:P51" si="3">P5+D6</f>
        <v>3</v>
      </c>
    </row>
    <row r="7" spans="1:16" x14ac:dyDescent="0.25">
      <c r="A7" s="12" t="s">
        <v>18</v>
      </c>
      <c r="B7" s="36" t="s">
        <v>377</v>
      </c>
      <c r="C7" s="12">
        <f t="shared" si="0"/>
        <v>5</v>
      </c>
      <c r="D7" s="12">
        <v>1</v>
      </c>
      <c r="E7" s="12" t="str">
        <f t="shared" si="2"/>
        <v>005</v>
      </c>
      <c r="F7" s="12"/>
      <c r="G7" s="12" t="s">
        <v>37</v>
      </c>
      <c r="H7" s="12" t="s">
        <v>4108</v>
      </c>
      <c r="I7" s="12">
        <v>64277</v>
      </c>
      <c r="J7" s="12">
        <v>331</v>
      </c>
      <c r="K7" s="12" t="s">
        <v>20</v>
      </c>
      <c r="L7" s="12">
        <v>1</v>
      </c>
      <c r="M7" s="17">
        <v>3240000</v>
      </c>
      <c r="N7" s="17">
        <f t="shared" si="1"/>
        <v>3240000</v>
      </c>
      <c r="O7" s="12" t="s">
        <v>21</v>
      </c>
      <c r="P7" s="12">
        <f t="shared" si="3"/>
        <v>4</v>
      </c>
    </row>
    <row r="8" spans="1:16" x14ac:dyDescent="0.25">
      <c r="A8" s="12" t="s">
        <v>18</v>
      </c>
      <c r="B8" s="36" t="s">
        <v>588</v>
      </c>
      <c r="C8" s="12">
        <f t="shared" si="0"/>
        <v>6</v>
      </c>
      <c r="D8" s="12">
        <v>1</v>
      </c>
      <c r="E8" s="12" t="str">
        <f t="shared" si="2"/>
        <v>006</v>
      </c>
      <c r="F8" s="12"/>
      <c r="G8" s="12" t="s">
        <v>37</v>
      </c>
      <c r="H8" s="12" t="s">
        <v>4109</v>
      </c>
      <c r="I8" s="12">
        <v>64277</v>
      </c>
      <c r="J8" s="12">
        <v>331</v>
      </c>
      <c r="K8" s="12" t="s">
        <v>20</v>
      </c>
      <c r="L8" s="12">
        <v>1</v>
      </c>
      <c r="M8" s="17">
        <v>3240000</v>
      </c>
      <c r="N8" s="17">
        <f t="shared" si="1"/>
        <v>3240000</v>
      </c>
      <c r="O8" s="12" t="s">
        <v>21</v>
      </c>
      <c r="P8" s="12">
        <f t="shared" si="3"/>
        <v>5</v>
      </c>
    </row>
    <row r="9" spans="1:16" x14ac:dyDescent="0.25">
      <c r="A9" s="12" t="s">
        <v>18</v>
      </c>
      <c r="B9" s="36" t="s">
        <v>413</v>
      </c>
      <c r="C9" s="12">
        <f t="shared" si="0"/>
        <v>7</v>
      </c>
      <c r="D9" s="12">
        <v>1</v>
      </c>
      <c r="E9" s="12" t="str">
        <f t="shared" si="2"/>
        <v>007</v>
      </c>
      <c r="G9" s="12" t="s">
        <v>4110</v>
      </c>
      <c r="H9" s="12" t="s">
        <v>4114</v>
      </c>
      <c r="I9" s="12">
        <v>131</v>
      </c>
      <c r="J9" s="12">
        <v>5113</v>
      </c>
      <c r="K9" s="12" t="s">
        <v>20</v>
      </c>
      <c r="L9" s="12">
        <v>1</v>
      </c>
      <c r="M9" s="17">
        <v>5909091</v>
      </c>
      <c r="N9" s="17">
        <f t="shared" si="1"/>
        <v>5909091</v>
      </c>
      <c r="O9" s="12" t="s">
        <v>21</v>
      </c>
      <c r="P9" s="12">
        <f t="shared" si="3"/>
        <v>6</v>
      </c>
    </row>
    <row r="10" spans="1:16" x14ac:dyDescent="0.25">
      <c r="A10" s="12" t="s">
        <v>18</v>
      </c>
      <c r="B10" s="36" t="s">
        <v>413</v>
      </c>
      <c r="C10" s="12">
        <f t="shared" si="0"/>
        <v>7</v>
      </c>
      <c r="D10" s="12">
        <v>0</v>
      </c>
      <c r="E10" s="12" t="str">
        <f t="shared" si="2"/>
        <v>007</v>
      </c>
      <c r="G10" s="12" t="s">
        <v>4110</v>
      </c>
      <c r="H10" s="12" t="s">
        <v>4124</v>
      </c>
      <c r="I10" s="12">
        <v>333821</v>
      </c>
      <c r="J10" s="12">
        <v>131</v>
      </c>
      <c r="K10" s="12" t="s">
        <v>20</v>
      </c>
      <c r="L10" s="12">
        <v>1</v>
      </c>
      <c r="M10" s="17">
        <v>59091</v>
      </c>
      <c r="N10" s="17">
        <f t="shared" si="1"/>
        <v>59091</v>
      </c>
      <c r="O10" s="12" t="s">
        <v>21</v>
      </c>
      <c r="P10" s="12">
        <f t="shared" si="3"/>
        <v>6</v>
      </c>
    </row>
    <row r="11" spans="1:16" x14ac:dyDescent="0.25">
      <c r="A11" s="12" t="s">
        <v>18</v>
      </c>
      <c r="B11" s="36" t="s">
        <v>413</v>
      </c>
      <c r="C11" s="12">
        <f t="shared" si="0"/>
        <v>8</v>
      </c>
      <c r="D11" s="12">
        <v>1</v>
      </c>
      <c r="E11" s="12" t="str">
        <f t="shared" si="2"/>
        <v>008</v>
      </c>
      <c r="G11" s="12" t="s">
        <v>4111</v>
      </c>
      <c r="H11" s="12" t="s">
        <v>4115</v>
      </c>
      <c r="I11" s="12">
        <v>131</v>
      </c>
      <c r="J11" s="12">
        <v>5113</v>
      </c>
      <c r="K11" s="12" t="s">
        <v>20</v>
      </c>
      <c r="L11" s="12">
        <v>1</v>
      </c>
      <c r="M11" s="17">
        <v>12848485</v>
      </c>
      <c r="N11" s="17">
        <f t="shared" si="1"/>
        <v>12848485</v>
      </c>
      <c r="O11" s="12" t="s">
        <v>21</v>
      </c>
      <c r="P11" s="12">
        <f t="shared" si="3"/>
        <v>7</v>
      </c>
    </row>
    <row r="12" spans="1:16" x14ac:dyDescent="0.25">
      <c r="A12" s="12" t="s">
        <v>18</v>
      </c>
      <c r="B12" s="36" t="s">
        <v>413</v>
      </c>
      <c r="C12" s="12">
        <f t="shared" si="0"/>
        <v>8</v>
      </c>
      <c r="D12" s="12">
        <v>0</v>
      </c>
      <c r="E12" s="12" t="str">
        <f t="shared" si="2"/>
        <v>008</v>
      </c>
      <c r="G12" s="12" t="s">
        <v>4111</v>
      </c>
      <c r="H12" s="12" t="s">
        <v>4125</v>
      </c>
      <c r="I12" s="12">
        <v>333821</v>
      </c>
      <c r="J12" s="12">
        <v>131</v>
      </c>
      <c r="K12" s="12" t="s">
        <v>20</v>
      </c>
      <c r="L12" s="12">
        <v>1</v>
      </c>
      <c r="M12" s="17">
        <v>128485</v>
      </c>
      <c r="N12" s="17">
        <f t="shared" si="1"/>
        <v>128485</v>
      </c>
      <c r="O12" s="12" t="s">
        <v>21</v>
      </c>
      <c r="P12" s="12">
        <f t="shared" si="3"/>
        <v>7</v>
      </c>
    </row>
    <row r="13" spans="1:16" x14ac:dyDescent="0.25">
      <c r="A13" s="12" t="s">
        <v>18</v>
      </c>
      <c r="B13" s="36" t="s">
        <v>652</v>
      </c>
      <c r="C13" s="12">
        <f t="shared" si="0"/>
        <v>9</v>
      </c>
      <c r="D13" s="12">
        <v>1</v>
      </c>
      <c r="E13" s="12" t="str">
        <f t="shared" si="2"/>
        <v>009</v>
      </c>
      <c r="G13" s="12" t="s">
        <v>2057</v>
      </c>
      <c r="H13" s="12" t="s">
        <v>4116</v>
      </c>
      <c r="I13" s="12">
        <v>131</v>
      </c>
      <c r="J13" s="12">
        <v>5113</v>
      </c>
      <c r="K13" s="12" t="s">
        <v>20</v>
      </c>
      <c r="L13" s="12">
        <v>1</v>
      </c>
      <c r="M13" s="17">
        <v>9677419</v>
      </c>
      <c r="N13" s="17">
        <f t="shared" si="1"/>
        <v>9677419</v>
      </c>
      <c r="O13" s="12" t="s">
        <v>21</v>
      </c>
      <c r="P13" s="12">
        <f t="shared" si="3"/>
        <v>8</v>
      </c>
    </row>
    <row r="14" spans="1:16" x14ac:dyDescent="0.25">
      <c r="A14" s="12" t="s">
        <v>18</v>
      </c>
      <c r="B14" s="36" t="s">
        <v>652</v>
      </c>
      <c r="C14" s="12">
        <f t="shared" si="0"/>
        <v>9</v>
      </c>
      <c r="D14" s="12">
        <v>0</v>
      </c>
      <c r="E14" s="12" t="str">
        <f t="shared" si="2"/>
        <v>009</v>
      </c>
      <c r="G14" s="12" t="s">
        <v>2057</v>
      </c>
      <c r="H14" s="12" t="s">
        <v>4126</v>
      </c>
      <c r="I14" s="12">
        <v>333821</v>
      </c>
      <c r="J14" s="12">
        <v>131</v>
      </c>
      <c r="K14" s="12" t="s">
        <v>20</v>
      </c>
      <c r="L14" s="12">
        <v>1</v>
      </c>
      <c r="M14" s="17">
        <v>96774</v>
      </c>
      <c r="N14" s="17">
        <f t="shared" si="1"/>
        <v>96774</v>
      </c>
      <c r="O14" s="12" t="s">
        <v>21</v>
      </c>
      <c r="P14" s="12">
        <f t="shared" si="3"/>
        <v>8</v>
      </c>
    </row>
    <row r="15" spans="1:16" x14ac:dyDescent="0.25">
      <c r="A15" s="12" t="s">
        <v>18</v>
      </c>
      <c r="B15" s="36" t="s">
        <v>316</v>
      </c>
      <c r="C15" s="12">
        <f t="shared" si="0"/>
        <v>10</v>
      </c>
      <c r="D15" s="12">
        <v>1</v>
      </c>
      <c r="E15" s="12" t="str">
        <f t="shared" si="2"/>
        <v>010</v>
      </c>
      <c r="G15" s="12" t="s">
        <v>4112</v>
      </c>
      <c r="H15" s="12" t="s">
        <v>4117</v>
      </c>
      <c r="I15" s="12">
        <v>131</v>
      </c>
      <c r="J15" s="12">
        <v>5113</v>
      </c>
      <c r="K15" s="12" t="s">
        <v>20</v>
      </c>
      <c r="L15" s="12">
        <v>1</v>
      </c>
      <c r="M15" s="17">
        <v>15053764</v>
      </c>
      <c r="N15" s="17">
        <f t="shared" si="1"/>
        <v>15053764</v>
      </c>
      <c r="O15" s="12" t="s">
        <v>21</v>
      </c>
      <c r="P15" s="12">
        <f t="shared" si="3"/>
        <v>9</v>
      </c>
    </row>
    <row r="16" spans="1:16" x14ac:dyDescent="0.25">
      <c r="A16" s="12" t="s">
        <v>18</v>
      </c>
      <c r="B16" s="36" t="s">
        <v>316</v>
      </c>
      <c r="C16" s="12">
        <f t="shared" si="0"/>
        <v>10</v>
      </c>
      <c r="D16" s="12">
        <v>0</v>
      </c>
      <c r="E16" s="12" t="str">
        <f t="shared" si="2"/>
        <v>010</v>
      </c>
      <c r="G16" s="12" t="s">
        <v>4112</v>
      </c>
      <c r="H16" s="12" t="s">
        <v>4127</v>
      </c>
      <c r="I16" s="12">
        <v>333821</v>
      </c>
      <c r="J16" s="12">
        <v>131</v>
      </c>
      <c r="K16" s="12" t="s">
        <v>20</v>
      </c>
      <c r="L16" s="12">
        <v>1</v>
      </c>
      <c r="M16" s="17">
        <v>150538</v>
      </c>
      <c r="N16" s="17">
        <f t="shared" si="1"/>
        <v>150538</v>
      </c>
      <c r="O16" s="12" t="s">
        <v>21</v>
      </c>
      <c r="P16" s="12">
        <f t="shared" si="3"/>
        <v>9</v>
      </c>
    </row>
    <row r="17" spans="1:16" x14ac:dyDescent="0.25">
      <c r="A17" s="12" t="s">
        <v>18</v>
      </c>
      <c r="B17" s="36" t="s">
        <v>319</v>
      </c>
      <c r="C17" s="12">
        <f t="shared" si="0"/>
        <v>11</v>
      </c>
      <c r="D17" s="12">
        <v>1</v>
      </c>
      <c r="E17" s="12" t="str">
        <f t="shared" si="2"/>
        <v>011</v>
      </c>
      <c r="G17" s="12" t="s">
        <v>42</v>
      </c>
      <c r="H17" s="12" t="s">
        <v>4118</v>
      </c>
      <c r="I17" s="12">
        <v>131</v>
      </c>
      <c r="J17" s="12">
        <v>5113</v>
      </c>
      <c r="K17" s="12" t="s">
        <v>20</v>
      </c>
      <c r="L17" s="12">
        <v>1</v>
      </c>
      <c r="M17" s="17">
        <v>16666667</v>
      </c>
      <c r="N17" s="17">
        <f t="shared" si="1"/>
        <v>16666667</v>
      </c>
      <c r="O17" s="12" t="s">
        <v>21</v>
      </c>
      <c r="P17" s="12">
        <f t="shared" si="3"/>
        <v>10</v>
      </c>
    </row>
    <row r="18" spans="1:16" x14ac:dyDescent="0.25">
      <c r="A18" s="12" t="s">
        <v>18</v>
      </c>
      <c r="B18" s="36" t="s">
        <v>319</v>
      </c>
      <c r="C18" s="12">
        <f t="shared" si="0"/>
        <v>11</v>
      </c>
      <c r="D18" s="12">
        <v>0</v>
      </c>
      <c r="E18" s="12" t="str">
        <f t="shared" si="2"/>
        <v>011</v>
      </c>
      <c r="G18" s="12" t="s">
        <v>42</v>
      </c>
      <c r="H18" s="12" t="s">
        <v>4128</v>
      </c>
      <c r="I18" s="12">
        <v>333821</v>
      </c>
      <c r="J18" s="12">
        <v>131</v>
      </c>
      <c r="K18" s="12" t="s">
        <v>20</v>
      </c>
      <c r="L18" s="12">
        <v>1</v>
      </c>
      <c r="M18" s="17">
        <v>166667</v>
      </c>
      <c r="N18" s="17">
        <f t="shared" si="1"/>
        <v>166667</v>
      </c>
      <c r="O18" s="12" t="s">
        <v>21</v>
      </c>
      <c r="P18" s="12">
        <f t="shared" si="3"/>
        <v>10</v>
      </c>
    </row>
    <row r="19" spans="1:16" x14ac:dyDescent="0.25">
      <c r="A19" s="12" t="s">
        <v>18</v>
      </c>
      <c r="B19" s="36" t="s">
        <v>2042</v>
      </c>
      <c r="C19" s="12">
        <f t="shared" si="0"/>
        <v>12</v>
      </c>
      <c r="D19" s="12">
        <v>1</v>
      </c>
      <c r="E19" s="12" t="str">
        <f t="shared" si="2"/>
        <v>012</v>
      </c>
      <c r="G19" s="12" t="s">
        <v>999</v>
      </c>
      <c r="H19" s="12" t="s">
        <v>4119</v>
      </c>
      <c r="I19" s="12">
        <v>131</v>
      </c>
      <c r="J19" s="12">
        <v>5113</v>
      </c>
      <c r="K19" s="12" t="s">
        <v>20</v>
      </c>
      <c r="L19" s="12">
        <v>1</v>
      </c>
      <c r="M19" s="17">
        <v>21505377</v>
      </c>
      <c r="N19" s="17">
        <f t="shared" si="1"/>
        <v>21505377</v>
      </c>
      <c r="O19" s="12" t="s">
        <v>21</v>
      </c>
      <c r="P19" s="12">
        <f t="shared" si="3"/>
        <v>11</v>
      </c>
    </row>
    <row r="20" spans="1:16" x14ac:dyDescent="0.25">
      <c r="A20" s="12" t="s">
        <v>18</v>
      </c>
      <c r="B20" s="36" t="s">
        <v>2042</v>
      </c>
      <c r="C20" s="12">
        <f t="shared" si="0"/>
        <v>12</v>
      </c>
      <c r="D20" s="12">
        <v>0</v>
      </c>
      <c r="E20" s="12" t="str">
        <f t="shared" si="2"/>
        <v>012</v>
      </c>
      <c r="G20" s="12" t="s">
        <v>999</v>
      </c>
      <c r="H20" s="12" t="s">
        <v>4129</v>
      </c>
      <c r="I20" s="12">
        <v>333821</v>
      </c>
      <c r="J20" s="12">
        <v>131</v>
      </c>
      <c r="K20" s="12" t="s">
        <v>20</v>
      </c>
      <c r="L20" s="12">
        <v>1</v>
      </c>
      <c r="M20" s="17">
        <v>215054</v>
      </c>
      <c r="N20" s="17">
        <f t="shared" si="1"/>
        <v>215054</v>
      </c>
      <c r="O20" s="12" t="s">
        <v>21</v>
      </c>
      <c r="P20" s="12">
        <f t="shared" si="3"/>
        <v>11</v>
      </c>
    </row>
    <row r="21" spans="1:16" x14ac:dyDescent="0.25">
      <c r="A21" s="12" t="s">
        <v>18</v>
      </c>
      <c r="B21" s="36" t="s">
        <v>514</v>
      </c>
      <c r="C21" s="12">
        <f t="shared" si="0"/>
        <v>13</v>
      </c>
      <c r="D21" s="12">
        <v>1</v>
      </c>
      <c r="E21" s="12" t="str">
        <f t="shared" si="2"/>
        <v>013</v>
      </c>
      <c r="G21" s="12" t="s">
        <v>4113</v>
      </c>
      <c r="H21" s="12" t="s">
        <v>4120</v>
      </c>
      <c r="I21" s="12">
        <v>131</v>
      </c>
      <c r="J21" s="12">
        <v>5113</v>
      </c>
      <c r="K21" s="12" t="s">
        <v>20</v>
      </c>
      <c r="L21" s="12">
        <v>1</v>
      </c>
      <c r="M21" s="17">
        <v>12903226</v>
      </c>
      <c r="N21" s="17">
        <f t="shared" si="1"/>
        <v>12903226</v>
      </c>
      <c r="O21" s="12" t="s">
        <v>21</v>
      </c>
      <c r="P21" s="12">
        <f t="shared" si="3"/>
        <v>12</v>
      </c>
    </row>
    <row r="22" spans="1:16" x14ac:dyDescent="0.25">
      <c r="A22" s="12" t="s">
        <v>18</v>
      </c>
      <c r="B22" s="36" t="s">
        <v>514</v>
      </c>
      <c r="C22" s="12">
        <f t="shared" si="0"/>
        <v>13</v>
      </c>
      <c r="D22" s="12">
        <v>0</v>
      </c>
      <c r="E22" s="12" t="str">
        <f t="shared" si="2"/>
        <v>013</v>
      </c>
      <c r="G22" s="12" t="s">
        <v>4113</v>
      </c>
      <c r="H22" s="12" t="s">
        <v>4130</v>
      </c>
      <c r="I22" s="12">
        <v>333821</v>
      </c>
      <c r="J22" s="12">
        <v>131</v>
      </c>
      <c r="K22" s="12" t="s">
        <v>20</v>
      </c>
      <c r="L22" s="12">
        <v>1</v>
      </c>
      <c r="M22" s="17">
        <v>129032</v>
      </c>
      <c r="N22" s="17">
        <f t="shared" si="1"/>
        <v>129032</v>
      </c>
      <c r="O22" s="12" t="s">
        <v>21</v>
      </c>
      <c r="P22" s="12">
        <f t="shared" si="3"/>
        <v>12</v>
      </c>
    </row>
    <row r="23" spans="1:16" x14ac:dyDescent="0.25">
      <c r="A23" s="12" t="s">
        <v>18</v>
      </c>
      <c r="B23" s="36" t="s">
        <v>514</v>
      </c>
      <c r="C23" s="12">
        <f t="shared" si="0"/>
        <v>14</v>
      </c>
      <c r="D23" s="12">
        <v>1</v>
      </c>
      <c r="E23" s="12" t="str">
        <f t="shared" si="2"/>
        <v>014</v>
      </c>
      <c r="G23" s="12" t="s">
        <v>4113</v>
      </c>
      <c r="H23" s="12" t="s">
        <v>4121</v>
      </c>
      <c r="I23" s="12">
        <v>131</v>
      </c>
      <c r="J23" s="12">
        <v>5113</v>
      </c>
      <c r="K23" s="12" t="s">
        <v>20</v>
      </c>
      <c r="L23" s="12">
        <v>1</v>
      </c>
      <c r="M23" s="17">
        <v>12903226</v>
      </c>
      <c r="N23" s="17">
        <f t="shared" si="1"/>
        <v>12903226</v>
      </c>
      <c r="O23" s="12" t="s">
        <v>21</v>
      </c>
      <c r="P23" s="12">
        <f t="shared" si="3"/>
        <v>13</v>
      </c>
    </row>
    <row r="24" spans="1:16" x14ac:dyDescent="0.25">
      <c r="A24" s="12" t="s">
        <v>18</v>
      </c>
      <c r="B24" s="36" t="s">
        <v>514</v>
      </c>
      <c r="C24" s="12">
        <f t="shared" si="0"/>
        <v>14</v>
      </c>
      <c r="D24" s="12">
        <v>0</v>
      </c>
      <c r="E24" s="12" t="str">
        <f t="shared" si="2"/>
        <v>014</v>
      </c>
      <c r="G24" s="12" t="s">
        <v>4113</v>
      </c>
      <c r="H24" s="12" t="s">
        <v>4131</v>
      </c>
      <c r="I24" s="12">
        <v>333821</v>
      </c>
      <c r="J24" s="12">
        <v>131</v>
      </c>
      <c r="K24" s="12" t="s">
        <v>20</v>
      </c>
      <c r="L24" s="12">
        <v>1</v>
      </c>
      <c r="M24" s="17">
        <v>129032</v>
      </c>
      <c r="N24" s="17">
        <f t="shared" si="1"/>
        <v>129032</v>
      </c>
      <c r="O24" s="12" t="s">
        <v>21</v>
      </c>
      <c r="P24" s="12">
        <f t="shared" si="3"/>
        <v>13</v>
      </c>
    </row>
    <row r="25" spans="1:16" x14ac:dyDescent="0.25">
      <c r="A25" s="12" t="s">
        <v>18</v>
      </c>
      <c r="B25" s="36" t="s">
        <v>453</v>
      </c>
      <c r="C25" s="12">
        <f t="shared" si="0"/>
        <v>15</v>
      </c>
      <c r="D25" s="12">
        <v>1</v>
      </c>
      <c r="E25" s="12" t="str">
        <f t="shared" si="2"/>
        <v>015</v>
      </c>
      <c r="G25" s="12" t="s">
        <v>1890</v>
      </c>
      <c r="H25" s="12" t="s">
        <v>4122</v>
      </c>
      <c r="I25" s="12">
        <v>131</v>
      </c>
      <c r="J25" s="12">
        <v>5113</v>
      </c>
      <c r="K25" s="12" t="s">
        <v>20</v>
      </c>
      <c r="L25" s="12">
        <v>1</v>
      </c>
      <c r="M25" s="17">
        <v>8064516</v>
      </c>
      <c r="N25" s="17">
        <f t="shared" si="1"/>
        <v>8064516</v>
      </c>
      <c r="O25" s="12" t="s">
        <v>21</v>
      </c>
      <c r="P25" s="12">
        <f t="shared" si="3"/>
        <v>14</v>
      </c>
    </row>
    <row r="26" spans="1:16" x14ac:dyDescent="0.25">
      <c r="A26" s="12" t="s">
        <v>18</v>
      </c>
      <c r="B26" s="36" t="s">
        <v>453</v>
      </c>
      <c r="C26" s="12">
        <f t="shared" si="0"/>
        <v>15</v>
      </c>
      <c r="D26" s="12">
        <v>0</v>
      </c>
      <c r="E26" s="12" t="str">
        <f t="shared" si="2"/>
        <v>015</v>
      </c>
      <c r="G26" s="12" t="s">
        <v>1890</v>
      </c>
      <c r="H26" s="12" t="s">
        <v>4132</v>
      </c>
      <c r="I26" s="12">
        <v>333821</v>
      </c>
      <c r="J26" s="12">
        <v>131</v>
      </c>
      <c r="K26" s="12" t="s">
        <v>20</v>
      </c>
      <c r="L26" s="12">
        <v>1</v>
      </c>
      <c r="M26" s="17">
        <v>80645</v>
      </c>
      <c r="N26" s="17">
        <f t="shared" si="1"/>
        <v>80645</v>
      </c>
      <c r="O26" s="12" t="s">
        <v>21</v>
      </c>
      <c r="P26" s="12">
        <f t="shared" si="3"/>
        <v>14</v>
      </c>
    </row>
    <row r="27" spans="1:16" x14ac:dyDescent="0.25">
      <c r="A27" s="12" t="s">
        <v>18</v>
      </c>
      <c r="B27" s="36" t="s">
        <v>454</v>
      </c>
      <c r="C27" s="12">
        <f t="shared" si="0"/>
        <v>16</v>
      </c>
      <c r="D27" s="12">
        <v>1</v>
      </c>
      <c r="E27" s="12" t="str">
        <f t="shared" si="2"/>
        <v>016</v>
      </c>
      <c r="G27" s="12" t="s">
        <v>2057</v>
      </c>
      <c r="H27" s="12" t="s">
        <v>4123</v>
      </c>
      <c r="I27" s="12">
        <v>131</v>
      </c>
      <c r="J27" s="12">
        <v>5113</v>
      </c>
      <c r="K27" s="12" t="s">
        <v>20</v>
      </c>
      <c r="L27" s="12">
        <v>1</v>
      </c>
      <c r="M27" s="17">
        <v>9677419</v>
      </c>
      <c r="N27" s="17">
        <f t="shared" si="1"/>
        <v>9677419</v>
      </c>
      <c r="O27" s="12" t="s">
        <v>21</v>
      </c>
      <c r="P27" s="12">
        <f t="shared" si="3"/>
        <v>15</v>
      </c>
    </row>
    <row r="28" spans="1:16" x14ac:dyDescent="0.25">
      <c r="A28" s="12" t="s">
        <v>18</v>
      </c>
      <c r="B28" s="36" t="s">
        <v>454</v>
      </c>
      <c r="C28" s="12">
        <f t="shared" si="0"/>
        <v>16</v>
      </c>
      <c r="D28" s="12">
        <v>0</v>
      </c>
      <c r="E28" s="12" t="str">
        <f t="shared" si="2"/>
        <v>016</v>
      </c>
      <c r="F28" s="12"/>
      <c r="G28" s="12" t="s">
        <v>2057</v>
      </c>
      <c r="H28" s="12" t="s">
        <v>4133</v>
      </c>
      <c r="I28" s="12">
        <v>333821</v>
      </c>
      <c r="J28" s="12">
        <v>131</v>
      </c>
      <c r="K28" s="12" t="s">
        <v>20</v>
      </c>
      <c r="L28" s="12">
        <v>1</v>
      </c>
      <c r="M28" s="17">
        <v>96774</v>
      </c>
      <c r="N28" s="17">
        <f t="shared" si="1"/>
        <v>96774</v>
      </c>
      <c r="O28" s="12" t="s">
        <v>21</v>
      </c>
      <c r="P28" s="12">
        <f t="shared" si="3"/>
        <v>15</v>
      </c>
    </row>
    <row r="29" spans="1:16" x14ac:dyDescent="0.25">
      <c r="A29" s="12" t="s">
        <v>2679</v>
      </c>
      <c r="B29" s="36">
        <v>45943</v>
      </c>
      <c r="C29" s="12">
        <f t="shared" ref="C29:C49" si="4">C28+D29</f>
        <v>17</v>
      </c>
      <c r="D29" s="12">
        <v>1</v>
      </c>
      <c r="E29" s="12" t="str">
        <f t="shared" si="2"/>
        <v>017</v>
      </c>
      <c r="F29" s="12"/>
      <c r="G29" s="12" t="s">
        <v>4110</v>
      </c>
      <c r="H29" s="12" t="s">
        <v>4578</v>
      </c>
      <c r="I29" s="12">
        <v>112111</v>
      </c>
      <c r="J29" s="12">
        <v>131</v>
      </c>
      <c r="K29" s="12" t="s">
        <v>20</v>
      </c>
      <c r="L29" s="12">
        <v>1</v>
      </c>
      <c r="M29" s="17">
        <v>5850000</v>
      </c>
      <c r="N29" s="17">
        <f t="shared" si="1"/>
        <v>5850000</v>
      </c>
      <c r="O29" s="12" t="s">
        <v>21</v>
      </c>
      <c r="P29" s="12">
        <f t="shared" si="3"/>
        <v>16</v>
      </c>
    </row>
    <row r="30" spans="1:16" x14ac:dyDescent="0.25">
      <c r="A30" s="12" t="s">
        <v>2679</v>
      </c>
      <c r="B30" s="36">
        <v>45945</v>
      </c>
      <c r="C30" s="12">
        <f t="shared" si="4"/>
        <v>18</v>
      </c>
      <c r="D30" s="12">
        <v>1</v>
      </c>
      <c r="E30" s="12" t="str">
        <f t="shared" si="2"/>
        <v>018</v>
      </c>
      <c r="F30" s="12"/>
      <c r="G30" s="12" t="s">
        <v>4111</v>
      </c>
      <c r="H30" s="12" t="s">
        <v>4579</v>
      </c>
      <c r="I30" s="12">
        <v>112111</v>
      </c>
      <c r="J30" s="12">
        <v>131</v>
      </c>
      <c r="K30" s="12" t="s">
        <v>20</v>
      </c>
      <c r="L30" s="12">
        <v>1</v>
      </c>
      <c r="M30" s="17">
        <v>12000000</v>
      </c>
      <c r="N30" s="17">
        <f t="shared" si="1"/>
        <v>12000000</v>
      </c>
      <c r="O30" s="12" t="s">
        <v>21</v>
      </c>
      <c r="P30" s="12">
        <f t="shared" si="3"/>
        <v>17</v>
      </c>
    </row>
    <row r="31" spans="1:16" x14ac:dyDescent="0.25">
      <c r="A31" s="12" t="s">
        <v>2679</v>
      </c>
      <c r="B31" s="36">
        <v>45947</v>
      </c>
      <c r="C31" s="12">
        <f t="shared" si="4"/>
        <v>19</v>
      </c>
      <c r="D31" s="12">
        <v>1</v>
      </c>
      <c r="E31" s="12" t="str">
        <f t="shared" si="2"/>
        <v>019</v>
      </c>
      <c r="F31" s="12"/>
      <c r="G31" s="136" t="s">
        <v>4113</v>
      </c>
      <c r="H31" s="12" t="s">
        <v>4582</v>
      </c>
      <c r="I31" s="12">
        <v>112111</v>
      </c>
      <c r="J31" s="12">
        <v>131</v>
      </c>
      <c r="K31" s="12" t="s">
        <v>20</v>
      </c>
      <c r="L31" s="12">
        <v>1</v>
      </c>
      <c r="M31" s="17">
        <v>6387097</v>
      </c>
      <c r="N31" s="17">
        <f t="shared" si="1"/>
        <v>6387097</v>
      </c>
      <c r="O31" s="12" t="s">
        <v>21</v>
      </c>
      <c r="P31" s="12">
        <f t="shared" si="3"/>
        <v>18</v>
      </c>
    </row>
    <row r="32" spans="1:16" x14ac:dyDescent="0.25">
      <c r="A32" s="12" t="s">
        <v>2679</v>
      </c>
      <c r="B32" s="36">
        <v>45947</v>
      </c>
      <c r="C32" s="12">
        <f t="shared" si="4"/>
        <v>20</v>
      </c>
      <c r="D32" s="12">
        <v>1</v>
      </c>
      <c r="E32" s="12" t="str">
        <f t="shared" si="2"/>
        <v>020</v>
      </c>
      <c r="F32" s="12"/>
      <c r="G32" s="12" t="s">
        <v>4111</v>
      </c>
      <c r="H32" s="12" t="s">
        <v>4579</v>
      </c>
      <c r="I32" s="12">
        <v>112111</v>
      </c>
      <c r="J32" s="12">
        <v>131</v>
      </c>
      <c r="K32" s="12" t="s">
        <v>20</v>
      </c>
      <c r="L32" s="12">
        <v>1</v>
      </c>
      <c r="M32" s="17">
        <v>720000</v>
      </c>
      <c r="N32" s="17">
        <f t="shared" si="1"/>
        <v>720000</v>
      </c>
      <c r="O32" s="12" t="s">
        <v>21</v>
      </c>
      <c r="P32" s="12">
        <f t="shared" si="3"/>
        <v>19</v>
      </c>
    </row>
    <row r="33" spans="1:16" x14ac:dyDescent="0.25">
      <c r="A33" s="12" t="s">
        <v>2679</v>
      </c>
      <c r="B33" s="36">
        <v>45951</v>
      </c>
      <c r="C33" s="12">
        <f t="shared" si="4"/>
        <v>21</v>
      </c>
      <c r="D33" s="12">
        <v>1</v>
      </c>
      <c r="E33" s="12" t="str">
        <f t="shared" si="2"/>
        <v>021</v>
      </c>
      <c r="F33" s="12"/>
      <c r="G33" s="12" t="s">
        <v>999</v>
      </c>
      <c r="H33" s="12" t="s">
        <v>4585</v>
      </c>
      <c r="I33" s="12">
        <v>112111</v>
      </c>
      <c r="J33" s="12">
        <v>131</v>
      </c>
      <c r="K33" s="12" t="s">
        <v>20</v>
      </c>
      <c r="L33" s="12">
        <v>1</v>
      </c>
      <c r="M33" s="17">
        <v>9000000</v>
      </c>
      <c r="N33" s="17">
        <f t="shared" si="1"/>
        <v>9000000</v>
      </c>
      <c r="O33" s="12" t="s">
        <v>21</v>
      </c>
      <c r="P33" s="12">
        <f t="shared" si="3"/>
        <v>20</v>
      </c>
    </row>
    <row r="34" spans="1:16" x14ac:dyDescent="0.25">
      <c r="A34" s="12" t="s">
        <v>2679</v>
      </c>
      <c r="B34" s="36">
        <v>45955</v>
      </c>
      <c r="C34" s="12">
        <f t="shared" si="4"/>
        <v>22</v>
      </c>
      <c r="D34" s="12">
        <v>1</v>
      </c>
      <c r="E34" s="12" t="str">
        <f t="shared" si="2"/>
        <v>022</v>
      </c>
      <c r="F34" s="12"/>
      <c r="G34" s="136" t="s">
        <v>4103</v>
      </c>
      <c r="H34" s="12" t="s">
        <v>2687</v>
      </c>
      <c r="I34" s="12">
        <v>112111</v>
      </c>
      <c r="J34" s="12">
        <v>5154</v>
      </c>
      <c r="K34" s="12" t="s">
        <v>20</v>
      </c>
      <c r="L34" s="12">
        <v>1</v>
      </c>
      <c r="M34" s="17">
        <v>1551</v>
      </c>
      <c r="N34" s="17">
        <f t="shared" si="1"/>
        <v>1551</v>
      </c>
      <c r="O34" s="12" t="s">
        <v>21</v>
      </c>
      <c r="P34" s="12">
        <f t="shared" si="3"/>
        <v>21</v>
      </c>
    </row>
    <row r="35" spans="1:16" x14ac:dyDescent="0.25">
      <c r="A35" s="12" t="s">
        <v>2679</v>
      </c>
      <c r="B35" s="36">
        <v>45960</v>
      </c>
      <c r="C35" s="12">
        <f t="shared" si="4"/>
        <v>23</v>
      </c>
      <c r="D35" s="12">
        <v>1</v>
      </c>
      <c r="E35" s="12" t="str">
        <f t="shared" si="2"/>
        <v>023</v>
      </c>
      <c r="F35" s="12"/>
      <c r="G35" s="12" t="s">
        <v>999</v>
      </c>
      <c r="H35" s="12" t="s">
        <v>4585</v>
      </c>
      <c r="I35" s="12">
        <v>112111</v>
      </c>
      <c r="J35" s="12">
        <v>131</v>
      </c>
      <c r="K35" s="12" t="s">
        <v>20</v>
      </c>
      <c r="L35" s="12">
        <v>1</v>
      </c>
      <c r="M35" s="17">
        <v>5859677</v>
      </c>
      <c r="N35" s="17">
        <f t="shared" si="1"/>
        <v>5859677</v>
      </c>
      <c r="O35" s="12" t="s">
        <v>21</v>
      </c>
      <c r="P35" s="12">
        <f t="shared" si="3"/>
        <v>22</v>
      </c>
    </row>
    <row r="36" spans="1:16" x14ac:dyDescent="0.25">
      <c r="A36" s="12" t="s">
        <v>2679</v>
      </c>
      <c r="B36" s="36">
        <v>45969</v>
      </c>
      <c r="C36" s="12">
        <f t="shared" si="4"/>
        <v>24</v>
      </c>
      <c r="D36" s="12">
        <v>1</v>
      </c>
      <c r="E36" s="12" t="str">
        <f t="shared" si="2"/>
        <v>024</v>
      </c>
      <c r="F36" s="12"/>
      <c r="G36" s="12" t="s">
        <v>4112</v>
      </c>
      <c r="H36" s="12" t="s">
        <v>4581</v>
      </c>
      <c r="I36" s="12">
        <v>112111</v>
      </c>
      <c r="J36" s="12">
        <v>131</v>
      </c>
      <c r="K36" s="12" t="s">
        <v>20</v>
      </c>
      <c r="L36" s="12">
        <v>1</v>
      </c>
      <c r="M36" s="17">
        <v>14903226</v>
      </c>
      <c r="N36" s="17">
        <f t="shared" si="1"/>
        <v>14903226</v>
      </c>
      <c r="O36" s="12" t="s">
        <v>21</v>
      </c>
      <c r="P36" s="12">
        <f t="shared" si="3"/>
        <v>23</v>
      </c>
    </row>
    <row r="37" spans="1:16" x14ac:dyDescent="0.25">
      <c r="A37" s="12" t="s">
        <v>2679</v>
      </c>
      <c r="B37" s="36">
        <v>45982</v>
      </c>
      <c r="C37" s="12">
        <f t="shared" si="4"/>
        <v>25</v>
      </c>
      <c r="D37" s="12">
        <v>1</v>
      </c>
      <c r="E37" s="12" t="str">
        <f t="shared" si="2"/>
        <v>025</v>
      </c>
      <c r="F37" s="12"/>
      <c r="G37" s="136" t="s">
        <v>4113</v>
      </c>
      <c r="H37" s="12" t="s">
        <v>4582</v>
      </c>
      <c r="I37" s="12">
        <v>112111</v>
      </c>
      <c r="J37" s="12">
        <v>131</v>
      </c>
      <c r="K37" s="12" t="s">
        <v>20</v>
      </c>
      <c r="L37" s="12">
        <v>1</v>
      </c>
      <c r="M37" s="17">
        <v>6387097</v>
      </c>
      <c r="N37" s="17">
        <f t="shared" si="1"/>
        <v>6387097</v>
      </c>
      <c r="O37" s="12" t="s">
        <v>21</v>
      </c>
      <c r="P37" s="12">
        <f t="shared" si="3"/>
        <v>24</v>
      </c>
    </row>
    <row r="38" spans="1:16" x14ac:dyDescent="0.25">
      <c r="A38" s="12" t="s">
        <v>2679</v>
      </c>
      <c r="B38" s="36">
        <v>45986</v>
      </c>
      <c r="C38" s="12">
        <f t="shared" si="4"/>
        <v>26</v>
      </c>
      <c r="D38" s="12">
        <v>1</v>
      </c>
      <c r="E38" s="12" t="str">
        <f t="shared" si="2"/>
        <v>026</v>
      </c>
      <c r="F38" s="12"/>
      <c r="G38" s="136" t="s">
        <v>4103</v>
      </c>
      <c r="H38" s="12" t="s">
        <v>2687</v>
      </c>
      <c r="I38" s="12">
        <v>112111</v>
      </c>
      <c r="J38" s="12">
        <v>5154</v>
      </c>
      <c r="K38" s="12" t="s">
        <v>20</v>
      </c>
      <c r="L38" s="12">
        <v>1</v>
      </c>
      <c r="M38" s="17">
        <v>1879</v>
      </c>
      <c r="N38" s="17">
        <f t="shared" si="1"/>
        <v>1879</v>
      </c>
      <c r="O38" s="12" t="s">
        <v>21</v>
      </c>
      <c r="P38" s="12">
        <f t="shared" si="3"/>
        <v>25</v>
      </c>
    </row>
    <row r="39" spans="1:16" x14ac:dyDescent="0.25">
      <c r="A39" s="12" t="s">
        <v>2679</v>
      </c>
      <c r="B39" s="36">
        <v>46001</v>
      </c>
      <c r="C39" s="12">
        <f t="shared" si="4"/>
        <v>27</v>
      </c>
      <c r="D39" s="12">
        <v>1</v>
      </c>
      <c r="E39" s="12" t="str">
        <f t="shared" si="2"/>
        <v>027</v>
      </c>
      <c r="F39" s="17"/>
      <c r="G39" s="12" t="s">
        <v>42</v>
      </c>
      <c r="H39" s="12" t="s">
        <v>4580</v>
      </c>
      <c r="I39" s="12">
        <v>112111</v>
      </c>
      <c r="J39" s="12">
        <v>131</v>
      </c>
      <c r="K39" s="12" t="s">
        <v>20</v>
      </c>
      <c r="L39" s="12">
        <v>1</v>
      </c>
      <c r="M39" s="17">
        <v>16500000</v>
      </c>
      <c r="N39" s="17">
        <f t="shared" si="1"/>
        <v>16500000</v>
      </c>
      <c r="O39" s="12" t="s">
        <v>21</v>
      </c>
      <c r="P39" s="12">
        <f t="shared" si="3"/>
        <v>26</v>
      </c>
    </row>
    <row r="40" spans="1:16" x14ac:dyDescent="0.25">
      <c r="A40" s="12" t="s">
        <v>2679</v>
      </c>
      <c r="B40" s="36">
        <v>46003</v>
      </c>
      <c r="C40" s="12">
        <f t="shared" si="4"/>
        <v>28</v>
      </c>
      <c r="D40" s="12">
        <v>1</v>
      </c>
      <c r="E40" s="12" t="str">
        <f t="shared" si="2"/>
        <v>028</v>
      </c>
      <c r="F40" s="12"/>
      <c r="G40" s="12" t="s">
        <v>4113</v>
      </c>
      <c r="H40" s="12" t="s">
        <v>4584</v>
      </c>
      <c r="I40" s="12">
        <v>112111</v>
      </c>
      <c r="J40" s="12">
        <v>131</v>
      </c>
      <c r="K40" s="12" t="s">
        <v>20</v>
      </c>
      <c r="L40" s="12">
        <v>1</v>
      </c>
      <c r="M40" s="17">
        <v>6387097</v>
      </c>
      <c r="N40" s="17">
        <f t="shared" si="1"/>
        <v>6387097</v>
      </c>
      <c r="O40" s="12" t="s">
        <v>21</v>
      </c>
      <c r="P40" s="12">
        <f t="shared" si="3"/>
        <v>27</v>
      </c>
    </row>
    <row r="41" spans="1:16" x14ac:dyDescent="0.25">
      <c r="A41" s="12" t="s">
        <v>2679</v>
      </c>
      <c r="B41" s="36">
        <v>46017</v>
      </c>
      <c r="C41" s="12">
        <f t="shared" si="4"/>
        <v>29</v>
      </c>
      <c r="D41" s="12">
        <v>1</v>
      </c>
      <c r="E41" s="12" t="str">
        <f t="shared" si="2"/>
        <v>029</v>
      </c>
      <c r="F41" s="12"/>
      <c r="G41" s="12" t="s">
        <v>2057</v>
      </c>
      <c r="H41" s="12" t="s">
        <v>4583</v>
      </c>
      <c r="I41" s="12">
        <v>112111</v>
      </c>
      <c r="J41" s="12">
        <v>131</v>
      </c>
      <c r="K41" s="12" t="s">
        <v>20</v>
      </c>
      <c r="L41" s="12">
        <v>1</v>
      </c>
      <c r="M41" s="17">
        <v>9580645</v>
      </c>
      <c r="N41" s="17">
        <f t="shared" si="1"/>
        <v>9580645</v>
      </c>
      <c r="O41" s="12" t="s">
        <v>21</v>
      </c>
      <c r="P41" s="12">
        <f t="shared" si="3"/>
        <v>28</v>
      </c>
    </row>
    <row r="42" spans="1:16" x14ac:dyDescent="0.25">
      <c r="A42" s="12" t="s">
        <v>2679</v>
      </c>
      <c r="B42" s="36">
        <v>46022</v>
      </c>
      <c r="C42" s="12">
        <f t="shared" si="4"/>
        <v>30</v>
      </c>
      <c r="D42" s="12">
        <v>1</v>
      </c>
      <c r="E42" s="12" t="str">
        <f t="shared" si="2"/>
        <v>030</v>
      </c>
      <c r="F42" s="12"/>
      <c r="G42" s="136" t="s">
        <v>4103</v>
      </c>
      <c r="H42" s="12" t="s">
        <v>2687</v>
      </c>
      <c r="I42" s="12">
        <v>112111</v>
      </c>
      <c r="J42" s="12">
        <v>5154</v>
      </c>
      <c r="K42" s="12" t="s">
        <v>20</v>
      </c>
      <c r="L42" s="12">
        <v>1</v>
      </c>
      <c r="M42" s="17">
        <v>1427</v>
      </c>
      <c r="N42" s="17">
        <f t="shared" si="1"/>
        <v>1427</v>
      </c>
      <c r="O42" s="12" t="s">
        <v>21</v>
      </c>
      <c r="P42" s="12">
        <f t="shared" si="3"/>
        <v>29</v>
      </c>
    </row>
    <row r="43" spans="1:16" x14ac:dyDescent="0.25">
      <c r="A43" s="12" t="s">
        <v>18</v>
      </c>
      <c r="B43" s="36">
        <v>45991</v>
      </c>
      <c r="C43" s="12">
        <f t="shared" si="4"/>
        <v>31</v>
      </c>
      <c r="D43" s="12">
        <v>1</v>
      </c>
      <c r="E43" s="12" t="str">
        <f t="shared" si="2"/>
        <v>031</v>
      </c>
      <c r="F43" s="12"/>
      <c r="G43" s="136" t="s">
        <v>93</v>
      </c>
      <c r="H43" s="12" t="s">
        <v>4591</v>
      </c>
      <c r="I43" s="12">
        <v>64271</v>
      </c>
      <c r="J43" s="12">
        <v>3383</v>
      </c>
      <c r="K43" s="12" t="s">
        <v>20</v>
      </c>
      <c r="L43" s="12">
        <v>1</v>
      </c>
      <c r="M43" s="17">
        <v>690300</v>
      </c>
      <c r="N43" s="17">
        <f t="shared" si="1"/>
        <v>690300</v>
      </c>
      <c r="O43" s="12" t="s">
        <v>21</v>
      </c>
      <c r="P43" s="12">
        <f t="shared" si="3"/>
        <v>30</v>
      </c>
    </row>
    <row r="44" spans="1:16" x14ac:dyDescent="0.25">
      <c r="A44" s="12" t="s">
        <v>18</v>
      </c>
      <c r="B44" s="36">
        <v>46022</v>
      </c>
      <c r="C44" s="12">
        <f t="shared" si="4"/>
        <v>32</v>
      </c>
      <c r="D44" s="12">
        <v>1</v>
      </c>
      <c r="E44" s="12" t="str">
        <f t="shared" si="2"/>
        <v>032</v>
      </c>
      <c r="F44" s="12"/>
      <c r="G44" s="136" t="s">
        <v>93</v>
      </c>
      <c r="H44" s="12" t="s">
        <v>4592</v>
      </c>
      <c r="I44" s="12">
        <v>64271</v>
      </c>
      <c r="J44" s="12">
        <v>3383</v>
      </c>
      <c r="K44" s="12" t="s">
        <v>20</v>
      </c>
      <c r="L44" s="12">
        <v>1</v>
      </c>
      <c r="M44" s="17">
        <v>690300</v>
      </c>
      <c r="N44" s="17">
        <f t="shared" si="1"/>
        <v>690300</v>
      </c>
      <c r="O44" s="12" t="s">
        <v>21</v>
      </c>
      <c r="P44" s="12">
        <f t="shared" si="3"/>
        <v>31</v>
      </c>
    </row>
    <row r="45" spans="1:16" x14ac:dyDescent="0.25">
      <c r="A45" s="12" t="s">
        <v>2719</v>
      </c>
      <c r="B45" s="36" t="s">
        <v>374</v>
      </c>
      <c r="C45" s="12">
        <f t="shared" si="4"/>
        <v>33</v>
      </c>
      <c r="D45" s="12">
        <v>1</v>
      </c>
      <c r="E45" s="12" t="str">
        <f t="shared" si="2"/>
        <v>033</v>
      </c>
      <c r="F45" s="12"/>
      <c r="G45" s="12" t="s">
        <v>64</v>
      </c>
      <c r="H45" s="12" t="s">
        <v>4586</v>
      </c>
      <c r="I45" s="12">
        <v>331</v>
      </c>
      <c r="J45" s="12">
        <v>1111</v>
      </c>
      <c r="K45" s="12" t="s">
        <v>20</v>
      </c>
      <c r="L45" s="12">
        <v>1</v>
      </c>
      <c r="M45" s="17">
        <v>99000</v>
      </c>
      <c r="N45" s="17">
        <f t="shared" ref="N45:N51" si="5">L45*M45</f>
        <v>99000</v>
      </c>
      <c r="O45" s="12" t="s">
        <v>21</v>
      </c>
      <c r="P45" s="12">
        <f t="shared" si="3"/>
        <v>32</v>
      </c>
    </row>
    <row r="46" spans="1:16" x14ac:dyDescent="0.25">
      <c r="A46" s="12" t="s">
        <v>2719</v>
      </c>
      <c r="B46" s="36" t="s">
        <v>446</v>
      </c>
      <c r="C46" s="12">
        <f t="shared" si="4"/>
        <v>34</v>
      </c>
      <c r="D46" s="12">
        <v>1</v>
      </c>
      <c r="E46" s="12" t="str">
        <f t="shared" si="2"/>
        <v>034</v>
      </c>
      <c r="F46" s="12"/>
      <c r="G46" s="12" t="s">
        <v>64</v>
      </c>
      <c r="H46" s="12" t="s">
        <v>4587</v>
      </c>
      <c r="I46" s="12">
        <v>331</v>
      </c>
      <c r="J46" s="12">
        <v>1111</v>
      </c>
      <c r="K46" s="12" t="s">
        <v>20</v>
      </c>
      <c r="L46" s="12">
        <v>1</v>
      </c>
      <c r="M46" s="17">
        <v>1662120</v>
      </c>
      <c r="N46" s="17">
        <f t="shared" si="5"/>
        <v>1662120</v>
      </c>
      <c r="O46" s="12" t="s">
        <v>21</v>
      </c>
      <c r="P46" s="12">
        <f t="shared" si="3"/>
        <v>33</v>
      </c>
    </row>
    <row r="47" spans="1:16" x14ac:dyDescent="0.25">
      <c r="A47" s="12" t="s">
        <v>2719</v>
      </c>
      <c r="B47" s="36" t="s">
        <v>413</v>
      </c>
      <c r="C47" s="12">
        <f t="shared" si="4"/>
        <v>35</v>
      </c>
      <c r="D47" s="12">
        <v>1</v>
      </c>
      <c r="E47" s="12" t="str">
        <f t="shared" si="2"/>
        <v>035</v>
      </c>
      <c r="F47" s="12"/>
      <c r="G47" s="12" t="s">
        <v>4105</v>
      </c>
      <c r="H47" s="12" t="s">
        <v>4588</v>
      </c>
      <c r="I47" s="12">
        <v>331</v>
      </c>
      <c r="J47" s="12">
        <v>1111</v>
      </c>
      <c r="K47" s="12" t="s">
        <v>20</v>
      </c>
      <c r="L47" s="12">
        <v>1</v>
      </c>
      <c r="M47" s="17">
        <v>5002800</v>
      </c>
      <c r="N47" s="17">
        <f t="shared" si="5"/>
        <v>5002800</v>
      </c>
      <c r="O47" s="12" t="s">
        <v>21</v>
      </c>
      <c r="P47" s="12">
        <f t="shared" si="3"/>
        <v>34</v>
      </c>
    </row>
    <row r="48" spans="1:16" x14ac:dyDescent="0.25">
      <c r="A48" s="12" t="s">
        <v>2719</v>
      </c>
      <c r="B48" s="36" t="s">
        <v>377</v>
      </c>
      <c r="C48" s="12">
        <f t="shared" si="4"/>
        <v>36</v>
      </c>
      <c r="D48" s="12">
        <v>1</v>
      </c>
      <c r="E48" s="12" t="str">
        <f t="shared" si="2"/>
        <v>036</v>
      </c>
      <c r="F48" s="12"/>
      <c r="G48" s="12" t="s">
        <v>37</v>
      </c>
      <c r="H48" s="12" t="s">
        <v>4589</v>
      </c>
      <c r="I48" s="12">
        <v>331</v>
      </c>
      <c r="J48" s="12">
        <v>1111</v>
      </c>
      <c r="K48" s="12" t="s">
        <v>20</v>
      </c>
      <c r="L48" s="12">
        <v>1</v>
      </c>
      <c r="M48" s="17">
        <v>3240000</v>
      </c>
      <c r="N48" s="17">
        <f t="shared" si="5"/>
        <v>3240000</v>
      </c>
      <c r="O48" s="12" t="s">
        <v>21</v>
      </c>
      <c r="P48" s="12">
        <f t="shared" si="3"/>
        <v>35</v>
      </c>
    </row>
    <row r="49" spans="1:16" x14ac:dyDescent="0.25">
      <c r="A49" s="12" t="s">
        <v>2719</v>
      </c>
      <c r="B49" s="36" t="s">
        <v>588</v>
      </c>
      <c r="C49" s="12">
        <f t="shared" si="4"/>
        <v>37</v>
      </c>
      <c r="D49" s="12">
        <v>1</v>
      </c>
      <c r="E49" s="12" t="str">
        <f t="shared" si="2"/>
        <v>037</v>
      </c>
      <c r="F49" s="12"/>
      <c r="G49" s="12" t="s">
        <v>37</v>
      </c>
      <c r="H49" s="12" t="s">
        <v>4590</v>
      </c>
      <c r="I49" s="12">
        <v>331</v>
      </c>
      <c r="J49" s="12">
        <v>1111</v>
      </c>
      <c r="K49" s="12" t="s">
        <v>20</v>
      </c>
      <c r="L49" s="12">
        <v>1</v>
      </c>
      <c r="M49" s="17">
        <v>3240000</v>
      </c>
      <c r="N49" s="17">
        <f t="shared" si="5"/>
        <v>3240000</v>
      </c>
      <c r="O49" s="12" t="s">
        <v>21</v>
      </c>
      <c r="P49" s="12">
        <f t="shared" si="3"/>
        <v>36</v>
      </c>
    </row>
    <row r="50" spans="1:16" x14ac:dyDescent="0.25">
      <c r="A50" s="12" t="s">
        <v>2719</v>
      </c>
      <c r="B50" s="36">
        <v>45991</v>
      </c>
      <c r="C50" s="12">
        <f t="shared" ref="C50:C51" si="6">C49+D50</f>
        <v>38</v>
      </c>
      <c r="D50" s="12">
        <v>1</v>
      </c>
      <c r="E50" s="12" t="str">
        <f t="shared" si="2"/>
        <v>038</v>
      </c>
      <c r="F50" s="12"/>
      <c r="G50" s="136" t="s">
        <v>93</v>
      </c>
      <c r="H50" s="12" t="s">
        <v>4593</v>
      </c>
      <c r="I50" s="12">
        <v>3383</v>
      </c>
      <c r="J50" s="12">
        <v>1111</v>
      </c>
      <c r="K50" s="12" t="s">
        <v>20</v>
      </c>
      <c r="L50" s="12">
        <v>1</v>
      </c>
      <c r="M50" s="17">
        <v>690300</v>
      </c>
      <c r="N50" s="17">
        <f t="shared" si="5"/>
        <v>690300</v>
      </c>
      <c r="O50" s="12" t="s">
        <v>21</v>
      </c>
      <c r="P50" s="12">
        <f t="shared" si="3"/>
        <v>37</v>
      </c>
    </row>
    <row r="51" spans="1:16" x14ac:dyDescent="0.25">
      <c r="A51" s="12" t="s">
        <v>2719</v>
      </c>
      <c r="B51" s="36">
        <v>46022</v>
      </c>
      <c r="C51" s="12">
        <f t="shared" si="6"/>
        <v>39</v>
      </c>
      <c r="D51" s="12">
        <v>1</v>
      </c>
      <c r="E51" s="12" t="str">
        <f t="shared" si="2"/>
        <v>039</v>
      </c>
      <c r="F51" s="12"/>
      <c r="G51" s="136" t="s">
        <v>93</v>
      </c>
      <c r="H51" s="12" t="s">
        <v>4594</v>
      </c>
      <c r="I51" s="12">
        <v>3383</v>
      </c>
      <c r="J51" s="12">
        <v>1111</v>
      </c>
      <c r="K51" s="12" t="s">
        <v>20</v>
      </c>
      <c r="L51" s="12">
        <v>1</v>
      </c>
      <c r="M51" s="17">
        <v>690300</v>
      </c>
      <c r="N51" s="17">
        <f t="shared" si="5"/>
        <v>690300</v>
      </c>
      <c r="O51" s="12" t="s">
        <v>21</v>
      </c>
      <c r="P51" s="12">
        <f t="shared" si="3"/>
        <v>38</v>
      </c>
    </row>
  </sheetData>
  <autoFilter ref="A3:P42" xr:uid="{00000000-0009-0000-0000-00001A000000}">
    <sortState xmlns:xlrd2="http://schemas.microsoft.com/office/spreadsheetml/2017/richdata2" ref="A4:P28">
      <sortCondition ref="P3:P18"/>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P209"/>
  <sheetViews>
    <sheetView topLeftCell="A97" workbookViewId="0">
      <selection activeCell="G116" sqref="G116:H117"/>
    </sheetView>
  </sheetViews>
  <sheetFormatPr defaultRowHeight="15" x14ac:dyDescent="0.25"/>
  <cols>
    <col min="2" max="2" width="10.7109375" bestFit="1" customWidth="1"/>
    <col min="6" max="6" width="9.85546875" bestFit="1" customWidth="1"/>
    <col min="7" max="7" width="14.7109375" bestFit="1" customWidth="1"/>
    <col min="8" max="8" width="27.7109375" customWidth="1"/>
    <col min="13" max="14" width="10.7109375" bestFit="1" customWidth="1"/>
  </cols>
  <sheetData>
    <row r="1" spans="1:16" ht="15.75" thickBot="1" x14ac:dyDescent="0.3">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16" ht="15.75" thickBot="1" x14ac:dyDescent="0.3">
      <c r="A2" s="205"/>
      <c r="B2" s="220"/>
      <c r="C2" s="205"/>
      <c r="D2" s="208"/>
      <c r="E2" s="208"/>
      <c r="F2" s="203"/>
      <c r="G2" s="212"/>
      <c r="H2" s="214"/>
      <c r="I2" s="46" t="s">
        <v>13</v>
      </c>
      <c r="J2" s="47" t="s">
        <v>14</v>
      </c>
      <c r="K2" s="205"/>
      <c r="L2" s="205"/>
      <c r="M2" s="218"/>
      <c r="N2" s="218"/>
      <c r="O2" s="38" t="s">
        <v>100</v>
      </c>
      <c r="P2" s="38"/>
    </row>
    <row r="3" spans="1:16" x14ac:dyDescent="0.25">
      <c r="A3" s="48"/>
      <c r="B3" s="83"/>
      <c r="C3" s="48">
        <v>1</v>
      </c>
      <c r="D3" s="49"/>
      <c r="E3" s="49"/>
      <c r="F3" s="49"/>
      <c r="G3" s="51" t="s">
        <v>15</v>
      </c>
      <c r="H3" s="52"/>
      <c r="I3" s="52"/>
      <c r="J3" s="52"/>
      <c r="K3" s="48"/>
      <c r="L3" s="48"/>
      <c r="M3" s="84"/>
      <c r="N3" s="84"/>
      <c r="O3" s="38" t="s">
        <v>16</v>
      </c>
      <c r="P3" s="38" t="s">
        <v>17</v>
      </c>
    </row>
    <row r="4" spans="1:16" x14ac:dyDescent="0.25">
      <c r="A4" s="12" t="s">
        <v>18</v>
      </c>
      <c r="B4" s="36" t="s">
        <v>443</v>
      </c>
      <c r="C4" s="12">
        <f t="shared" ref="C4:C35" si="0">C3+D4</f>
        <v>2</v>
      </c>
      <c r="D4" s="12">
        <v>1</v>
      </c>
      <c r="E4" s="12" t="str">
        <f>TEXT(C4,"000")</f>
        <v>002</v>
      </c>
      <c r="F4" s="12"/>
      <c r="G4" s="12" t="s">
        <v>48</v>
      </c>
      <c r="H4" s="12" t="s">
        <v>4142</v>
      </c>
      <c r="I4" s="12">
        <v>64277</v>
      </c>
      <c r="J4" s="12">
        <v>331</v>
      </c>
      <c r="K4" s="12" t="s">
        <v>20</v>
      </c>
      <c r="L4" s="12">
        <v>1</v>
      </c>
      <c r="M4" s="17">
        <v>7329</v>
      </c>
      <c r="N4" s="17">
        <f t="shared" ref="N4:N35" si="1">L4*M4</f>
        <v>7329</v>
      </c>
      <c r="O4" s="12" t="s">
        <v>21</v>
      </c>
      <c r="P4" s="12">
        <v>1</v>
      </c>
    </row>
    <row r="5" spans="1:16" x14ac:dyDescent="0.25">
      <c r="A5" s="12" t="s">
        <v>18</v>
      </c>
      <c r="B5" s="36" t="s">
        <v>311</v>
      </c>
      <c r="C5" s="12">
        <f t="shared" si="0"/>
        <v>3</v>
      </c>
      <c r="D5" s="12">
        <v>1</v>
      </c>
      <c r="E5" s="12" t="str">
        <f t="shared" ref="E5:E69" si="2">TEXT(C5,"000")</f>
        <v>003</v>
      </c>
      <c r="F5" s="12"/>
      <c r="G5" s="12" t="s">
        <v>64</v>
      </c>
      <c r="H5" s="12" t="s">
        <v>4143</v>
      </c>
      <c r="I5" s="12">
        <v>64277</v>
      </c>
      <c r="J5" s="12">
        <v>331</v>
      </c>
      <c r="K5" s="12" t="s">
        <v>20</v>
      </c>
      <c r="L5" s="12">
        <v>1</v>
      </c>
      <c r="M5" s="17">
        <v>99000</v>
      </c>
      <c r="N5" s="17">
        <f t="shared" si="1"/>
        <v>99000</v>
      </c>
      <c r="O5" s="12" t="s">
        <v>21</v>
      </c>
      <c r="P5" s="12">
        <f>P4+D5</f>
        <v>2</v>
      </c>
    </row>
    <row r="6" spans="1:16" x14ac:dyDescent="0.25">
      <c r="A6" s="12" t="s">
        <v>18</v>
      </c>
      <c r="B6" s="36" t="s">
        <v>446</v>
      </c>
      <c r="C6" s="12">
        <f t="shared" si="0"/>
        <v>4</v>
      </c>
      <c r="D6" s="12">
        <v>1</v>
      </c>
      <c r="E6" s="12" t="str">
        <f t="shared" si="2"/>
        <v>004</v>
      </c>
      <c r="F6" s="12"/>
      <c r="G6" s="12" t="s">
        <v>458</v>
      </c>
      <c r="H6" s="12" t="s">
        <v>4598</v>
      </c>
      <c r="I6" s="12">
        <v>64277</v>
      </c>
      <c r="J6" s="12">
        <v>331</v>
      </c>
      <c r="K6" s="12" t="s">
        <v>20</v>
      </c>
      <c r="L6" s="12">
        <v>1</v>
      </c>
      <c r="M6" s="17">
        <v>100000</v>
      </c>
      <c r="N6" s="17">
        <f t="shared" si="1"/>
        <v>100000</v>
      </c>
      <c r="O6" s="12" t="s">
        <v>21</v>
      </c>
      <c r="P6" s="12">
        <f t="shared" ref="P6:P69" si="3">P5+D6</f>
        <v>3</v>
      </c>
    </row>
    <row r="7" spans="1:16" x14ac:dyDescent="0.25">
      <c r="A7" s="12" t="s">
        <v>18</v>
      </c>
      <c r="B7" s="36" t="s">
        <v>446</v>
      </c>
      <c r="C7" s="12">
        <f t="shared" si="0"/>
        <v>5</v>
      </c>
      <c r="D7" s="12">
        <v>1</v>
      </c>
      <c r="E7" s="12" t="str">
        <f t="shared" si="2"/>
        <v>005</v>
      </c>
      <c r="F7" s="12"/>
      <c r="G7" s="12" t="s">
        <v>19</v>
      </c>
      <c r="H7" s="12" t="s">
        <v>4599</v>
      </c>
      <c r="I7" s="12">
        <v>64277</v>
      </c>
      <c r="J7" s="12">
        <v>331</v>
      </c>
      <c r="K7" s="12" t="s">
        <v>20</v>
      </c>
      <c r="L7" s="12">
        <v>1</v>
      </c>
      <c r="M7" s="17">
        <v>107000</v>
      </c>
      <c r="N7" s="17">
        <f t="shared" si="1"/>
        <v>107000</v>
      </c>
      <c r="O7" s="12" t="s">
        <v>21</v>
      </c>
      <c r="P7" s="12">
        <f t="shared" si="3"/>
        <v>4</v>
      </c>
    </row>
    <row r="8" spans="1:16" x14ac:dyDescent="0.25">
      <c r="A8" s="12" t="s">
        <v>18</v>
      </c>
      <c r="B8" s="36" t="s">
        <v>446</v>
      </c>
      <c r="C8" s="12">
        <f t="shared" si="0"/>
        <v>6</v>
      </c>
      <c r="D8" s="12">
        <v>1</v>
      </c>
      <c r="E8" s="12" t="str">
        <f t="shared" si="2"/>
        <v>006</v>
      </c>
      <c r="F8" s="12"/>
      <c r="G8" s="12" t="s">
        <v>19</v>
      </c>
      <c r="H8" s="12" t="s">
        <v>4600</v>
      </c>
      <c r="I8" s="12">
        <v>64277</v>
      </c>
      <c r="J8" s="12">
        <v>331</v>
      </c>
      <c r="K8" s="12" t="s">
        <v>20</v>
      </c>
      <c r="L8" s="12">
        <v>1</v>
      </c>
      <c r="M8" s="17">
        <v>224000</v>
      </c>
      <c r="N8" s="17">
        <f t="shared" si="1"/>
        <v>224000</v>
      </c>
      <c r="O8" s="12" t="s">
        <v>21</v>
      </c>
      <c r="P8" s="12">
        <f t="shared" si="3"/>
        <v>5</v>
      </c>
    </row>
    <row r="9" spans="1:16" x14ac:dyDescent="0.25">
      <c r="A9" s="12" t="s">
        <v>18</v>
      </c>
      <c r="B9" s="36" t="s">
        <v>290</v>
      </c>
      <c r="C9" s="12">
        <f t="shared" si="0"/>
        <v>7</v>
      </c>
      <c r="D9" s="12">
        <v>1</v>
      </c>
      <c r="E9" s="12" t="str">
        <f t="shared" si="2"/>
        <v>007</v>
      </c>
      <c r="F9" s="12"/>
      <c r="G9" s="12" t="s">
        <v>113</v>
      </c>
      <c r="H9" s="12" t="s">
        <v>4601</v>
      </c>
      <c r="I9" s="12">
        <v>64276</v>
      </c>
      <c r="J9" s="12">
        <v>331</v>
      </c>
      <c r="K9" s="12" t="s">
        <v>20</v>
      </c>
      <c r="L9" s="12">
        <v>1</v>
      </c>
      <c r="M9" s="17">
        <v>154000</v>
      </c>
      <c r="N9" s="17">
        <f t="shared" si="1"/>
        <v>154000</v>
      </c>
      <c r="O9" s="12" t="s">
        <v>21</v>
      </c>
      <c r="P9" s="12">
        <f t="shared" si="3"/>
        <v>6</v>
      </c>
    </row>
    <row r="10" spans="1:16" x14ac:dyDescent="0.25">
      <c r="A10" s="12" t="s">
        <v>18</v>
      </c>
      <c r="B10" s="36" t="s">
        <v>376</v>
      </c>
      <c r="C10" s="12">
        <f t="shared" si="0"/>
        <v>8</v>
      </c>
      <c r="D10" s="12">
        <v>1</v>
      </c>
      <c r="E10" s="12" t="str">
        <f t="shared" si="2"/>
        <v>008</v>
      </c>
      <c r="F10" s="12"/>
      <c r="G10" s="12" t="s">
        <v>64</v>
      </c>
      <c r="H10" s="12" t="s">
        <v>4595</v>
      </c>
      <c r="I10" s="12">
        <v>64277</v>
      </c>
      <c r="J10" s="12">
        <v>331</v>
      </c>
      <c r="K10" s="12" t="s">
        <v>20</v>
      </c>
      <c r="L10" s="12">
        <v>1</v>
      </c>
      <c r="M10" s="17">
        <v>1662120</v>
      </c>
      <c r="N10" s="17">
        <f t="shared" si="1"/>
        <v>1662120</v>
      </c>
      <c r="O10" s="12" t="s">
        <v>21</v>
      </c>
      <c r="P10" s="12">
        <f t="shared" si="3"/>
        <v>7</v>
      </c>
    </row>
    <row r="11" spans="1:16" x14ac:dyDescent="0.25">
      <c r="A11" s="12" t="s">
        <v>18</v>
      </c>
      <c r="B11" s="36" t="s">
        <v>376</v>
      </c>
      <c r="C11" s="12">
        <f t="shared" si="0"/>
        <v>9</v>
      </c>
      <c r="D11" s="12">
        <v>1</v>
      </c>
      <c r="E11" s="12" t="str">
        <f t="shared" si="2"/>
        <v>009</v>
      </c>
      <c r="F11" s="12"/>
      <c r="G11" s="12" t="s">
        <v>277</v>
      </c>
      <c r="H11" s="12" t="s">
        <v>4597</v>
      </c>
      <c r="I11" s="12">
        <v>6428</v>
      </c>
      <c r="J11" s="12">
        <v>331</v>
      </c>
      <c r="K11" s="12" t="s">
        <v>20</v>
      </c>
      <c r="L11" s="12">
        <v>1</v>
      </c>
      <c r="M11" s="17">
        <v>6039968</v>
      </c>
      <c r="N11" s="17">
        <f t="shared" si="1"/>
        <v>6039968</v>
      </c>
      <c r="O11" s="12" t="s">
        <v>21</v>
      </c>
      <c r="P11" s="12">
        <f t="shared" si="3"/>
        <v>8</v>
      </c>
    </row>
    <row r="12" spans="1:16" x14ac:dyDescent="0.25">
      <c r="A12" s="12" t="s">
        <v>18</v>
      </c>
      <c r="B12" s="36" t="s">
        <v>376</v>
      </c>
      <c r="C12" s="12">
        <f t="shared" si="0"/>
        <v>10</v>
      </c>
      <c r="D12" s="12">
        <v>1</v>
      </c>
      <c r="E12" s="12" t="str">
        <f t="shared" si="2"/>
        <v>010</v>
      </c>
      <c r="F12" s="12"/>
      <c r="G12" s="12" t="s">
        <v>4134</v>
      </c>
      <c r="H12" s="12" t="s">
        <v>4602</v>
      </c>
      <c r="I12" s="12">
        <v>64277</v>
      </c>
      <c r="J12" s="12">
        <v>331</v>
      </c>
      <c r="K12" s="12" t="s">
        <v>20</v>
      </c>
      <c r="L12" s="12">
        <v>1</v>
      </c>
      <c r="M12" s="17">
        <v>145000</v>
      </c>
      <c r="N12" s="17">
        <f t="shared" si="1"/>
        <v>145000</v>
      </c>
      <c r="O12" s="12" t="s">
        <v>21</v>
      </c>
      <c r="P12" s="12">
        <f t="shared" si="3"/>
        <v>9</v>
      </c>
    </row>
    <row r="13" spans="1:16" x14ac:dyDescent="0.25">
      <c r="A13" s="12" t="s">
        <v>18</v>
      </c>
      <c r="B13" s="36" t="s">
        <v>376</v>
      </c>
      <c r="C13" s="12">
        <f t="shared" si="0"/>
        <v>11</v>
      </c>
      <c r="D13" s="12">
        <v>1</v>
      </c>
      <c r="E13" s="12" t="str">
        <f t="shared" si="2"/>
        <v>011</v>
      </c>
      <c r="F13" s="12"/>
      <c r="G13" s="12" t="s">
        <v>19</v>
      </c>
      <c r="H13" s="12" t="s">
        <v>4603</v>
      </c>
      <c r="I13" s="12">
        <v>64277</v>
      </c>
      <c r="J13" s="12">
        <v>331</v>
      </c>
      <c r="K13" s="12" t="s">
        <v>20</v>
      </c>
      <c r="L13" s="12">
        <v>1</v>
      </c>
      <c r="M13" s="17">
        <v>47000</v>
      </c>
      <c r="N13" s="17">
        <f t="shared" si="1"/>
        <v>47000</v>
      </c>
      <c r="O13" s="12" t="s">
        <v>21</v>
      </c>
      <c r="P13" s="12">
        <f t="shared" si="3"/>
        <v>10</v>
      </c>
    </row>
    <row r="14" spans="1:16" x14ac:dyDescent="0.25">
      <c r="A14" s="12" t="s">
        <v>18</v>
      </c>
      <c r="B14" s="36" t="s">
        <v>376</v>
      </c>
      <c r="C14" s="12">
        <f t="shared" si="0"/>
        <v>12</v>
      </c>
      <c r="D14" s="12">
        <v>1</v>
      </c>
      <c r="E14" s="12" t="str">
        <f t="shared" si="2"/>
        <v>012</v>
      </c>
      <c r="F14" s="12"/>
      <c r="G14" s="12" t="s">
        <v>19</v>
      </c>
      <c r="H14" s="12" t="s">
        <v>4604</v>
      </c>
      <c r="I14" s="12">
        <v>64277</v>
      </c>
      <c r="J14" s="12">
        <v>331</v>
      </c>
      <c r="K14" s="12" t="s">
        <v>20</v>
      </c>
      <c r="L14" s="12">
        <v>1</v>
      </c>
      <c r="M14" s="17">
        <v>40000</v>
      </c>
      <c r="N14" s="17">
        <f t="shared" si="1"/>
        <v>40000</v>
      </c>
      <c r="O14" s="12" t="s">
        <v>21</v>
      </c>
      <c r="P14" s="12">
        <f t="shared" si="3"/>
        <v>11</v>
      </c>
    </row>
    <row r="15" spans="1:16" x14ac:dyDescent="0.25">
      <c r="A15" s="12" t="s">
        <v>18</v>
      </c>
      <c r="B15" s="36" t="s">
        <v>413</v>
      </c>
      <c r="C15" s="12">
        <f t="shared" si="0"/>
        <v>13</v>
      </c>
      <c r="D15" s="12">
        <v>1</v>
      </c>
      <c r="E15" s="12" t="str">
        <f t="shared" si="2"/>
        <v>013</v>
      </c>
      <c r="F15" s="12"/>
      <c r="G15" s="12" t="s">
        <v>19</v>
      </c>
      <c r="H15" s="12" t="s">
        <v>4605</v>
      </c>
      <c r="I15" s="12">
        <v>64277</v>
      </c>
      <c r="J15" s="12">
        <v>331</v>
      </c>
      <c r="K15" s="12" t="s">
        <v>20</v>
      </c>
      <c r="L15" s="12">
        <v>1</v>
      </c>
      <c r="M15" s="17">
        <v>22000</v>
      </c>
      <c r="N15" s="17">
        <f t="shared" si="1"/>
        <v>22000</v>
      </c>
      <c r="O15" s="12" t="s">
        <v>21</v>
      </c>
      <c r="P15" s="12">
        <f t="shared" si="3"/>
        <v>12</v>
      </c>
    </row>
    <row r="16" spans="1:16" x14ac:dyDescent="0.25">
      <c r="A16" s="12" t="s">
        <v>18</v>
      </c>
      <c r="B16" s="36" t="s">
        <v>413</v>
      </c>
      <c r="C16" s="12">
        <f t="shared" si="0"/>
        <v>14</v>
      </c>
      <c r="D16" s="12">
        <v>1</v>
      </c>
      <c r="E16" s="12" t="str">
        <f t="shared" si="2"/>
        <v>014</v>
      </c>
      <c r="F16" s="12"/>
      <c r="G16" s="12" t="s">
        <v>19</v>
      </c>
      <c r="H16" s="12" t="s">
        <v>4606</v>
      </c>
      <c r="I16" s="12">
        <v>64277</v>
      </c>
      <c r="J16" s="12">
        <v>331</v>
      </c>
      <c r="K16" s="12" t="s">
        <v>20</v>
      </c>
      <c r="L16" s="12">
        <v>1</v>
      </c>
      <c r="M16" s="17">
        <v>34000</v>
      </c>
      <c r="N16" s="17">
        <f t="shared" si="1"/>
        <v>34000</v>
      </c>
      <c r="O16" s="12" t="s">
        <v>21</v>
      </c>
      <c r="P16" s="12">
        <f t="shared" si="3"/>
        <v>13</v>
      </c>
    </row>
    <row r="17" spans="1:16" x14ac:dyDescent="0.25">
      <c r="A17" s="12" t="s">
        <v>18</v>
      </c>
      <c r="B17" s="36" t="s">
        <v>413</v>
      </c>
      <c r="C17" s="12">
        <f t="shared" si="0"/>
        <v>15</v>
      </c>
      <c r="D17" s="12">
        <v>1</v>
      </c>
      <c r="E17" s="12" t="str">
        <f t="shared" si="2"/>
        <v>015</v>
      </c>
      <c r="F17" s="12"/>
      <c r="G17" s="12" t="s">
        <v>19</v>
      </c>
      <c r="H17" s="12" t="s">
        <v>4607</v>
      </c>
      <c r="I17" s="12">
        <v>64277</v>
      </c>
      <c r="J17" s="12">
        <v>331</v>
      </c>
      <c r="K17" s="12" t="s">
        <v>20</v>
      </c>
      <c r="L17" s="12">
        <v>1</v>
      </c>
      <c r="M17" s="17">
        <v>52000</v>
      </c>
      <c r="N17" s="17">
        <f t="shared" si="1"/>
        <v>52000</v>
      </c>
      <c r="O17" s="12" t="s">
        <v>21</v>
      </c>
      <c r="P17" s="12">
        <f t="shared" si="3"/>
        <v>14</v>
      </c>
    </row>
    <row r="18" spans="1:16" x14ac:dyDescent="0.25">
      <c r="A18" s="12" t="s">
        <v>18</v>
      </c>
      <c r="B18" s="36" t="s">
        <v>413</v>
      </c>
      <c r="C18" s="12">
        <f t="shared" si="0"/>
        <v>16</v>
      </c>
      <c r="D18" s="12">
        <v>1</v>
      </c>
      <c r="E18" s="12" t="str">
        <f t="shared" si="2"/>
        <v>016</v>
      </c>
      <c r="F18" s="12"/>
      <c r="G18" s="12" t="s">
        <v>19</v>
      </c>
      <c r="H18" s="12" t="s">
        <v>4608</v>
      </c>
      <c r="I18" s="12">
        <v>64277</v>
      </c>
      <c r="J18" s="12">
        <v>331</v>
      </c>
      <c r="K18" s="12" t="s">
        <v>20</v>
      </c>
      <c r="L18" s="12">
        <v>1</v>
      </c>
      <c r="M18" s="17">
        <v>55000</v>
      </c>
      <c r="N18" s="17">
        <f t="shared" si="1"/>
        <v>55000</v>
      </c>
      <c r="O18" s="12" t="s">
        <v>21</v>
      </c>
      <c r="P18" s="12">
        <f t="shared" si="3"/>
        <v>15</v>
      </c>
    </row>
    <row r="19" spans="1:16" x14ac:dyDescent="0.25">
      <c r="A19" s="12" t="s">
        <v>18</v>
      </c>
      <c r="B19" s="36" t="s">
        <v>511</v>
      </c>
      <c r="C19" s="12">
        <f t="shared" si="0"/>
        <v>17</v>
      </c>
      <c r="D19" s="12">
        <v>1</v>
      </c>
      <c r="E19" s="12" t="str">
        <f t="shared" si="2"/>
        <v>017</v>
      </c>
      <c r="F19" s="12"/>
      <c r="G19" s="12" t="s">
        <v>1017</v>
      </c>
      <c r="H19" s="12" t="s">
        <v>4609</v>
      </c>
      <c r="I19" s="12">
        <v>64277</v>
      </c>
      <c r="J19" s="12">
        <v>331</v>
      </c>
      <c r="K19" s="12" t="s">
        <v>20</v>
      </c>
      <c r="L19" s="12">
        <v>1</v>
      </c>
      <c r="M19" s="17">
        <v>23000</v>
      </c>
      <c r="N19" s="17">
        <f t="shared" si="1"/>
        <v>23000</v>
      </c>
      <c r="O19" s="12" t="s">
        <v>21</v>
      </c>
      <c r="P19" s="12">
        <f t="shared" si="3"/>
        <v>16</v>
      </c>
    </row>
    <row r="20" spans="1:16" x14ac:dyDescent="0.25">
      <c r="A20" s="12" t="s">
        <v>18</v>
      </c>
      <c r="B20" s="36" t="s">
        <v>511</v>
      </c>
      <c r="C20" s="12">
        <f t="shared" si="0"/>
        <v>18</v>
      </c>
      <c r="D20" s="12">
        <v>1</v>
      </c>
      <c r="E20" s="12" t="str">
        <f t="shared" si="2"/>
        <v>018</v>
      </c>
      <c r="F20" s="12"/>
      <c r="G20" s="12" t="s">
        <v>24</v>
      </c>
      <c r="H20" s="12" t="s">
        <v>4610</v>
      </c>
      <c r="I20" s="12">
        <v>64277</v>
      </c>
      <c r="J20" s="12">
        <v>331</v>
      </c>
      <c r="K20" s="12" t="s">
        <v>20</v>
      </c>
      <c r="L20" s="12">
        <v>1</v>
      </c>
      <c r="M20" s="17">
        <v>51000</v>
      </c>
      <c r="N20" s="17">
        <f t="shared" si="1"/>
        <v>51000</v>
      </c>
      <c r="O20" s="12" t="s">
        <v>21</v>
      </c>
      <c r="P20" s="12">
        <f t="shared" si="3"/>
        <v>17</v>
      </c>
    </row>
    <row r="21" spans="1:16" x14ac:dyDescent="0.25">
      <c r="A21" s="12" t="s">
        <v>18</v>
      </c>
      <c r="B21" s="36" t="s">
        <v>511</v>
      </c>
      <c r="C21" s="12">
        <f t="shared" si="0"/>
        <v>19</v>
      </c>
      <c r="D21" s="12">
        <v>1</v>
      </c>
      <c r="E21" s="12" t="str">
        <f t="shared" si="2"/>
        <v>019</v>
      </c>
      <c r="F21" s="12"/>
      <c r="G21" s="12" t="s">
        <v>19</v>
      </c>
      <c r="H21" s="12" t="s">
        <v>4611</v>
      </c>
      <c r="I21" s="12">
        <v>64277</v>
      </c>
      <c r="J21" s="12">
        <v>331</v>
      </c>
      <c r="K21" s="12" t="s">
        <v>20</v>
      </c>
      <c r="L21" s="12">
        <v>1</v>
      </c>
      <c r="M21" s="17">
        <v>62000</v>
      </c>
      <c r="N21" s="17">
        <f t="shared" si="1"/>
        <v>62000</v>
      </c>
      <c r="O21" s="12" t="s">
        <v>21</v>
      </c>
      <c r="P21" s="12">
        <f t="shared" si="3"/>
        <v>18</v>
      </c>
    </row>
    <row r="22" spans="1:16" x14ac:dyDescent="0.25">
      <c r="A22" s="12" t="s">
        <v>18</v>
      </c>
      <c r="B22" s="36" t="s">
        <v>511</v>
      </c>
      <c r="C22" s="12">
        <f t="shared" si="0"/>
        <v>20</v>
      </c>
      <c r="D22" s="12">
        <v>1</v>
      </c>
      <c r="E22" s="12" t="str">
        <f t="shared" si="2"/>
        <v>020</v>
      </c>
      <c r="F22" s="12"/>
      <c r="G22" s="12" t="s">
        <v>19</v>
      </c>
      <c r="H22" s="12" t="s">
        <v>4612</v>
      </c>
      <c r="I22" s="12">
        <v>64277</v>
      </c>
      <c r="J22" s="12">
        <v>331</v>
      </c>
      <c r="K22" s="12" t="s">
        <v>20</v>
      </c>
      <c r="L22" s="12">
        <v>1</v>
      </c>
      <c r="M22" s="17">
        <v>34000</v>
      </c>
      <c r="N22" s="17">
        <f t="shared" si="1"/>
        <v>34000</v>
      </c>
      <c r="O22" s="12" t="s">
        <v>21</v>
      </c>
      <c r="P22" s="12">
        <f t="shared" si="3"/>
        <v>19</v>
      </c>
    </row>
    <row r="23" spans="1:16" x14ac:dyDescent="0.25">
      <c r="A23" s="12" t="s">
        <v>18</v>
      </c>
      <c r="B23" s="36" t="s">
        <v>511</v>
      </c>
      <c r="C23" s="12">
        <f t="shared" si="0"/>
        <v>21</v>
      </c>
      <c r="D23" s="12">
        <v>1</v>
      </c>
      <c r="E23" s="12" t="str">
        <f t="shared" si="2"/>
        <v>021</v>
      </c>
      <c r="F23" s="12"/>
      <c r="G23" s="12" t="s">
        <v>19</v>
      </c>
      <c r="H23" s="12" t="s">
        <v>4613</v>
      </c>
      <c r="I23" s="12">
        <v>64277</v>
      </c>
      <c r="J23" s="12">
        <v>331</v>
      </c>
      <c r="K23" s="12" t="s">
        <v>20</v>
      </c>
      <c r="L23" s="12">
        <v>1</v>
      </c>
      <c r="M23" s="17">
        <v>37000</v>
      </c>
      <c r="N23" s="17">
        <f t="shared" si="1"/>
        <v>37000</v>
      </c>
      <c r="O23" s="12" t="s">
        <v>21</v>
      </c>
      <c r="P23" s="12">
        <f t="shared" si="3"/>
        <v>20</v>
      </c>
    </row>
    <row r="24" spans="1:16" x14ac:dyDescent="0.25">
      <c r="A24" s="12" t="s">
        <v>18</v>
      </c>
      <c r="B24" s="36" t="s">
        <v>447</v>
      </c>
      <c r="C24" s="12">
        <f t="shared" si="0"/>
        <v>22</v>
      </c>
      <c r="D24" s="12">
        <v>1</v>
      </c>
      <c r="E24" s="12" t="str">
        <f t="shared" si="2"/>
        <v>022</v>
      </c>
      <c r="F24" s="12"/>
      <c r="G24" s="12" t="s">
        <v>19</v>
      </c>
      <c r="H24" s="12" t="s">
        <v>4614</v>
      </c>
      <c r="I24" s="12">
        <v>64277</v>
      </c>
      <c r="J24" s="12">
        <v>331</v>
      </c>
      <c r="K24" s="12" t="s">
        <v>20</v>
      </c>
      <c r="L24" s="12">
        <v>1</v>
      </c>
      <c r="M24" s="17">
        <v>25000</v>
      </c>
      <c r="N24" s="17">
        <f t="shared" si="1"/>
        <v>25000</v>
      </c>
      <c r="O24" s="12" t="s">
        <v>21</v>
      </c>
      <c r="P24" s="12">
        <f t="shared" si="3"/>
        <v>21</v>
      </c>
    </row>
    <row r="25" spans="1:16" x14ac:dyDescent="0.25">
      <c r="A25" s="12" t="s">
        <v>18</v>
      </c>
      <c r="B25" s="36" t="s">
        <v>447</v>
      </c>
      <c r="C25" s="12">
        <f t="shared" si="0"/>
        <v>23</v>
      </c>
      <c r="D25" s="12">
        <v>1</v>
      </c>
      <c r="E25" s="12" t="str">
        <f t="shared" si="2"/>
        <v>023</v>
      </c>
      <c r="F25" s="12"/>
      <c r="G25" s="12" t="s">
        <v>19</v>
      </c>
      <c r="H25" s="12" t="s">
        <v>4615</v>
      </c>
      <c r="I25" s="12">
        <v>64277</v>
      </c>
      <c r="J25" s="12">
        <v>331</v>
      </c>
      <c r="K25" s="12" t="s">
        <v>20</v>
      </c>
      <c r="L25" s="12">
        <v>1</v>
      </c>
      <c r="M25" s="17">
        <v>12000</v>
      </c>
      <c r="N25" s="17">
        <f t="shared" si="1"/>
        <v>12000</v>
      </c>
      <c r="O25" s="12" t="s">
        <v>21</v>
      </c>
      <c r="P25" s="12">
        <f t="shared" si="3"/>
        <v>22</v>
      </c>
    </row>
    <row r="26" spans="1:16" x14ac:dyDescent="0.25">
      <c r="A26" s="12" t="s">
        <v>18</v>
      </c>
      <c r="B26" s="36" t="s">
        <v>447</v>
      </c>
      <c r="C26" s="12">
        <f t="shared" si="0"/>
        <v>24</v>
      </c>
      <c r="D26" s="12">
        <v>1</v>
      </c>
      <c r="E26" s="12" t="str">
        <f t="shared" si="2"/>
        <v>024</v>
      </c>
      <c r="F26" s="12"/>
      <c r="G26" s="12" t="s">
        <v>19</v>
      </c>
      <c r="H26" s="12" t="s">
        <v>4616</v>
      </c>
      <c r="I26" s="12">
        <v>64277</v>
      </c>
      <c r="J26" s="12">
        <v>331</v>
      </c>
      <c r="K26" s="12" t="s">
        <v>20</v>
      </c>
      <c r="L26" s="12">
        <v>1</v>
      </c>
      <c r="M26" s="17">
        <v>46000</v>
      </c>
      <c r="N26" s="17">
        <f t="shared" si="1"/>
        <v>46000</v>
      </c>
      <c r="O26" s="12" t="s">
        <v>21</v>
      </c>
      <c r="P26" s="12">
        <f t="shared" si="3"/>
        <v>23</v>
      </c>
    </row>
    <row r="27" spans="1:16" x14ac:dyDescent="0.25">
      <c r="A27" s="12" t="s">
        <v>18</v>
      </c>
      <c r="B27" s="36" t="s">
        <v>447</v>
      </c>
      <c r="C27" s="12">
        <f t="shared" si="0"/>
        <v>25</v>
      </c>
      <c r="D27" s="12">
        <v>1</v>
      </c>
      <c r="E27" s="12" t="str">
        <f t="shared" si="2"/>
        <v>025</v>
      </c>
      <c r="F27" s="12"/>
      <c r="G27" s="12" t="s">
        <v>19</v>
      </c>
      <c r="H27" s="12" t="s">
        <v>4617</v>
      </c>
      <c r="I27" s="12">
        <v>64277</v>
      </c>
      <c r="J27" s="12">
        <v>331</v>
      </c>
      <c r="K27" s="12" t="s">
        <v>20</v>
      </c>
      <c r="L27" s="12">
        <v>1</v>
      </c>
      <c r="M27" s="17">
        <v>169000</v>
      </c>
      <c r="N27" s="17">
        <f t="shared" si="1"/>
        <v>169000</v>
      </c>
      <c r="O27" s="12" t="s">
        <v>21</v>
      </c>
      <c r="P27" s="12">
        <f t="shared" si="3"/>
        <v>24</v>
      </c>
    </row>
    <row r="28" spans="1:16" x14ac:dyDescent="0.25">
      <c r="A28" s="12" t="s">
        <v>18</v>
      </c>
      <c r="B28" s="36" t="s">
        <v>468</v>
      </c>
      <c r="C28" s="12">
        <f t="shared" si="0"/>
        <v>26</v>
      </c>
      <c r="D28" s="12">
        <v>1</v>
      </c>
      <c r="E28" s="12" t="str">
        <f t="shared" si="2"/>
        <v>026</v>
      </c>
      <c r="F28" s="12"/>
      <c r="G28" s="12" t="s">
        <v>4135</v>
      </c>
      <c r="H28" s="12" t="s">
        <v>4618</v>
      </c>
      <c r="I28" s="12">
        <v>64276</v>
      </c>
      <c r="J28" s="12">
        <v>331</v>
      </c>
      <c r="K28" s="12" t="s">
        <v>20</v>
      </c>
      <c r="L28" s="12">
        <v>1</v>
      </c>
      <c r="M28" s="17">
        <v>198000</v>
      </c>
      <c r="N28" s="17">
        <f t="shared" si="1"/>
        <v>198000</v>
      </c>
      <c r="O28" s="12" t="s">
        <v>21</v>
      </c>
      <c r="P28" s="12">
        <f t="shared" si="3"/>
        <v>25</v>
      </c>
    </row>
    <row r="29" spans="1:16" x14ac:dyDescent="0.25">
      <c r="A29" s="12" t="s">
        <v>18</v>
      </c>
      <c r="B29" s="36" t="s">
        <v>414</v>
      </c>
      <c r="C29" s="12">
        <f t="shared" si="0"/>
        <v>27</v>
      </c>
      <c r="D29" s="12">
        <v>1</v>
      </c>
      <c r="E29" s="12" t="str">
        <f t="shared" si="2"/>
        <v>027</v>
      </c>
      <c r="F29" s="12"/>
      <c r="G29" s="12" t="s">
        <v>19</v>
      </c>
      <c r="H29" s="12" t="s">
        <v>4619</v>
      </c>
      <c r="I29" s="12">
        <v>64277</v>
      </c>
      <c r="J29" s="12">
        <v>331</v>
      </c>
      <c r="K29" s="12" t="s">
        <v>20</v>
      </c>
      <c r="L29" s="12">
        <v>1</v>
      </c>
      <c r="M29" s="17">
        <v>24000</v>
      </c>
      <c r="N29" s="17">
        <f t="shared" si="1"/>
        <v>24000</v>
      </c>
      <c r="O29" s="12" t="s">
        <v>21</v>
      </c>
      <c r="P29" s="12">
        <f t="shared" si="3"/>
        <v>26</v>
      </c>
    </row>
    <row r="30" spans="1:16" x14ac:dyDescent="0.25">
      <c r="A30" s="12" t="s">
        <v>18</v>
      </c>
      <c r="B30" s="36" t="s">
        <v>414</v>
      </c>
      <c r="C30" s="12">
        <f t="shared" si="0"/>
        <v>28</v>
      </c>
      <c r="D30" s="12">
        <v>1</v>
      </c>
      <c r="E30" s="12" t="str">
        <f t="shared" si="2"/>
        <v>028</v>
      </c>
      <c r="F30" s="12"/>
      <c r="G30" s="12" t="s">
        <v>19</v>
      </c>
      <c r="H30" s="12" t="s">
        <v>4620</v>
      </c>
      <c r="I30" s="12">
        <v>64277</v>
      </c>
      <c r="J30" s="12">
        <v>331</v>
      </c>
      <c r="K30" s="12" t="s">
        <v>20</v>
      </c>
      <c r="L30" s="12">
        <v>1</v>
      </c>
      <c r="M30" s="17">
        <v>14000</v>
      </c>
      <c r="N30" s="17">
        <f t="shared" si="1"/>
        <v>14000</v>
      </c>
      <c r="O30" s="12" t="s">
        <v>21</v>
      </c>
      <c r="P30" s="12">
        <f t="shared" si="3"/>
        <v>27</v>
      </c>
    </row>
    <row r="31" spans="1:16" x14ac:dyDescent="0.25">
      <c r="A31" s="12" t="s">
        <v>18</v>
      </c>
      <c r="B31" s="36" t="s">
        <v>599</v>
      </c>
      <c r="C31" s="12">
        <f t="shared" si="0"/>
        <v>29</v>
      </c>
      <c r="D31" s="12">
        <v>1</v>
      </c>
      <c r="E31" s="12" t="str">
        <f t="shared" si="2"/>
        <v>029</v>
      </c>
      <c r="F31" s="12"/>
      <c r="G31" s="12" t="s">
        <v>19</v>
      </c>
      <c r="H31" s="12" t="s">
        <v>4621</v>
      </c>
      <c r="I31" s="12">
        <v>64277</v>
      </c>
      <c r="J31" s="12">
        <v>331</v>
      </c>
      <c r="K31" s="12" t="s">
        <v>20</v>
      </c>
      <c r="L31" s="12">
        <v>1</v>
      </c>
      <c r="M31" s="17">
        <v>79000</v>
      </c>
      <c r="N31" s="17">
        <f t="shared" si="1"/>
        <v>79000</v>
      </c>
      <c r="O31" s="12" t="s">
        <v>21</v>
      </c>
      <c r="P31" s="12">
        <f t="shared" si="3"/>
        <v>28</v>
      </c>
    </row>
    <row r="32" spans="1:16" x14ac:dyDescent="0.25">
      <c r="A32" s="12" t="s">
        <v>18</v>
      </c>
      <c r="B32" s="36" t="s">
        <v>599</v>
      </c>
      <c r="C32" s="12">
        <f t="shared" si="0"/>
        <v>30</v>
      </c>
      <c r="D32" s="12">
        <v>1</v>
      </c>
      <c r="E32" s="12" t="str">
        <f t="shared" si="2"/>
        <v>030</v>
      </c>
      <c r="F32" s="12"/>
      <c r="G32" s="12" t="s">
        <v>19</v>
      </c>
      <c r="H32" s="12" t="s">
        <v>4622</v>
      </c>
      <c r="I32" s="12">
        <v>64277</v>
      </c>
      <c r="J32" s="12">
        <v>331</v>
      </c>
      <c r="K32" s="12" t="s">
        <v>20</v>
      </c>
      <c r="L32" s="12">
        <v>1</v>
      </c>
      <c r="M32" s="17">
        <v>58000</v>
      </c>
      <c r="N32" s="17">
        <f t="shared" si="1"/>
        <v>58000</v>
      </c>
      <c r="O32" s="12" t="s">
        <v>21</v>
      </c>
      <c r="P32" s="12">
        <f t="shared" si="3"/>
        <v>29</v>
      </c>
    </row>
    <row r="33" spans="1:16" x14ac:dyDescent="0.25">
      <c r="A33" s="12" t="s">
        <v>18</v>
      </c>
      <c r="B33" s="36" t="s">
        <v>469</v>
      </c>
      <c r="C33" s="12">
        <f t="shared" si="0"/>
        <v>31</v>
      </c>
      <c r="D33" s="12">
        <v>1</v>
      </c>
      <c r="E33" s="12" t="str">
        <f t="shared" si="2"/>
        <v>031</v>
      </c>
      <c r="F33" s="12"/>
      <c r="G33" s="12" t="s">
        <v>4136</v>
      </c>
      <c r="H33" s="12" t="s">
        <v>4623</v>
      </c>
      <c r="I33" s="12">
        <v>64277</v>
      </c>
      <c r="J33" s="12">
        <v>331</v>
      </c>
      <c r="K33" s="12" t="s">
        <v>20</v>
      </c>
      <c r="L33" s="12">
        <v>1</v>
      </c>
      <c r="M33" s="17">
        <v>123237</v>
      </c>
      <c r="N33" s="17">
        <f t="shared" si="1"/>
        <v>123237</v>
      </c>
      <c r="O33" s="12" t="s">
        <v>21</v>
      </c>
      <c r="P33" s="12">
        <f t="shared" si="3"/>
        <v>30</v>
      </c>
    </row>
    <row r="34" spans="1:16" x14ac:dyDescent="0.25">
      <c r="A34" s="12" t="s">
        <v>18</v>
      </c>
      <c r="B34" s="36" t="s">
        <v>469</v>
      </c>
      <c r="C34" s="12">
        <f t="shared" si="0"/>
        <v>32</v>
      </c>
      <c r="D34" s="12">
        <v>1</v>
      </c>
      <c r="E34" s="12" t="str">
        <f t="shared" si="2"/>
        <v>032</v>
      </c>
      <c r="F34" s="12"/>
      <c r="G34" s="12" t="s">
        <v>19</v>
      </c>
      <c r="H34" s="12" t="s">
        <v>4624</v>
      </c>
      <c r="I34" s="12">
        <v>64277</v>
      </c>
      <c r="J34" s="12">
        <v>331</v>
      </c>
      <c r="K34" s="12" t="s">
        <v>20</v>
      </c>
      <c r="L34" s="12">
        <v>1</v>
      </c>
      <c r="M34" s="17">
        <v>47000</v>
      </c>
      <c r="N34" s="17">
        <f t="shared" si="1"/>
        <v>47000</v>
      </c>
      <c r="O34" s="12" t="s">
        <v>21</v>
      </c>
      <c r="P34" s="12">
        <f t="shared" si="3"/>
        <v>31</v>
      </c>
    </row>
    <row r="35" spans="1:16" x14ac:dyDescent="0.25">
      <c r="A35" s="12" t="s">
        <v>18</v>
      </c>
      <c r="B35" s="36" t="s">
        <v>469</v>
      </c>
      <c r="C35" s="12">
        <f t="shared" si="0"/>
        <v>33</v>
      </c>
      <c r="D35" s="12">
        <v>1</v>
      </c>
      <c r="E35" s="12" t="str">
        <f t="shared" si="2"/>
        <v>033</v>
      </c>
      <c r="F35" s="12"/>
      <c r="G35" s="12" t="s">
        <v>19</v>
      </c>
      <c r="H35" s="12" t="s">
        <v>4625</v>
      </c>
      <c r="I35" s="12">
        <v>64277</v>
      </c>
      <c r="J35" s="12">
        <v>331</v>
      </c>
      <c r="K35" s="12" t="s">
        <v>20</v>
      </c>
      <c r="L35" s="12">
        <v>1</v>
      </c>
      <c r="M35" s="17">
        <v>38000</v>
      </c>
      <c r="N35" s="17">
        <f t="shared" si="1"/>
        <v>38000</v>
      </c>
      <c r="O35" s="12" t="s">
        <v>21</v>
      </c>
      <c r="P35" s="12">
        <f t="shared" si="3"/>
        <v>32</v>
      </c>
    </row>
    <row r="36" spans="1:16" x14ac:dyDescent="0.25">
      <c r="A36" s="12" t="s">
        <v>18</v>
      </c>
      <c r="B36" s="36" t="s">
        <v>469</v>
      </c>
      <c r="C36" s="12">
        <f t="shared" ref="C36:C68" si="4">C35+D36</f>
        <v>34</v>
      </c>
      <c r="D36" s="12">
        <v>1</v>
      </c>
      <c r="E36" s="12" t="str">
        <f t="shared" si="2"/>
        <v>034</v>
      </c>
      <c r="F36" s="12"/>
      <c r="G36" s="12" t="s">
        <v>19</v>
      </c>
      <c r="H36" s="12" t="s">
        <v>4626</v>
      </c>
      <c r="I36" s="12">
        <v>64277</v>
      </c>
      <c r="J36" s="12">
        <v>331</v>
      </c>
      <c r="K36" s="12" t="s">
        <v>20</v>
      </c>
      <c r="L36" s="12">
        <v>1</v>
      </c>
      <c r="M36" s="17">
        <v>51000</v>
      </c>
      <c r="N36" s="17">
        <f t="shared" ref="N36:N68" si="5">L36*M36</f>
        <v>51000</v>
      </c>
      <c r="O36" s="12" t="s">
        <v>21</v>
      </c>
      <c r="P36" s="12">
        <f t="shared" si="3"/>
        <v>33</v>
      </c>
    </row>
    <row r="37" spans="1:16" x14ac:dyDescent="0.25">
      <c r="A37" s="12" t="s">
        <v>18</v>
      </c>
      <c r="B37" s="36" t="s">
        <v>415</v>
      </c>
      <c r="C37" s="12">
        <f t="shared" si="4"/>
        <v>35</v>
      </c>
      <c r="D37" s="12">
        <v>1</v>
      </c>
      <c r="E37" s="12" t="str">
        <f t="shared" si="2"/>
        <v>035</v>
      </c>
      <c r="F37" s="12"/>
      <c r="G37" s="12" t="s">
        <v>19</v>
      </c>
      <c r="H37" s="12" t="s">
        <v>4627</v>
      </c>
      <c r="I37" s="12">
        <v>64277</v>
      </c>
      <c r="J37" s="12">
        <v>331</v>
      </c>
      <c r="K37" s="12" t="s">
        <v>20</v>
      </c>
      <c r="L37" s="12">
        <v>1</v>
      </c>
      <c r="M37" s="17">
        <v>74000</v>
      </c>
      <c r="N37" s="17">
        <f t="shared" si="5"/>
        <v>74000</v>
      </c>
      <c r="O37" s="12" t="s">
        <v>21</v>
      </c>
      <c r="P37" s="12">
        <f t="shared" si="3"/>
        <v>34</v>
      </c>
    </row>
    <row r="38" spans="1:16" x14ac:dyDescent="0.25">
      <c r="A38" s="12" t="s">
        <v>18</v>
      </c>
      <c r="B38" s="36" t="s">
        <v>448</v>
      </c>
      <c r="C38" s="12">
        <f t="shared" si="4"/>
        <v>36</v>
      </c>
      <c r="D38" s="12">
        <v>1</v>
      </c>
      <c r="E38" s="12" t="str">
        <f t="shared" si="2"/>
        <v>036</v>
      </c>
      <c r="F38" s="12"/>
      <c r="G38" s="12" t="s">
        <v>19</v>
      </c>
      <c r="H38" s="12" t="s">
        <v>4628</v>
      </c>
      <c r="I38" s="12">
        <v>64277</v>
      </c>
      <c r="J38" s="12">
        <v>331</v>
      </c>
      <c r="K38" s="12" t="s">
        <v>20</v>
      </c>
      <c r="L38" s="12">
        <v>1</v>
      </c>
      <c r="M38" s="17">
        <v>12000</v>
      </c>
      <c r="N38" s="17">
        <f t="shared" si="5"/>
        <v>12000</v>
      </c>
      <c r="O38" s="12" t="s">
        <v>21</v>
      </c>
      <c r="P38" s="12">
        <f t="shared" si="3"/>
        <v>35</v>
      </c>
    </row>
    <row r="39" spans="1:16" x14ac:dyDescent="0.25">
      <c r="A39" s="12" t="s">
        <v>18</v>
      </c>
      <c r="B39" s="36" t="s">
        <v>512</v>
      </c>
      <c r="C39" s="12">
        <f t="shared" si="4"/>
        <v>37</v>
      </c>
      <c r="D39" s="12">
        <v>1</v>
      </c>
      <c r="E39" s="12" t="str">
        <f t="shared" si="2"/>
        <v>037</v>
      </c>
      <c r="F39" s="12"/>
      <c r="G39" s="12" t="s">
        <v>19</v>
      </c>
      <c r="H39" s="12" t="s">
        <v>4629</v>
      </c>
      <c r="I39" s="12">
        <v>64277</v>
      </c>
      <c r="J39" s="12">
        <v>331</v>
      </c>
      <c r="K39" s="12" t="s">
        <v>20</v>
      </c>
      <c r="L39" s="12">
        <v>1</v>
      </c>
      <c r="M39" s="17">
        <v>55000</v>
      </c>
      <c r="N39" s="17">
        <f t="shared" si="5"/>
        <v>55000</v>
      </c>
      <c r="O39" s="12" t="s">
        <v>21</v>
      </c>
      <c r="P39" s="12">
        <f t="shared" si="3"/>
        <v>36</v>
      </c>
    </row>
    <row r="40" spans="1:16" x14ac:dyDescent="0.25">
      <c r="A40" s="12" t="s">
        <v>18</v>
      </c>
      <c r="B40" s="36" t="s">
        <v>512</v>
      </c>
      <c r="C40" s="12">
        <f t="shared" si="4"/>
        <v>38</v>
      </c>
      <c r="D40" s="12">
        <v>1</v>
      </c>
      <c r="E40" s="12" t="str">
        <f t="shared" si="2"/>
        <v>038</v>
      </c>
      <c r="F40" s="12"/>
      <c r="G40" s="12" t="s">
        <v>19</v>
      </c>
      <c r="H40" s="12" t="s">
        <v>4630</v>
      </c>
      <c r="I40" s="12">
        <v>64277</v>
      </c>
      <c r="J40" s="12">
        <v>331</v>
      </c>
      <c r="K40" s="12" t="s">
        <v>20</v>
      </c>
      <c r="L40" s="12">
        <v>1</v>
      </c>
      <c r="M40" s="17">
        <v>23000</v>
      </c>
      <c r="N40" s="17">
        <f t="shared" si="5"/>
        <v>23000</v>
      </c>
      <c r="O40" s="12" t="s">
        <v>21</v>
      </c>
      <c r="P40" s="12">
        <f t="shared" si="3"/>
        <v>37</v>
      </c>
    </row>
    <row r="41" spans="1:16" x14ac:dyDescent="0.25">
      <c r="A41" s="12" t="s">
        <v>18</v>
      </c>
      <c r="B41" s="36" t="s">
        <v>512</v>
      </c>
      <c r="C41" s="12">
        <f t="shared" si="4"/>
        <v>39</v>
      </c>
      <c r="D41" s="12">
        <v>1</v>
      </c>
      <c r="E41" s="12" t="str">
        <f t="shared" si="2"/>
        <v>039</v>
      </c>
      <c r="F41" s="12"/>
      <c r="G41" s="12" t="s">
        <v>19</v>
      </c>
      <c r="H41" s="12" t="s">
        <v>4631</v>
      </c>
      <c r="I41" s="12">
        <v>64277</v>
      </c>
      <c r="J41" s="12">
        <v>331</v>
      </c>
      <c r="K41" s="12" t="s">
        <v>20</v>
      </c>
      <c r="L41" s="12">
        <v>1</v>
      </c>
      <c r="M41" s="17">
        <v>30000</v>
      </c>
      <c r="N41" s="17">
        <f t="shared" si="5"/>
        <v>30000</v>
      </c>
      <c r="O41" s="12" t="s">
        <v>21</v>
      </c>
      <c r="P41" s="12">
        <f t="shared" si="3"/>
        <v>38</v>
      </c>
    </row>
    <row r="42" spans="1:16" x14ac:dyDescent="0.25">
      <c r="A42" s="12" t="s">
        <v>18</v>
      </c>
      <c r="B42" s="36" t="s">
        <v>869</v>
      </c>
      <c r="C42" s="12">
        <f t="shared" si="4"/>
        <v>40</v>
      </c>
      <c r="D42" s="12">
        <v>1</v>
      </c>
      <c r="E42" s="12" t="str">
        <f t="shared" si="2"/>
        <v>040</v>
      </c>
      <c r="F42" s="12"/>
      <c r="G42" s="12" t="s">
        <v>4137</v>
      </c>
      <c r="H42" s="12" t="s">
        <v>4632</v>
      </c>
      <c r="I42" s="12">
        <v>64276</v>
      </c>
      <c r="J42" s="12">
        <v>331</v>
      </c>
      <c r="K42" s="12" t="s">
        <v>20</v>
      </c>
      <c r="L42" s="12">
        <v>1</v>
      </c>
      <c r="M42" s="17">
        <v>230000</v>
      </c>
      <c r="N42" s="17">
        <f t="shared" si="5"/>
        <v>230000</v>
      </c>
      <c r="O42" s="12" t="s">
        <v>21</v>
      </c>
      <c r="P42" s="12">
        <f t="shared" si="3"/>
        <v>39</v>
      </c>
    </row>
    <row r="43" spans="1:16" x14ac:dyDescent="0.25">
      <c r="A43" s="12" t="s">
        <v>18</v>
      </c>
      <c r="B43" s="36" t="s">
        <v>869</v>
      </c>
      <c r="C43" s="12">
        <f t="shared" si="4"/>
        <v>41</v>
      </c>
      <c r="D43" s="12">
        <v>1</v>
      </c>
      <c r="E43" s="12" t="str">
        <f t="shared" si="2"/>
        <v>041</v>
      </c>
      <c r="F43" s="12"/>
      <c r="G43" s="12" t="s">
        <v>24</v>
      </c>
      <c r="H43" s="12" t="s">
        <v>4633</v>
      </c>
      <c r="I43" s="12">
        <v>64277</v>
      </c>
      <c r="J43" s="12">
        <v>331</v>
      </c>
      <c r="K43" s="12" t="s">
        <v>20</v>
      </c>
      <c r="L43" s="12">
        <v>1</v>
      </c>
      <c r="M43" s="17">
        <v>31000</v>
      </c>
      <c r="N43" s="17">
        <f t="shared" si="5"/>
        <v>31000</v>
      </c>
      <c r="O43" s="12" t="s">
        <v>21</v>
      </c>
      <c r="P43" s="12">
        <f t="shared" si="3"/>
        <v>40</v>
      </c>
    </row>
    <row r="44" spans="1:16" x14ac:dyDescent="0.25">
      <c r="A44" s="12" t="s">
        <v>18</v>
      </c>
      <c r="B44" s="36" t="s">
        <v>377</v>
      </c>
      <c r="C44" s="12">
        <f t="shared" si="4"/>
        <v>42</v>
      </c>
      <c r="D44" s="12">
        <v>1</v>
      </c>
      <c r="E44" s="12" t="str">
        <f t="shared" si="2"/>
        <v>042</v>
      </c>
      <c r="F44" s="12"/>
      <c r="G44" s="12" t="s">
        <v>37</v>
      </c>
      <c r="H44" s="12" t="s">
        <v>4144</v>
      </c>
      <c r="I44" s="12">
        <v>64277</v>
      </c>
      <c r="J44" s="12">
        <v>331</v>
      </c>
      <c r="K44" s="12" t="s">
        <v>20</v>
      </c>
      <c r="L44" s="12">
        <v>1</v>
      </c>
      <c r="M44" s="17">
        <v>3240000</v>
      </c>
      <c r="N44" s="17">
        <f t="shared" si="5"/>
        <v>3240000</v>
      </c>
      <c r="O44" s="12" t="s">
        <v>21</v>
      </c>
      <c r="P44" s="12">
        <f t="shared" si="3"/>
        <v>41</v>
      </c>
    </row>
    <row r="45" spans="1:16" x14ac:dyDescent="0.25">
      <c r="A45" s="12" t="s">
        <v>18</v>
      </c>
      <c r="B45" s="36" t="s">
        <v>291</v>
      </c>
      <c r="C45" s="12">
        <f t="shared" si="4"/>
        <v>43</v>
      </c>
      <c r="D45" s="12">
        <v>1</v>
      </c>
      <c r="E45" s="12" t="str">
        <f t="shared" si="2"/>
        <v>043</v>
      </c>
      <c r="F45" s="12"/>
      <c r="G45" s="12" t="s">
        <v>19</v>
      </c>
      <c r="H45" s="12" t="s">
        <v>4634</v>
      </c>
      <c r="I45" s="12">
        <v>64277</v>
      </c>
      <c r="J45" s="12">
        <v>331</v>
      </c>
      <c r="K45" s="12" t="s">
        <v>20</v>
      </c>
      <c r="L45" s="12">
        <v>1</v>
      </c>
      <c r="M45" s="17">
        <v>45000</v>
      </c>
      <c r="N45" s="17">
        <f t="shared" si="5"/>
        <v>45000</v>
      </c>
      <c r="O45" s="12" t="s">
        <v>21</v>
      </c>
      <c r="P45" s="12">
        <f t="shared" si="3"/>
        <v>42</v>
      </c>
    </row>
    <row r="46" spans="1:16" x14ac:dyDescent="0.25">
      <c r="A46" s="12" t="s">
        <v>18</v>
      </c>
      <c r="B46" s="36" t="s">
        <v>291</v>
      </c>
      <c r="C46" s="12">
        <f t="shared" si="4"/>
        <v>44</v>
      </c>
      <c r="D46" s="12">
        <v>1</v>
      </c>
      <c r="E46" s="12" t="str">
        <f t="shared" si="2"/>
        <v>044</v>
      </c>
      <c r="F46" s="12"/>
      <c r="G46" s="12" t="s">
        <v>19</v>
      </c>
      <c r="H46" s="12" t="s">
        <v>4635</v>
      </c>
      <c r="I46" s="12">
        <v>64277</v>
      </c>
      <c r="J46" s="12">
        <v>331</v>
      </c>
      <c r="K46" s="12" t="s">
        <v>20</v>
      </c>
      <c r="L46" s="12">
        <v>1</v>
      </c>
      <c r="M46" s="17">
        <v>90000</v>
      </c>
      <c r="N46" s="17">
        <f t="shared" si="5"/>
        <v>90000</v>
      </c>
      <c r="O46" s="12" t="s">
        <v>21</v>
      </c>
      <c r="P46" s="12">
        <f t="shared" si="3"/>
        <v>43</v>
      </c>
    </row>
    <row r="47" spans="1:16" x14ac:dyDescent="0.25">
      <c r="A47" s="12" t="s">
        <v>18</v>
      </c>
      <c r="B47" s="36" t="s">
        <v>449</v>
      </c>
      <c r="C47" s="12">
        <f t="shared" si="4"/>
        <v>45</v>
      </c>
      <c r="D47" s="12">
        <v>1</v>
      </c>
      <c r="E47" s="12" t="str">
        <f t="shared" si="2"/>
        <v>045</v>
      </c>
      <c r="F47" s="12"/>
      <c r="G47" s="12" t="s">
        <v>123</v>
      </c>
      <c r="H47" s="12" t="s">
        <v>4636</v>
      </c>
      <c r="I47" s="12">
        <v>64277</v>
      </c>
      <c r="J47" s="12">
        <v>331</v>
      </c>
      <c r="K47" s="12" t="s">
        <v>20</v>
      </c>
      <c r="L47" s="12">
        <v>1</v>
      </c>
      <c r="M47" s="17">
        <v>650160</v>
      </c>
      <c r="N47" s="17">
        <f t="shared" si="5"/>
        <v>650160</v>
      </c>
      <c r="O47" s="12" t="s">
        <v>21</v>
      </c>
      <c r="P47" s="12">
        <f t="shared" si="3"/>
        <v>44</v>
      </c>
    </row>
    <row r="48" spans="1:16" x14ac:dyDescent="0.25">
      <c r="A48" s="12" t="s">
        <v>18</v>
      </c>
      <c r="B48" s="36" t="s">
        <v>292</v>
      </c>
      <c r="C48" s="12">
        <f t="shared" si="4"/>
        <v>46</v>
      </c>
      <c r="D48" s="12">
        <v>1</v>
      </c>
      <c r="E48" s="12" t="str">
        <f t="shared" si="2"/>
        <v>046</v>
      </c>
      <c r="F48" s="12"/>
      <c r="G48" s="12" t="s">
        <v>4138</v>
      </c>
      <c r="H48" s="12" t="s">
        <v>4596</v>
      </c>
      <c r="I48" s="12">
        <v>64277</v>
      </c>
      <c r="J48" s="12">
        <v>331</v>
      </c>
      <c r="K48" s="12" t="s">
        <v>20</v>
      </c>
      <c r="L48" s="12">
        <v>1</v>
      </c>
      <c r="M48" s="17">
        <v>2789640</v>
      </c>
      <c r="N48" s="17">
        <f t="shared" si="5"/>
        <v>2789640</v>
      </c>
      <c r="O48" s="12" t="s">
        <v>21</v>
      </c>
      <c r="P48" s="12">
        <f t="shared" si="3"/>
        <v>45</v>
      </c>
    </row>
    <row r="49" spans="1:16" x14ac:dyDescent="0.25">
      <c r="A49" s="12" t="s">
        <v>18</v>
      </c>
      <c r="B49" s="36" t="s">
        <v>292</v>
      </c>
      <c r="C49" s="12">
        <f t="shared" si="4"/>
        <v>47</v>
      </c>
      <c r="D49" s="12">
        <v>1</v>
      </c>
      <c r="E49" s="12" t="str">
        <f t="shared" si="2"/>
        <v>047</v>
      </c>
      <c r="F49" s="12"/>
      <c r="G49" s="12" t="s">
        <v>48</v>
      </c>
      <c r="H49" s="12" t="s">
        <v>4145</v>
      </c>
      <c r="I49" s="12">
        <v>64277</v>
      </c>
      <c r="J49" s="12">
        <v>331</v>
      </c>
      <c r="K49" s="12" t="s">
        <v>20</v>
      </c>
      <c r="L49" s="12">
        <v>1</v>
      </c>
      <c r="M49" s="17">
        <v>11410</v>
      </c>
      <c r="N49" s="17">
        <f t="shared" si="5"/>
        <v>11410</v>
      </c>
      <c r="O49" s="12" t="s">
        <v>21</v>
      </c>
      <c r="P49" s="12">
        <f t="shared" si="3"/>
        <v>46</v>
      </c>
    </row>
    <row r="50" spans="1:16" x14ac:dyDescent="0.25">
      <c r="A50" s="12" t="s">
        <v>18</v>
      </c>
      <c r="B50" s="36" t="s">
        <v>671</v>
      </c>
      <c r="C50" s="12">
        <f t="shared" si="4"/>
        <v>48</v>
      </c>
      <c r="D50" s="12">
        <v>1</v>
      </c>
      <c r="E50" s="12" t="str">
        <f t="shared" si="2"/>
        <v>048</v>
      </c>
      <c r="F50" s="12"/>
      <c r="G50" s="12" t="s">
        <v>1349</v>
      </c>
      <c r="H50" s="12" t="s">
        <v>4637</v>
      </c>
      <c r="I50" s="12">
        <v>64277</v>
      </c>
      <c r="J50" s="12">
        <v>331</v>
      </c>
      <c r="K50" s="12" t="s">
        <v>20</v>
      </c>
      <c r="L50" s="12">
        <v>1</v>
      </c>
      <c r="M50" s="17">
        <v>3020220</v>
      </c>
      <c r="N50" s="17">
        <f t="shared" si="5"/>
        <v>3020220</v>
      </c>
      <c r="O50" s="12" t="s">
        <v>21</v>
      </c>
      <c r="P50" s="12">
        <f t="shared" si="3"/>
        <v>47</v>
      </c>
    </row>
    <row r="51" spans="1:16" x14ac:dyDescent="0.25">
      <c r="A51" s="12" t="s">
        <v>18</v>
      </c>
      <c r="B51" s="36" t="s">
        <v>317</v>
      </c>
      <c r="C51" s="12">
        <f t="shared" si="4"/>
        <v>49</v>
      </c>
      <c r="D51" s="12">
        <v>1</v>
      </c>
      <c r="E51" s="12" t="str">
        <f t="shared" si="2"/>
        <v>049</v>
      </c>
      <c r="F51" s="12"/>
      <c r="G51" s="12" t="s">
        <v>41</v>
      </c>
      <c r="H51" s="12" t="s">
        <v>4638</v>
      </c>
      <c r="I51" s="12">
        <v>64277</v>
      </c>
      <c r="J51" s="12">
        <v>331</v>
      </c>
      <c r="K51" s="12" t="s">
        <v>20</v>
      </c>
      <c r="L51" s="12">
        <v>1</v>
      </c>
      <c r="M51" s="17">
        <v>949320</v>
      </c>
      <c r="N51" s="17">
        <f t="shared" si="5"/>
        <v>949320</v>
      </c>
      <c r="O51" s="12" t="s">
        <v>21</v>
      </c>
      <c r="P51" s="12">
        <f t="shared" si="3"/>
        <v>48</v>
      </c>
    </row>
    <row r="52" spans="1:16" x14ac:dyDescent="0.25">
      <c r="A52" s="12" t="s">
        <v>18</v>
      </c>
      <c r="B52" s="36" t="s">
        <v>452</v>
      </c>
      <c r="C52" s="12">
        <f t="shared" si="4"/>
        <v>50</v>
      </c>
      <c r="D52" s="12">
        <v>1</v>
      </c>
      <c r="E52" s="12" t="str">
        <f t="shared" si="2"/>
        <v>050</v>
      </c>
      <c r="F52" s="12"/>
      <c r="G52" s="12" t="s">
        <v>1010</v>
      </c>
      <c r="H52" s="12" t="s">
        <v>4639</v>
      </c>
      <c r="I52" s="12">
        <v>64277</v>
      </c>
      <c r="J52" s="12">
        <v>331</v>
      </c>
      <c r="K52" s="12" t="s">
        <v>20</v>
      </c>
      <c r="L52" s="12">
        <v>1</v>
      </c>
      <c r="M52" s="17">
        <v>7444260</v>
      </c>
      <c r="N52" s="17">
        <f t="shared" si="5"/>
        <v>7444260</v>
      </c>
      <c r="O52" s="12" t="s">
        <v>21</v>
      </c>
      <c r="P52" s="12">
        <f t="shared" si="3"/>
        <v>49</v>
      </c>
    </row>
    <row r="53" spans="1:16" x14ac:dyDescent="0.25">
      <c r="A53" s="12" t="s">
        <v>18</v>
      </c>
      <c r="B53" s="36" t="s">
        <v>588</v>
      </c>
      <c r="C53" s="12">
        <f t="shared" si="4"/>
        <v>51</v>
      </c>
      <c r="D53" s="12">
        <v>1</v>
      </c>
      <c r="E53" s="12" t="str">
        <f t="shared" si="2"/>
        <v>051</v>
      </c>
      <c r="F53" s="12"/>
      <c r="G53" s="12" t="s">
        <v>37</v>
      </c>
      <c r="H53" s="12" t="s">
        <v>4146</v>
      </c>
      <c r="I53" s="12">
        <v>64277</v>
      </c>
      <c r="J53" s="12">
        <v>331</v>
      </c>
      <c r="K53" s="12" t="s">
        <v>20</v>
      </c>
      <c r="L53" s="12">
        <v>1</v>
      </c>
      <c r="M53" s="17">
        <v>1080000</v>
      </c>
      <c r="N53" s="17">
        <f t="shared" si="5"/>
        <v>1080000</v>
      </c>
      <c r="O53" s="12" t="s">
        <v>21</v>
      </c>
      <c r="P53" s="12">
        <f t="shared" si="3"/>
        <v>50</v>
      </c>
    </row>
    <row r="54" spans="1:16" x14ac:dyDescent="0.25">
      <c r="A54" s="12" t="s">
        <v>18</v>
      </c>
      <c r="B54" s="36" t="s">
        <v>379</v>
      </c>
      <c r="C54" s="12">
        <f t="shared" si="4"/>
        <v>52</v>
      </c>
      <c r="D54" s="12">
        <v>1</v>
      </c>
      <c r="E54" s="12" t="str">
        <f t="shared" si="2"/>
        <v>052</v>
      </c>
      <c r="F54" s="12"/>
      <c r="G54" s="12" t="s">
        <v>4139</v>
      </c>
      <c r="H54" s="12" t="s">
        <v>4640</v>
      </c>
      <c r="I54" s="12">
        <v>64277</v>
      </c>
      <c r="J54" s="12">
        <v>331</v>
      </c>
      <c r="K54" s="12" t="s">
        <v>20</v>
      </c>
      <c r="L54" s="12">
        <v>1</v>
      </c>
      <c r="M54" s="17">
        <v>1000870</v>
      </c>
      <c r="N54" s="17">
        <f t="shared" si="5"/>
        <v>1000870</v>
      </c>
      <c r="O54" s="12" t="s">
        <v>21</v>
      </c>
      <c r="P54" s="12">
        <f t="shared" si="3"/>
        <v>51</v>
      </c>
    </row>
    <row r="55" spans="1:16" x14ac:dyDescent="0.25">
      <c r="A55" s="12" t="s">
        <v>18</v>
      </c>
      <c r="B55" s="36" t="s">
        <v>524</v>
      </c>
      <c r="C55" s="12">
        <f t="shared" si="4"/>
        <v>53</v>
      </c>
      <c r="D55" s="12">
        <v>1</v>
      </c>
      <c r="E55" s="12" t="str">
        <f t="shared" si="2"/>
        <v>053</v>
      </c>
      <c r="F55" s="12"/>
      <c r="G55" s="12" t="s">
        <v>4140</v>
      </c>
      <c r="H55" s="12" t="s">
        <v>4641</v>
      </c>
      <c r="I55" s="12">
        <v>64276</v>
      </c>
      <c r="J55" s="12">
        <v>331</v>
      </c>
      <c r="K55" s="12" t="s">
        <v>20</v>
      </c>
      <c r="L55" s="12">
        <v>1</v>
      </c>
      <c r="M55" s="17">
        <v>1883551</v>
      </c>
      <c r="N55" s="17">
        <f t="shared" si="5"/>
        <v>1883551</v>
      </c>
      <c r="O55" s="12" t="s">
        <v>21</v>
      </c>
      <c r="P55" s="12">
        <f t="shared" si="3"/>
        <v>52</v>
      </c>
    </row>
    <row r="56" spans="1:16" x14ac:dyDescent="0.25">
      <c r="A56" s="12" t="s">
        <v>18</v>
      </c>
      <c r="B56" s="36" t="s">
        <v>524</v>
      </c>
      <c r="C56" s="12">
        <f t="shared" si="4"/>
        <v>54</v>
      </c>
      <c r="D56" s="12">
        <v>1</v>
      </c>
      <c r="E56" s="12" t="str">
        <f t="shared" si="2"/>
        <v>054</v>
      </c>
      <c r="F56" s="12"/>
      <c r="G56" s="12" t="s">
        <v>48</v>
      </c>
      <c r="H56" s="12" t="s">
        <v>4147</v>
      </c>
      <c r="I56" s="12">
        <v>64277</v>
      </c>
      <c r="J56" s="12">
        <v>331</v>
      </c>
      <c r="K56" s="12" t="s">
        <v>20</v>
      </c>
      <c r="L56" s="12">
        <v>1</v>
      </c>
      <c r="M56" s="17">
        <v>8367</v>
      </c>
      <c r="N56" s="17">
        <f t="shared" si="5"/>
        <v>8367</v>
      </c>
      <c r="O56" s="12" t="s">
        <v>21</v>
      </c>
      <c r="P56" s="12">
        <f t="shared" si="3"/>
        <v>53</v>
      </c>
    </row>
    <row r="57" spans="1:16" x14ac:dyDescent="0.25">
      <c r="A57" s="12" t="s">
        <v>18</v>
      </c>
      <c r="B57" s="36" t="s">
        <v>515</v>
      </c>
      <c r="C57" s="12">
        <f t="shared" si="4"/>
        <v>55</v>
      </c>
      <c r="D57" s="12">
        <v>1</v>
      </c>
      <c r="E57" s="12" t="str">
        <f t="shared" si="2"/>
        <v>055</v>
      </c>
      <c r="F57" s="12"/>
      <c r="G57" s="12" t="s">
        <v>4141</v>
      </c>
      <c r="H57" s="12" t="s">
        <v>4642</v>
      </c>
      <c r="I57" s="12">
        <v>64276</v>
      </c>
      <c r="J57" s="12">
        <v>331</v>
      </c>
      <c r="K57" s="12" t="s">
        <v>20</v>
      </c>
      <c r="L57" s="12">
        <v>1</v>
      </c>
      <c r="M57" s="17">
        <v>0</v>
      </c>
      <c r="N57" s="17">
        <f t="shared" si="5"/>
        <v>0</v>
      </c>
      <c r="O57" s="12" t="s">
        <v>21</v>
      </c>
      <c r="P57" s="12">
        <f t="shared" si="3"/>
        <v>54</v>
      </c>
    </row>
    <row r="58" spans="1:16" x14ac:dyDescent="0.25">
      <c r="A58" s="12" t="s">
        <v>18</v>
      </c>
      <c r="B58" s="36" t="s">
        <v>515</v>
      </c>
      <c r="C58" s="12">
        <f t="shared" si="4"/>
        <v>56</v>
      </c>
      <c r="D58" s="12">
        <v>1</v>
      </c>
      <c r="E58" s="12" t="str">
        <f t="shared" si="2"/>
        <v>056</v>
      </c>
      <c r="F58" s="12"/>
      <c r="G58" s="12" t="s">
        <v>4141</v>
      </c>
      <c r="H58" s="12" t="s">
        <v>4643</v>
      </c>
      <c r="I58" s="12">
        <v>64277</v>
      </c>
      <c r="J58" s="12">
        <v>331</v>
      </c>
      <c r="K58" s="12" t="s">
        <v>20</v>
      </c>
      <c r="L58" s="12">
        <v>1</v>
      </c>
      <c r="M58" s="17">
        <v>4000000</v>
      </c>
      <c r="N58" s="17">
        <f t="shared" si="5"/>
        <v>4000000</v>
      </c>
      <c r="O58" s="12" t="s">
        <v>21</v>
      </c>
      <c r="P58" s="12">
        <f t="shared" si="3"/>
        <v>55</v>
      </c>
    </row>
    <row r="59" spans="1:16" x14ac:dyDescent="0.25">
      <c r="A59" s="12" t="s">
        <v>18</v>
      </c>
      <c r="B59" s="36" t="s">
        <v>1930</v>
      </c>
      <c r="C59" s="12">
        <f t="shared" si="4"/>
        <v>57</v>
      </c>
      <c r="D59" s="12">
        <v>1</v>
      </c>
      <c r="E59" s="12" t="str">
        <f t="shared" si="2"/>
        <v>057</v>
      </c>
      <c r="F59" s="12"/>
      <c r="G59" s="12" t="s">
        <v>2046</v>
      </c>
      <c r="H59" s="12" t="s">
        <v>4644</v>
      </c>
      <c r="I59" s="12">
        <v>64277</v>
      </c>
      <c r="J59" s="12">
        <v>331</v>
      </c>
      <c r="K59" s="12" t="s">
        <v>20</v>
      </c>
      <c r="L59" s="12">
        <v>1</v>
      </c>
      <c r="M59" s="17">
        <v>2778840</v>
      </c>
      <c r="N59" s="17">
        <f t="shared" si="5"/>
        <v>2778840</v>
      </c>
      <c r="O59" s="12" t="s">
        <v>21</v>
      </c>
      <c r="P59" s="12">
        <f t="shared" si="3"/>
        <v>56</v>
      </c>
    </row>
    <row r="60" spans="1:16" x14ac:dyDescent="0.25">
      <c r="A60" s="12" t="s">
        <v>18</v>
      </c>
      <c r="B60" s="36" t="s">
        <v>1930</v>
      </c>
      <c r="C60" s="12">
        <f t="shared" si="4"/>
        <v>58</v>
      </c>
      <c r="D60" s="12">
        <v>1</v>
      </c>
      <c r="E60" s="12" t="str">
        <f t="shared" si="2"/>
        <v>058</v>
      </c>
      <c r="F60" s="12"/>
      <c r="G60" s="12" t="s">
        <v>2046</v>
      </c>
      <c r="H60" s="12" t="s">
        <v>4645</v>
      </c>
      <c r="I60" s="12">
        <v>64277</v>
      </c>
      <c r="J60" s="12">
        <v>331</v>
      </c>
      <c r="K60" s="12" t="s">
        <v>20</v>
      </c>
      <c r="L60" s="12">
        <v>1</v>
      </c>
      <c r="M60" s="17">
        <v>1138500</v>
      </c>
      <c r="N60" s="17">
        <f t="shared" si="5"/>
        <v>1138500</v>
      </c>
      <c r="O60" s="12" t="s">
        <v>21</v>
      </c>
      <c r="P60" s="12">
        <f t="shared" si="3"/>
        <v>57</v>
      </c>
    </row>
    <row r="61" spans="1:16" x14ac:dyDescent="0.25">
      <c r="A61" s="12" t="s">
        <v>18</v>
      </c>
      <c r="B61" s="36" t="s">
        <v>2382</v>
      </c>
      <c r="C61" s="12">
        <f t="shared" si="4"/>
        <v>59</v>
      </c>
      <c r="D61" s="12">
        <v>1</v>
      </c>
      <c r="E61" s="12" t="str">
        <f t="shared" si="2"/>
        <v>059</v>
      </c>
      <c r="F61" s="12"/>
      <c r="G61" s="12" t="s">
        <v>4141</v>
      </c>
      <c r="H61" s="12" t="s">
        <v>4646</v>
      </c>
      <c r="I61" s="12">
        <v>64277</v>
      </c>
      <c r="J61" s="12">
        <v>331</v>
      </c>
      <c r="K61" s="12" t="s">
        <v>20</v>
      </c>
      <c r="L61" s="12">
        <v>1</v>
      </c>
      <c r="M61" s="17">
        <v>3870000</v>
      </c>
      <c r="N61" s="17">
        <f t="shared" si="5"/>
        <v>3870000</v>
      </c>
      <c r="O61" s="12" t="s">
        <v>21</v>
      </c>
      <c r="P61" s="12">
        <f t="shared" si="3"/>
        <v>58</v>
      </c>
    </row>
    <row r="62" spans="1:16" x14ac:dyDescent="0.25">
      <c r="A62" s="12" t="s">
        <v>18</v>
      </c>
      <c r="B62" s="36" t="s">
        <v>2504</v>
      </c>
      <c r="C62" s="12">
        <f t="shared" si="4"/>
        <v>60</v>
      </c>
      <c r="D62" s="12">
        <v>1</v>
      </c>
      <c r="E62" s="12" t="str">
        <f t="shared" si="2"/>
        <v>060</v>
      </c>
      <c r="F62" s="12"/>
      <c r="G62" s="12" t="s">
        <v>30</v>
      </c>
      <c r="H62" s="12" t="s">
        <v>4647</v>
      </c>
      <c r="I62" s="12">
        <v>64276</v>
      </c>
      <c r="J62" s="12">
        <v>331</v>
      </c>
      <c r="K62" s="12" t="s">
        <v>20</v>
      </c>
      <c r="L62" s="12">
        <v>1</v>
      </c>
      <c r="M62" s="17">
        <v>2997000</v>
      </c>
      <c r="N62" s="17">
        <f t="shared" si="5"/>
        <v>2997000</v>
      </c>
      <c r="O62" s="12" t="s">
        <v>21</v>
      </c>
      <c r="P62" s="12">
        <f t="shared" si="3"/>
        <v>59</v>
      </c>
    </row>
    <row r="63" spans="1:16" x14ac:dyDescent="0.25">
      <c r="A63" s="12" t="s">
        <v>18</v>
      </c>
      <c r="B63" s="36" t="s">
        <v>2504</v>
      </c>
      <c r="C63" s="12">
        <f t="shared" si="4"/>
        <v>61</v>
      </c>
      <c r="D63" s="12">
        <v>1</v>
      </c>
      <c r="E63" s="12" t="str">
        <f t="shared" si="2"/>
        <v>061</v>
      </c>
      <c r="F63" s="12"/>
      <c r="G63" s="12" t="s">
        <v>1030</v>
      </c>
      <c r="H63" s="12" t="s">
        <v>4648</v>
      </c>
      <c r="I63" s="12">
        <v>64277</v>
      </c>
      <c r="J63" s="12">
        <v>331</v>
      </c>
      <c r="K63" s="12" t="s">
        <v>20</v>
      </c>
      <c r="L63" s="12">
        <v>1</v>
      </c>
      <c r="M63" s="17">
        <v>148000</v>
      </c>
      <c r="N63" s="17">
        <f t="shared" si="5"/>
        <v>148000</v>
      </c>
      <c r="O63" s="12" t="s">
        <v>21</v>
      </c>
      <c r="P63" s="12">
        <f t="shared" si="3"/>
        <v>60</v>
      </c>
    </row>
    <row r="64" spans="1:16" x14ac:dyDescent="0.25">
      <c r="A64" s="12" t="s">
        <v>18</v>
      </c>
      <c r="B64" s="36">
        <v>46006</v>
      </c>
      <c r="C64" s="12">
        <f t="shared" si="4"/>
        <v>62</v>
      </c>
      <c r="D64" s="12">
        <v>1</v>
      </c>
      <c r="E64" s="12" t="str">
        <f t="shared" si="2"/>
        <v>062</v>
      </c>
      <c r="F64" s="12"/>
      <c r="G64" s="136" t="s">
        <v>277</v>
      </c>
      <c r="H64" s="12" t="s">
        <v>4649</v>
      </c>
      <c r="I64" s="12">
        <v>6428</v>
      </c>
      <c r="J64" s="12">
        <v>331</v>
      </c>
      <c r="K64" s="12" t="s">
        <v>20</v>
      </c>
      <c r="L64" s="12">
        <v>1</v>
      </c>
      <c r="M64" s="17">
        <v>5804407</v>
      </c>
      <c r="N64" s="17">
        <f t="shared" si="5"/>
        <v>5804407</v>
      </c>
      <c r="O64" s="12" t="s">
        <v>21</v>
      </c>
      <c r="P64" s="12">
        <f t="shared" si="3"/>
        <v>61</v>
      </c>
    </row>
    <row r="65" spans="1:16" x14ac:dyDescent="0.25">
      <c r="A65" s="12" t="s">
        <v>18</v>
      </c>
      <c r="B65" s="36" t="s">
        <v>602</v>
      </c>
      <c r="C65" s="12">
        <f t="shared" si="4"/>
        <v>63</v>
      </c>
      <c r="D65" s="12">
        <v>1</v>
      </c>
      <c r="E65" s="12" t="str">
        <f t="shared" si="2"/>
        <v>063</v>
      </c>
      <c r="G65" s="12" t="s">
        <v>537</v>
      </c>
      <c r="H65" s="12" t="s">
        <v>4152</v>
      </c>
      <c r="I65" s="12">
        <v>131</v>
      </c>
      <c r="J65" s="12">
        <v>5113</v>
      </c>
      <c r="K65" s="12" t="s">
        <v>20</v>
      </c>
      <c r="L65" s="12">
        <v>1</v>
      </c>
      <c r="M65" s="17">
        <v>5376344</v>
      </c>
      <c r="N65" s="17">
        <f t="shared" si="5"/>
        <v>5376344</v>
      </c>
      <c r="O65" s="12" t="s">
        <v>21</v>
      </c>
      <c r="P65" s="12">
        <f t="shared" si="3"/>
        <v>62</v>
      </c>
    </row>
    <row r="66" spans="1:16" x14ac:dyDescent="0.25">
      <c r="A66" s="12" t="s">
        <v>18</v>
      </c>
      <c r="B66" s="36" t="s">
        <v>602</v>
      </c>
      <c r="C66" s="12">
        <f t="shared" si="4"/>
        <v>63</v>
      </c>
      <c r="D66" s="12">
        <v>0</v>
      </c>
      <c r="E66" s="12" t="str">
        <f t="shared" si="2"/>
        <v>063</v>
      </c>
      <c r="G66" s="12" t="s">
        <v>537</v>
      </c>
      <c r="H66" s="12" t="s">
        <v>4174</v>
      </c>
      <c r="I66" s="12">
        <v>333821</v>
      </c>
      <c r="J66" s="12">
        <v>131</v>
      </c>
      <c r="K66" s="12" t="s">
        <v>20</v>
      </c>
      <c r="L66" s="12">
        <v>1</v>
      </c>
      <c r="M66" s="17">
        <v>53763</v>
      </c>
      <c r="N66" s="17">
        <f t="shared" si="5"/>
        <v>53763</v>
      </c>
      <c r="O66" s="12" t="s">
        <v>21</v>
      </c>
      <c r="P66" s="12">
        <f t="shared" si="3"/>
        <v>62</v>
      </c>
    </row>
    <row r="67" spans="1:16" x14ac:dyDescent="0.25">
      <c r="A67" s="12" t="s">
        <v>18</v>
      </c>
      <c r="B67" s="36" t="s">
        <v>602</v>
      </c>
      <c r="C67" s="12">
        <f t="shared" si="4"/>
        <v>64</v>
      </c>
      <c r="D67" s="12">
        <v>1</v>
      </c>
      <c r="E67" s="12" t="str">
        <f t="shared" si="2"/>
        <v>064</v>
      </c>
      <c r="G67" s="12" t="s">
        <v>1036</v>
      </c>
      <c r="H67" s="12" t="s">
        <v>4153</v>
      </c>
      <c r="I67" s="12">
        <v>131</v>
      </c>
      <c r="J67" s="12">
        <v>5113</v>
      </c>
      <c r="K67" s="12" t="s">
        <v>20</v>
      </c>
      <c r="L67" s="12">
        <v>1</v>
      </c>
      <c r="M67" s="17">
        <v>13978495</v>
      </c>
      <c r="N67" s="17">
        <f t="shared" si="5"/>
        <v>13978495</v>
      </c>
      <c r="O67" s="12" t="s">
        <v>21</v>
      </c>
      <c r="P67" s="12">
        <f t="shared" si="3"/>
        <v>63</v>
      </c>
    </row>
    <row r="68" spans="1:16" x14ac:dyDescent="0.25">
      <c r="A68" s="12" t="s">
        <v>18</v>
      </c>
      <c r="B68" s="36" t="s">
        <v>602</v>
      </c>
      <c r="C68" s="12">
        <f t="shared" si="4"/>
        <v>64</v>
      </c>
      <c r="D68" s="12">
        <v>0</v>
      </c>
      <c r="E68" s="12" t="str">
        <f t="shared" si="2"/>
        <v>064</v>
      </c>
      <c r="G68" s="12" t="s">
        <v>1036</v>
      </c>
      <c r="H68" s="12" t="s">
        <v>4175</v>
      </c>
      <c r="I68" s="12">
        <v>333821</v>
      </c>
      <c r="J68" s="12">
        <v>131</v>
      </c>
      <c r="K68" s="12" t="s">
        <v>20</v>
      </c>
      <c r="L68" s="12">
        <v>1</v>
      </c>
      <c r="M68" s="17">
        <v>139785</v>
      </c>
      <c r="N68" s="17">
        <f t="shared" si="5"/>
        <v>139785</v>
      </c>
      <c r="O68" s="12" t="s">
        <v>21</v>
      </c>
      <c r="P68" s="12">
        <f t="shared" si="3"/>
        <v>63</v>
      </c>
    </row>
    <row r="69" spans="1:16" x14ac:dyDescent="0.25">
      <c r="A69" s="12" t="s">
        <v>18</v>
      </c>
      <c r="B69" s="36" t="s">
        <v>602</v>
      </c>
      <c r="C69" s="12">
        <f t="shared" ref="C69:C100" si="6">C68+D69</f>
        <v>65</v>
      </c>
      <c r="D69" s="12">
        <v>1</v>
      </c>
      <c r="E69" s="12" t="str">
        <f t="shared" si="2"/>
        <v>065</v>
      </c>
      <c r="G69" s="12" t="s">
        <v>1666</v>
      </c>
      <c r="H69" s="12" t="s">
        <v>4154</v>
      </c>
      <c r="I69" s="12">
        <v>131</v>
      </c>
      <c r="J69" s="12">
        <v>5113</v>
      </c>
      <c r="K69" s="12" t="s">
        <v>20</v>
      </c>
      <c r="L69" s="12">
        <v>1</v>
      </c>
      <c r="M69" s="17">
        <v>12903226</v>
      </c>
      <c r="N69" s="17">
        <f t="shared" ref="N69:N100" si="7">L69*M69</f>
        <v>12903226</v>
      </c>
      <c r="O69" s="12" t="s">
        <v>21</v>
      </c>
      <c r="P69" s="12">
        <f t="shared" si="3"/>
        <v>64</v>
      </c>
    </row>
    <row r="70" spans="1:16" x14ac:dyDescent="0.25">
      <c r="A70" s="12" t="s">
        <v>18</v>
      </c>
      <c r="B70" s="36" t="s">
        <v>602</v>
      </c>
      <c r="C70" s="12">
        <f t="shared" si="6"/>
        <v>65</v>
      </c>
      <c r="D70" s="12">
        <v>0</v>
      </c>
      <c r="E70" s="12" t="str">
        <f t="shared" ref="E70:E135" si="8">TEXT(C70,"000")</f>
        <v>065</v>
      </c>
      <c r="G70" s="12" t="s">
        <v>1666</v>
      </c>
      <c r="H70" s="12" t="s">
        <v>4176</v>
      </c>
      <c r="I70" s="12">
        <v>333821</v>
      </c>
      <c r="J70" s="12">
        <v>131</v>
      </c>
      <c r="K70" s="12" t="s">
        <v>20</v>
      </c>
      <c r="L70" s="12">
        <v>1</v>
      </c>
      <c r="M70" s="17">
        <v>129032</v>
      </c>
      <c r="N70" s="17">
        <f t="shared" si="7"/>
        <v>129032</v>
      </c>
      <c r="O70" s="12" t="s">
        <v>21</v>
      </c>
      <c r="P70" s="12">
        <f t="shared" ref="P70:P135" si="9">P69+D70</f>
        <v>64</v>
      </c>
    </row>
    <row r="71" spans="1:16" x14ac:dyDescent="0.25">
      <c r="A71" s="12" t="s">
        <v>18</v>
      </c>
      <c r="B71" s="36" t="s">
        <v>602</v>
      </c>
      <c r="C71" s="12">
        <f t="shared" si="6"/>
        <v>66</v>
      </c>
      <c r="D71" s="12">
        <v>1</v>
      </c>
      <c r="E71" s="12" t="str">
        <f t="shared" si="8"/>
        <v>066</v>
      </c>
      <c r="G71" s="12" t="s">
        <v>1360</v>
      </c>
      <c r="H71" s="12" t="s">
        <v>4155</v>
      </c>
      <c r="I71" s="12">
        <v>131</v>
      </c>
      <c r="J71" s="12">
        <v>5113</v>
      </c>
      <c r="K71" s="12" t="s">
        <v>20</v>
      </c>
      <c r="L71" s="12">
        <v>1</v>
      </c>
      <c r="M71" s="17">
        <v>12903226</v>
      </c>
      <c r="N71" s="17">
        <f t="shared" si="7"/>
        <v>12903226</v>
      </c>
      <c r="O71" s="12" t="s">
        <v>21</v>
      </c>
      <c r="P71" s="12">
        <f t="shared" si="9"/>
        <v>65</v>
      </c>
    </row>
    <row r="72" spans="1:16" x14ac:dyDescent="0.25">
      <c r="A72" s="12" t="s">
        <v>18</v>
      </c>
      <c r="B72" s="36" t="s">
        <v>602</v>
      </c>
      <c r="C72" s="12">
        <f t="shared" si="6"/>
        <v>66</v>
      </c>
      <c r="D72" s="12">
        <v>0</v>
      </c>
      <c r="E72" s="12" t="str">
        <f t="shared" si="8"/>
        <v>066</v>
      </c>
      <c r="G72" s="12" t="s">
        <v>1360</v>
      </c>
      <c r="H72" s="12" t="s">
        <v>4177</v>
      </c>
      <c r="I72" s="12">
        <v>333821</v>
      </c>
      <c r="J72" s="12">
        <v>131</v>
      </c>
      <c r="K72" s="12" t="s">
        <v>20</v>
      </c>
      <c r="L72" s="12">
        <v>1</v>
      </c>
      <c r="M72" s="17">
        <v>129032</v>
      </c>
      <c r="N72" s="17">
        <f t="shared" si="7"/>
        <v>129032</v>
      </c>
      <c r="O72" s="12" t="s">
        <v>21</v>
      </c>
      <c r="P72" s="12">
        <f t="shared" si="9"/>
        <v>65</v>
      </c>
    </row>
    <row r="73" spans="1:16" x14ac:dyDescent="0.25">
      <c r="A73" s="12" t="s">
        <v>18</v>
      </c>
      <c r="B73" s="36" t="s">
        <v>602</v>
      </c>
      <c r="C73" s="12">
        <f t="shared" si="6"/>
        <v>67</v>
      </c>
      <c r="D73" s="12">
        <v>1</v>
      </c>
      <c r="E73" s="12" t="str">
        <f t="shared" si="8"/>
        <v>067</v>
      </c>
      <c r="G73" s="12" t="s">
        <v>82</v>
      </c>
      <c r="H73" s="12" t="s">
        <v>4156</v>
      </c>
      <c r="I73" s="12">
        <v>131</v>
      </c>
      <c r="J73" s="12">
        <v>5113</v>
      </c>
      <c r="K73" s="12" t="s">
        <v>20</v>
      </c>
      <c r="L73" s="12">
        <v>1</v>
      </c>
      <c r="M73" s="17">
        <v>12903226</v>
      </c>
      <c r="N73" s="17">
        <f t="shared" si="7"/>
        <v>12903226</v>
      </c>
      <c r="O73" s="12" t="s">
        <v>21</v>
      </c>
      <c r="P73" s="12">
        <f t="shared" si="9"/>
        <v>66</v>
      </c>
    </row>
    <row r="74" spans="1:16" x14ac:dyDescent="0.25">
      <c r="A74" s="12" t="s">
        <v>18</v>
      </c>
      <c r="B74" s="36" t="s">
        <v>602</v>
      </c>
      <c r="C74" s="12">
        <f t="shared" si="6"/>
        <v>67</v>
      </c>
      <c r="D74" s="12">
        <v>0</v>
      </c>
      <c r="E74" s="12" t="str">
        <f t="shared" si="8"/>
        <v>067</v>
      </c>
      <c r="G74" s="12" t="s">
        <v>82</v>
      </c>
      <c r="H74" s="12" t="s">
        <v>4178</v>
      </c>
      <c r="I74" s="12">
        <v>333821</v>
      </c>
      <c r="J74" s="12">
        <v>131</v>
      </c>
      <c r="K74" s="12" t="s">
        <v>20</v>
      </c>
      <c r="L74" s="12">
        <v>1</v>
      </c>
      <c r="M74" s="17">
        <v>129032</v>
      </c>
      <c r="N74" s="17">
        <f t="shared" si="7"/>
        <v>129032</v>
      </c>
      <c r="O74" s="12" t="s">
        <v>21</v>
      </c>
      <c r="P74" s="12">
        <f t="shared" si="9"/>
        <v>66</v>
      </c>
    </row>
    <row r="75" spans="1:16" x14ac:dyDescent="0.25">
      <c r="A75" s="12" t="s">
        <v>18</v>
      </c>
      <c r="B75" s="36" t="s">
        <v>602</v>
      </c>
      <c r="C75" s="12">
        <f t="shared" si="6"/>
        <v>68</v>
      </c>
      <c r="D75" s="12">
        <v>1</v>
      </c>
      <c r="E75" s="12" t="str">
        <f t="shared" si="8"/>
        <v>068</v>
      </c>
      <c r="G75" s="12" t="s">
        <v>29</v>
      </c>
      <c r="H75" s="12" t="s">
        <v>4157</v>
      </c>
      <c r="I75" s="12">
        <v>131</v>
      </c>
      <c r="J75" s="12">
        <v>5113</v>
      </c>
      <c r="K75" s="12" t="s">
        <v>20</v>
      </c>
      <c r="L75" s="12">
        <v>1</v>
      </c>
      <c r="M75" s="17">
        <v>10752688</v>
      </c>
      <c r="N75" s="17">
        <f t="shared" si="7"/>
        <v>10752688</v>
      </c>
      <c r="O75" s="12" t="s">
        <v>21</v>
      </c>
      <c r="P75" s="12">
        <f t="shared" si="9"/>
        <v>67</v>
      </c>
    </row>
    <row r="76" spans="1:16" x14ac:dyDescent="0.25">
      <c r="A76" s="12" t="s">
        <v>18</v>
      </c>
      <c r="B76" s="36" t="s">
        <v>602</v>
      </c>
      <c r="C76" s="12">
        <f t="shared" si="6"/>
        <v>68</v>
      </c>
      <c r="D76" s="12">
        <v>0</v>
      </c>
      <c r="E76" s="12" t="str">
        <f t="shared" si="8"/>
        <v>068</v>
      </c>
      <c r="G76" s="12" t="s">
        <v>29</v>
      </c>
      <c r="H76" s="12" t="s">
        <v>4179</v>
      </c>
      <c r="I76" s="12">
        <v>333821</v>
      </c>
      <c r="J76" s="12">
        <v>131</v>
      </c>
      <c r="K76" s="12" t="s">
        <v>20</v>
      </c>
      <c r="L76" s="12">
        <v>1</v>
      </c>
      <c r="M76" s="17">
        <v>0</v>
      </c>
      <c r="N76" s="17">
        <f t="shared" si="7"/>
        <v>0</v>
      </c>
      <c r="O76" s="12" t="s">
        <v>21</v>
      </c>
      <c r="P76" s="12">
        <f t="shared" si="9"/>
        <v>67</v>
      </c>
    </row>
    <row r="77" spans="1:16" x14ac:dyDescent="0.25">
      <c r="A77" s="12" t="s">
        <v>18</v>
      </c>
      <c r="B77" s="36" t="s">
        <v>452</v>
      </c>
      <c r="C77" s="12">
        <f t="shared" si="6"/>
        <v>69</v>
      </c>
      <c r="D77" s="12">
        <v>1</v>
      </c>
      <c r="E77" s="12" t="str">
        <f t="shared" si="8"/>
        <v>069</v>
      </c>
      <c r="G77" s="12" t="s">
        <v>4148</v>
      </c>
      <c r="H77" s="12" t="s">
        <v>4158</v>
      </c>
      <c r="I77" s="12">
        <v>131</v>
      </c>
      <c r="J77" s="12">
        <v>5113</v>
      </c>
      <c r="K77" s="12" t="s">
        <v>20</v>
      </c>
      <c r="L77" s="12">
        <v>1</v>
      </c>
      <c r="M77" s="17">
        <v>20430108</v>
      </c>
      <c r="N77" s="17">
        <f t="shared" si="7"/>
        <v>20430108</v>
      </c>
      <c r="O77" s="12" t="s">
        <v>21</v>
      </c>
      <c r="P77" s="12">
        <f t="shared" si="9"/>
        <v>68</v>
      </c>
    </row>
    <row r="78" spans="1:16" x14ac:dyDescent="0.25">
      <c r="A78" s="12" t="s">
        <v>18</v>
      </c>
      <c r="B78" s="36" t="s">
        <v>452</v>
      </c>
      <c r="C78" s="12">
        <f t="shared" si="6"/>
        <v>69</v>
      </c>
      <c r="D78" s="12">
        <v>0</v>
      </c>
      <c r="E78" s="12" t="str">
        <f t="shared" si="8"/>
        <v>069</v>
      </c>
      <c r="G78" s="12" t="s">
        <v>4148</v>
      </c>
      <c r="H78" s="12" t="s">
        <v>4180</v>
      </c>
      <c r="I78" s="12">
        <v>333821</v>
      </c>
      <c r="J78" s="12">
        <v>131</v>
      </c>
      <c r="K78" s="12" t="s">
        <v>20</v>
      </c>
      <c r="L78" s="12">
        <v>1</v>
      </c>
      <c r="M78" s="17">
        <v>204302</v>
      </c>
      <c r="N78" s="17">
        <f t="shared" si="7"/>
        <v>204302</v>
      </c>
      <c r="O78" s="12" t="s">
        <v>21</v>
      </c>
      <c r="P78" s="12">
        <f t="shared" si="9"/>
        <v>68</v>
      </c>
    </row>
    <row r="79" spans="1:16" x14ac:dyDescent="0.25">
      <c r="A79" s="12" t="s">
        <v>18</v>
      </c>
      <c r="B79" s="36" t="s">
        <v>452</v>
      </c>
      <c r="C79" s="12">
        <f t="shared" si="6"/>
        <v>70</v>
      </c>
      <c r="D79" s="12">
        <v>1</v>
      </c>
      <c r="E79" s="12" t="str">
        <f t="shared" si="8"/>
        <v>070</v>
      </c>
      <c r="G79" s="12" t="s">
        <v>404</v>
      </c>
      <c r="H79" s="12" t="s">
        <v>4159</v>
      </c>
      <c r="I79" s="12">
        <v>131</v>
      </c>
      <c r="J79" s="12">
        <v>5113</v>
      </c>
      <c r="K79" s="12" t="s">
        <v>20</v>
      </c>
      <c r="L79" s="12">
        <v>1</v>
      </c>
      <c r="M79" s="17">
        <v>9677419</v>
      </c>
      <c r="N79" s="17">
        <f t="shared" si="7"/>
        <v>9677419</v>
      </c>
      <c r="O79" s="12" t="s">
        <v>21</v>
      </c>
      <c r="P79" s="12">
        <f t="shared" si="9"/>
        <v>69</v>
      </c>
    </row>
    <row r="80" spans="1:16" x14ac:dyDescent="0.25">
      <c r="A80" s="12" t="s">
        <v>18</v>
      </c>
      <c r="B80" s="36" t="s">
        <v>452</v>
      </c>
      <c r="C80" s="12">
        <f t="shared" si="6"/>
        <v>70</v>
      </c>
      <c r="D80" s="12">
        <v>0</v>
      </c>
      <c r="E80" s="12" t="str">
        <f t="shared" si="8"/>
        <v>070</v>
      </c>
      <c r="G80" s="12" t="s">
        <v>404</v>
      </c>
      <c r="H80" s="12" t="s">
        <v>4181</v>
      </c>
      <c r="I80" s="12">
        <v>333821</v>
      </c>
      <c r="J80" s="12">
        <v>131</v>
      </c>
      <c r="K80" s="12" t="s">
        <v>20</v>
      </c>
      <c r="L80" s="12">
        <v>1</v>
      </c>
      <c r="M80" s="17">
        <v>96774</v>
      </c>
      <c r="N80" s="17">
        <f t="shared" si="7"/>
        <v>96774</v>
      </c>
      <c r="O80" s="12" t="s">
        <v>21</v>
      </c>
      <c r="P80" s="12">
        <f t="shared" si="9"/>
        <v>69</v>
      </c>
    </row>
    <row r="81" spans="1:16" x14ac:dyDescent="0.25">
      <c r="A81" s="12" t="s">
        <v>18</v>
      </c>
      <c r="B81" s="36" t="s">
        <v>524</v>
      </c>
      <c r="C81" s="12">
        <f t="shared" si="6"/>
        <v>71</v>
      </c>
      <c r="D81" s="12">
        <v>1</v>
      </c>
      <c r="E81" s="12" t="str">
        <f t="shared" si="8"/>
        <v>071</v>
      </c>
      <c r="G81" s="12" t="s">
        <v>29</v>
      </c>
      <c r="H81" s="12" t="s">
        <v>4160</v>
      </c>
      <c r="I81" s="12">
        <v>131</v>
      </c>
      <c r="J81" s="12">
        <v>5113</v>
      </c>
      <c r="K81" s="12" t="s">
        <v>20</v>
      </c>
      <c r="L81" s="12">
        <v>1</v>
      </c>
      <c r="M81" s="17">
        <v>21505376</v>
      </c>
      <c r="N81" s="17">
        <f t="shared" si="7"/>
        <v>21505376</v>
      </c>
      <c r="O81" s="12" t="s">
        <v>21</v>
      </c>
      <c r="P81" s="12">
        <f t="shared" si="9"/>
        <v>70</v>
      </c>
    </row>
    <row r="82" spans="1:16" x14ac:dyDescent="0.25">
      <c r="A82" s="12" t="s">
        <v>18</v>
      </c>
      <c r="B82" s="36" t="s">
        <v>524</v>
      </c>
      <c r="C82" s="12">
        <f t="shared" si="6"/>
        <v>71</v>
      </c>
      <c r="D82" s="12">
        <v>0</v>
      </c>
      <c r="E82" s="12" t="str">
        <f t="shared" si="8"/>
        <v>071</v>
      </c>
      <c r="G82" s="12" t="s">
        <v>29</v>
      </c>
      <c r="H82" s="12" t="s">
        <v>4182</v>
      </c>
      <c r="I82" s="12">
        <v>333821</v>
      </c>
      <c r="J82" s="12">
        <v>131</v>
      </c>
      <c r="K82" s="12" t="s">
        <v>20</v>
      </c>
      <c r="L82" s="12">
        <v>1</v>
      </c>
      <c r="M82" s="17">
        <v>0</v>
      </c>
      <c r="N82" s="17">
        <f t="shared" si="7"/>
        <v>0</v>
      </c>
      <c r="O82" s="12" t="s">
        <v>21</v>
      </c>
      <c r="P82" s="12">
        <f t="shared" si="9"/>
        <v>70</v>
      </c>
    </row>
    <row r="83" spans="1:16" x14ac:dyDescent="0.25">
      <c r="A83" s="12" t="s">
        <v>18</v>
      </c>
      <c r="B83" s="36" t="s">
        <v>454</v>
      </c>
      <c r="C83" s="12">
        <f t="shared" si="6"/>
        <v>72</v>
      </c>
      <c r="D83" s="12">
        <v>1</v>
      </c>
      <c r="E83" s="12" t="str">
        <f t="shared" si="8"/>
        <v>072</v>
      </c>
      <c r="G83" s="12" t="s">
        <v>29</v>
      </c>
      <c r="H83" s="12" t="s">
        <v>4161</v>
      </c>
      <c r="I83" s="12">
        <v>131</v>
      </c>
      <c r="J83" s="12">
        <v>5113</v>
      </c>
      <c r="K83" s="12" t="s">
        <v>20</v>
      </c>
      <c r="L83" s="12">
        <v>1</v>
      </c>
      <c r="M83" s="17">
        <v>15770609</v>
      </c>
      <c r="N83" s="17">
        <f t="shared" si="7"/>
        <v>15770609</v>
      </c>
      <c r="O83" s="12" t="s">
        <v>21</v>
      </c>
      <c r="P83" s="12">
        <f t="shared" si="9"/>
        <v>71</v>
      </c>
    </row>
    <row r="84" spans="1:16" x14ac:dyDescent="0.25">
      <c r="A84" s="12" t="s">
        <v>18</v>
      </c>
      <c r="B84" s="36" t="s">
        <v>454</v>
      </c>
      <c r="C84" s="12">
        <f t="shared" si="6"/>
        <v>72</v>
      </c>
      <c r="D84" s="12">
        <v>0</v>
      </c>
      <c r="E84" s="12" t="str">
        <f t="shared" si="8"/>
        <v>072</v>
      </c>
      <c r="G84" s="12" t="s">
        <v>29</v>
      </c>
      <c r="H84" s="12" t="s">
        <v>4183</v>
      </c>
      <c r="I84" s="12">
        <v>333821</v>
      </c>
      <c r="J84" s="12">
        <v>131</v>
      </c>
      <c r="K84" s="12" t="s">
        <v>20</v>
      </c>
      <c r="L84" s="12">
        <v>1</v>
      </c>
      <c r="M84" s="17">
        <v>0</v>
      </c>
      <c r="N84" s="17">
        <f t="shared" si="7"/>
        <v>0</v>
      </c>
      <c r="O84" s="12" t="s">
        <v>21</v>
      </c>
      <c r="P84" s="12">
        <f t="shared" si="9"/>
        <v>71</v>
      </c>
    </row>
    <row r="85" spans="1:16" x14ac:dyDescent="0.25">
      <c r="A85" s="12" t="s">
        <v>18</v>
      </c>
      <c r="B85" s="36" t="s">
        <v>515</v>
      </c>
      <c r="C85" s="12">
        <f t="shared" si="6"/>
        <v>73</v>
      </c>
      <c r="D85" s="12">
        <v>1</v>
      </c>
      <c r="E85" s="12" t="str">
        <f t="shared" si="8"/>
        <v>073</v>
      </c>
      <c r="G85" s="12" t="s">
        <v>29</v>
      </c>
      <c r="H85" s="12" t="s">
        <v>4162</v>
      </c>
      <c r="I85" s="12">
        <v>131</v>
      </c>
      <c r="J85" s="12">
        <v>5113</v>
      </c>
      <c r="K85" s="12" t="s">
        <v>20</v>
      </c>
      <c r="L85" s="12">
        <v>1</v>
      </c>
      <c r="M85" s="17">
        <v>21505376</v>
      </c>
      <c r="N85" s="17">
        <f t="shared" si="7"/>
        <v>21505376</v>
      </c>
      <c r="O85" s="12" t="s">
        <v>21</v>
      </c>
      <c r="P85" s="12">
        <f t="shared" si="9"/>
        <v>72</v>
      </c>
    </row>
    <row r="86" spans="1:16" x14ac:dyDescent="0.25">
      <c r="A86" s="12" t="s">
        <v>18</v>
      </c>
      <c r="B86" s="36" t="s">
        <v>515</v>
      </c>
      <c r="C86" s="12">
        <f t="shared" si="6"/>
        <v>73</v>
      </c>
      <c r="D86" s="12">
        <v>0</v>
      </c>
      <c r="E86" s="12" t="str">
        <f t="shared" si="8"/>
        <v>073</v>
      </c>
      <c r="G86" s="12" t="s">
        <v>29</v>
      </c>
      <c r="H86" s="12" t="s">
        <v>4184</v>
      </c>
      <c r="I86" s="12">
        <v>333821</v>
      </c>
      <c r="J86" s="12">
        <v>131</v>
      </c>
      <c r="K86" s="12" t="s">
        <v>20</v>
      </c>
      <c r="L86" s="12">
        <v>1</v>
      </c>
      <c r="M86" s="17">
        <v>0</v>
      </c>
      <c r="N86" s="17">
        <f t="shared" si="7"/>
        <v>0</v>
      </c>
      <c r="O86" s="12" t="s">
        <v>21</v>
      </c>
      <c r="P86" s="12">
        <f t="shared" si="9"/>
        <v>72</v>
      </c>
    </row>
    <row r="87" spans="1:16" x14ac:dyDescent="0.25">
      <c r="A87" s="12" t="s">
        <v>18</v>
      </c>
      <c r="B87" s="36" t="s">
        <v>515</v>
      </c>
      <c r="C87" s="12">
        <f t="shared" si="6"/>
        <v>74</v>
      </c>
      <c r="D87" s="12">
        <v>1</v>
      </c>
      <c r="E87" s="12" t="str">
        <f t="shared" si="8"/>
        <v>074</v>
      </c>
      <c r="G87" s="12" t="s">
        <v>29</v>
      </c>
      <c r="H87" s="12" t="s">
        <v>4163</v>
      </c>
      <c r="I87" s="12">
        <v>131</v>
      </c>
      <c r="J87" s="12">
        <v>5113</v>
      </c>
      <c r="K87" s="12" t="s">
        <v>20</v>
      </c>
      <c r="L87" s="12">
        <v>1</v>
      </c>
      <c r="M87" s="17">
        <v>16129032</v>
      </c>
      <c r="N87" s="17">
        <f t="shared" si="7"/>
        <v>16129032</v>
      </c>
      <c r="O87" s="12" t="s">
        <v>21</v>
      </c>
      <c r="P87" s="12">
        <f t="shared" si="9"/>
        <v>73</v>
      </c>
    </row>
    <row r="88" spans="1:16" x14ac:dyDescent="0.25">
      <c r="A88" s="12" t="s">
        <v>18</v>
      </c>
      <c r="B88" s="36" t="s">
        <v>515</v>
      </c>
      <c r="C88" s="12">
        <f t="shared" si="6"/>
        <v>74</v>
      </c>
      <c r="D88" s="12">
        <v>0</v>
      </c>
      <c r="E88" s="12" t="str">
        <f t="shared" si="8"/>
        <v>074</v>
      </c>
      <c r="G88" s="12" t="s">
        <v>29</v>
      </c>
      <c r="H88" s="12" t="s">
        <v>4185</v>
      </c>
      <c r="I88" s="12">
        <v>333821</v>
      </c>
      <c r="J88" s="12">
        <v>131</v>
      </c>
      <c r="K88" s="12" t="s">
        <v>20</v>
      </c>
      <c r="L88" s="12">
        <v>1</v>
      </c>
      <c r="M88" s="17">
        <v>0</v>
      </c>
      <c r="N88" s="17">
        <f t="shared" si="7"/>
        <v>0</v>
      </c>
      <c r="O88" s="12" t="s">
        <v>21</v>
      </c>
      <c r="P88" s="12">
        <f t="shared" si="9"/>
        <v>73</v>
      </c>
    </row>
    <row r="89" spans="1:16" x14ac:dyDescent="0.25">
      <c r="A89" s="12" t="s">
        <v>18</v>
      </c>
      <c r="B89" s="36" t="s">
        <v>380</v>
      </c>
      <c r="C89" s="12">
        <f t="shared" si="6"/>
        <v>75</v>
      </c>
      <c r="D89" s="12">
        <v>1</v>
      </c>
      <c r="E89" s="12" t="str">
        <f t="shared" si="8"/>
        <v>075</v>
      </c>
      <c r="G89" s="12" t="s">
        <v>130</v>
      </c>
      <c r="H89" s="12" t="s">
        <v>4164</v>
      </c>
      <c r="I89" s="12">
        <v>131</v>
      </c>
      <c r="J89" s="12">
        <v>5113</v>
      </c>
      <c r="K89" s="12" t="s">
        <v>20</v>
      </c>
      <c r="L89" s="12">
        <v>1</v>
      </c>
      <c r="M89" s="17">
        <v>12903226</v>
      </c>
      <c r="N89" s="17">
        <f t="shared" si="7"/>
        <v>12903226</v>
      </c>
      <c r="O89" s="12" t="s">
        <v>21</v>
      </c>
      <c r="P89" s="12">
        <f t="shared" si="9"/>
        <v>74</v>
      </c>
    </row>
    <row r="90" spans="1:16" x14ac:dyDescent="0.25">
      <c r="A90" s="12" t="s">
        <v>18</v>
      </c>
      <c r="B90" s="36" t="s">
        <v>380</v>
      </c>
      <c r="C90" s="12">
        <f t="shared" si="6"/>
        <v>75</v>
      </c>
      <c r="D90" s="12">
        <v>0</v>
      </c>
      <c r="E90" s="12" t="str">
        <f t="shared" si="8"/>
        <v>075</v>
      </c>
      <c r="G90" s="12" t="s">
        <v>130</v>
      </c>
      <c r="H90" s="12" t="s">
        <v>4186</v>
      </c>
      <c r="I90" s="12">
        <v>333821</v>
      </c>
      <c r="J90" s="12">
        <v>131</v>
      </c>
      <c r="K90" s="12" t="s">
        <v>20</v>
      </c>
      <c r="L90" s="12">
        <v>1</v>
      </c>
      <c r="M90" s="17">
        <v>129032</v>
      </c>
      <c r="N90" s="17">
        <f t="shared" si="7"/>
        <v>129032</v>
      </c>
      <c r="O90" s="12" t="s">
        <v>21</v>
      </c>
      <c r="P90" s="12">
        <f t="shared" si="9"/>
        <v>74</v>
      </c>
    </row>
    <row r="91" spans="1:16" x14ac:dyDescent="0.25">
      <c r="A91" s="12" t="s">
        <v>18</v>
      </c>
      <c r="B91" s="36" t="s">
        <v>380</v>
      </c>
      <c r="C91" s="12">
        <f t="shared" si="6"/>
        <v>76</v>
      </c>
      <c r="D91" s="12">
        <v>1</v>
      </c>
      <c r="E91" s="12" t="str">
        <f t="shared" si="8"/>
        <v>076</v>
      </c>
      <c r="G91" s="12" t="s">
        <v>4149</v>
      </c>
      <c r="H91" s="12" t="s">
        <v>4165</v>
      </c>
      <c r="I91" s="12">
        <v>131</v>
      </c>
      <c r="J91" s="12">
        <v>5113</v>
      </c>
      <c r="K91" s="12" t="s">
        <v>20</v>
      </c>
      <c r="L91" s="12">
        <v>1</v>
      </c>
      <c r="M91" s="17">
        <v>34408602</v>
      </c>
      <c r="N91" s="17">
        <f t="shared" si="7"/>
        <v>34408602</v>
      </c>
      <c r="O91" s="12" t="s">
        <v>21</v>
      </c>
      <c r="P91" s="12">
        <f t="shared" si="9"/>
        <v>75</v>
      </c>
    </row>
    <row r="92" spans="1:16" x14ac:dyDescent="0.25">
      <c r="A92" s="12" t="s">
        <v>18</v>
      </c>
      <c r="B92" s="36" t="s">
        <v>380</v>
      </c>
      <c r="C92" s="12">
        <f t="shared" si="6"/>
        <v>76</v>
      </c>
      <c r="D92" s="12">
        <v>0</v>
      </c>
      <c r="E92" s="12" t="str">
        <f t="shared" si="8"/>
        <v>076</v>
      </c>
      <c r="G92" s="12" t="s">
        <v>4149</v>
      </c>
      <c r="H92" s="12" t="s">
        <v>4187</v>
      </c>
      <c r="I92" s="12">
        <v>333821</v>
      </c>
      <c r="J92" s="12">
        <v>131</v>
      </c>
      <c r="K92" s="12" t="s">
        <v>20</v>
      </c>
      <c r="L92" s="12">
        <v>1</v>
      </c>
      <c r="M92" s="17">
        <v>344086</v>
      </c>
      <c r="N92" s="17">
        <f t="shared" si="7"/>
        <v>344086</v>
      </c>
      <c r="O92" s="12" t="s">
        <v>21</v>
      </c>
      <c r="P92" s="12">
        <f t="shared" si="9"/>
        <v>75</v>
      </c>
    </row>
    <row r="93" spans="1:16" x14ac:dyDescent="0.25">
      <c r="A93" s="12" t="s">
        <v>18</v>
      </c>
      <c r="B93" s="36" t="s">
        <v>380</v>
      </c>
      <c r="C93" s="12">
        <f t="shared" si="6"/>
        <v>77</v>
      </c>
      <c r="D93" s="12">
        <v>1</v>
      </c>
      <c r="E93" s="12" t="str">
        <f t="shared" si="8"/>
        <v>077</v>
      </c>
      <c r="G93" s="12" t="s">
        <v>58</v>
      </c>
      <c r="H93" s="12" t="s">
        <v>4166</v>
      </c>
      <c r="I93" s="12">
        <v>131</v>
      </c>
      <c r="J93" s="12">
        <v>5113</v>
      </c>
      <c r="K93" s="12" t="s">
        <v>20</v>
      </c>
      <c r="L93" s="12">
        <v>1</v>
      </c>
      <c r="M93" s="17">
        <v>37634409</v>
      </c>
      <c r="N93" s="17">
        <f t="shared" si="7"/>
        <v>37634409</v>
      </c>
      <c r="O93" s="12" t="s">
        <v>21</v>
      </c>
      <c r="P93" s="12">
        <f t="shared" si="9"/>
        <v>76</v>
      </c>
    </row>
    <row r="94" spans="1:16" x14ac:dyDescent="0.25">
      <c r="A94" s="12" t="s">
        <v>18</v>
      </c>
      <c r="B94" s="36" t="s">
        <v>380</v>
      </c>
      <c r="C94" s="12">
        <f t="shared" si="6"/>
        <v>77</v>
      </c>
      <c r="D94" s="12">
        <v>0</v>
      </c>
      <c r="E94" s="12" t="str">
        <f t="shared" si="8"/>
        <v>077</v>
      </c>
      <c r="G94" s="12" t="s">
        <v>58</v>
      </c>
      <c r="H94" s="12" t="s">
        <v>4188</v>
      </c>
      <c r="I94" s="12">
        <v>333821</v>
      </c>
      <c r="J94" s="12">
        <v>131</v>
      </c>
      <c r="K94" s="12" t="s">
        <v>20</v>
      </c>
      <c r="L94" s="12">
        <v>1</v>
      </c>
      <c r="M94" s="17">
        <v>376344</v>
      </c>
      <c r="N94" s="17">
        <f t="shared" si="7"/>
        <v>376344</v>
      </c>
      <c r="O94" s="12" t="s">
        <v>21</v>
      </c>
      <c r="P94" s="12">
        <f t="shared" si="9"/>
        <v>76</v>
      </c>
    </row>
    <row r="95" spans="1:16" x14ac:dyDescent="0.25">
      <c r="A95" s="12" t="s">
        <v>18</v>
      </c>
      <c r="B95" s="36" t="s">
        <v>380</v>
      </c>
      <c r="C95" s="12">
        <f t="shared" si="6"/>
        <v>78</v>
      </c>
      <c r="D95" s="12">
        <v>1</v>
      </c>
      <c r="E95" s="12" t="str">
        <f t="shared" si="8"/>
        <v>078</v>
      </c>
      <c r="G95" s="12" t="s">
        <v>4150</v>
      </c>
      <c r="H95" s="12" t="s">
        <v>4167</v>
      </c>
      <c r="I95" s="12">
        <v>131</v>
      </c>
      <c r="J95" s="12">
        <v>5113</v>
      </c>
      <c r="K95" s="12" t="s">
        <v>20</v>
      </c>
      <c r="L95" s="12">
        <v>1</v>
      </c>
      <c r="M95" s="17">
        <v>10752688</v>
      </c>
      <c r="N95" s="17">
        <f t="shared" si="7"/>
        <v>10752688</v>
      </c>
      <c r="O95" s="12" t="s">
        <v>21</v>
      </c>
      <c r="P95" s="12">
        <f t="shared" si="9"/>
        <v>77</v>
      </c>
    </row>
    <row r="96" spans="1:16" x14ac:dyDescent="0.25">
      <c r="A96" s="12" t="s">
        <v>18</v>
      </c>
      <c r="B96" s="36" t="s">
        <v>380</v>
      </c>
      <c r="C96" s="12">
        <f t="shared" si="6"/>
        <v>78</v>
      </c>
      <c r="D96" s="12">
        <v>0</v>
      </c>
      <c r="E96" s="12" t="str">
        <f t="shared" si="8"/>
        <v>078</v>
      </c>
      <c r="G96" s="12" t="s">
        <v>4150</v>
      </c>
      <c r="H96" s="12" t="s">
        <v>4189</v>
      </c>
      <c r="I96" s="12">
        <v>333821</v>
      </c>
      <c r="J96" s="12">
        <v>131</v>
      </c>
      <c r="K96" s="12" t="s">
        <v>20</v>
      </c>
      <c r="L96" s="12">
        <v>1</v>
      </c>
      <c r="M96" s="17">
        <v>107527</v>
      </c>
      <c r="N96" s="17">
        <f t="shared" si="7"/>
        <v>107527</v>
      </c>
      <c r="O96" s="12" t="s">
        <v>21</v>
      </c>
      <c r="P96" s="12">
        <f t="shared" si="9"/>
        <v>77</v>
      </c>
    </row>
    <row r="97" spans="1:16" x14ac:dyDescent="0.25">
      <c r="A97" s="12" t="s">
        <v>18</v>
      </c>
      <c r="B97" s="36" t="s">
        <v>457</v>
      </c>
      <c r="C97" s="12">
        <f t="shared" si="6"/>
        <v>79</v>
      </c>
      <c r="D97" s="12">
        <v>1</v>
      </c>
      <c r="E97" s="12" t="str">
        <f t="shared" si="8"/>
        <v>079</v>
      </c>
      <c r="G97" s="12" t="s">
        <v>3321</v>
      </c>
      <c r="H97" s="12" t="s">
        <v>4168</v>
      </c>
      <c r="I97" s="12">
        <v>131</v>
      </c>
      <c r="J97" s="12">
        <v>5113</v>
      </c>
      <c r="K97" s="12" t="s">
        <v>20</v>
      </c>
      <c r="L97" s="12">
        <v>1</v>
      </c>
      <c r="M97" s="17">
        <v>12903226</v>
      </c>
      <c r="N97" s="17">
        <f t="shared" si="7"/>
        <v>12903226</v>
      </c>
      <c r="O97" s="12" t="s">
        <v>21</v>
      </c>
      <c r="P97" s="12">
        <f t="shared" si="9"/>
        <v>78</v>
      </c>
    </row>
    <row r="98" spans="1:16" x14ac:dyDescent="0.25">
      <c r="A98" s="12" t="s">
        <v>18</v>
      </c>
      <c r="B98" s="36" t="s">
        <v>457</v>
      </c>
      <c r="C98" s="12">
        <f t="shared" si="6"/>
        <v>79</v>
      </c>
      <c r="D98" s="12">
        <v>0</v>
      </c>
      <c r="E98" s="12" t="str">
        <f t="shared" si="8"/>
        <v>079</v>
      </c>
      <c r="G98" s="12" t="s">
        <v>3321</v>
      </c>
      <c r="H98" s="12" t="s">
        <v>4190</v>
      </c>
      <c r="I98" s="12">
        <v>333821</v>
      </c>
      <c r="J98" s="12">
        <v>131</v>
      </c>
      <c r="K98" s="12" t="s">
        <v>20</v>
      </c>
      <c r="L98" s="12">
        <v>1</v>
      </c>
      <c r="M98" s="17">
        <v>129032</v>
      </c>
      <c r="N98" s="17">
        <f t="shared" si="7"/>
        <v>129032</v>
      </c>
      <c r="O98" s="12" t="s">
        <v>21</v>
      </c>
      <c r="P98" s="12">
        <f t="shared" si="9"/>
        <v>78</v>
      </c>
    </row>
    <row r="99" spans="1:16" x14ac:dyDescent="0.25">
      <c r="A99" s="12" t="s">
        <v>18</v>
      </c>
      <c r="B99" s="36" t="s">
        <v>320</v>
      </c>
      <c r="C99" s="12">
        <f t="shared" si="6"/>
        <v>80</v>
      </c>
      <c r="D99" s="12">
        <v>1</v>
      </c>
      <c r="E99" s="12" t="str">
        <f t="shared" si="8"/>
        <v>080</v>
      </c>
      <c r="G99" s="12" t="s">
        <v>1036</v>
      </c>
      <c r="H99" s="12" t="s">
        <v>4169</v>
      </c>
      <c r="I99" s="12">
        <v>131</v>
      </c>
      <c r="J99" s="12">
        <v>5113</v>
      </c>
      <c r="K99" s="12" t="s">
        <v>20</v>
      </c>
      <c r="L99" s="12">
        <v>1</v>
      </c>
      <c r="M99" s="17">
        <v>12903226</v>
      </c>
      <c r="N99" s="17">
        <f t="shared" si="7"/>
        <v>12903226</v>
      </c>
      <c r="O99" s="12" t="s">
        <v>21</v>
      </c>
      <c r="P99" s="12">
        <f t="shared" si="9"/>
        <v>79</v>
      </c>
    </row>
    <row r="100" spans="1:16" x14ac:dyDescent="0.25">
      <c r="A100" s="12" t="s">
        <v>18</v>
      </c>
      <c r="B100" s="36" t="s">
        <v>320</v>
      </c>
      <c r="C100" s="12">
        <f t="shared" si="6"/>
        <v>80</v>
      </c>
      <c r="D100" s="12">
        <v>0</v>
      </c>
      <c r="E100" s="12" t="str">
        <f t="shared" si="8"/>
        <v>080</v>
      </c>
      <c r="G100" s="12" t="s">
        <v>1036</v>
      </c>
      <c r="H100" s="12" t="s">
        <v>4191</v>
      </c>
      <c r="I100" s="12">
        <v>333821</v>
      </c>
      <c r="J100" s="12">
        <v>131</v>
      </c>
      <c r="K100" s="12" t="s">
        <v>20</v>
      </c>
      <c r="L100" s="12">
        <v>1</v>
      </c>
      <c r="M100" s="17">
        <v>129032</v>
      </c>
      <c r="N100" s="17">
        <f t="shared" si="7"/>
        <v>129032</v>
      </c>
      <c r="O100" s="12" t="s">
        <v>21</v>
      </c>
      <c r="P100" s="12">
        <f t="shared" si="9"/>
        <v>79</v>
      </c>
    </row>
    <row r="101" spans="1:16" x14ac:dyDescent="0.25">
      <c r="A101" s="12" t="s">
        <v>18</v>
      </c>
      <c r="B101" s="36" t="s">
        <v>320</v>
      </c>
      <c r="C101" s="12">
        <f t="shared" ref="C101:C108" si="10">C100+D101</f>
        <v>81</v>
      </c>
      <c r="D101" s="12">
        <v>1</v>
      </c>
      <c r="E101" s="12" t="str">
        <f t="shared" si="8"/>
        <v>081</v>
      </c>
      <c r="G101" s="12" t="s">
        <v>29</v>
      </c>
      <c r="H101" s="12" t="s">
        <v>4170</v>
      </c>
      <c r="I101" s="12">
        <v>131</v>
      </c>
      <c r="J101" s="12">
        <v>5113</v>
      </c>
      <c r="K101" s="12" t="s">
        <v>20</v>
      </c>
      <c r="L101" s="12">
        <v>1</v>
      </c>
      <c r="M101" s="17">
        <v>12903226</v>
      </c>
      <c r="N101" s="17">
        <f t="shared" ref="N101:N164" si="11">L101*M101</f>
        <v>12903226</v>
      </c>
      <c r="O101" s="12" t="s">
        <v>21</v>
      </c>
      <c r="P101" s="12">
        <f t="shared" si="9"/>
        <v>80</v>
      </c>
    </row>
    <row r="102" spans="1:16" x14ac:dyDescent="0.25">
      <c r="A102" s="12" t="s">
        <v>18</v>
      </c>
      <c r="B102" s="36" t="s">
        <v>320</v>
      </c>
      <c r="C102" s="12">
        <f t="shared" si="10"/>
        <v>81</v>
      </c>
      <c r="D102" s="12">
        <v>0</v>
      </c>
      <c r="E102" s="12" t="str">
        <f t="shared" si="8"/>
        <v>081</v>
      </c>
      <c r="G102" s="12" t="s">
        <v>29</v>
      </c>
      <c r="H102" s="12" t="s">
        <v>4192</v>
      </c>
      <c r="I102" s="12">
        <v>333821</v>
      </c>
      <c r="J102" s="12">
        <v>131</v>
      </c>
      <c r="K102" s="12" t="s">
        <v>20</v>
      </c>
      <c r="L102" s="12">
        <v>1</v>
      </c>
      <c r="M102" s="17">
        <v>0</v>
      </c>
      <c r="N102" s="17">
        <f t="shared" si="11"/>
        <v>0</v>
      </c>
      <c r="O102" s="12" t="s">
        <v>21</v>
      </c>
      <c r="P102" s="12">
        <f t="shared" si="9"/>
        <v>80</v>
      </c>
    </row>
    <row r="103" spans="1:16" x14ac:dyDescent="0.25">
      <c r="A103" s="12" t="s">
        <v>18</v>
      </c>
      <c r="B103" s="36" t="s">
        <v>2045</v>
      </c>
      <c r="C103" s="12">
        <f t="shared" si="10"/>
        <v>82</v>
      </c>
      <c r="D103" s="12">
        <v>1</v>
      </c>
      <c r="E103" s="12" t="str">
        <f t="shared" si="8"/>
        <v>082</v>
      </c>
      <c r="G103" s="12" t="s">
        <v>4151</v>
      </c>
      <c r="H103" s="12" t="s">
        <v>4171</v>
      </c>
      <c r="I103" s="12">
        <v>131</v>
      </c>
      <c r="J103" s="12">
        <v>5113</v>
      </c>
      <c r="K103" s="12" t="s">
        <v>20</v>
      </c>
      <c r="L103" s="12">
        <v>1</v>
      </c>
      <c r="M103" s="17">
        <v>11827957</v>
      </c>
      <c r="N103" s="17">
        <f t="shared" si="11"/>
        <v>11827957</v>
      </c>
      <c r="O103" s="12" t="s">
        <v>21</v>
      </c>
      <c r="P103" s="12">
        <f t="shared" si="9"/>
        <v>81</v>
      </c>
    </row>
    <row r="104" spans="1:16" x14ac:dyDescent="0.25">
      <c r="A104" s="12" t="s">
        <v>18</v>
      </c>
      <c r="B104" s="36" t="s">
        <v>2045</v>
      </c>
      <c r="C104" s="12">
        <f t="shared" si="10"/>
        <v>82</v>
      </c>
      <c r="D104" s="12">
        <v>0</v>
      </c>
      <c r="E104" s="12" t="str">
        <f t="shared" si="8"/>
        <v>082</v>
      </c>
      <c r="G104" s="12" t="s">
        <v>4151</v>
      </c>
      <c r="H104" s="12" t="s">
        <v>4193</v>
      </c>
      <c r="I104" s="12">
        <v>333821</v>
      </c>
      <c r="J104" s="12">
        <v>131</v>
      </c>
      <c r="K104" s="12" t="s">
        <v>20</v>
      </c>
      <c r="L104" s="12">
        <v>1</v>
      </c>
      <c r="M104" s="17">
        <v>118280</v>
      </c>
      <c r="N104" s="17">
        <f t="shared" si="11"/>
        <v>118280</v>
      </c>
      <c r="O104" s="12" t="s">
        <v>21</v>
      </c>
      <c r="P104" s="12">
        <f t="shared" si="9"/>
        <v>81</v>
      </c>
    </row>
    <row r="105" spans="1:16" x14ac:dyDescent="0.25">
      <c r="A105" s="12" t="s">
        <v>18</v>
      </c>
      <c r="B105" s="36" t="s">
        <v>2513</v>
      </c>
      <c r="C105" s="12">
        <f t="shared" si="10"/>
        <v>83</v>
      </c>
      <c r="D105" s="12">
        <v>1</v>
      </c>
      <c r="E105" s="12" t="str">
        <f t="shared" si="8"/>
        <v>083</v>
      </c>
      <c r="G105" s="12" t="s">
        <v>2578</v>
      </c>
      <c r="H105" s="12" t="s">
        <v>4172</v>
      </c>
      <c r="I105" s="12">
        <v>131</v>
      </c>
      <c r="J105" s="12">
        <v>5113</v>
      </c>
      <c r="K105" s="12" t="s">
        <v>20</v>
      </c>
      <c r="L105" s="12">
        <v>1</v>
      </c>
      <c r="M105" s="17">
        <v>16129032</v>
      </c>
      <c r="N105" s="17">
        <f t="shared" si="11"/>
        <v>16129032</v>
      </c>
      <c r="O105" s="12" t="s">
        <v>21</v>
      </c>
      <c r="P105" s="12">
        <f t="shared" si="9"/>
        <v>82</v>
      </c>
    </row>
    <row r="106" spans="1:16" x14ac:dyDescent="0.25">
      <c r="A106" s="12" t="s">
        <v>18</v>
      </c>
      <c r="B106" s="36" t="s">
        <v>2513</v>
      </c>
      <c r="C106" s="12">
        <f t="shared" si="10"/>
        <v>83</v>
      </c>
      <c r="D106" s="12">
        <v>0</v>
      </c>
      <c r="E106" s="12" t="str">
        <f t="shared" si="8"/>
        <v>083</v>
      </c>
      <c r="G106" s="12" t="s">
        <v>2578</v>
      </c>
      <c r="H106" s="12" t="s">
        <v>4194</v>
      </c>
      <c r="I106" s="12">
        <v>333821</v>
      </c>
      <c r="J106" s="12">
        <v>131</v>
      </c>
      <c r="K106" s="12" t="s">
        <v>20</v>
      </c>
      <c r="L106" s="12">
        <v>1</v>
      </c>
      <c r="M106" s="17">
        <v>161290</v>
      </c>
      <c r="N106" s="17">
        <f t="shared" si="11"/>
        <v>161290</v>
      </c>
      <c r="O106" s="12" t="s">
        <v>21</v>
      </c>
      <c r="P106" s="12">
        <f t="shared" si="9"/>
        <v>82</v>
      </c>
    </row>
    <row r="107" spans="1:16" x14ac:dyDescent="0.25">
      <c r="A107" s="12" t="s">
        <v>18</v>
      </c>
      <c r="B107" s="36" t="s">
        <v>2513</v>
      </c>
      <c r="C107" s="12">
        <f t="shared" si="10"/>
        <v>84</v>
      </c>
      <c r="D107" s="12">
        <v>1</v>
      </c>
      <c r="E107" s="12" t="str">
        <f t="shared" si="8"/>
        <v>084</v>
      </c>
      <c r="G107" s="12" t="s">
        <v>82</v>
      </c>
      <c r="H107" s="12" t="s">
        <v>4173</v>
      </c>
      <c r="I107" s="12">
        <v>131</v>
      </c>
      <c r="J107" s="12">
        <v>5113</v>
      </c>
      <c r="K107" s="12" t="s">
        <v>20</v>
      </c>
      <c r="L107" s="12">
        <v>1</v>
      </c>
      <c r="M107" s="17">
        <v>32258065</v>
      </c>
      <c r="N107" s="17">
        <f t="shared" si="11"/>
        <v>32258065</v>
      </c>
      <c r="O107" s="12" t="s">
        <v>21</v>
      </c>
      <c r="P107" s="12">
        <f t="shared" si="9"/>
        <v>83</v>
      </c>
    </row>
    <row r="108" spans="1:16" x14ac:dyDescent="0.25">
      <c r="A108" s="12" t="s">
        <v>18</v>
      </c>
      <c r="B108" s="36" t="s">
        <v>2513</v>
      </c>
      <c r="C108" s="12">
        <f t="shared" si="10"/>
        <v>84</v>
      </c>
      <c r="D108" s="12">
        <v>0</v>
      </c>
      <c r="E108" s="12" t="str">
        <f t="shared" si="8"/>
        <v>084</v>
      </c>
      <c r="F108" s="12"/>
      <c r="G108" s="12" t="s">
        <v>82</v>
      </c>
      <c r="H108" s="12" t="s">
        <v>4195</v>
      </c>
      <c r="I108" s="12">
        <v>333821</v>
      </c>
      <c r="J108" s="12">
        <v>131</v>
      </c>
      <c r="K108" s="12" t="s">
        <v>20</v>
      </c>
      <c r="L108" s="12">
        <v>1</v>
      </c>
      <c r="M108" s="17">
        <v>322581</v>
      </c>
      <c r="N108" s="17">
        <f t="shared" si="11"/>
        <v>322581</v>
      </c>
      <c r="O108" s="12" t="s">
        <v>21</v>
      </c>
      <c r="P108" s="12">
        <f t="shared" si="9"/>
        <v>83</v>
      </c>
    </row>
    <row r="109" spans="1:16" x14ac:dyDescent="0.25">
      <c r="A109" s="12" t="s">
        <v>18</v>
      </c>
      <c r="B109" s="36">
        <v>46022</v>
      </c>
      <c r="C109" s="12">
        <f t="shared" ref="C109:C172" si="12">C108+D109</f>
        <v>85</v>
      </c>
      <c r="D109" s="12">
        <v>1</v>
      </c>
      <c r="E109" s="12" t="str">
        <f t="shared" si="8"/>
        <v>085</v>
      </c>
      <c r="F109" s="12"/>
      <c r="G109" s="136" t="s">
        <v>93</v>
      </c>
      <c r="H109" s="12" t="s">
        <v>4592</v>
      </c>
      <c r="I109" s="12">
        <v>64271</v>
      </c>
      <c r="J109" s="12">
        <v>3383</v>
      </c>
      <c r="K109" s="12" t="s">
        <v>20</v>
      </c>
      <c r="L109" s="12">
        <v>1</v>
      </c>
      <c r="M109" s="17">
        <v>690300</v>
      </c>
      <c r="N109" s="17">
        <f t="shared" si="11"/>
        <v>690300</v>
      </c>
      <c r="O109" s="12" t="s">
        <v>21</v>
      </c>
      <c r="P109" s="12">
        <f t="shared" si="9"/>
        <v>84</v>
      </c>
    </row>
    <row r="110" spans="1:16" x14ac:dyDescent="0.25">
      <c r="A110" s="12" t="s">
        <v>2679</v>
      </c>
      <c r="B110" s="36">
        <v>45943</v>
      </c>
      <c r="C110" s="12">
        <f t="shared" si="12"/>
        <v>86</v>
      </c>
      <c r="D110" s="12">
        <v>1</v>
      </c>
      <c r="E110" s="12" t="str">
        <f t="shared" si="8"/>
        <v>086</v>
      </c>
      <c r="F110" s="12"/>
      <c r="G110" s="136" t="s">
        <v>43</v>
      </c>
      <c r="H110" s="12" t="s">
        <v>4665</v>
      </c>
      <c r="I110" s="12">
        <v>112111</v>
      </c>
      <c r="J110" s="12">
        <v>3388</v>
      </c>
      <c r="K110" s="12" t="s">
        <v>20</v>
      </c>
      <c r="L110" s="12">
        <v>1</v>
      </c>
      <c r="M110" s="17">
        <v>95329</v>
      </c>
      <c r="N110" s="17">
        <f t="shared" si="11"/>
        <v>95329</v>
      </c>
      <c r="O110" s="12" t="s">
        <v>21</v>
      </c>
      <c r="P110" s="12">
        <f t="shared" si="9"/>
        <v>85</v>
      </c>
    </row>
    <row r="111" spans="1:16" x14ac:dyDescent="0.25">
      <c r="A111" s="12" t="s">
        <v>2679</v>
      </c>
      <c r="B111" s="36">
        <v>45943</v>
      </c>
      <c r="C111" s="12">
        <f t="shared" si="12"/>
        <v>87</v>
      </c>
      <c r="D111" s="12">
        <v>1</v>
      </c>
      <c r="E111" s="12" t="str">
        <f t="shared" si="8"/>
        <v>087</v>
      </c>
      <c r="F111" s="12"/>
      <c r="G111" s="136" t="s">
        <v>43</v>
      </c>
      <c r="H111" s="12" t="s">
        <v>4666</v>
      </c>
      <c r="I111" s="12">
        <v>112111</v>
      </c>
      <c r="J111" s="12">
        <v>131</v>
      </c>
      <c r="K111" s="12" t="s">
        <v>20</v>
      </c>
      <c r="L111" s="12">
        <v>1</v>
      </c>
      <c r="M111" s="17">
        <v>2947813</v>
      </c>
      <c r="N111" s="17">
        <f t="shared" si="11"/>
        <v>2947813</v>
      </c>
      <c r="O111" s="12" t="s">
        <v>21</v>
      </c>
      <c r="P111" s="12">
        <f t="shared" si="9"/>
        <v>86</v>
      </c>
    </row>
    <row r="112" spans="1:16" x14ac:dyDescent="0.25">
      <c r="A112" s="12" t="s">
        <v>2679</v>
      </c>
      <c r="B112" s="36">
        <v>45943</v>
      </c>
      <c r="C112" s="12">
        <f t="shared" si="12"/>
        <v>88</v>
      </c>
      <c r="D112" s="12">
        <v>1</v>
      </c>
      <c r="E112" s="12" t="str">
        <f t="shared" si="8"/>
        <v>088</v>
      </c>
      <c r="F112" s="12"/>
      <c r="G112" s="12" t="s">
        <v>58</v>
      </c>
      <c r="H112" s="12" t="s">
        <v>4662</v>
      </c>
      <c r="I112" s="12">
        <v>112111</v>
      </c>
      <c r="J112" s="12">
        <v>131</v>
      </c>
      <c r="K112" s="12" t="s">
        <v>20</v>
      </c>
      <c r="L112" s="12">
        <v>1</v>
      </c>
      <c r="M112" s="17">
        <v>37031263</v>
      </c>
      <c r="N112" s="17">
        <f t="shared" si="11"/>
        <v>37031263</v>
      </c>
      <c r="O112" s="12" t="s">
        <v>21</v>
      </c>
      <c r="P112" s="12">
        <f t="shared" si="9"/>
        <v>87</v>
      </c>
    </row>
    <row r="113" spans="1:16" x14ac:dyDescent="0.25">
      <c r="A113" s="12" t="s">
        <v>2678</v>
      </c>
      <c r="B113" s="36">
        <v>45943</v>
      </c>
      <c r="C113" s="12">
        <f t="shared" si="12"/>
        <v>89</v>
      </c>
      <c r="D113" s="12">
        <v>1</v>
      </c>
      <c r="E113" s="12" t="str">
        <f t="shared" si="8"/>
        <v>089</v>
      </c>
      <c r="F113" s="12"/>
      <c r="G113" s="136" t="s">
        <v>4104</v>
      </c>
      <c r="H113" s="12" t="s">
        <v>3017</v>
      </c>
      <c r="I113" s="12">
        <v>1111</v>
      </c>
      <c r="J113" s="12">
        <v>112111</v>
      </c>
      <c r="K113" s="12" t="s">
        <v>20</v>
      </c>
      <c r="L113" s="12">
        <v>1</v>
      </c>
      <c r="M113" s="17">
        <v>40000000</v>
      </c>
      <c r="N113" s="17">
        <f t="shared" si="11"/>
        <v>40000000</v>
      </c>
      <c r="O113" s="12" t="s">
        <v>21</v>
      </c>
      <c r="P113" s="12">
        <f t="shared" si="9"/>
        <v>88</v>
      </c>
    </row>
    <row r="114" spans="1:16" x14ac:dyDescent="0.25">
      <c r="A114" s="12" t="s">
        <v>2679</v>
      </c>
      <c r="B114" s="36">
        <v>45954</v>
      </c>
      <c r="C114" s="12">
        <f t="shared" si="12"/>
        <v>90</v>
      </c>
      <c r="D114" s="12">
        <v>1</v>
      </c>
      <c r="E114" s="12" t="str">
        <f t="shared" si="8"/>
        <v>090</v>
      </c>
      <c r="F114" s="12"/>
      <c r="G114" s="136" t="s">
        <v>82</v>
      </c>
      <c r="H114" s="12" t="s">
        <v>4655</v>
      </c>
      <c r="I114" s="12">
        <v>112111</v>
      </c>
      <c r="J114" s="12">
        <v>131</v>
      </c>
      <c r="K114" s="12" t="s">
        <v>20</v>
      </c>
      <c r="L114" s="12">
        <v>1</v>
      </c>
      <c r="M114" s="17">
        <v>12774194</v>
      </c>
      <c r="N114" s="17">
        <f t="shared" si="11"/>
        <v>12774194</v>
      </c>
      <c r="O114" s="12" t="s">
        <v>21</v>
      </c>
      <c r="P114" s="12">
        <f t="shared" si="9"/>
        <v>89</v>
      </c>
    </row>
    <row r="115" spans="1:16" x14ac:dyDescent="0.25">
      <c r="A115" s="12" t="s">
        <v>2679</v>
      </c>
      <c r="B115" s="36">
        <v>45955</v>
      </c>
      <c r="C115" s="12">
        <f t="shared" si="12"/>
        <v>91</v>
      </c>
      <c r="D115" s="12">
        <v>1</v>
      </c>
      <c r="E115" s="12" t="str">
        <f t="shared" si="8"/>
        <v>091</v>
      </c>
      <c r="F115" s="12"/>
      <c r="G115" s="136" t="s">
        <v>4104</v>
      </c>
      <c r="H115" s="12" t="s">
        <v>2687</v>
      </c>
      <c r="I115" s="12">
        <v>112111</v>
      </c>
      <c r="J115" s="12">
        <v>5154</v>
      </c>
      <c r="K115" s="12" t="s">
        <v>20</v>
      </c>
      <c r="L115" s="12">
        <v>1</v>
      </c>
      <c r="M115" s="17">
        <v>75</v>
      </c>
      <c r="N115" s="17">
        <f t="shared" si="11"/>
        <v>75</v>
      </c>
      <c r="O115" s="12" t="s">
        <v>21</v>
      </c>
      <c r="P115" s="12">
        <f t="shared" si="9"/>
        <v>90</v>
      </c>
    </row>
    <row r="116" spans="1:16" x14ac:dyDescent="0.25">
      <c r="A116" s="12" t="s">
        <v>18</v>
      </c>
      <c r="B116" s="36">
        <v>45964</v>
      </c>
      <c r="C116" s="12">
        <f t="shared" ref="C116:C119" si="13">C115+D116</f>
        <v>92</v>
      </c>
      <c r="D116" s="12">
        <v>1</v>
      </c>
      <c r="E116" s="12" t="str">
        <f t="shared" si="8"/>
        <v>092</v>
      </c>
      <c r="F116" s="12"/>
      <c r="G116" s="94" t="s">
        <v>3003</v>
      </c>
      <c r="H116" s="92" t="s">
        <v>3161</v>
      </c>
      <c r="I116" s="12">
        <v>131</v>
      </c>
      <c r="J116" s="12">
        <v>5118</v>
      </c>
      <c r="K116" s="12" t="s">
        <v>20</v>
      </c>
      <c r="L116" s="12">
        <v>1</v>
      </c>
      <c r="M116" s="17">
        <v>39101995</v>
      </c>
      <c r="N116" s="17">
        <f t="shared" si="11"/>
        <v>39101995</v>
      </c>
      <c r="O116" s="12" t="s">
        <v>21</v>
      </c>
      <c r="P116" s="12">
        <f t="shared" si="9"/>
        <v>91</v>
      </c>
    </row>
    <row r="117" spans="1:16" x14ac:dyDescent="0.25">
      <c r="A117" s="12" t="s">
        <v>2679</v>
      </c>
      <c r="B117" s="36">
        <v>45964</v>
      </c>
      <c r="C117" s="12">
        <f t="shared" si="13"/>
        <v>93</v>
      </c>
      <c r="D117" s="12">
        <v>1</v>
      </c>
      <c r="E117" s="12" t="str">
        <f t="shared" si="8"/>
        <v>093</v>
      </c>
      <c r="F117" s="12"/>
      <c r="G117" s="94" t="s">
        <v>3003</v>
      </c>
      <c r="H117" s="92" t="s">
        <v>3162</v>
      </c>
      <c r="I117" s="12">
        <v>112111</v>
      </c>
      <c r="J117" s="12">
        <v>131</v>
      </c>
      <c r="K117" s="12" t="s">
        <v>20</v>
      </c>
      <c r="L117" s="12">
        <v>1</v>
      </c>
      <c r="M117" s="17">
        <v>39101995</v>
      </c>
      <c r="N117" s="17">
        <f t="shared" si="11"/>
        <v>39101995</v>
      </c>
      <c r="O117" s="12" t="s">
        <v>21</v>
      </c>
      <c r="P117" s="12">
        <f t="shared" si="9"/>
        <v>92</v>
      </c>
    </row>
    <row r="118" spans="1:16" x14ac:dyDescent="0.25">
      <c r="A118" s="12" t="s">
        <v>18</v>
      </c>
      <c r="B118" s="36">
        <v>45964</v>
      </c>
      <c r="C118" s="12">
        <f t="shared" si="13"/>
        <v>94</v>
      </c>
      <c r="D118" s="12">
        <v>1</v>
      </c>
      <c r="E118" s="12" t="str">
        <f t="shared" si="8"/>
        <v>094</v>
      </c>
      <c r="F118" s="12"/>
      <c r="G118" s="94" t="s">
        <v>3003</v>
      </c>
      <c r="H118" s="92" t="s">
        <v>3161</v>
      </c>
      <c r="I118" s="12">
        <v>131</v>
      </c>
      <c r="J118" s="12">
        <v>5118</v>
      </c>
      <c r="K118" s="12" t="s">
        <v>20</v>
      </c>
      <c r="L118" s="12">
        <v>1</v>
      </c>
      <c r="M118" s="17">
        <v>11175991</v>
      </c>
      <c r="N118" s="17">
        <f t="shared" si="11"/>
        <v>11175991</v>
      </c>
      <c r="O118" s="12" t="s">
        <v>21</v>
      </c>
      <c r="P118" s="12">
        <f t="shared" si="9"/>
        <v>93</v>
      </c>
    </row>
    <row r="119" spans="1:16" x14ac:dyDescent="0.25">
      <c r="A119" s="12" t="s">
        <v>2679</v>
      </c>
      <c r="B119" s="36">
        <v>45964</v>
      </c>
      <c r="C119" s="12">
        <f t="shared" si="13"/>
        <v>95</v>
      </c>
      <c r="D119" s="12">
        <v>1</v>
      </c>
      <c r="E119" s="12" t="str">
        <f t="shared" si="8"/>
        <v>095</v>
      </c>
      <c r="F119" s="12"/>
      <c r="G119" s="94" t="s">
        <v>3003</v>
      </c>
      <c r="H119" s="92" t="s">
        <v>3162</v>
      </c>
      <c r="I119" s="12">
        <v>112111</v>
      </c>
      <c r="J119" s="12">
        <v>131</v>
      </c>
      <c r="K119" s="12" t="s">
        <v>20</v>
      </c>
      <c r="L119" s="12">
        <v>1</v>
      </c>
      <c r="M119" s="17">
        <v>11175991</v>
      </c>
      <c r="N119" s="17">
        <f t="shared" si="11"/>
        <v>11175991</v>
      </c>
      <c r="O119" s="12" t="s">
        <v>21</v>
      </c>
      <c r="P119" s="12">
        <f t="shared" si="9"/>
        <v>94</v>
      </c>
    </row>
    <row r="120" spans="1:16" x14ac:dyDescent="0.25">
      <c r="A120" s="12" t="s">
        <v>2678</v>
      </c>
      <c r="B120" s="36">
        <v>45964</v>
      </c>
      <c r="C120" s="12">
        <f t="shared" si="12"/>
        <v>96</v>
      </c>
      <c r="D120" s="12">
        <v>1</v>
      </c>
      <c r="E120" s="12" t="str">
        <f t="shared" si="8"/>
        <v>096</v>
      </c>
      <c r="F120" s="12"/>
      <c r="G120" s="136" t="s">
        <v>4104</v>
      </c>
      <c r="H120" s="12" t="s">
        <v>3017</v>
      </c>
      <c r="I120" s="12">
        <v>1111</v>
      </c>
      <c r="J120" s="12">
        <v>112111</v>
      </c>
      <c r="K120" s="12" t="s">
        <v>20</v>
      </c>
      <c r="L120" s="12">
        <v>1</v>
      </c>
      <c r="M120" s="17">
        <v>51100000</v>
      </c>
      <c r="N120" s="17">
        <f t="shared" si="11"/>
        <v>51100000</v>
      </c>
      <c r="O120" s="12" t="s">
        <v>21</v>
      </c>
      <c r="P120" s="12">
        <f t="shared" si="9"/>
        <v>95</v>
      </c>
    </row>
    <row r="121" spans="1:16" x14ac:dyDescent="0.25">
      <c r="A121" s="12" t="s">
        <v>2679</v>
      </c>
      <c r="B121" s="36">
        <v>45983</v>
      </c>
      <c r="C121" s="12">
        <f t="shared" si="12"/>
        <v>97</v>
      </c>
      <c r="D121" s="12">
        <v>1</v>
      </c>
      <c r="E121" s="12" t="str">
        <f t="shared" si="8"/>
        <v>097</v>
      </c>
      <c r="F121" s="12"/>
      <c r="G121" s="136" t="s">
        <v>4148</v>
      </c>
      <c r="H121" s="12" t="s">
        <v>4652</v>
      </c>
      <c r="I121" s="12">
        <v>112111</v>
      </c>
      <c r="J121" s="12">
        <v>131</v>
      </c>
      <c r="K121" s="12" t="s">
        <v>20</v>
      </c>
      <c r="L121" s="12">
        <v>1</v>
      </c>
      <c r="M121" s="17">
        <v>10112903</v>
      </c>
      <c r="N121" s="17">
        <f t="shared" si="11"/>
        <v>10112903</v>
      </c>
      <c r="O121" s="12" t="s">
        <v>21</v>
      </c>
      <c r="P121" s="12">
        <f t="shared" si="9"/>
        <v>96</v>
      </c>
    </row>
    <row r="122" spans="1:16" x14ac:dyDescent="0.25">
      <c r="A122" s="12" t="s">
        <v>2679</v>
      </c>
      <c r="B122" s="36">
        <v>45986</v>
      </c>
      <c r="C122" s="12">
        <f t="shared" si="12"/>
        <v>98</v>
      </c>
      <c r="D122" s="12">
        <v>1</v>
      </c>
      <c r="E122" s="12" t="str">
        <f t="shared" si="8"/>
        <v>098</v>
      </c>
      <c r="F122" s="12"/>
      <c r="G122" s="136" t="s">
        <v>4104</v>
      </c>
      <c r="H122" s="12" t="s">
        <v>2687</v>
      </c>
      <c r="I122" s="12">
        <v>112111</v>
      </c>
      <c r="J122" s="12">
        <v>5154</v>
      </c>
      <c r="K122" s="12" t="s">
        <v>20</v>
      </c>
      <c r="L122" s="12">
        <v>1</v>
      </c>
      <c r="M122" s="17">
        <v>343</v>
      </c>
      <c r="N122" s="17">
        <f t="shared" si="11"/>
        <v>343</v>
      </c>
      <c r="O122" s="12" t="s">
        <v>21</v>
      </c>
      <c r="P122" s="12">
        <f t="shared" si="9"/>
        <v>97</v>
      </c>
    </row>
    <row r="123" spans="1:16" x14ac:dyDescent="0.25">
      <c r="A123" s="12" t="s">
        <v>2679</v>
      </c>
      <c r="B123" s="36">
        <v>45989</v>
      </c>
      <c r="C123" s="12">
        <f t="shared" si="12"/>
        <v>99</v>
      </c>
      <c r="D123" s="12">
        <v>1</v>
      </c>
      <c r="E123" s="12" t="str">
        <f t="shared" si="8"/>
        <v>099</v>
      </c>
      <c r="F123" s="12"/>
      <c r="G123" s="136" t="s">
        <v>1360</v>
      </c>
      <c r="H123" s="12" t="s">
        <v>4656</v>
      </c>
      <c r="I123" s="12">
        <v>112111</v>
      </c>
      <c r="J123" s="12">
        <v>131</v>
      </c>
      <c r="K123" s="12" t="s">
        <v>20</v>
      </c>
      <c r="L123" s="12">
        <v>1</v>
      </c>
      <c r="M123" s="17">
        <v>12774194</v>
      </c>
      <c r="N123" s="17">
        <f t="shared" si="11"/>
        <v>12774194</v>
      </c>
      <c r="O123" s="12" t="s">
        <v>21</v>
      </c>
      <c r="P123" s="12">
        <f t="shared" si="9"/>
        <v>98</v>
      </c>
    </row>
    <row r="124" spans="1:16" x14ac:dyDescent="0.25">
      <c r="A124" s="12" t="s">
        <v>2679</v>
      </c>
      <c r="B124" s="36">
        <v>45992</v>
      </c>
      <c r="C124" s="12">
        <f t="shared" si="12"/>
        <v>100</v>
      </c>
      <c r="D124" s="12">
        <v>1</v>
      </c>
      <c r="E124" s="12" t="str">
        <f t="shared" si="8"/>
        <v>100</v>
      </c>
      <c r="F124" s="12"/>
      <c r="G124" s="136" t="s">
        <v>43</v>
      </c>
      <c r="H124" s="12" t="s">
        <v>4666</v>
      </c>
      <c r="I124" s="12">
        <v>112111</v>
      </c>
      <c r="J124" s="12">
        <v>131</v>
      </c>
      <c r="K124" s="12" t="s">
        <v>20</v>
      </c>
      <c r="L124" s="12">
        <v>1</v>
      </c>
      <c r="M124" s="17">
        <v>44354242</v>
      </c>
      <c r="N124" s="17">
        <f t="shared" si="11"/>
        <v>44354242</v>
      </c>
      <c r="O124" s="12" t="s">
        <v>21</v>
      </c>
      <c r="P124" s="12">
        <f t="shared" si="9"/>
        <v>99</v>
      </c>
    </row>
    <row r="125" spans="1:16" x14ac:dyDescent="0.25">
      <c r="A125" s="12" t="s">
        <v>2679</v>
      </c>
      <c r="B125" s="36">
        <v>45992</v>
      </c>
      <c r="C125" s="12">
        <f t="shared" si="12"/>
        <v>101</v>
      </c>
      <c r="D125" s="12">
        <v>1</v>
      </c>
      <c r="E125" s="12" t="str">
        <f t="shared" si="8"/>
        <v>101</v>
      </c>
      <c r="F125" s="12"/>
      <c r="G125" s="136" t="s">
        <v>43</v>
      </c>
      <c r="H125" s="12" t="s">
        <v>4666</v>
      </c>
      <c r="I125" s="12">
        <v>112111</v>
      </c>
      <c r="J125" s="12">
        <v>131</v>
      </c>
      <c r="K125" s="12" t="s">
        <v>20</v>
      </c>
      <c r="L125" s="12">
        <v>1</v>
      </c>
      <c r="M125" s="17">
        <v>19719057</v>
      </c>
      <c r="N125" s="17">
        <f t="shared" si="11"/>
        <v>19719057</v>
      </c>
      <c r="O125" s="12" t="s">
        <v>21</v>
      </c>
      <c r="P125" s="12">
        <f t="shared" si="9"/>
        <v>100</v>
      </c>
    </row>
    <row r="126" spans="1:16" x14ac:dyDescent="0.25">
      <c r="A126" s="12" t="s">
        <v>2678</v>
      </c>
      <c r="B126" s="36">
        <v>45992</v>
      </c>
      <c r="C126" s="12">
        <f t="shared" si="12"/>
        <v>102</v>
      </c>
      <c r="D126" s="12">
        <v>1</v>
      </c>
      <c r="E126" s="12" t="str">
        <f t="shared" si="8"/>
        <v>102</v>
      </c>
      <c r="F126" s="12"/>
      <c r="G126" s="136" t="s">
        <v>4104</v>
      </c>
      <c r="H126" s="12" t="s">
        <v>3017</v>
      </c>
      <c r="I126" s="12">
        <v>1111</v>
      </c>
      <c r="J126" s="12">
        <v>112111</v>
      </c>
      <c r="K126" s="12" t="s">
        <v>20</v>
      </c>
      <c r="L126" s="12">
        <v>1</v>
      </c>
      <c r="M126" s="17">
        <v>86900000</v>
      </c>
      <c r="N126" s="17">
        <f t="shared" si="11"/>
        <v>86900000</v>
      </c>
      <c r="O126" s="12" t="s">
        <v>21</v>
      </c>
      <c r="P126" s="12">
        <f t="shared" si="9"/>
        <v>101</v>
      </c>
    </row>
    <row r="127" spans="1:16" x14ac:dyDescent="0.25">
      <c r="A127" s="12" t="s">
        <v>2679</v>
      </c>
      <c r="B127" s="36">
        <v>45995</v>
      </c>
      <c r="C127" s="12">
        <f t="shared" si="12"/>
        <v>103</v>
      </c>
      <c r="D127" s="12">
        <v>1</v>
      </c>
      <c r="E127" s="12" t="str">
        <f t="shared" si="8"/>
        <v>103</v>
      </c>
      <c r="F127" s="12"/>
      <c r="G127" s="12" t="s">
        <v>537</v>
      </c>
      <c r="H127" s="12" t="s">
        <v>4650</v>
      </c>
      <c r="I127" s="12">
        <v>112111</v>
      </c>
      <c r="J127" s="12">
        <v>131</v>
      </c>
      <c r="K127" s="12" t="s">
        <v>20</v>
      </c>
      <c r="L127" s="12">
        <v>1</v>
      </c>
      <c r="M127" s="17">
        <v>5322581</v>
      </c>
      <c r="N127" s="17">
        <f t="shared" si="11"/>
        <v>5322581</v>
      </c>
      <c r="O127" s="12" t="s">
        <v>21</v>
      </c>
      <c r="P127" s="12">
        <f t="shared" si="9"/>
        <v>102</v>
      </c>
    </row>
    <row r="128" spans="1:16" x14ac:dyDescent="0.25">
      <c r="A128" s="12" t="s">
        <v>2678</v>
      </c>
      <c r="B128" s="36">
        <v>45995</v>
      </c>
      <c r="C128" s="12">
        <f t="shared" si="12"/>
        <v>104</v>
      </c>
      <c r="D128" s="12">
        <v>1</v>
      </c>
      <c r="E128" s="12" t="str">
        <f t="shared" si="8"/>
        <v>104</v>
      </c>
      <c r="F128" s="12"/>
      <c r="G128" s="136" t="s">
        <v>4104</v>
      </c>
      <c r="H128" s="12" t="s">
        <v>3017</v>
      </c>
      <c r="I128" s="12">
        <v>1111</v>
      </c>
      <c r="J128" s="12">
        <v>112111</v>
      </c>
      <c r="K128" s="12" t="s">
        <v>20</v>
      </c>
      <c r="L128" s="12">
        <v>1</v>
      </c>
      <c r="M128" s="17">
        <v>5000000</v>
      </c>
      <c r="N128" s="17">
        <f t="shared" si="11"/>
        <v>5000000</v>
      </c>
      <c r="O128" s="12" t="s">
        <v>21</v>
      </c>
      <c r="P128" s="12">
        <f t="shared" si="9"/>
        <v>103</v>
      </c>
    </row>
    <row r="129" spans="1:16" x14ac:dyDescent="0.25">
      <c r="A129" s="12" t="s">
        <v>2679</v>
      </c>
      <c r="B129" s="36">
        <v>46001</v>
      </c>
      <c r="C129" s="12">
        <f t="shared" si="12"/>
        <v>105</v>
      </c>
      <c r="D129" s="12">
        <v>1</v>
      </c>
      <c r="E129" s="12" t="str">
        <f t="shared" si="8"/>
        <v>105</v>
      </c>
      <c r="F129" s="12"/>
      <c r="G129" s="136" t="s">
        <v>29</v>
      </c>
      <c r="H129" s="12" t="s">
        <v>4653</v>
      </c>
      <c r="I129" s="12">
        <v>112111</v>
      </c>
      <c r="J129" s="12">
        <v>131</v>
      </c>
      <c r="K129" s="12" t="s">
        <v>20</v>
      </c>
      <c r="L129" s="12">
        <v>1</v>
      </c>
      <c r="M129" s="17">
        <v>10752688</v>
      </c>
      <c r="N129" s="17">
        <f t="shared" si="11"/>
        <v>10752688</v>
      </c>
      <c r="O129" s="12" t="s">
        <v>21</v>
      </c>
      <c r="P129" s="12">
        <f t="shared" si="9"/>
        <v>104</v>
      </c>
    </row>
    <row r="130" spans="1:16" x14ac:dyDescent="0.25">
      <c r="A130" s="12" t="s">
        <v>2678</v>
      </c>
      <c r="B130" s="36">
        <v>46001</v>
      </c>
      <c r="C130" s="12">
        <f t="shared" si="12"/>
        <v>106</v>
      </c>
      <c r="D130" s="12">
        <v>1</v>
      </c>
      <c r="E130" s="12" t="str">
        <f t="shared" si="8"/>
        <v>106</v>
      </c>
      <c r="F130" s="12"/>
      <c r="G130" s="136" t="s">
        <v>4104</v>
      </c>
      <c r="H130" s="12" t="s">
        <v>3017</v>
      </c>
      <c r="I130" s="12">
        <v>1111</v>
      </c>
      <c r="J130" s="12">
        <v>112111</v>
      </c>
      <c r="K130" s="12" t="s">
        <v>20</v>
      </c>
      <c r="L130" s="12">
        <v>1</v>
      </c>
      <c r="M130" s="17">
        <v>10000000</v>
      </c>
      <c r="N130" s="17">
        <f t="shared" si="11"/>
        <v>10000000</v>
      </c>
      <c r="O130" s="12" t="s">
        <v>21</v>
      </c>
      <c r="P130" s="12">
        <f t="shared" si="9"/>
        <v>105</v>
      </c>
    </row>
    <row r="131" spans="1:16" x14ac:dyDescent="0.25">
      <c r="A131" s="12" t="s">
        <v>2679</v>
      </c>
      <c r="B131" s="36">
        <v>46002</v>
      </c>
      <c r="C131" s="12">
        <f t="shared" si="12"/>
        <v>107</v>
      </c>
      <c r="D131" s="12">
        <v>1</v>
      </c>
      <c r="E131" s="12" t="str">
        <f t="shared" si="8"/>
        <v>107</v>
      </c>
      <c r="F131" s="12"/>
      <c r="G131" s="136" t="s">
        <v>404</v>
      </c>
      <c r="H131" s="12" t="s">
        <v>4654</v>
      </c>
      <c r="I131" s="12">
        <v>1111</v>
      </c>
      <c r="J131" s="12">
        <v>112111</v>
      </c>
      <c r="K131" s="12" t="s">
        <v>20</v>
      </c>
      <c r="L131" s="12">
        <v>1</v>
      </c>
      <c r="M131" s="17">
        <v>9580645</v>
      </c>
      <c r="N131" s="17">
        <f t="shared" si="11"/>
        <v>9580645</v>
      </c>
      <c r="O131" s="12" t="s">
        <v>21</v>
      </c>
      <c r="P131" s="12">
        <f t="shared" si="9"/>
        <v>106</v>
      </c>
    </row>
    <row r="132" spans="1:16" x14ac:dyDescent="0.25">
      <c r="A132" s="12" t="s">
        <v>2679</v>
      </c>
      <c r="B132" s="36">
        <v>46002</v>
      </c>
      <c r="C132" s="12">
        <f t="shared" si="12"/>
        <v>108</v>
      </c>
      <c r="D132" s="12">
        <v>1</v>
      </c>
      <c r="E132" s="12" t="str">
        <f t="shared" si="8"/>
        <v>108</v>
      </c>
      <c r="F132" s="12"/>
      <c r="G132" s="136" t="s">
        <v>4148</v>
      </c>
      <c r="H132" s="12" t="s">
        <v>4652</v>
      </c>
      <c r="I132" s="12">
        <v>112111</v>
      </c>
      <c r="J132" s="12">
        <v>131</v>
      </c>
      <c r="K132" s="12" t="s">
        <v>20</v>
      </c>
      <c r="L132" s="12">
        <v>1</v>
      </c>
      <c r="M132" s="17">
        <v>10112903</v>
      </c>
      <c r="N132" s="17">
        <f t="shared" si="11"/>
        <v>10112903</v>
      </c>
      <c r="O132" s="12" t="s">
        <v>21</v>
      </c>
      <c r="P132" s="12">
        <f t="shared" si="9"/>
        <v>107</v>
      </c>
    </row>
    <row r="133" spans="1:16" x14ac:dyDescent="0.25">
      <c r="A133" s="12" t="s">
        <v>2678</v>
      </c>
      <c r="B133" s="36">
        <v>46002</v>
      </c>
      <c r="C133" s="12">
        <f t="shared" si="12"/>
        <v>109</v>
      </c>
      <c r="D133" s="12">
        <v>1</v>
      </c>
      <c r="E133" s="12" t="str">
        <f t="shared" si="8"/>
        <v>109</v>
      </c>
      <c r="F133" s="12"/>
      <c r="G133" s="136" t="s">
        <v>4104</v>
      </c>
      <c r="H133" s="12" t="s">
        <v>3017</v>
      </c>
      <c r="I133" s="12">
        <v>1111</v>
      </c>
      <c r="J133" s="12">
        <v>112111</v>
      </c>
      <c r="K133" s="12" t="s">
        <v>20</v>
      </c>
      <c r="L133" s="12">
        <v>1</v>
      </c>
      <c r="M133" s="17">
        <v>18400000</v>
      </c>
      <c r="N133" s="17">
        <f t="shared" si="11"/>
        <v>18400000</v>
      </c>
      <c r="O133" s="12" t="s">
        <v>21</v>
      </c>
      <c r="P133" s="12">
        <f t="shared" si="9"/>
        <v>108</v>
      </c>
    </row>
    <row r="134" spans="1:16" x14ac:dyDescent="0.25">
      <c r="A134" s="12" t="s">
        <v>2679</v>
      </c>
      <c r="B134" s="36">
        <v>46006</v>
      </c>
      <c r="C134" s="12">
        <f t="shared" si="12"/>
        <v>110</v>
      </c>
      <c r="D134" s="12">
        <v>1</v>
      </c>
      <c r="E134" s="12" t="str">
        <f t="shared" si="8"/>
        <v>110</v>
      </c>
      <c r="F134" s="12"/>
      <c r="G134" s="136" t="s">
        <v>4149</v>
      </c>
      <c r="H134" s="12" t="s">
        <v>4651</v>
      </c>
      <c r="I134" s="12">
        <v>112111</v>
      </c>
      <c r="J134" s="12">
        <v>131</v>
      </c>
      <c r="K134" s="12" t="s">
        <v>20</v>
      </c>
      <c r="L134" s="12">
        <v>1</v>
      </c>
      <c r="M134" s="17">
        <v>34064516</v>
      </c>
      <c r="N134" s="17">
        <f t="shared" si="11"/>
        <v>34064516</v>
      </c>
      <c r="O134" s="12" t="s">
        <v>21</v>
      </c>
      <c r="P134" s="12">
        <f t="shared" si="9"/>
        <v>109</v>
      </c>
    </row>
    <row r="135" spans="1:16" x14ac:dyDescent="0.25">
      <c r="A135" s="12" t="s">
        <v>2678</v>
      </c>
      <c r="B135" s="36">
        <v>46006</v>
      </c>
      <c r="C135" s="12">
        <f t="shared" si="12"/>
        <v>111</v>
      </c>
      <c r="D135" s="12">
        <v>1</v>
      </c>
      <c r="E135" s="12" t="str">
        <f t="shared" si="8"/>
        <v>111</v>
      </c>
      <c r="F135" s="12"/>
      <c r="G135" s="136" t="s">
        <v>4104</v>
      </c>
      <c r="H135" s="12" t="s">
        <v>3017</v>
      </c>
      <c r="I135" s="12">
        <v>1111</v>
      </c>
      <c r="J135" s="12">
        <v>112111</v>
      </c>
      <c r="K135" s="12" t="s">
        <v>20</v>
      </c>
      <c r="L135" s="12">
        <v>1</v>
      </c>
      <c r="M135" s="17">
        <v>32000000</v>
      </c>
      <c r="N135" s="17">
        <f t="shared" si="11"/>
        <v>32000000</v>
      </c>
      <c r="O135" s="12" t="s">
        <v>21</v>
      </c>
      <c r="P135" s="12">
        <f t="shared" si="9"/>
        <v>110</v>
      </c>
    </row>
    <row r="136" spans="1:16" x14ac:dyDescent="0.25">
      <c r="A136" s="12" t="s">
        <v>2678</v>
      </c>
      <c r="B136" s="36">
        <v>46008</v>
      </c>
      <c r="C136" s="12">
        <f t="shared" si="12"/>
        <v>112</v>
      </c>
      <c r="D136" s="12">
        <v>1</v>
      </c>
      <c r="E136" s="12" t="str">
        <f t="shared" ref="E136:E147" si="14">TEXT(C136,"000")</f>
        <v>112</v>
      </c>
      <c r="F136" s="12"/>
      <c r="G136" s="136" t="s">
        <v>4104</v>
      </c>
      <c r="H136" s="12" t="s">
        <v>3017</v>
      </c>
      <c r="I136" s="12">
        <v>1111</v>
      </c>
      <c r="J136" s="12">
        <v>112111</v>
      </c>
      <c r="K136" s="12" t="s">
        <v>20</v>
      </c>
      <c r="L136" s="12">
        <v>1</v>
      </c>
      <c r="M136" s="17">
        <v>10000000</v>
      </c>
      <c r="N136" s="17">
        <f t="shared" si="11"/>
        <v>10000000</v>
      </c>
      <c r="O136" s="12" t="s">
        <v>21</v>
      </c>
      <c r="P136" s="12">
        <f t="shared" ref="P136:P199" si="15">P135+D136</f>
        <v>111</v>
      </c>
    </row>
    <row r="137" spans="1:16" x14ac:dyDescent="0.25">
      <c r="A137" s="12" t="s">
        <v>2679</v>
      </c>
      <c r="B137" s="36">
        <v>46013</v>
      </c>
      <c r="C137" s="12">
        <f t="shared" si="12"/>
        <v>113</v>
      </c>
      <c r="D137" s="12">
        <v>1</v>
      </c>
      <c r="E137" s="12" t="str">
        <f t="shared" si="14"/>
        <v>113</v>
      </c>
      <c r="F137" s="12"/>
      <c r="G137" s="136" t="s">
        <v>1666</v>
      </c>
      <c r="H137" s="12" t="s">
        <v>4657</v>
      </c>
      <c r="I137" s="12">
        <v>112111</v>
      </c>
      <c r="J137" s="12">
        <v>131</v>
      </c>
      <c r="K137" s="12" t="s">
        <v>20</v>
      </c>
      <c r="L137" s="12">
        <v>1</v>
      </c>
      <c r="M137" s="17">
        <v>12774194</v>
      </c>
      <c r="N137" s="17">
        <f t="shared" si="11"/>
        <v>12774194</v>
      </c>
      <c r="O137" s="12" t="s">
        <v>21</v>
      </c>
      <c r="P137" s="12">
        <f t="shared" si="15"/>
        <v>112</v>
      </c>
    </row>
    <row r="138" spans="1:16" x14ac:dyDescent="0.25">
      <c r="A138" s="12" t="s">
        <v>2678</v>
      </c>
      <c r="B138" s="36">
        <v>46014</v>
      </c>
      <c r="C138" s="12">
        <f t="shared" si="12"/>
        <v>114</v>
      </c>
      <c r="D138" s="12">
        <v>1</v>
      </c>
      <c r="E138" s="12" t="str">
        <f t="shared" si="14"/>
        <v>114</v>
      </c>
      <c r="F138" s="12"/>
      <c r="G138" s="136" t="s">
        <v>4104</v>
      </c>
      <c r="H138" s="12" t="s">
        <v>3017</v>
      </c>
      <c r="I138" s="12">
        <v>1111</v>
      </c>
      <c r="J138" s="12">
        <v>112111</v>
      </c>
      <c r="K138" s="12" t="s">
        <v>20</v>
      </c>
      <c r="L138" s="12">
        <v>1</v>
      </c>
      <c r="M138" s="17">
        <v>12000000</v>
      </c>
      <c r="N138" s="17">
        <f t="shared" si="11"/>
        <v>12000000</v>
      </c>
      <c r="O138" s="12" t="s">
        <v>21</v>
      </c>
      <c r="P138" s="12">
        <f t="shared" si="15"/>
        <v>113</v>
      </c>
    </row>
    <row r="139" spans="1:16" x14ac:dyDescent="0.25">
      <c r="A139" s="12" t="s">
        <v>2679</v>
      </c>
      <c r="B139" s="36">
        <v>46021</v>
      </c>
      <c r="C139" s="12">
        <f t="shared" si="12"/>
        <v>115</v>
      </c>
      <c r="D139" s="12">
        <v>1</v>
      </c>
      <c r="E139" s="12" t="str">
        <f t="shared" si="14"/>
        <v>115</v>
      </c>
      <c r="F139" s="12"/>
      <c r="G139" s="136" t="s">
        <v>29</v>
      </c>
      <c r="H139" s="12" t="s">
        <v>4659</v>
      </c>
      <c r="I139" s="12">
        <v>112111</v>
      </c>
      <c r="J139" s="12">
        <v>131</v>
      </c>
      <c r="K139" s="12" t="s">
        <v>20</v>
      </c>
      <c r="L139" s="12">
        <v>1</v>
      </c>
      <c r="M139" s="17">
        <v>21505376</v>
      </c>
      <c r="N139" s="17">
        <f t="shared" si="11"/>
        <v>21505376</v>
      </c>
      <c r="O139" s="12" t="s">
        <v>21</v>
      </c>
      <c r="P139" s="12">
        <f t="shared" si="15"/>
        <v>114</v>
      </c>
    </row>
    <row r="140" spans="1:16" x14ac:dyDescent="0.25">
      <c r="A140" s="12" t="s">
        <v>2679</v>
      </c>
      <c r="B140" s="36">
        <v>46021</v>
      </c>
      <c r="C140" s="12">
        <f t="shared" si="12"/>
        <v>116</v>
      </c>
      <c r="D140" s="12">
        <v>1</v>
      </c>
      <c r="E140" s="12" t="str">
        <f t="shared" si="14"/>
        <v>116</v>
      </c>
      <c r="F140" s="12"/>
      <c r="G140" s="136" t="s">
        <v>29</v>
      </c>
      <c r="H140" s="12" t="s">
        <v>4660</v>
      </c>
      <c r="I140" s="12">
        <v>112111</v>
      </c>
      <c r="J140" s="12">
        <v>131</v>
      </c>
      <c r="K140" s="12" t="s">
        <v>20</v>
      </c>
      <c r="L140" s="12">
        <v>1</v>
      </c>
      <c r="M140" s="17">
        <v>15770609</v>
      </c>
      <c r="N140" s="17">
        <f t="shared" si="11"/>
        <v>15770609</v>
      </c>
      <c r="O140" s="12" t="s">
        <v>21</v>
      </c>
      <c r="P140" s="12">
        <f t="shared" si="15"/>
        <v>115</v>
      </c>
    </row>
    <row r="141" spans="1:16" x14ac:dyDescent="0.25">
      <c r="A141" s="12" t="s">
        <v>2679</v>
      </c>
      <c r="B141" s="36">
        <v>46022</v>
      </c>
      <c r="C141" s="12">
        <f t="shared" si="12"/>
        <v>117</v>
      </c>
      <c r="D141" s="12">
        <v>1</v>
      </c>
      <c r="E141" s="12" t="str">
        <f t="shared" si="14"/>
        <v>117</v>
      </c>
      <c r="F141" s="12"/>
      <c r="G141" s="136" t="s">
        <v>1036</v>
      </c>
      <c r="H141" s="12" t="s">
        <v>4661</v>
      </c>
      <c r="I141" s="12">
        <v>112111</v>
      </c>
      <c r="J141" s="12">
        <v>131</v>
      </c>
      <c r="K141" s="12" t="s">
        <v>20</v>
      </c>
      <c r="L141" s="12">
        <v>1</v>
      </c>
      <c r="M141" s="17">
        <v>13838710</v>
      </c>
      <c r="N141" s="17">
        <f t="shared" si="11"/>
        <v>13838710</v>
      </c>
      <c r="O141" s="12" t="s">
        <v>21</v>
      </c>
      <c r="P141" s="12">
        <f t="shared" si="15"/>
        <v>116</v>
      </c>
    </row>
    <row r="142" spans="1:16" x14ac:dyDescent="0.25">
      <c r="A142" s="12" t="s">
        <v>2679</v>
      </c>
      <c r="B142" s="36">
        <v>46022</v>
      </c>
      <c r="C142" s="12">
        <f t="shared" si="12"/>
        <v>118</v>
      </c>
      <c r="D142" s="12">
        <v>1</v>
      </c>
      <c r="E142" s="12" t="str">
        <f t="shared" si="14"/>
        <v>118</v>
      </c>
      <c r="F142" s="12"/>
      <c r="G142" s="136" t="s">
        <v>43</v>
      </c>
      <c r="H142" s="12" t="s">
        <v>4666</v>
      </c>
      <c r="I142" s="12">
        <v>112111</v>
      </c>
      <c r="J142" s="12">
        <v>131</v>
      </c>
      <c r="K142" s="12" t="s">
        <v>20</v>
      </c>
      <c r="L142" s="12">
        <v>1</v>
      </c>
      <c r="M142" s="17">
        <v>70740673</v>
      </c>
      <c r="N142" s="17">
        <f t="shared" si="11"/>
        <v>70740673</v>
      </c>
      <c r="O142" s="12" t="s">
        <v>21</v>
      </c>
      <c r="P142" s="12">
        <f t="shared" si="15"/>
        <v>117</v>
      </c>
    </row>
    <row r="143" spans="1:16" x14ac:dyDescent="0.25">
      <c r="A143" s="12" t="s">
        <v>2679</v>
      </c>
      <c r="B143" s="36">
        <v>46022</v>
      </c>
      <c r="C143" s="12">
        <f t="shared" si="12"/>
        <v>119</v>
      </c>
      <c r="D143" s="12">
        <v>1</v>
      </c>
      <c r="E143" s="12" t="str">
        <f t="shared" si="14"/>
        <v>119</v>
      </c>
      <c r="F143" s="12"/>
      <c r="G143" s="12" t="s">
        <v>4150</v>
      </c>
      <c r="H143" s="12" t="s">
        <v>4663</v>
      </c>
      <c r="I143" s="12">
        <v>112111</v>
      </c>
      <c r="J143" s="12">
        <v>131</v>
      </c>
      <c r="K143" s="12" t="s">
        <v>20</v>
      </c>
      <c r="L143" s="12">
        <v>1</v>
      </c>
      <c r="M143" s="17">
        <v>10303011</v>
      </c>
      <c r="N143" s="17">
        <f t="shared" si="11"/>
        <v>10303011</v>
      </c>
      <c r="O143" s="12" t="s">
        <v>21</v>
      </c>
      <c r="P143" s="12">
        <f t="shared" si="15"/>
        <v>118</v>
      </c>
    </row>
    <row r="144" spans="1:16" x14ac:dyDescent="0.25">
      <c r="A144" s="12" t="s">
        <v>2678</v>
      </c>
      <c r="B144" s="36">
        <v>46022</v>
      </c>
      <c r="C144" s="12">
        <f t="shared" si="12"/>
        <v>120</v>
      </c>
      <c r="D144" s="12">
        <v>1</v>
      </c>
      <c r="E144" s="12" t="str">
        <f t="shared" si="14"/>
        <v>120</v>
      </c>
      <c r="F144" s="12"/>
      <c r="G144" s="136" t="s">
        <v>4104</v>
      </c>
      <c r="H144" s="12" t="s">
        <v>3017</v>
      </c>
      <c r="I144" s="12">
        <v>1111</v>
      </c>
      <c r="J144" s="12">
        <v>112111</v>
      </c>
      <c r="K144" s="12" t="s">
        <v>20</v>
      </c>
      <c r="L144" s="12">
        <v>1</v>
      </c>
      <c r="M144" s="17">
        <v>130000000</v>
      </c>
      <c r="N144" s="17">
        <f t="shared" si="11"/>
        <v>130000000</v>
      </c>
      <c r="O144" s="12" t="s">
        <v>21</v>
      </c>
      <c r="P144" s="12">
        <f t="shared" si="15"/>
        <v>119</v>
      </c>
    </row>
    <row r="145" spans="1:16" x14ac:dyDescent="0.25">
      <c r="A145" s="12" t="s">
        <v>2679</v>
      </c>
      <c r="B145" s="36">
        <v>46022</v>
      </c>
      <c r="C145" s="12">
        <f t="shared" si="12"/>
        <v>121</v>
      </c>
      <c r="D145" s="12">
        <v>1</v>
      </c>
      <c r="E145" s="12" t="str">
        <f t="shared" si="14"/>
        <v>121</v>
      </c>
      <c r="F145" s="12"/>
      <c r="G145" s="12" t="s">
        <v>4151</v>
      </c>
      <c r="H145" s="12" t="s">
        <v>4664</v>
      </c>
      <c r="I145" s="12">
        <v>112111</v>
      </c>
      <c r="J145" s="12">
        <v>131</v>
      </c>
      <c r="K145" s="12" t="s">
        <v>20</v>
      </c>
      <c r="L145" s="12">
        <v>1</v>
      </c>
      <c r="M145" s="17">
        <v>11000000</v>
      </c>
      <c r="N145" s="17">
        <f t="shared" si="11"/>
        <v>11000000</v>
      </c>
      <c r="O145" s="12" t="s">
        <v>21</v>
      </c>
      <c r="P145" s="12">
        <f t="shared" si="15"/>
        <v>120</v>
      </c>
    </row>
    <row r="146" spans="1:16" x14ac:dyDescent="0.25">
      <c r="A146" s="12" t="s">
        <v>2679</v>
      </c>
      <c r="B146" s="36">
        <v>46022</v>
      </c>
      <c r="C146" s="12">
        <f t="shared" si="12"/>
        <v>122</v>
      </c>
      <c r="D146" s="12">
        <v>1</v>
      </c>
      <c r="E146" s="12" t="str">
        <f t="shared" si="14"/>
        <v>122</v>
      </c>
      <c r="F146" s="12"/>
      <c r="G146" s="136" t="s">
        <v>130</v>
      </c>
      <c r="H146" s="12" t="s">
        <v>4658</v>
      </c>
      <c r="I146" s="12">
        <v>112111</v>
      </c>
      <c r="J146" s="12">
        <v>131</v>
      </c>
      <c r="K146" s="12" t="s">
        <v>20</v>
      </c>
      <c r="L146" s="12">
        <v>1</v>
      </c>
      <c r="M146" s="17">
        <v>12774194</v>
      </c>
      <c r="N146" s="17">
        <f t="shared" si="11"/>
        <v>12774194</v>
      </c>
      <c r="O146" s="12" t="s">
        <v>21</v>
      </c>
      <c r="P146" s="12">
        <f t="shared" si="15"/>
        <v>121</v>
      </c>
    </row>
    <row r="147" spans="1:16" x14ac:dyDescent="0.25">
      <c r="A147" s="12" t="s">
        <v>2679</v>
      </c>
      <c r="B147" s="36">
        <v>46022</v>
      </c>
      <c r="C147" s="12">
        <f t="shared" si="12"/>
        <v>123</v>
      </c>
      <c r="D147" s="12">
        <v>1</v>
      </c>
      <c r="E147" s="12" t="str">
        <f t="shared" si="14"/>
        <v>123</v>
      </c>
      <c r="F147" s="12"/>
      <c r="G147" s="136" t="s">
        <v>4104</v>
      </c>
      <c r="H147" s="12" t="s">
        <v>2687</v>
      </c>
      <c r="I147" s="12">
        <v>112111</v>
      </c>
      <c r="J147" s="12">
        <v>5154</v>
      </c>
      <c r="K147" s="12" t="s">
        <v>20</v>
      </c>
      <c r="L147" s="12">
        <v>1</v>
      </c>
      <c r="M147" s="17">
        <v>1372</v>
      </c>
      <c r="N147" s="17">
        <f t="shared" si="11"/>
        <v>1372</v>
      </c>
      <c r="O147" s="12" t="s">
        <v>21</v>
      </c>
      <c r="P147" s="12">
        <f t="shared" si="15"/>
        <v>122</v>
      </c>
    </row>
    <row r="148" spans="1:16" x14ac:dyDescent="0.25">
      <c r="A148" s="12" t="s">
        <v>2719</v>
      </c>
      <c r="B148" s="36" t="s">
        <v>443</v>
      </c>
      <c r="C148" s="12">
        <f t="shared" si="12"/>
        <v>124</v>
      </c>
      <c r="D148" s="12">
        <v>1</v>
      </c>
      <c r="E148" s="12" t="str">
        <f>TEXT(C148,"000")</f>
        <v>124</v>
      </c>
      <c r="F148" s="12"/>
      <c r="G148" s="12" t="s">
        <v>48</v>
      </c>
      <c r="H148" s="12" t="s">
        <v>4667</v>
      </c>
      <c r="I148" s="12">
        <v>331</v>
      </c>
      <c r="J148" s="12">
        <v>1111</v>
      </c>
      <c r="K148" s="12" t="s">
        <v>20</v>
      </c>
      <c r="L148" s="12">
        <v>1</v>
      </c>
      <c r="M148" s="17">
        <v>7329</v>
      </c>
      <c r="N148" s="17">
        <f t="shared" si="11"/>
        <v>7329</v>
      </c>
      <c r="O148" s="12" t="s">
        <v>21</v>
      </c>
      <c r="P148" s="12">
        <f t="shared" si="15"/>
        <v>123</v>
      </c>
    </row>
    <row r="149" spans="1:16" x14ac:dyDescent="0.25">
      <c r="A149" s="12" t="s">
        <v>2719</v>
      </c>
      <c r="B149" s="36" t="s">
        <v>311</v>
      </c>
      <c r="C149" s="12">
        <f t="shared" si="12"/>
        <v>125</v>
      </c>
      <c r="D149" s="12">
        <v>1</v>
      </c>
      <c r="E149" s="12" t="str">
        <f t="shared" ref="E149:E208" si="16">TEXT(C149,"000")</f>
        <v>125</v>
      </c>
      <c r="F149" s="12"/>
      <c r="G149" s="12" t="s">
        <v>64</v>
      </c>
      <c r="H149" s="12" t="s">
        <v>4668</v>
      </c>
      <c r="I149" s="12">
        <v>331</v>
      </c>
      <c r="J149" s="12">
        <v>1111</v>
      </c>
      <c r="K149" s="12" t="s">
        <v>20</v>
      </c>
      <c r="L149" s="12">
        <v>1</v>
      </c>
      <c r="M149" s="17">
        <v>99000</v>
      </c>
      <c r="N149" s="17">
        <f t="shared" si="11"/>
        <v>99000</v>
      </c>
      <c r="O149" s="12" t="s">
        <v>21</v>
      </c>
      <c r="P149" s="12">
        <f t="shared" si="15"/>
        <v>124</v>
      </c>
    </row>
    <row r="150" spans="1:16" x14ac:dyDescent="0.25">
      <c r="A150" s="12" t="s">
        <v>2719</v>
      </c>
      <c r="B150" s="36" t="s">
        <v>446</v>
      </c>
      <c r="C150" s="12">
        <f t="shared" si="12"/>
        <v>126</v>
      </c>
      <c r="D150" s="12">
        <v>1</v>
      </c>
      <c r="E150" s="12" t="str">
        <f t="shared" si="16"/>
        <v>126</v>
      </c>
      <c r="F150" s="12"/>
      <c r="G150" s="12" t="s">
        <v>458</v>
      </c>
      <c r="H150" s="12" t="s">
        <v>4669</v>
      </c>
      <c r="I150" s="12">
        <v>331</v>
      </c>
      <c r="J150" s="12">
        <v>1111</v>
      </c>
      <c r="K150" s="12" t="s">
        <v>20</v>
      </c>
      <c r="L150" s="12">
        <v>1</v>
      </c>
      <c r="M150" s="17">
        <v>100000</v>
      </c>
      <c r="N150" s="17">
        <f t="shared" si="11"/>
        <v>100000</v>
      </c>
      <c r="O150" s="12" t="s">
        <v>21</v>
      </c>
      <c r="P150" s="12">
        <f t="shared" si="15"/>
        <v>125</v>
      </c>
    </row>
    <row r="151" spans="1:16" x14ac:dyDescent="0.25">
      <c r="A151" s="12" t="s">
        <v>2719</v>
      </c>
      <c r="B151" s="36" t="s">
        <v>446</v>
      </c>
      <c r="C151" s="12">
        <f t="shared" si="12"/>
        <v>127</v>
      </c>
      <c r="D151" s="12">
        <v>1</v>
      </c>
      <c r="E151" s="12" t="str">
        <f t="shared" si="16"/>
        <v>127</v>
      </c>
      <c r="F151" s="12"/>
      <c r="G151" s="12" t="s">
        <v>19</v>
      </c>
      <c r="H151" s="12" t="s">
        <v>4670</v>
      </c>
      <c r="I151" s="12">
        <v>331</v>
      </c>
      <c r="J151" s="12">
        <v>1111</v>
      </c>
      <c r="K151" s="12" t="s">
        <v>20</v>
      </c>
      <c r="L151" s="12">
        <v>1</v>
      </c>
      <c r="M151" s="17">
        <v>107000</v>
      </c>
      <c r="N151" s="17">
        <f t="shared" si="11"/>
        <v>107000</v>
      </c>
      <c r="O151" s="12" t="s">
        <v>21</v>
      </c>
      <c r="P151" s="12">
        <f t="shared" si="15"/>
        <v>126</v>
      </c>
    </row>
    <row r="152" spans="1:16" x14ac:dyDescent="0.25">
      <c r="A152" s="12" t="s">
        <v>2719</v>
      </c>
      <c r="B152" s="36" t="s">
        <v>446</v>
      </c>
      <c r="C152" s="12">
        <f t="shared" si="12"/>
        <v>128</v>
      </c>
      <c r="D152" s="12">
        <v>1</v>
      </c>
      <c r="E152" s="12" t="str">
        <f t="shared" si="16"/>
        <v>128</v>
      </c>
      <c r="F152" s="12"/>
      <c r="G152" s="12" t="s">
        <v>19</v>
      </c>
      <c r="H152" s="12" t="s">
        <v>4671</v>
      </c>
      <c r="I152" s="12">
        <v>331</v>
      </c>
      <c r="J152" s="12">
        <v>1111</v>
      </c>
      <c r="K152" s="12" t="s">
        <v>20</v>
      </c>
      <c r="L152" s="12">
        <v>1</v>
      </c>
      <c r="M152" s="17">
        <v>224000</v>
      </c>
      <c r="N152" s="17">
        <f t="shared" si="11"/>
        <v>224000</v>
      </c>
      <c r="O152" s="12" t="s">
        <v>21</v>
      </c>
      <c r="P152" s="12">
        <f t="shared" si="15"/>
        <v>127</v>
      </c>
    </row>
    <row r="153" spans="1:16" x14ac:dyDescent="0.25">
      <c r="A153" s="12" t="s">
        <v>2719</v>
      </c>
      <c r="B153" s="36" t="s">
        <v>290</v>
      </c>
      <c r="C153" s="12">
        <f t="shared" si="12"/>
        <v>129</v>
      </c>
      <c r="D153" s="12">
        <v>1</v>
      </c>
      <c r="E153" s="12" t="str">
        <f t="shared" si="16"/>
        <v>129</v>
      </c>
      <c r="F153" s="12"/>
      <c r="G153" s="12" t="s">
        <v>113</v>
      </c>
      <c r="H153" s="12" t="s">
        <v>4672</v>
      </c>
      <c r="I153" s="12">
        <v>331</v>
      </c>
      <c r="J153" s="12">
        <v>1111</v>
      </c>
      <c r="K153" s="12" t="s">
        <v>20</v>
      </c>
      <c r="L153" s="12">
        <v>1</v>
      </c>
      <c r="M153" s="17">
        <v>154000</v>
      </c>
      <c r="N153" s="17">
        <f t="shared" si="11"/>
        <v>154000</v>
      </c>
      <c r="O153" s="12" t="s">
        <v>21</v>
      </c>
      <c r="P153" s="12">
        <f t="shared" si="15"/>
        <v>128</v>
      </c>
    </row>
    <row r="154" spans="1:16" x14ac:dyDescent="0.25">
      <c r="A154" s="12" t="s">
        <v>2719</v>
      </c>
      <c r="B154" s="36" t="s">
        <v>376</v>
      </c>
      <c r="C154" s="12">
        <f t="shared" si="12"/>
        <v>130</v>
      </c>
      <c r="D154" s="12">
        <v>1</v>
      </c>
      <c r="E154" s="12" t="str">
        <f t="shared" si="16"/>
        <v>130</v>
      </c>
      <c r="F154" s="12"/>
      <c r="G154" s="12" t="s">
        <v>64</v>
      </c>
      <c r="H154" s="12" t="s">
        <v>4673</v>
      </c>
      <c r="I154" s="12">
        <v>331</v>
      </c>
      <c r="J154" s="12">
        <v>1111</v>
      </c>
      <c r="K154" s="12" t="s">
        <v>20</v>
      </c>
      <c r="L154" s="12">
        <v>1</v>
      </c>
      <c r="M154" s="17">
        <v>1662120</v>
      </c>
      <c r="N154" s="17">
        <f t="shared" si="11"/>
        <v>1662120</v>
      </c>
      <c r="O154" s="12" t="s">
        <v>21</v>
      </c>
      <c r="P154" s="12">
        <f t="shared" si="15"/>
        <v>129</v>
      </c>
    </row>
    <row r="155" spans="1:16" x14ac:dyDescent="0.25">
      <c r="A155" s="12" t="s">
        <v>2719</v>
      </c>
      <c r="B155" s="36" t="s">
        <v>376</v>
      </c>
      <c r="C155" s="12">
        <f t="shared" si="12"/>
        <v>131</v>
      </c>
      <c r="D155" s="12">
        <v>1</v>
      </c>
      <c r="E155" s="12" t="str">
        <f t="shared" si="16"/>
        <v>131</v>
      </c>
      <c r="F155" s="12"/>
      <c r="G155" s="12" t="s">
        <v>277</v>
      </c>
      <c r="H155" s="12" t="s">
        <v>4674</v>
      </c>
      <c r="I155" s="12">
        <v>331</v>
      </c>
      <c r="J155" s="12">
        <v>1111</v>
      </c>
      <c r="K155" s="12" t="s">
        <v>20</v>
      </c>
      <c r="L155" s="12">
        <v>1</v>
      </c>
      <c r="M155" s="17">
        <v>6039968</v>
      </c>
      <c r="N155" s="17">
        <f t="shared" si="11"/>
        <v>6039968</v>
      </c>
      <c r="O155" s="12" t="s">
        <v>21</v>
      </c>
      <c r="P155" s="12">
        <f t="shared" si="15"/>
        <v>130</v>
      </c>
    </row>
    <row r="156" spans="1:16" x14ac:dyDescent="0.25">
      <c r="A156" s="12" t="s">
        <v>2719</v>
      </c>
      <c r="B156" s="36" t="s">
        <v>376</v>
      </c>
      <c r="C156" s="12">
        <f t="shared" si="12"/>
        <v>132</v>
      </c>
      <c r="D156" s="12">
        <v>1</v>
      </c>
      <c r="E156" s="12" t="str">
        <f t="shared" si="16"/>
        <v>132</v>
      </c>
      <c r="F156" s="12"/>
      <c r="G156" s="12" t="s">
        <v>4134</v>
      </c>
      <c r="H156" s="12" t="s">
        <v>4675</v>
      </c>
      <c r="I156" s="12">
        <v>331</v>
      </c>
      <c r="J156" s="12">
        <v>1111</v>
      </c>
      <c r="K156" s="12" t="s">
        <v>20</v>
      </c>
      <c r="L156" s="12">
        <v>1</v>
      </c>
      <c r="M156" s="17">
        <v>145000</v>
      </c>
      <c r="N156" s="17">
        <f t="shared" si="11"/>
        <v>145000</v>
      </c>
      <c r="O156" s="12" t="s">
        <v>21</v>
      </c>
      <c r="P156" s="12">
        <f t="shared" si="15"/>
        <v>131</v>
      </c>
    </row>
    <row r="157" spans="1:16" x14ac:dyDescent="0.25">
      <c r="A157" s="12" t="s">
        <v>2719</v>
      </c>
      <c r="B157" s="36" t="s">
        <v>376</v>
      </c>
      <c r="C157" s="12">
        <f t="shared" si="12"/>
        <v>133</v>
      </c>
      <c r="D157" s="12">
        <v>1</v>
      </c>
      <c r="E157" s="12" t="str">
        <f t="shared" si="16"/>
        <v>133</v>
      </c>
      <c r="F157" s="12"/>
      <c r="G157" s="12" t="s">
        <v>19</v>
      </c>
      <c r="H157" s="12" t="s">
        <v>4676</v>
      </c>
      <c r="I157" s="12">
        <v>331</v>
      </c>
      <c r="J157" s="12">
        <v>1111</v>
      </c>
      <c r="K157" s="12" t="s">
        <v>20</v>
      </c>
      <c r="L157" s="12">
        <v>1</v>
      </c>
      <c r="M157" s="17">
        <v>47000</v>
      </c>
      <c r="N157" s="17">
        <f t="shared" si="11"/>
        <v>47000</v>
      </c>
      <c r="O157" s="12" t="s">
        <v>21</v>
      </c>
      <c r="P157" s="12">
        <f t="shared" si="15"/>
        <v>132</v>
      </c>
    </row>
    <row r="158" spans="1:16" x14ac:dyDescent="0.25">
      <c r="A158" s="12" t="s">
        <v>2719</v>
      </c>
      <c r="B158" s="36" t="s">
        <v>376</v>
      </c>
      <c r="C158" s="12">
        <f t="shared" si="12"/>
        <v>134</v>
      </c>
      <c r="D158" s="12">
        <v>1</v>
      </c>
      <c r="E158" s="12" t="str">
        <f t="shared" si="16"/>
        <v>134</v>
      </c>
      <c r="F158" s="12"/>
      <c r="G158" s="12" t="s">
        <v>19</v>
      </c>
      <c r="H158" s="12" t="s">
        <v>4677</v>
      </c>
      <c r="I158" s="12">
        <v>331</v>
      </c>
      <c r="J158" s="12">
        <v>1111</v>
      </c>
      <c r="K158" s="12" t="s">
        <v>20</v>
      </c>
      <c r="L158" s="12">
        <v>1</v>
      </c>
      <c r="M158" s="17">
        <v>40000</v>
      </c>
      <c r="N158" s="17">
        <f t="shared" si="11"/>
        <v>40000</v>
      </c>
      <c r="O158" s="12" t="s">
        <v>21</v>
      </c>
      <c r="P158" s="12">
        <f t="shared" si="15"/>
        <v>133</v>
      </c>
    </row>
    <row r="159" spans="1:16" x14ac:dyDescent="0.25">
      <c r="A159" s="12" t="s">
        <v>2719</v>
      </c>
      <c r="B159" s="36" t="s">
        <v>413</v>
      </c>
      <c r="C159" s="12">
        <f t="shared" si="12"/>
        <v>135</v>
      </c>
      <c r="D159" s="12">
        <v>1</v>
      </c>
      <c r="E159" s="12" t="str">
        <f t="shared" si="16"/>
        <v>135</v>
      </c>
      <c r="F159" s="12"/>
      <c r="G159" s="12" t="s">
        <v>19</v>
      </c>
      <c r="H159" s="12" t="s">
        <v>4678</v>
      </c>
      <c r="I159" s="12">
        <v>331</v>
      </c>
      <c r="J159" s="12">
        <v>1111</v>
      </c>
      <c r="K159" s="12" t="s">
        <v>20</v>
      </c>
      <c r="L159" s="12">
        <v>1</v>
      </c>
      <c r="M159" s="17">
        <v>22000</v>
      </c>
      <c r="N159" s="17">
        <f t="shared" si="11"/>
        <v>22000</v>
      </c>
      <c r="O159" s="12" t="s">
        <v>21</v>
      </c>
      <c r="P159" s="12">
        <f t="shared" si="15"/>
        <v>134</v>
      </c>
    </row>
    <row r="160" spans="1:16" x14ac:dyDescent="0.25">
      <c r="A160" s="12" t="s">
        <v>2719</v>
      </c>
      <c r="B160" s="36" t="s">
        <v>413</v>
      </c>
      <c r="C160" s="12">
        <f t="shared" si="12"/>
        <v>136</v>
      </c>
      <c r="D160" s="12">
        <v>1</v>
      </c>
      <c r="E160" s="12" t="str">
        <f t="shared" si="16"/>
        <v>136</v>
      </c>
      <c r="F160" s="12"/>
      <c r="G160" s="12" t="s">
        <v>19</v>
      </c>
      <c r="H160" s="12" t="s">
        <v>4679</v>
      </c>
      <c r="I160" s="12">
        <v>331</v>
      </c>
      <c r="J160" s="12">
        <v>1111</v>
      </c>
      <c r="K160" s="12" t="s">
        <v>20</v>
      </c>
      <c r="L160" s="12">
        <v>1</v>
      </c>
      <c r="M160" s="17">
        <v>34000</v>
      </c>
      <c r="N160" s="17">
        <f t="shared" si="11"/>
        <v>34000</v>
      </c>
      <c r="O160" s="12" t="s">
        <v>21</v>
      </c>
      <c r="P160" s="12">
        <f t="shared" si="15"/>
        <v>135</v>
      </c>
    </row>
    <row r="161" spans="1:16" x14ac:dyDescent="0.25">
      <c r="A161" s="12" t="s">
        <v>2719</v>
      </c>
      <c r="B161" s="36" t="s">
        <v>413</v>
      </c>
      <c r="C161" s="12">
        <f t="shared" si="12"/>
        <v>137</v>
      </c>
      <c r="D161" s="12">
        <v>1</v>
      </c>
      <c r="E161" s="12" t="str">
        <f t="shared" si="16"/>
        <v>137</v>
      </c>
      <c r="F161" s="12"/>
      <c r="G161" s="12" t="s">
        <v>19</v>
      </c>
      <c r="H161" s="12" t="s">
        <v>4680</v>
      </c>
      <c r="I161" s="12">
        <v>331</v>
      </c>
      <c r="J161" s="12">
        <v>1111</v>
      </c>
      <c r="K161" s="12" t="s">
        <v>20</v>
      </c>
      <c r="L161" s="12">
        <v>1</v>
      </c>
      <c r="M161" s="17">
        <v>52000</v>
      </c>
      <c r="N161" s="17">
        <f t="shared" si="11"/>
        <v>52000</v>
      </c>
      <c r="O161" s="12" t="s">
        <v>21</v>
      </c>
      <c r="P161" s="12">
        <f t="shared" si="15"/>
        <v>136</v>
      </c>
    </row>
    <row r="162" spans="1:16" x14ac:dyDescent="0.25">
      <c r="A162" s="12" t="s">
        <v>2719</v>
      </c>
      <c r="B162" s="36" t="s">
        <v>413</v>
      </c>
      <c r="C162" s="12">
        <f t="shared" si="12"/>
        <v>138</v>
      </c>
      <c r="D162" s="12">
        <v>1</v>
      </c>
      <c r="E162" s="12" t="str">
        <f t="shared" si="16"/>
        <v>138</v>
      </c>
      <c r="F162" s="12"/>
      <c r="G162" s="12" t="s">
        <v>19</v>
      </c>
      <c r="H162" s="12" t="s">
        <v>4681</v>
      </c>
      <c r="I162" s="12">
        <v>331</v>
      </c>
      <c r="J162" s="12">
        <v>1111</v>
      </c>
      <c r="K162" s="12" t="s">
        <v>20</v>
      </c>
      <c r="L162" s="12">
        <v>1</v>
      </c>
      <c r="M162" s="17">
        <v>55000</v>
      </c>
      <c r="N162" s="17">
        <f t="shared" si="11"/>
        <v>55000</v>
      </c>
      <c r="O162" s="12" t="s">
        <v>21</v>
      </c>
      <c r="P162" s="12">
        <f t="shared" si="15"/>
        <v>137</v>
      </c>
    </row>
    <row r="163" spans="1:16" x14ac:dyDescent="0.25">
      <c r="A163" s="12" t="s">
        <v>2719</v>
      </c>
      <c r="B163" s="36" t="s">
        <v>511</v>
      </c>
      <c r="C163" s="12">
        <f t="shared" si="12"/>
        <v>139</v>
      </c>
      <c r="D163" s="12">
        <v>1</v>
      </c>
      <c r="E163" s="12" t="str">
        <f t="shared" si="16"/>
        <v>139</v>
      </c>
      <c r="F163" s="12"/>
      <c r="G163" s="12" t="s">
        <v>1017</v>
      </c>
      <c r="H163" s="12" t="s">
        <v>4682</v>
      </c>
      <c r="I163" s="12">
        <v>331</v>
      </c>
      <c r="J163" s="12">
        <v>1111</v>
      </c>
      <c r="K163" s="12" t="s">
        <v>20</v>
      </c>
      <c r="L163" s="12">
        <v>1</v>
      </c>
      <c r="M163" s="17">
        <v>23000</v>
      </c>
      <c r="N163" s="17">
        <f t="shared" si="11"/>
        <v>23000</v>
      </c>
      <c r="O163" s="12" t="s">
        <v>21</v>
      </c>
      <c r="P163" s="12">
        <f t="shared" si="15"/>
        <v>138</v>
      </c>
    </row>
    <row r="164" spans="1:16" x14ac:dyDescent="0.25">
      <c r="A164" s="12" t="s">
        <v>2719</v>
      </c>
      <c r="B164" s="36" t="s">
        <v>511</v>
      </c>
      <c r="C164" s="12">
        <f t="shared" si="12"/>
        <v>140</v>
      </c>
      <c r="D164" s="12">
        <v>1</v>
      </c>
      <c r="E164" s="12" t="str">
        <f t="shared" si="16"/>
        <v>140</v>
      </c>
      <c r="F164" s="12"/>
      <c r="G164" s="12" t="s">
        <v>24</v>
      </c>
      <c r="H164" s="12" t="s">
        <v>4683</v>
      </c>
      <c r="I164" s="12">
        <v>331</v>
      </c>
      <c r="J164" s="12">
        <v>1111</v>
      </c>
      <c r="K164" s="12" t="s">
        <v>20</v>
      </c>
      <c r="L164" s="12">
        <v>1</v>
      </c>
      <c r="M164" s="17">
        <v>51000</v>
      </c>
      <c r="N164" s="17">
        <f t="shared" si="11"/>
        <v>51000</v>
      </c>
      <c r="O164" s="12" t="s">
        <v>21</v>
      </c>
      <c r="P164" s="12">
        <f t="shared" si="15"/>
        <v>139</v>
      </c>
    </row>
    <row r="165" spans="1:16" x14ac:dyDescent="0.25">
      <c r="A165" s="12" t="s">
        <v>2719</v>
      </c>
      <c r="B165" s="36" t="s">
        <v>511</v>
      </c>
      <c r="C165" s="12">
        <f t="shared" si="12"/>
        <v>141</v>
      </c>
      <c r="D165" s="12">
        <v>1</v>
      </c>
      <c r="E165" s="12" t="str">
        <f t="shared" si="16"/>
        <v>141</v>
      </c>
      <c r="F165" s="12"/>
      <c r="G165" s="12" t="s">
        <v>19</v>
      </c>
      <c r="H165" s="12" t="s">
        <v>4684</v>
      </c>
      <c r="I165" s="12">
        <v>331</v>
      </c>
      <c r="J165" s="12">
        <v>1111</v>
      </c>
      <c r="K165" s="12" t="s">
        <v>20</v>
      </c>
      <c r="L165" s="12">
        <v>1</v>
      </c>
      <c r="M165" s="17">
        <v>62000</v>
      </c>
      <c r="N165" s="17">
        <f t="shared" ref="N165:N209" si="17">L165*M165</f>
        <v>62000</v>
      </c>
      <c r="O165" s="12" t="s">
        <v>21</v>
      </c>
      <c r="P165" s="12">
        <f t="shared" si="15"/>
        <v>140</v>
      </c>
    </row>
    <row r="166" spans="1:16" x14ac:dyDescent="0.25">
      <c r="A166" s="12" t="s">
        <v>2719</v>
      </c>
      <c r="B166" s="36" t="s">
        <v>511</v>
      </c>
      <c r="C166" s="12">
        <f t="shared" si="12"/>
        <v>142</v>
      </c>
      <c r="D166" s="12">
        <v>1</v>
      </c>
      <c r="E166" s="12" t="str">
        <f t="shared" si="16"/>
        <v>142</v>
      </c>
      <c r="F166" s="12"/>
      <c r="G166" s="12" t="s">
        <v>19</v>
      </c>
      <c r="H166" s="12" t="s">
        <v>4685</v>
      </c>
      <c r="I166" s="12">
        <v>331</v>
      </c>
      <c r="J166" s="12">
        <v>1111</v>
      </c>
      <c r="K166" s="12" t="s">
        <v>20</v>
      </c>
      <c r="L166" s="12">
        <v>1</v>
      </c>
      <c r="M166" s="17">
        <v>34000</v>
      </c>
      <c r="N166" s="17">
        <f t="shared" si="17"/>
        <v>34000</v>
      </c>
      <c r="O166" s="12" t="s">
        <v>21</v>
      </c>
      <c r="P166" s="12">
        <f t="shared" si="15"/>
        <v>141</v>
      </c>
    </row>
    <row r="167" spans="1:16" x14ac:dyDescent="0.25">
      <c r="A167" s="12" t="s">
        <v>2719</v>
      </c>
      <c r="B167" s="36" t="s">
        <v>511</v>
      </c>
      <c r="C167" s="12">
        <f t="shared" si="12"/>
        <v>143</v>
      </c>
      <c r="D167" s="12">
        <v>1</v>
      </c>
      <c r="E167" s="12" t="str">
        <f t="shared" si="16"/>
        <v>143</v>
      </c>
      <c r="F167" s="12"/>
      <c r="G167" s="12" t="s">
        <v>19</v>
      </c>
      <c r="H167" s="12" t="s">
        <v>4686</v>
      </c>
      <c r="I167" s="12">
        <v>331</v>
      </c>
      <c r="J167" s="12">
        <v>1111</v>
      </c>
      <c r="K167" s="12" t="s">
        <v>20</v>
      </c>
      <c r="L167" s="12">
        <v>1</v>
      </c>
      <c r="M167" s="17">
        <v>37000</v>
      </c>
      <c r="N167" s="17">
        <f t="shared" si="17"/>
        <v>37000</v>
      </c>
      <c r="O167" s="12" t="s">
        <v>21</v>
      </c>
      <c r="P167" s="12">
        <f t="shared" si="15"/>
        <v>142</v>
      </c>
    </row>
    <row r="168" spans="1:16" x14ac:dyDescent="0.25">
      <c r="A168" s="12" t="s">
        <v>2719</v>
      </c>
      <c r="B168" s="36" t="s">
        <v>447</v>
      </c>
      <c r="C168" s="12">
        <f t="shared" si="12"/>
        <v>144</v>
      </c>
      <c r="D168" s="12">
        <v>1</v>
      </c>
      <c r="E168" s="12" t="str">
        <f t="shared" si="16"/>
        <v>144</v>
      </c>
      <c r="F168" s="12"/>
      <c r="G168" s="12" t="s">
        <v>19</v>
      </c>
      <c r="H168" s="12" t="s">
        <v>4687</v>
      </c>
      <c r="I168" s="12">
        <v>331</v>
      </c>
      <c r="J168" s="12">
        <v>1111</v>
      </c>
      <c r="K168" s="12" t="s">
        <v>20</v>
      </c>
      <c r="L168" s="12">
        <v>1</v>
      </c>
      <c r="M168" s="17">
        <v>25000</v>
      </c>
      <c r="N168" s="17">
        <f t="shared" si="17"/>
        <v>25000</v>
      </c>
      <c r="O168" s="12" t="s">
        <v>21</v>
      </c>
      <c r="P168" s="12">
        <f t="shared" si="15"/>
        <v>143</v>
      </c>
    </row>
    <row r="169" spans="1:16" x14ac:dyDescent="0.25">
      <c r="A169" s="12" t="s">
        <v>2719</v>
      </c>
      <c r="B169" s="36" t="s">
        <v>447</v>
      </c>
      <c r="C169" s="12">
        <f t="shared" si="12"/>
        <v>145</v>
      </c>
      <c r="D169" s="12">
        <v>1</v>
      </c>
      <c r="E169" s="12" t="str">
        <f t="shared" si="16"/>
        <v>145</v>
      </c>
      <c r="F169" s="12"/>
      <c r="G169" s="12" t="s">
        <v>19</v>
      </c>
      <c r="H169" s="12" t="s">
        <v>4688</v>
      </c>
      <c r="I169" s="12">
        <v>331</v>
      </c>
      <c r="J169" s="12">
        <v>1111</v>
      </c>
      <c r="K169" s="12" t="s">
        <v>20</v>
      </c>
      <c r="L169" s="12">
        <v>1</v>
      </c>
      <c r="M169" s="17">
        <v>12000</v>
      </c>
      <c r="N169" s="17">
        <f t="shared" si="17"/>
        <v>12000</v>
      </c>
      <c r="O169" s="12" t="s">
        <v>21</v>
      </c>
      <c r="P169" s="12">
        <f t="shared" si="15"/>
        <v>144</v>
      </c>
    </row>
    <row r="170" spans="1:16" x14ac:dyDescent="0.25">
      <c r="A170" s="12" t="s">
        <v>2719</v>
      </c>
      <c r="B170" s="36" t="s">
        <v>447</v>
      </c>
      <c r="C170" s="12">
        <f t="shared" si="12"/>
        <v>146</v>
      </c>
      <c r="D170" s="12">
        <v>1</v>
      </c>
      <c r="E170" s="12" t="str">
        <f t="shared" si="16"/>
        <v>146</v>
      </c>
      <c r="F170" s="12"/>
      <c r="G170" s="12" t="s">
        <v>19</v>
      </c>
      <c r="H170" s="12" t="s">
        <v>4689</v>
      </c>
      <c r="I170" s="12">
        <v>331</v>
      </c>
      <c r="J170" s="12">
        <v>1111</v>
      </c>
      <c r="K170" s="12" t="s">
        <v>20</v>
      </c>
      <c r="L170" s="12">
        <v>1</v>
      </c>
      <c r="M170" s="17">
        <v>46000</v>
      </c>
      <c r="N170" s="17">
        <f t="shared" si="17"/>
        <v>46000</v>
      </c>
      <c r="O170" s="12" t="s">
        <v>21</v>
      </c>
      <c r="P170" s="12">
        <f t="shared" si="15"/>
        <v>145</v>
      </c>
    </row>
    <row r="171" spans="1:16" x14ac:dyDescent="0.25">
      <c r="A171" s="12" t="s">
        <v>2719</v>
      </c>
      <c r="B171" s="36" t="s">
        <v>447</v>
      </c>
      <c r="C171" s="12">
        <f t="shared" si="12"/>
        <v>147</v>
      </c>
      <c r="D171" s="12">
        <v>1</v>
      </c>
      <c r="E171" s="12" t="str">
        <f t="shared" si="16"/>
        <v>147</v>
      </c>
      <c r="F171" s="12"/>
      <c r="G171" s="12" t="s">
        <v>19</v>
      </c>
      <c r="H171" s="12" t="s">
        <v>4690</v>
      </c>
      <c r="I171" s="12">
        <v>331</v>
      </c>
      <c r="J171" s="12">
        <v>1111</v>
      </c>
      <c r="K171" s="12" t="s">
        <v>20</v>
      </c>
      <c r="L171" s="12">
        <v>1</v>
      </c>
      <c r="M171" s="17">
        <v>169000</v>
      </c>
      <c r="N171" s="17">
        <f t="shared" si="17"/>
        <v>169000</v>
      </c>
      <c r="O171" s="12" t="s">
        <v>21</v>
      </c>
      <c r="P171" s="12">
        <f t="shared" si="15"/>
        <v>146</v>
      </c>
    </row>
    <row r="172" spans="1:16" x14ac:dyDescent="0.25">
      <c r="A172" s="12" t="s">
        <v>2719</v>
      </c>
      <c r="B172" s="36" t="s">
        <v>468</v>
      </c>
      <c r="C172" s="12">
        <f t="shared" si="12"/>
        <v>148</v>
      </c>
      <c r="D172" s="12">
        <v>1</v>
      </c>
      <c r="E172" s="12" t="str">
        <f t="shared" si="16"/>
        <v>148</v>
      </c>
      <c r="F172" s="12"/>
      <c r="G172" s="12" t="s">
        <v>4135</v>
      </c>
      <c r="H172" s="12" t="s">
        <v>4691</v>
      </c>
      <c r="I172" s="12">
        <v>331</v>
      </c>
      <c r="J172" s="12">
        <v>1111</v>
      </c>
      <c r="K172" s="12" t="s">
        <v>20</v>
      </c>
      <c r="L172" s="12">
        <v>1</v>
      </c>
      <c r="M172" s="17">
        <v>198000</v>
      </c>
      <c r="N172" s="17">
        <f t="shared" si="17"/>
        <v>198000</v>
      </c>
      <c r="O172" s="12" t="s">
        <v>21</v>
      </c>
      <c r="P172" s="12">
        <f t="shared" si="15"/>
        <v>147</v>
      </c>
    </row>
    <row r="173" spans="1:16" x14ac:dyDescent="0.25">
      <c r="A173" s="12" t="s">
        <v>2719</v>
      </c>
      <c r="B173" s="36" t="s">
        <v>414</v>
      </c>
      <c r="C173" s="12">
        <f t="shared" ref="C173:C208" si="18">C172+D173</f>
        <v>149</v>
      </c>
      <c r="D173" s="12">
        <v>1</v>
      </c>
      <c r="E173" s="12" t="str">
        <f t="shared" si="16"/>
        <v>149</v>
      </c>
      <c r="F173" s="12"/>
      <c r="G173" s="12" t="s">
        <v>19</v>
      </c>
      <c r="H173" s="12" t="s">
        <v>4692</v>
      </c>
      <c r="I173" s="12">
        <v>331</v>
      </c>
      <c r="J173" s="12">
        <v>1111</v>
      </c>
      <c r="K173" s="12" t="s">
        <v>20</v>
      </c>
      <c r="L173" s="12">
        <v>1</v>
      </c>
      <c r="M173" s="17">
        <v>24000</v>
      </c>
      <c r="N173" s="17">
        <f t="shared" si="17"/>
        <v>24000</v>
      </c>
      <c r="O173" s="12" t="s">
        <v>21</v>
      </c>
      <c r="P173" s="12">
        <f t="shared" si="15"/>
        <v>148</v>
      </c>
    </row>
    <row r="174" spans="1:16" x14ac:dyDescent="0.25">
      <c r="A174" s="12" t="s">
        <v>2719</v>
      </c>
      <c r="B174" s="36" t="s">
        <v>414</v>
      </c>
      <c r="C174" s="12">
        <f t="shared" si="18"/>
        <v>150</v>
      </c>
      <c r="D174" s="12">
        <v>1</v>
      </c>
      <c r="E174" s="12" t="str">
        <f t="shared" si="16"/>
        <v>150</v>
      </c>
      <c r="F174" s="12"/>
      <c r="G174" s="12" t="s">
        <v>19</v>
      </c>
      <c r="H174" s="12" t="s">
        <v>4693</v>
      </c>
      <c r="I174" s="12">
        <v>331</v>
      </c>
      <c r="J174" s="12">
        <v>1111</v>
      </c>
      <c r="K174" s="12" t="s">
        <v>20</v>
      </c>
      <c r="L174" s="12">
        <v>1</v>
      </c>
      <c r="M174" s="17">
        <v>14000</v>
      </c>
      <c r="N174" s="17">
        <f t="shared" si="17"/>
        <v>14000</v>
      </c>
      <c r="O174" s="12" t="s">
        <v>21</v>
      </c>
      <c r="P174" s="12">
        <f t="shared" si="15"/>
        <v>149</v>
      </c>
    </row>
    <row r="175" spans="1:16" x14ac:dyDescent="0.25">
      <c r="A175" s="12" t="s">
        <v>2719</v>
      </c>
      <c r="B175" s="36" t="s">
        <v>599</v>
      </c>
      <c r="C175" s="12">
        <f t="shared" si="18"/>
        <v>151</v>
      </c>
      <c r="D175" s="12">
        <v>1</v>
      </c>
      <c r="E175" s="12" t="str">
        <f t="shared" si="16"/>
        <v>151</v>
      </c>
      <c r="F175" s="12"/>
      <c r="G175" s="12" t="s">
        <v>19</v>
      </c>
      <c r="H175" s="12" t="s">
        <v>4694</v>
      </c>
      <c r="I175" s="12">
        <v>331</v>
      </c>
      <c r="J175" s="12">
        <v>1111</v>
      </c>
      <c r="K175" s="12" t="s">
        <v>20</v>
      </c>
      <c r="L175" s="12">
        <v>1</v>
      </c>
      <c r="M175" s="17">
        <v>79000</v>
      </c>
      <c r="N175" s="17">
        <f t="shared" si="17"/>
        <v>79000</v>
      </c>
      <c r="O175" s="12" t="s">
        <v>21</v>
      </c>
      <c r="P175" s="12">
        <f t="shared" si="15"/>
        <v>150</v>
      </c>
    </row>
    <row r="176" spans="1:16" x14ac:dyDescent="0.25">
      <c r="A176" s="12" t="s">
        <v>2719</v>
      </c>
      <c r="B176" s="36" t="s">
        <v>599</v>
      </c>
      <c r="C176" s="12">
        <f t="shared" si="18"/>
        <v>152</v>
      </c>
      <c r="D176" s="12">
        <v>1</v>
      </c>
      <c r="E176" s="12" t="str">
        <f t="shared" si="16"/>
        <v>152</v>
      </c>
      <c r="F176" s="12"/>
      <c r="G176" s="12" t="s">
        <v>19</v>
      </c>
      <c r="H176" s="12" t="s">
        <v>4695</v>
      </c>
      <c r="I176" s="12">
        <v>331</v>
      </c>
      <c r="J176" s="12">
        <v>1111</v>
      </c>
      <c r="K176" s="12" t="s">
        <v>20</v>
      </c>
      <c r="L176" s="12">
        <v>1</v>
      </c>
      <c r="M176" s="17">
        <v>58000</v>
      </c>
      <c r="N176" s="17">
        <f t="shared" si="17"/>
        <v>58000</v>
      </c>
      <c r="O176" s="12" t="s">
        <v>21</v>
      </c>
      <c r="P176" s="12">
        <f t="shared" si="15"/>
        <v>151</v>
      </c>
    </row>
    <row r="177" spans="1:16" x14ac:dyDescent="0.25">
      <c r="A177" s="12" t="s">
        <v>2719</v>
      </c>
      <c r="B177" s="36" t="s">
        <v>469</v>
      </c>
      <c r="C177" s="12">
        <f t="shared" si="18"/>
        <v>153</v>
      </c>
      <c r="D177" s="12">
        <v>1</v>
      </c>
      <c r="E177" s="12" t="str">
        <f t="shared" si="16"/>
        <v>153</v>
      </c>
      <c r="F177" s="12"/>
      <c r="G177" s="12" t="s">
        <v>4136</v>
      </c>
      <c r="H177" s="12" t="s">
        <v>4696</v>
      </c>
      <c r="I177" s="12">
        <v>331</v>
      </c>
      <c r="J177" s="12">
        <v>1111</v>
      </c>
      <c r="K177" s="12" t="s">
        <v>20</v>
      </c>
      <c r="L177" s="12">
        <v>1</v>
      </c>
      <c r="M177" s="17">
        <v>123237</v>
      </c>
      <c r="N177" s="17">
        <f t="shared" si="17"/>
        <v>123237</v>
      </c>
      <c r="O177" s="12" t="s">
        <v>21</v>
      </c>
      <c r="P177" s="12">
        <f t="shared" si="15"/>
        <v>152</v>
      </c>
    </row>
    <row r="178" spans="1:16" x14ac:dyDescent="0.25">
      <c r="A178" s="12" t="s">
        <v>2719</v>
      </c>
      <c r="B178" s="36" t="s">
        <v>469</v>
      </c>
      <c r="C178" s="12">
        <f t="shared" si="18"/>
        <v>154</v>
      </c>
      <c r="D178" s="12">
        <v>1</v>
      </c>
      <c r="E178" s="12" t="str">
        <f t="shared" si="16"/>
        <v>154</v>
      </c>
      <c r="F178" s="12"/>
      <c r="G178" s="12" t="s">
        <v>19</v>
      </c>
      <c r="H178" s="12" t="s">
        <v>4697</v>
      </c>
      <c r="I178" s="12">
        <v>331</v>
      </c>
      <c r="J178" s="12">
        <v>1111</v>
      </c>
      <c r="K178" s="12" t="s">
        <v>20</v>
      </c>
      <c r="L178" s="12">
        <v>1</v>
      </c>
      <c r="M178" s="17">
        <v>47000</v>
      </c>
      <c r="N178" s="17">
        <f t="shared" si="17"/>
        <v>47000</v>
      </c>
      <c r="O178" s="12" t="s">
        <v>21</v>
      </c>
      <c r="P178" s="12">
        <f t="shared" si="15"/>
        <v>153</v>
      </c>
    </row>
    <row r="179" spans="1:16" x14ac:dyDescent="0.25">
      <c r="A179" s="12" t="s">
        <v>2719</v>
      </c>
      <c r="B179" s="36" t="s">
        <v>469</v>
      </c>
      <c r="C179" s="12">
        <f t="shared" si="18"/>
        <v>155</v>
      </c>
      <c r="D179" s="12">
        <v>1</v>
      </c>
      <c r="E179" s="12" t="str">
        <f t="shared" si="16"/>
        <v>155</v>
      </c>
      <c r="F179" s="12"/>
      <c r="G179" s="12" t="s">
        <v>19</v>
      </c>
      <c r="H179" s="12" t="s">
        <v>4698</v>
      </c>
      <c r="I179" s="12">
        <v>331</v>
      </c>
      <c r="J179" s="12">
        <v>1111</v>
      </c>
      <c r="K179" s="12" t="s">
        <v>20</v>
      </c>
      <c r="L179" s="12">
        <v>1</v>
      </c>
      <c r="M179" s="17">
        <v>38000</v>
      </c>
      <c r="N179" s="17">
        <f t="shared" si="17"/>
        <v>38000</v>
      </c>
      <c r="O179" s="12" t="s">
        <v>21</v>
      </c>
      <c r="P179" s="12">
        <f t="shared" si="15"/>
        <v>154</v>
      </c>
    </row>
    <row r="180" spans="1:16" x14ac:dyDescent="0.25">
      <c r="A180" s="12" t="s">
        <v>2719</v>
      </c>
      <c r="B180" s="36" t="s">
        <v>469</v>
      </c>
      <c r="C180" s="12">
        <f t="shared" si="18"/>
        <v>156</v>
      </c>
      <c r="D180" s="12">
        <v>1</v>
      </c>
      <c r="E180" s="12" t="str">
        <f t="shared" si="16"/>
        <v>156</v>
      </c>
      <c r="F180" s="12"/>
      <c r="G180" s="12" t="s">
        <v>19</v>
      </c>
      <c r="H180" s="12" t="s">
        <v>4699</v>
      </c>
      <c r="I180" s="12">
        <v>331</v>
      </c>
      <c r="J180" s="12">
        <v>1111</v>
      </c>
      <c r="K180" s="12" t="s">
        <v>20</v>
      </c>
      <c r="L180" s="12">
        <v>1</v>
      </c>
      <c r="M180" s="17">
        <v>51000</v>
      </c>
      <c r="N180" s="17">
        <f t="shared" si="17"/>
        <v>51000</v>
      </c>
      <c r="O180" s="12" t="s">
        <v>21</v>
      </c>
      <c r="P180" s="12">
        <f t="shared" si="15"/>
        <v>155</v>
      </c>
    </row>
    <row r="181" spans="1:16" x14ac:dyDescent="0.25">
      <c r="A181" s="12" t="s">
        <v>2719</v>
      </c>
      <c r="B181" s="36" t="s">
        <v>415</v>
      </c>
      <c r="C181" s="12">
        <f t="shared" si="18"/>
        <v>157</v>
      </c>
      <c r="D181" s="12">
        <v>1</v>
      </c>
      <c r="E181" s="12" t="str">
        <f t="shared" si="16"/>
        <v>157</v>
      </c>
      <c r="F181" s="12"/>
      <c r="G181" s="12" t="s">
        <v>19</v>
      </c>
      <c r="H181" s="12" t="s">
        <v>4700</v>
      </c>
      <c r="I181" s="12">
        <v>331</v>
      </c>
      <c r="J181" s="12">
        <v>1111</v>
      </c>
      <c r="K181" s="12" t="s">
        <v>20</v>
      </c>
      <c r="L181" s="12">
        <v>1</v>
      </c>
      <c r="M181" s="17">
        <v>74000</v>
      </c>
      <c r="N181" s="17">
        <f t="shared" si="17"/>
        <v>74000</v>
      </c>
      <c r="O181" s="12" t="s">
        <v>21</v>
      </c>
      <c r="P181" s="12">
        <f t="shared" si="15"/>
        <v>156</v>
      </c>
    </row>
    <row r="182" spans="1:16" x14ac:dyDescent="0.25">
      <c r="A182" s="12" t="s">
        <v>2719</v>
      </c>
      <c r="B182" s="36" t="s">
        <v>448</v>
      </c>
      <c r="C182" s="12">
        <f t="shared" si="18"/>
        <v>158</v>
      </c>
      <c r="D182" s="12">
        <v>1</v>
      </c>
      <c r="E182" s="12" t="str">
        <f t="shared" si="16"/>
        <v>158</v>
      </c>
      <c r="F182" s="12"/>
      <c r="G182" s="12" t="s">
        <v>19</v>
      </c>
      <c r="H182" s="12" t="s">
        <v>4701</v>
      </c>
      <c r="I182" s="12">
        <v>331</v>
      </c>
      <c r="J182" s="12">
        <v>1111</v>
      </c>
      <c r="K182" s="12" t="s">
        <v>20</v>
      </c>
      <c r="L182" s="12">
        <v>1</v>
      </c>
      <c r="M182" s="17">
        <v>12000</v>
      </c>
      <c r="N182" s="17">
        <f t="shared" si="17"/>
        <v>12000</v>
      </c>
      <c r="O182" s="12" t="s">
        <v>21</v>
      </c>
      <c r="P182" s="12">
        <f t="shared" si="15"/>
        <v>157</v>
      </c>
    </row>
    <row r="183" spans="1:16" x14ac:dyDescent="0.25">
      <c r="A183" s="12" t="s">
        <v>2719</v>
      </c>
      <c r="B183" s="36" t="s">
        <v>512</v>
      </c>
      <c r="C183" s="12">
        <f t="shared" si="18"/>
        <v>159</v>
      </c>
      <c r="D183" s="12">
        <v>1</v>
      </c>
      <c r="E183" s="12" t="str">
        <f t="shared" si="16"/>
        <v>159</v>
      </c>
      <c r="F183" s="12"/>
      <c r="G183" s="12" t="s">
        <v>19</v>
      </c>
      <c r="H183" s="12" t="s">
        <v>4702</v>
      </c>
      <c r="I183" s="12">
        <v>331</v>
      </c>
      <c r="J183" s="12">
        <v>1111</v>
      </c>
      <c r="K183" s="12" t="s">
        <v>20</v>
      </c>
      <c r="L183" s="12">
        <v>1</v>
      </c>
      <c r="M183" s="17">
        <v>55000</v>
      </c>
      <c r="N183" s="17">
        <f t="shared" si="17"/>
        <v>55000</v>
      </c>
      <c r="O183" s="12" t="s">
        <v>21</v>
      </c>
      <c r="P183" s="12">
        <f t="shared" si="15"/>
        <v>158</v>
      </c>
    </row>
    <row r="184" spans="1:16" x14ac:dyDescent="0.25">
      <c r="A184" s="12" t="s">
        <v>2719</v>
      </c>
      <c r="B184" s="36" t="s">
        <v>512</v>
      </c>
      <c r="C184" s="12">
        <f t="shared" si="18"/>
        <v>160</v>
      </c>
      <c r="D184" s="12">
        <v>1</v>
      </c>
      <c r="E184" s="12" t="str">
        <f t="shared" si="16"/>
        <v>160</v>
      </c>
      <c r="F184" s="12"/>
      <c r="G184" s="12" t="s">
        <v>19</v>
      </c>
      <c r="H184" s="12" t="s">
        <v>4703</v>
      </c>
      <c r="I184" s="12">
        <v>331</v>
      </c>
      <c r="J184" s="12">
        <v>1111</v>
      </c>
      <c r="K184" s="12" t="s">
        <v>20</v>
      </c>
      <c r="L184" s="12">
        <v>1</v>
      </c>
      <c r="M184" s="17">
        <v>23000</v>
      </c>
      <c r="N184" s="17">
        <f t="shared" si="17"/>
        <v>23000</v>
      </c>
      <c r="O184" s="12" t="s">
        <v>21</v>
      </c>
      <c r="P184" s="12">
        <f t="shared" si="15"/>
        <v>159</v>
      </c>
    </row>
    <row r="185" spans="1:16" x14ac:dyDescent="0.25">
      <c r="A185" s="12" t="s">
        <v>2719</v>
      </c>
      <c r="B185" s="36" t="s">
        <v>512</v>
      </c>
      <c r="C185" s="12">
        <f t="shared" si="18"/>
        <v>161</v>
      </c>
      <c r="D185" s="12">
        <v>1</v>
      </c>
      <c r="E185" s="12" t="str">
        <f t="shared" si="16"/>
        <v>161</v>
      </c>
      <c r="F185" s="12"/>
      <c r="G185" s="12" t="s">
        <v>19</v>
      </c>
      <c r="H185" s="12" t="s">
        <v>4704</v>
      </c>
      <c r="I185" s="12">
        <v>331</v>
      </c>
      <c r="J185" s="12">
        <v>1111</v>
      </c>
      <c r="K185" s="12" t="s">
        <v>20</v>
      </c>
      <c r="L185" s="12">
        <v>1</v>
      </c>
      <c r="M185" s="17">
        <v>30000</v>
      </c>
      <c r="N185" s="17">
        <f t="shared" si="17"/>
        <v>30000</v>
      </c>
      <c r="O185" s="12" t="s">
        <v>21</v>
      </c>
      <c r="P185" s="12">
        <f t="shared" si="15"/>
        <v>160</v>
      </c>
    </row>
    <row r="186" spans="1:16" x14ac:dyDescent="0.25">
      <c r="A186" s="12" t="s">
        <v>2719</v>
      </c>
      <c r="B186" s="36" t="s">
        <v>869</v>
      </c>
      <c r="C186" s="12">
        <f t="shared" si="18"/>
        <v>162</v>
      </c>
      <c r="D186" s="12">
        <v>1</v>
      </c>
      <c r="E186" s="12" t="str">
        <f t="shared" si="16"/>
        <v>162</v>
      </c>
      <c r="F186" s="12"/>
      <c r="G186" s="12" t="s">
        <v>4137</v>
      </c>
      <c r="H186" s="12" t="s">
        <v>4705</v>
      </c>
      <c r="I186" s="12">
        <v>331</v>
      </c>
      <c r="J186" s="12">
        <v>1111</v>
      </c>
      <c r="K186" s="12" t="s">
        <v>20</v>
      </c>
      <c r="L186" s="12">
        <v>1</v>
      </c>
      <c r="M186" s="17">
        <v>230000</v>
      </c>
      <c r="N186" s="17">
        <f t="shared" si="17"/>
        <v>230000</v>
      </c>
      <c r="O186" s="12" t="s">
        <v>21</v>
      </c>
      <c r="P186" s="12">
        <f t="shared" si="15"/>
        <v>161</v>
      </c>
    </row>
    <row r="187" spans="1:16" x14ac:dyDescent="0.25">
      <c r="A187" s="12" t="s">
        <v>2719</v>
      </c>
      <c r="B187" s="36" t="s">
        <v>869</v>
      </c>
      <c r="C187" s="12">
        <f t="shared" si="18"/>
        <v>163</v>
      </c>
      <c r="D187" s="12">
        <v>1</v>
      </c>
      <c r="E187" s="12" t="str">
        <f t="shared" si="16"/>
        <v>163</v>
      </c>
      <c r="F187" s="12"/>
      <c r="G187" s="12" t="s">
        <v>24</v>
      </c>
      <c r="H187" s="12" t="s">
        <v>4706</v>
      </c>
      <c r="I187" s="12">
        <v>331</v>
      </c>
      <c r="J187" s="12">
        <v>1111</v>
      </c>
      <c r="K187" s="12" t="s">
        <v>20</v>
      </c>
      <c r="L187" s="12">
        <v>1</v>
      </c>
      <c r="M187" s="17">
        <v>31000</v>
      </c>
      <c r="N187" s="17">
        <f t="shared" si="17"/>
        <v>31000</v>
      </c>
      <c r="O187" s="12" t="s">
        <v>21</v>
      </c>
      <c r="P187" s="12">
        <f t="shared" si="15"/>
        <v>162</v>
      </c>
    </row>
    <row r="188" spans="1:16" x14ac:dyDescent="0.25">
      <c r="A188" s="12" t="s">
        <v>2719</v>
      </c>
      <c r="B188" s="36" t="s">
        <v>377</v>
      </c>
      <c r="C188" s="12">
        <f t="shared" si="18"/>
        <v>164</v>
      </c>
      <c r="D188" s="12">
        <v>1</v>
      </c>
      <c r="E188" s="12" t="str">
        <f t="shared" si="16"/>
        <v>164</v>
      </c>
      <c r="F188" s="12"/>
      <c r="G188" s="12" t="s">
        <v>37</v>
      </c>
      <c r="H188" s="12" t="s">
        <v>4707</v>
      </c>
      <c r="I188" s="12">
        <v>331</v>
      </c>
      <c r="J188" s="12">
        <v>1111</v>
      </c>
      <c r="K188" s="12" t="s">
        <v>20</v>
      </c>
      <c r="L188" s="12">
        <v>1</v>
      </c>
      <c r="M188" s="17">
        <v>3240000</v>
      </c>
      <c r="N188" s="17">
        <f t="shared" si="17"/>
        <v>3240000</v>
      </c>
      <c r="O188" s="12" t="s">
        <v>21</v>
      </c>
      <c r="P188" s="12">
        <f t="shared" si="15"/>
        <v>163</v>
      </c>
    </row>
    <row r="189" spans="1:16" x14ac:dyDescent="0.25">
      <c r="A189" s="12" t="s">
        <v>2719</v>
      </c>
      <c r="B189" s="36" t="s">
        <v>291</v>
      </c>
      <c r="C189" s="12">
        <f t="shared" si="18"/>
        <v>165</v>
      </c>
      <c r="D189" s="12">
        <v>1</v>
      </c>
      <c r="E189" s="12" t="str">
        <f t="shared" si="16"/>
        <v>165</v>
      </c>
      <c r="F189" s="12"/>
      <c r="G189" s="12" t="s">
        <v>19</v>
      </c>
      <c r="H189" s="12" t="s">
        <v>4708</v>
      </c>
      <c r="I189" s="12">
        <v>331</v>
      </c>
      <c r="J189" s="12">
        <v>1111</v>
      </c>
      <c r="K189" s="12" t="s">
        <v>20</v>
      </c>
      <c r="L189" s="12">
        <v>1</v>
      </c>
      <c r="M189" s="17">
        <v>45000</v>
      </c>
      <c r="N189" s="17">
        <f t="shared" si="17"/>
        <v>45000</v>
      </c>
      <c r="O189" s="12" t="s">
        <v>21</v>
      </c>
      <c r="P189" s="12">
        <f t="shared" si="15"/>
        <v>164</v>
      </c>
    </row>
    <row r="190" spans="1:16" x14ac:dyDescent="0.25">
      <c r="A190" s="12" t="s">
        <v>2719</v>
      </c>
      <c r="B190" s="36" t="s">
        <v>291</v>
      </c>
      <c r="C190" s="12">
        <f t="shared" si="18"/>
        <v>166</v>
      </c>
      <c r="D190" s="12">
        <v>1</v>
      </c>
      <c r="E190" s="12" t="str">
        <f t="shared" si="16"/>
        <v>166</v>
      </c>
      <c r="F190" s="12"/>
      <c r="G190" s="12" t="s">
        <v>19</v>
      </c>
      <c r="H190" s="12" t="s">
        <v>4709</v>
      </c>
      <c r="I190" s="12">
        <v>331</v>
      </c>
      <c r="J190" s="12">
        <v>1111</v>
      </c>
      <c r="K190" s="12" t="s">
        <v>20</v>
      </c>
      <c r="L190" s="12">
        <v>1</v>
      </c>
      <c r="M190" s="17">
        <v>90000</v>
      </c>
      <c r="N190" s="17">
        <f t="shared" si="17"/>
        <v>90000</v>
      </c>
      <c r="O190" s="12" t="s">
        <v>21</v>
      </c>
      <c r="P190" s="12">
        <f t="shared" si="15"/>
        <v>165</v>
      </c>
    </row>
    <row r="191" spans="1:16" x14ac:dyDescent="0.25">
      <c r="A191" s="12" t="s">
        <v>2719</v>
      </c>
      <c r="B191" s="36" t="s">
        <v>449</v>
      </c>
      <c r="C191" s="12">
        <f t="shared" si="18"/>
        <v>167</v>
      </c>
      <c r="D191" s="12">
        <v>1</v>
      </c>
      <c r="E191" s="12" t="str">
        <f t="shared" si="16"/>
        <v>167</v>
      </c>
      <c r="F191" s="12"/>
      <c r="G191" s="12" t="s">
        <v>123</v>
      </c>
      <c r="H191" s="12" t="s">
        <v>4710</v>
      </c>
      <c r="I191" s="12">
        <v>331</v>
      </c>
      <c r="J191" s="12">
        <v>1111</v>
      </c>
      <c r="K191" s="12" t="s">
        <v>20</v>
      </c>
      <c r="L191" s="12">
        <v>1</v>
      </c>
      <c r="M191" s="17">
        <v>650160</v>
      </c>
      <c r="N191" s="17">
        <f t="shared" si="17"/>
        <v>650160</v>
      </c>
      <c r="O191" s="12" t="s">
        <v>21</v>
      </c>
      <c r="P191" s="12">
        <f t="shared" si="15"/>
        <v>166</v>
      </c>
    </row>
    <row r="192" spans="1:16" x14ac:dyDescent="0.25">
      <c r="A192" s="12" t="s">
        <v>2719</v>
      </c>
      <c r="B192" s="36" t="s">
        <v>292</v>
      </c>
      <c r="C192" s="12">
        <f t="shared" si="18"/>
        <v>168</v>
      </c>
      <c r="D192" s="12">
        <v>1</v>
      </c>
      <c r="E192" s="12" t="str">
        <f t="shared" si="16"/>
        <v>168</v>
      </c>
      <c r="F192" s="12"/>
      <c r="G192" s="12" t="s">
        <v>4138</v>
      </c>
      <c r="H192" s="12" t="s">
        <v>4711</v>
      </c>
      <c r="I192" s="12">
        <v>331</v>
      </c>
      <c r="J192" s="12">
        <v>1111</v>
      </c>
      <c r="K192" s="12" t="s">
        <v>20</v>
      </c>
      <c r="L192" s="12">
        <v>1</v>
      </c>
      <c r="M192" s="17">
        <v>2789640</v>
      </c>
      <c r="N192" s="17">
        <f t="shared" si="17"/>
        <v>2789640</v>
      </c>
      <c r="O192" s="12" t="s">
        <v>21</v>
      </c>
      <c r="P192" s="12">
        <f t="shared" si="15"/>
        <v>167</v>
      </c>
    </row>
    <row r="193" spans="1:16" x14ac:dyDescent="0.25">
      <c r="A193" s="12" t="s">
        <v>2719</v>
      </c>
      <c r="B193" s="36" t="s">
        <v>292</v>
      </c>
      <c r="C193" s="12">
        <f t="shared" si="18"/>
        <v>169</v>
      </c>
      <c r="D193" s="12">
        <v>1</v>
      </c>
      <c r="E193" s="12" t="str">
        <f t="shared" si="16"/>
        <v>169</v>
      </c>
      <c r="F193" s="12"/>
      <c r="G193" s="12" t="s">
        <v>48</v>
      </c>
      <c r="H193" s="12" t="s">
        <v>4712</v>
      </c>
      <c r="I193" s="12">
        <v>331</v>
      </c>
      <c r="J193" s="12">
        <v>1111</v>
      </c>
      <c r="K193" s="12" t="s">
        <v>20</v>
      </c>
      <c r="L193" s="12">
        <v>1</v>
      </c>
      <c r="M193" s="17">
        <v>11410</v>
      </c>
      <c r="N193" s="17">
        <f t="shared" si="17"/>
        <v>11410</v>
      </c>
      <c r="O193" s="12" t="s">
        <v>21</v>
      </c>
      <c r="P193" s="12">
        <f t="shared" si="15"/>
        <v>168</v>
      </c>
    </row>
    <row r="194" spans="1:16" x14ac:dyDescent="0.25">
      <c r="A194" s="12" t="s">
        <v>2719</v>
      </c>
      <c r="B194" s="36" t="s">
        <v>671</v>
      </c>
      <c r="C194" s="12">
        <f t="shared" si="18"/>
        <v>170</v>
      </c>
      <c r="D194" s="12">
        <v>1</v>
      </c>
      <c r="E194" s="12" t="str">
        <f t="shared" si="16"/>
        <v>170</v>
      </c>
      <c r="F194" s="12"/>
      <c r="G194" s="12" t="s">
        <v>1349</v>
      </c>
      <c r="H194" s="12" t="s">
        <v>4713</v>
      </c>
      <c r="I194" s="12">
        <v>331</v>
      </c>
      <c r="J194" s="12">
        <v>1111</v>
      </c>
      <c r="K194" s="12" t="s">
        <v>20</v>
      </c>
      <c r="L194" s="12">
        <v>1</v>
      </c>
      <c r="M194" s="17">
        <v>3020220</v>
      </c>
      <c r="N194" s="17">
        <f t="shared" si="17"/>
        <v>3020220</v>
      </c>
      <c r="O194" s="12" t="s">
        <v>21</v>
      </c>
      <c r="P194" s="12">
        <f t="shared" si="15"/>
        <v>169</v>
      </c>
    </row>
    <row r="195" spans="1:16" x14ac:dyDescent="0.25">
      <c r="A195" s="12" t="s">
        <v>2719</v>
      </c>
      <c r="B195" s="36" t="s">
        <v>317</v>
      </c>
      <c r="C195" s="12">
        <f t="shared" si="18"/>
        <v>171</v>
      </c>
      <c r="D195" s="12">
        <v>1</v>
      </c>
      <c r="E195" s="12" t="str">
        <f t="shared" si="16"/>
        <v>171</v>
      </c>
      <c r="F195" s="12"/>
      <c r="G195" s="12" t="s">
        <v>41</v>
      </c>
      <c r="H195" s="12" t="s">
        <v>4714</v>
      </c>
      <c r="I195" s="12">
        <v>331</v>
      </c>
      <c r="J195" s="12">
        <v>1111</v>
      </c>
      <c r="K195" s="12" t="s">
        <v>20</v>
      </c>
      <c r="L195" s="12">
        <v>1</v>
      </c>
      <c r="M195" s="17">
        <v>949320</v>
      </c>
      <c r="N195" s="17">
        <f t="shared" si="17"/>
        <v>949320</v>
      </c>
      <c r="O195" s="12" t="s">
        <v>21</v>
      </c>
      <c r="P195" s="12">
        <f t="shared" si="15"/>
        <v>170</v>
      </c>
    </row>
    <row r="196" spans="1:16" x14ac:dyDescent="0.25">
      <c r="A196" s="12" t="s">
        <v>2719</v>
      </c>
      <c r="B196" s="36" t="s">
        <v>452</v>
      </c>
      <c r="C196" s="12">
        <f t="shared" si="18"/>
        <v>172</v>
      </c>
      <c r="D196" s="12">
        <v>1</v>
      </c>
      <c r="E196" s="12" t="str">
        <f t="shared" si="16"/>
        <v>172</v>
      </c>
      <c r="F196" s="12"/>
      <c r="G196" s="12" t="s">
        <v>1010</v>
      </c>
      <c r="H196" s="12" t="s">
        <v>4715</v>
      </c>
      <c r="I196" s="12">
        <v>331</v>
      </c>
      <c r="J196" s="12">
        <v>1111</v>
      </c>
      <c r="K196" s="12" t="s">
        <v>20</v>
      </c>
      <c r="L196" s="12">
        <v>1</v>
      </c>
      <c r="M196" s="17">
        <v>7444260</v>
      </c>
      <c r="N196" s="17">
        <f t="shared" si="17"/>
        <v>7444260</v>
      </c>
      <c r="O196" s="12" t="s">
        <v>21</v>
      </c>
      <c r="P196" s="12">
        <f t="shared" si="15"/>
        <v>171</v>
      </c>
    </row>
    <row r="197" spans="1:16" x14ac:dyDescent="0.25">
      <c r="A197" s="12" t="s">
        <v>2719</v>
      </c>
      <c r="B197" s="36" t="s">
        <v>588</v>
      </c>
      <c r="C197" s="12">
        <f t="shared" si="18"/>
        <v>173</v>
      </c>
      <c r="D197" s="12">
        <v>1</v>
      </c>
      <c r="E197" s="12" t="str">
        <f t="shared" si="16"/>
        <v>173</v>
      </c>
      <c r="F197" s="12"/>
      <c r="G197" s="12" t="s">
        <v>37</v>
      </c>
      <c r="H197" s="12" t="s">
        <v>4716</v>
      </c>
      <c r="I197" s="12">
        <v>331</v>
      </c>
      <c r="J197" s="12">
        <v>1111</v>
      </c>
      <c r="K197" s="12" t="s">
        <v>20</v>
      </c>
      <c r="L197" s="12">
        <v>1</v>
      </c>
      <c r="M197" s="17">
        <v>1080000</v>
      </c>
      <c r="N197" s="17">
        <f t="shared" si="17"/>
        <v>1080000</v>
      </c>
      <c r="O197" s="12" t="s">
        <v>21</v>
      </c>
      <c r="P197" s="12">
        <f t="shared" si="15"/>
        <v>172</v>
      </c>
    </row>
    <row r="198" spans="1:16" x14ac:dyDescent="0.25">
      <c r="A198" s="12" t="s">
        <v>2719</v>
      </c>
      <c r="B198" s="36" t="s">
        <v>379</v>
      </c>
      <c r="C198" s="12">
        <f t="shared" si="18"/>
        <v>174</v>
      </c>
      <c r="D198" s="12">
        <v>1</v>
      </c>
      <c r="E198" s="12" t="str">
        <f t="shared" si="16"/>
        <v>174</v>
      </c>
      <c r="F198" s="12"/>
      <c r="G198" s="12" t="s">
        <v>4139</v>
      </c>
      <c r="H198" s="12" t="s">
        <v>4717</v>
      </c>
      <c r="I198" s="12">
        <v>331</v>
      </c>
      <c r="J198" s="12">
        <v>1111</v>
      </c>
      <c r="K198" s="12" t="s">
        <v>20</v>
      </c>
      <c r="L198" s="12">
        <v>1</v>
      </c>
      <c r="M198" s="17">
        <v>1000870</v>
      </c>
      <c r="N198" s="17">
        <f t="shared" si="17"/>
        <v>1000870</v>
      </c>
      <c r="O198" s="12" t="s">
        <v>21</v>
      </c>
      <c r="P198" s="12">
        <f t="shared" si="15"/>
        <v>173</v>
      </c>
    </row>
    <row r="199" spans="1:16" x14ac:dyDescent="0.25">
      <c r="A199" s="12" t="s">
        <v>2719</v>
      </c>
      <c r="B199" s="36" t="s">
        <v>524</v>
      </c>
      <c r="C199" s="12">
        <f t="shared" si="18"/>
        <v>175</v>
      </c>
      <c r="D199" s="12">
        <v>1</v>
      </c>
      <c r="E199" s="12" t="str">
        <f t="shared" si="16"/>
        <v>175</v>
      </c>
      <c r="F199" s="12"/>
      <c r="G199" s="12" t="s">
        <v>4140</v>
      </c>
      <c r="H199" s="12" t="s">
        <v>4718</v>
      </c>
      <c r="I199" s="12">
        <v>331</v>
      </c>
      <c r="J199" s="12">
        <v>1111</v>
      </c>
      <c r="K199" s="12" t="s">
        <v>20</v>
      </c>
      <c r="L199" s="12">
        <v>1</v>
      </c>
      <c r="M199" s="17">
        <v>1883551</v>
      </c>
      <c r="N199" s="17">
        <f t="shared" si="17"/>
        <v>1883551</v>
      </c>
      <c r="O199" s="12" t="s">
        <v>21</v>
      </c>
      <c r="P199" s="12">
        <f t="shared" si="15"/>
        <v>174</v>
      </c>
    </row>
    <row r="200" spans="1:16" x14ac:dyDescent="0.25">
      <c r="A200" s="12" t="s">
        <v>2719</v>
      </c>
      <c r="B200" s="36" t="s">
        <v>524</v>
      </c>
      <c r="C200" s="12">
        <f t="shared" si="18"/>
        <v>176</v>
      </c>
      <c r="D200" s="12">
        <v>1</v>
      </c>
      <c r="E200" s="12" t="str">
        <f t="shared" si="16"/>
        <v>176</v>
      </c>
      <c r="F200" s="12"/>
      <c r="G200" s="12" t="s">
        <v>48</v>
      </c>
      <c r="H200" s="12" t="s">
        <v>4719</v>
      </c>
      <c r="I200" s="12">
        <v>331</v>
      </c>
      <c r="J200" s="12">
        <v>1111</v>
      </c>
      <c r="K200" s="12" t="s">
        <v>20</v>
      </c>
      <c r="L200" s="12">
        <v>1</v>
      </c>
      <c r="M200" s="17">
        <v>8367</v>
      </c>
      <c r="N200" s="17">
        <f t="shared" si="17"/>
        <v>8367</v>
      </c>
      <c r="O200" s="12" t="s">
        <v>21</v>
      </c>
      <c r="P200" s="12">
        <f t="shared" ref="P200:P208" si="19">P199+D200</f>
        <v>175</v>
      </c>
    </row>
    <row r="201" spans="1:16" x14ac:dyDescent="0.25">
      <c r="A201" s="12" t="s">
        <v>2719</v>
      </c>
      <c r="B201" s="36" t="s">
        <v>515</v>
      </c>
      <c r="C201" s="12">
        <f t="shared" si="18"/>
        <v>177</v>
      </c>
      <c r="D201" s="12">
        <v>1</v>
      </c>
      <c r="E201" s="12" t="str">
        <f t="shared" si="16"/>
        <v>177</v>
      </c>
      <c r="F201" s="12"/>
      <c r="G201" s="12" t="s">
        <v>4141</v>
      </c>
      <c r="H201" s="12" t="s">
        <v>4720</v>
      </c>
      <c r="I201" s="12">
        <v>331</v>
      </c>
      <c r="J201" s="12">
        <v>1111</v>
      </c>
      <c r="K201" s="12" t="s">
        <v>20</v>
      </c>
      <c r="L201" s="12">
        <v>1</v>
      </c>
      <c r="M201" s="17">
        <v>0</v>
      </c>
      <c r="N201" s="17">
        <f t="shared" si="17"/>
        <v>0</v>
      </c>
      <c r="O201" s="12" t="s">
        <v>21</v>
      </c>
      <c r="P201" s="12">
        <f t="shared" si="19"/>
        <v>176</v>
      </c>
    </row>
    <row r="202" spans="1:16" x14ac:dyDescent="0.25">
      <c r="A202" s="12" t="s">
        <v>2719</v>
      </c>
      <c r="B202" s="36" t="s">
        <v>515</v>
      </c>
      <c r="C202" s="12">
        <f t="shared" si="18"/>
        <v>178</v>
      </c>
      <c r="D202" s="12">
        <v>1</v>
      </c>
      <c r="E202" s="12" t="str">
        <f t="shared" si="16"/>
        <v>178</v>
      </c>
      <c r="F202" s="12"/>
      <c r="G202" s="12" t="s">
        <v>4141</v>
      </c>
      <c r="H202" s="12" t="s">
        <v>4721</v>
      </c>
      <c r="I202" s="12">
        <v>331</v>
      </c>
      <c r="J202" s="12">
        <v>1111</v>
      </c>
      <c r="K202" s="12" t="s">
        <v>20</v>
      </c>
      <c r="L202" s="12">
        <v>1</v>
      </c>
      <c r="M202" s="17">
        <v>4000000</v>
      </c>
      <c r="N202" s="17">
        <f t="shared" si="17"/>
        <v>4000000</v>
      </c>
      <c r="O202" s="12" t="s">
        <v>21</v>
      </c>
      <c r="P202" s="12">
        <f t="shared" si="19"/>
        <v>177</v>
      </c>
    </row>
    <row r="203" spans="1:16" x14ac:dyDescent="0.25">
      <c r="A203" s="12" t="s">
        <v>2719</v>
      </c>
      <c r="B203" s="36" t="s">
        <v>1930</v>
      </c>
      <c r="C203" s="12">
        <f t="shared" si="18"/>
        <v>179</v>
      </c>
      <c r="D203" s="12">
        <v>1</v>
      </c>
      <c r="E203" s="12" t="str">
        <f t="shared" si="16"/>
        <v>179</v>
      </c>
      <c r="F203" s="12"/>
      <c r="G203" s="12" t="s">
        <v>2046</v>
      </c>
      <c r="H203" s="12" t="s">
        <v>4722</v>
      </c>
      <c r="I203" s="12">
        <v>331</v>
      </c>
      <c r="J203" s="12">
        <v>1111</v>
      </c>
      <c r="K203" s="12" t="s">
        <v>20</v>
      </c>
      <c r="L203" s="12">
        <v>1</v>
      </c>
      <c r="M203" s="17">
        <v>2778840</v>
      </c>
      <c r="N203" s="17">
        <f t="shared" si="17"/>
        <v>2778840</v>
      </c>
      <c r="O203" s="12" t="s">
        <v>21</v>
      </c>
      <c r="P203" s="12">
        <f t="shared" si="19"/>
        <v>178</v>
      </c>
    </row>
    <row r="204" spans="1:16" x14ac:dyDescent="0.25">
      <c r="A204" s="12" t="s">
        <v>2719</v>
      </c>
      <c r="B204" s="36" t="s">
        <v>1930</v>
      </c>
      <c r="C204" s="12">
        <f t="shared" si="18"/>
        <v>180</v>
      </c>
      <c r="D204" s="12">
        <v>1</v>
      </c>
      <c r="E204" s="12" t="str">
        <f t="shared" si="16"/>
        <v>180</v>
      </c>
      <c r="F204" s="12"/>
      <c r="G204" s="12" t="s">
        <v>2046</v>
      </c>
      <c r="H204" s="12" t="s">
        <v>4723</v>
      </c>
      <c r="I204" s="12">
        <v>331</v>
      </c>
      <c r="J204" s="12">
        <v>1111</v>
      </c>
      <c r="K204" s="12" t="s">
        <v>20</v>
      </c>
      <c r="L204" s="12">
        <v>1</v>
      </c>
      <c r="M204" s="17">
        <v>1138500</v>
      </c>
      <c r="N204" s="17">
        <f t="shared" si="17"/>
        <v>1138500</v>
      </c>
      <c r="O204" s="12" t="s">
        <v>21</v>
      </c>
      <c r="P204" s="12">
        <f t="shared" si="19"/>
        <v>179</v>
      </c>
    </row>
    <row r="205" spans="1:16" x14ac:dyDescent="0.25">
      <c r="A205" s="12" t="s">
        <v>2719</v>
      </c>
      <c r="B205" s="36" t="s">
        <v>2382</v>
      </c>
      <c r="C205" s="12">
        <f t="shared" si="18"/>
        <v>181</v>
      </c>
      <c r="D205" s="12">
        <v>1</v>
      </c>
      <c r="E205" s="12" t="str">
        <f t="shared" si="16"/>
        <v>181</v>
      </c>
      <c r="F205" s="12"/>
      <c r="G205" s="12" t="s">
        <v>4141</v>
      </c>
      <c r="H205" s="12" t="s">
        <v>4724</v>
      </c>
      <c r="I205" s="12">
        <v>331</v>
      </c>
      <c r="J205" s="12">
        <v>1111</v>
      </c>
      <c r="K205" s="12" t="s">
        <v>20</v>
      </c>
      <c r="L205" s="12">
        <v>1</v>
      </c>
      <c r="M205" s="17">
        <v>3870000</v>
      </c>
      <c r="N205" s="17">
        <f t="shared" si="17"/>
        <v>3870000</v>
      </c>
      <c r="O205" s="12" t="s">
        <v>21</v>
      </c>
      <c r="P205" s="12">
        <f t="shared" si="19"/>
        <v>180</v>
      </c>
    </row>
    <row r="206" spans="1:16" x14ac:dyDescent="0.25">
      <c r="A206" s="12" t="s">
        <v>2719</v>
      </c>
      <c r="B206" s="36" t="s">
        <v>2504</v>
      </c>
      <c r="C206" s="12">
        <f t="shared" si="18"/>
        <v>182</v>
      </c>
      <c r="D206" s="12">
        <v>1</v>
      </c>
      <c r="E206" s="12" t="str">
        <f t="shared" si="16"/>
        <v>182</v>
      </c>
      <c r="F206" s="12"/>
      <c r="G206" s="12" t="s">
        <v>30</v>
      </c>
      <c r="H206" s="12" t="s">
        <v>4725</v>
      </c>
      <c r="I206" s="12">
        <v>331</v>
      </c>
      <c r="J206" s="12">
        <v>1111</v>
      </c>
      <c r="K206" s="12" t="s">
        <v>20</v>
      </c>
      <c r="L206" s="12">
        <v>1</v>
      </c>
      <c r="M206" s="17">
        <v>2997000</v>
      </c>
      <c r="N206" s="17">
        <f t="shared" si="17"/>
        <v>2997000</v>
      </c>
      <c r="O206" s="12" t="s">
        <v>21</v>
      </c>
      <c r="P206" s="12">
        <f t="shared" si="19"/>
        <v>181</v>
      </c>
    </row>
    <row r="207" spans="1:16" x14ac:dyDescent="0.25">
      <c r="A207" s="12" t="s">
        <v>2719</v>
      </c>
      <c r="B207" s="36" t="s">
        <v>2504</v>
      </c>
      <c r="C207" s="12">
        <f t="shared" si="18"/>
        <v>183</v>
      </c>
      <c r="D207" s="12">
        <v>1</v>
      </c>
      <c r="E207" s="12" t="str">
        <f t="shared" si="16"/>
        <v>183</v>
      </c>
      <c r="F207" s="12"/>
      <c r="G207" s="12" t="s">
        <v>1030</v>
      </c>
      <c r="H207" s="12" t="s">
        <v>4726</v>
      </c>
      <c r="I207" s="12">
        <v>331</v>
      </c>
      <c r="J207" s="12">
        <v>1111</v>
      </c>
      <c r="K207" s="12" t="s">
        <v>20</v>
      </c>
      <c r="L207" s="12">
        <v>1</v>
      </c>
      <c r="M207" s="17">
        <v>148000</v>
      </c>
      <c r="N207" s="17">
        <f t="shared" si="17"/>
        <v>148000</v>
      </c>
      <c r="O207" s="12" t="s">
        <v>21</v>
      </c>
      <c r="P207" s="12">
        <f t="shared" si="19"/>
        <v>182</v>
      </c>
    </row>
    <row r="208" spans="1:16" x14ac:dyDescent="0.25">
      <c r="A208" s="12" t="s">
        <v>2719</v>
      </c>
      <c r="B208" s="36">
        <v>46006</v>
      </c>
      <c r="C208" s="12">
        <f t="shared" si="18"/>
        <v>184</v>
      </c>
      <c r="D208" s="12">
        <v>1</v>
      </c>
      <c r="E208" s="12" t="str">
        <f t="shared" si="16"/>
        <v>184</v>
      </c>
      <c r="F208" s="12"/>
      <c r="G208" s="136" t="s">
        <v>277</v>
      </c>
      <c r="H208" s="12" t="s">
        <v>4727</v>
      </c>
      <c r="I208" s="12">
        <v>331</v>
      </c>
      <c r="J208" s="12">
        <v>1111</v>
      </c>
      <c r="K208" s="12" t="s">
        <v>20</v>
      </c>
      <c r="L208" s="12">
        <v>1</v>
      </c>
      <c r="M208" s="17">
        <v>5804407</v>
      </c>
      <c r="N208" s="17">
        <f t="shared" si="17"/>
        <v>5804407</v>
      </c>
      <c r="O208" s="12" t="s">
        <v>21</v>
      </c>
      <c r="P208" s="12">
        <f t="shared" si="19"/>
        <v>183</v>
      </c>
    </row>
    <row r="209" spans="1:16" x14ac:dyDescent="0.25">
      <c r="A209" s="12" t="s">
        <v>2719</v>
      </c>
      <c r="B209" s="36">
        <v>46022</v>
      </c>
      <c r="C209" s="12">
        <f t="shared" ref="C209" si="20">C208+D209</f>
        <v>185</v>
      </c>
      <c r="D209" s="12">
        <v>1</v>
      </c>
      <c r="E209" s="12" t="str">
        <f t="shared" ref="E209" si="21">TEXT(C209,"000")</f>
        <v>185</v>
      </c>
      <c r="F209" s="12"/>
      <c r="G209" s="136" t="s">
        <v>93</v>
      </c>
      <c r="H209" s="12" t="s">
        <v>4594</v>
      </c>
      <c r="I209" s="12">
        <v>3383</v>
      </c>
      <c r="J209" s="12">
        <v>1111</v>
      </c>
      <c r="K209" s="12" t="s">
        <v>20</v>
      </c>
      <c r="L209" s="12">
        <v>1</v>
      </c>
      <c r="M209" s="17">
        <v>690300</v>
      </c>
      <c r="N209" s="17">
        <f t="shared" si="17"/>
        <v>690300</v>
      </c>
      <c r="O209" s="12" t="s">
        <v>21</v>
      </c>
      <c r="P209" s="12">
        <f t="shared" ref="P209" si="22">P208+D209</f>
        <v>184</v>
      </c>
    </row>
  </sheetData>
  <autoFilter ref="A3:P147" xr:uid="{00000000-0009-0000-0000-00001B000000}">
    <sortState xmlns:xlrd2="http://schemas.microsoft.com/office/spreadsheetml/2017/richdata2" ref="A4:P108">
      <sortCondition ref="P3:P108"/>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5256-083D-4565-8F6F-4BDADC0AB3BA}">
  <sheetPr>
    <tabColor rgb="FF92D050"/>
  </sheetPr>
  <dimension ref="A1:P96"/>
  <sheetViews>
    <sheetView workbookViewId="0">
      <selection activeCell="P1" sqref="P1"/>
    </sheetView>
  </sheetViews>
  <sheetFormatPr defaultRowHeight="15" x14ac:dyDescent="0.25"/>
  <cols>
    <col min="2" max="2" width="10.7109375" bestFit="1" customWidth="1"/>
    <col min="7" max="7" width="10.42578125" bestFit="1" customWidth="1"/>
    <col min="8" max="8" width="30.7109375" customWidth="1"/>
    <col min="13" max="14" width="10.7109375" bestFit="1" customWidth="1"/>
  </cols>
  <sheetData>
    <row r="1" spans="1:16" ht="15.75" thickBot="1" x14ac:dyDescent="0.3">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16" ht="15.75" thickBot="1" x14ac:dyDescent="0.3">
      <c r="A2" s="205"/>
      <c r="B2" s="220"/>
      <c r="C2" s="205"/>
      <c r="D2" s="208"/>
      <c r="E2" s="208"/>
      <c r="F2" s="203"/>
      <c r="G2" s="212"/>
      <c r="H2" s="214"/>
      <c r="I2" s="46" t="s">
        <v>13</v>
      </c>
      <c r="J2" s="47" t="s">
        <v>14</v>
      </c>
      <c r="K2" s="205"/>
      <c r="L2" s="205"/>
      <c r="M2" s="218"/>
      <c r="N2" s="218"/>
      <c r="O2" s="38" t="s">
        <v>100</v>
      </c>
      <c r="P2" s="38"/>
    </row>
    <row r="3" spans="1:16" x14ac:dyDescent="0.25">
      <c r="A3" s="48"/>
      <c r="B3" s="83"/>
      <c r="C3" s="48">
        <v>1</v>
      </c>
      <c r="D3" s="49"/>
      <c r="E3" s="49"/>
      <c r="F3" s="49"/>
      <c r="G3" s="51" t="s">
        <v>15</v>
      </c>
      <c r="H3" s="52"/>
      <c r="I3" s="52"/>
      <c r="J3" s="52"/>
      <c r="K3" s="48"/>
      <c r="L3" s="48"/>
      <c r="M3" s="84"/>
      <c r="N3" s="84"/>
      <c r="O3" s="38" t="s">
        <v>16</v>
      </c>
      <c r="P3" s="38" t="s">
        <v>17</v>
      </c>
    </row>
    <row r="4" spans="1:16" x14ac:dyDescent="0.25">
      <c r="A4" s="12" t="s">
        <v>18</v>
      </c>
      <c r="B4" s="36" t="s">
        <v>309</v>
      </c>
      <c r="C4" s="12">
        <f t="shared" ref="C4:C35" si="0">C3+D4</f>
        <v>2</v>
      </c>
      <c r="D4" s="12">
        <v>1</v>
      </c>
      <c r="E4" s="12" t="str">
        <f>TEXT(C4,"000")</f>
        <v>002</v>
      </c>
      <c r="F4" s="12"/>
      <c r="G4" s="12" t="s">
        <v>48</v>
      </c>
      <c r="H4" s="12" t="s">
        <v>4732</v>
      </c>
      <c r="I4" s="12">
        <v>64277</v>
      </c>
      <c r="J4" s="12">
        <v>331</v>
      </c>
      <c r="K4" s="12" t="s">
        <v>20</v>
      </c>
      <c r="L4" s="12">
        <v>1</v>
      </c>
      <c r="M4" s="17">
        <v>771</v>
      </c>
      <c r="N4" s="17">
        <f t="shared" ref="N4:N35" si="1">L4*M4</f>
        <v>771</v>
      </c>
      <c r="O4" s="12" t="s">
        <v>21</v>
      </c>
      <c r="P4" s="12">
        <v>1</v>
      </c>
    </row>
    <row r="5" spans="1:16" x14ac:dyDescent="0.25">
      <c r="A5" s="12" t="s">
        <v>18</v>
      </c>
      <c r="B5" s="36" t="s">
        <v>291</v>
      </c>
      <c r="C5" s="12">
        <f t="shared" si="0"/>
        <v>3</v>
      </c>
      <c r="D5" s="12">
        <v>1</v>
      </c>
      <c r="E5" s="12" t="str">
        <f t="shared" ref="E5:E68" si="2">TEXT(C5,"000")</f>
        <v>003</v>
      </c>
      <c r="F5" s="12"/>
      <c r="G5" s="12" t="s">
        <v>142</v>
      </c>
      <c r="H5" s="12" t="s">
        <v>4750</v>
      </c>
      <c r="I5" s="12">
        <v>64274</v>
      </c>
      <c r="J5" s="12">
        <v>331</v>
      </c>
      <c r="K5" s="12" t="s">
        <v>20</v>
      </c>
      <c r="L5" s="12">
        <v>1</v>
      </c>
      <c r="M5" s="17">
        <v>365000</v>
      </c>
      <c r="N5" s="17">
        <f t="shared" si="1"/>
        <v>365000</v>
      </c>
      <c r="O5" s="12" t="s">
        <v>21</v>
      </c>
      <c r="P5" s="12">
        <f>P4+D5</f>
        <v>2</v>
      </c>
    </row>
    <row r="6" spans="1:16" x14ac:dyDescent="0.25">
      <c r="A6" s="12" t="s">
        <v>18</v>
      </c>
      <c r="B6" s="36" t="s">
        <v>292</v>
      </c>
      <c r="C6" s="12">
        <f t="shared" si="0"/>
        <v>4</v>
      </c>
      <c r="D6" s="12">
        <v>1</v>
      </c>
      <c r="E6" s="12" t="str">
        <f t="shared" si="2"/>
        <v>004</v>
      </c>
      <c r="F6" s="12"/>
      <c r="G6" s="12" t="s">
        <v>48</v>
      </c>
      <c r="H6" s="12" t="s">
        <v>4733</v>
      </c>
      <c r="I6" s="12">
        <v>64277</v>
      </c>
      <c r="J6" s="12">
        <v>331</v>
      </c>
      <c r="K6" s="12" t="s">
        <v>20</v>
      </c>
      <c r="L6" s="12">
        <v>1</v>
      </c>
      <c r="M6" s="17">
        <v>169</v>
      </c>
      <c r="N6" s="17">
        <f t="shared" si="1"/>
        <v>169</v>
      </c>
      <c r="O6" s="12" t="s">
        <v>21</v>
      </c>
      <c r="P6" s="12">
        <f t="shared" ref="P6:P69" si="3">P5+D6</f>
        <v>3</v>
      </c>
    </row>
    <row r="7" spans="1:16" x14ac:dyDescent="0.25">
      <c r="A7" s="12" t="s">
        <v>18</v>
      </c>
      <c r="B7" s="36" t="s">
        <v>602</v>
      </c>
      <c r="C7" s="12">
        <f t="shared" si="0"/>
        <v>5</v>
      </c>
      <c r="D7" s="12">
        <v>1</v>
      </c>
      <c r="E7" s="12" t="str">
        <f t="shared" si="2"/>
        <v>005</v>
      </c>
      <c r="F7" s="12"/>
      <c r="G7" s="12" t="s">
        <v>64</v>
      </c>
      <c r="H7" s="12" t="s">
        <v>4734</v>
      </c>
      <c r="I7" s="12">
        <v>64277</v>
      </c>
      <c r="J7" s="12">
        <v>331</v>
      </c>
      <c r="K7" s="12" t="s">
        <v>20</v>
      </c>
      <c r="L7" s="12">
        <v>1</v>
      </c>
      <c r="M7" s="17">
        <v>99000</v>
      </c>
      <c r="N7" s="17">
        <f t="shared" si="1"/>
        <v>99000</v>
      </c>
      <c r="O7" s="12" t="s">
        <v>21</v>
      </c>
      <c r="P7" s="12">
        <f t="shared" si="3"/>
        <v>4</v>
      </c>
    </row>
    <row r="8" spans="1:16" x14ac:dyDescent="0.25">
      <c r="A8" s="12" t="s">
        <v>18</v>
      </c>
      <c r="B8" s="36" t="s">
        <v>379</v>
      </c>
      <c r="C8" s="12">
        <f t="shared" si="0"/>
        <v>6</v>
      </c>
      <c r="D8" s="12">
        <v>1</v>
      </c>
      <c r="E8" s="12" t="str">
        <f t="shared" si="2"/>
        <v>006</v>
      </c>
      <c r="F8" s="12"/>
      <c r="G8" s="12" t="s">
        <v>142</v>
      </c>
      <c r="H8" s="12" t="s">
        <v>4751</v>
      </c>
      <c r="I8" s="12">
        <v>64274</v>
      </c>
      <c r="J8" s="12">
        <v>331</v>
      </c>
      <c r="K8" s="12" t="s">
        <v>20</v>
      </c>
      <c r="L8" s="12">
        <v>1</v>
      </c>
      <c r="M8" s="17">
        <v>365000</v>
      </c>
      <c r="N8" s="17">
        <f t="shared" si="1"/>
        <v>365000</v>
      </c>
      <c r="O8" s="12" t="s">
        <v>21</v>
      </c>
      <c r="P8" s="12">
        <f t="shared" si="3"/>
        <v>5</v>
      </c>
    </row>
    <row r="9" spans="1:16" x14ac:dyDescent="0.25">
      <c r="A9" s="12" t="s">
        <v>18</v>
      </c>
      <c r="B9" s="36" t="s">
        <v>524</v>
      </c>
      <c r="C9" s="12">
        <f t="shared" si="0"/>
        <v>7</v>
      </c>
      <c r="D9" s="12">
        <v>1</v>
      </c>
      <c r="E9" s="12" t="str">
        <f t="shared" si="2"/>
        <v>007</v>
      </c>
      <c r="F9" s="12"/>
      <c r="G9" s="12" t="s">
        <v>48</v>
      </c>
      <c r="H9" s="12" t="s">
        <v>4735</v>
      </c>
      <c r="I9" s="12">
        <v>64277</v>
      </c>
      <c r="J9" s="12">
        <v>331</v>
      </c>
      <c r="K9" s="12" t="s">
        <v>20</v>
      </c>
      <c r="L9" s="12">
        <v>1</v>
      </c>
      <c r="M9" s="17">
        <v>4242</v>
      </c>
      <c r="N9" s="17">
        <f t="shared" si="1"/>
        <v>4242</v>
      </c>
      <c r="O9" s="12" t="s">
        <v>21</v>
      </c>
      <c r="P9" s="12">
        <f t="shared" si="3"/>
        <v>6</v>
      </c>
    </row>
    <row r="10" spans="1:16" x14ac:dyDescent="0.25">
      <c r="A10" s="12" t="s">
        <v>18</v>
      </c>
      <c r="B10" s="36" t="s">
        <v>2044</v>
      </c>
      <c r="C10" s="12">
        <f t="shared" si="0"/>
        <v>8</v>
      </c>
      <c r="D10" s="12">
        <v>1</v>
      </c>
      <c r="E10" s="12" t="str">
        <f t="shared" si="2"/>
        <v>008</v>
      </c>
      <c r="F10" s="12"/>
      <c r="G10" s="12" t="s">
        <v>64</v>
      </c>
      <c r="H10" s="12" t="s">
        <v>4749</v>
      </c>
      <c r="I10" s="12">
        <v>64277</v>
      </c>
      <c r="J10" s="12">
        <v>331</v>
      </c>
      <c r="K10" s="12" t="s">
        <v>20</v>
      </c>
      <c r="L10" s="12">
        <v>1</v>
      </c>
      <c r="M10" s="17">
        <v>1289160</v>
      </c>
      <c r="N10" s="17">
        <f t="shared" si="1"/>
        <v>1289160</v>
      </c>
      <c r="O10" s="12" t="s">
        <v>21</v>
      </c>
      <c r="P10" s="12">
        <f t="shared" si="3"/>
        <v>7</v>
      </c>
    </row>
    <row r="11" spans="1:16" x14ac:dyDescent="0.25">
      <c r="A11" s="12" t="s">
        <v>18</v>
      </c>
      <c r="B11" s="36" t="s">
        <v>2044</v>
      </c>
      <c r="C11" s="12">
        <f t="shared" si="0"/>
        <v>9</v>
      </c>
      <c r="D11" s="12">
        <v>1</v>
      </c>
      <c r="E11" s="12" t="str">
        <f t="shared" si="2"/>
        <v>009</v>
      </c>
      <c r="F11" s="12"/>
      <c r="G11" s="12" t="s">
        <v>24</v>
      </c>
      <c r="H11" s="12" t="s">
        <v>4752</v>
      </c>
      <c r="I11" s="12">
        <v>64277</v>
      </c>
      <c r="J11" s="12">
        <v>331</v>
      </c>
      <c r="K11" s="12" t="s">
        <v>20</v>
      </c>
      <c r="L11" s="12">
        <v>1</v>
      </c>
      <c r="M11" s="17">
        <v>103000</v>
      </c>
      <c r="N11" s="17">
        <f t="shared" si="1"/>
        <v>103000</v>
      </c>
      <c r="O11" s="12" t="s">
        <v>21</v>
      </c>
      <c r="P11" s="12">
        <f t="shared" si="3"/>
        <v>8</v>
      </c>
    </row>
    <row r="12" spans="1:16" x14ac:dyDescent="0.25">
      <c r="A12" s="12" t="s">
        <v>18</v>
      </c>
      <c r="B12" s="36" t="s">
        <v>2044</v>
      </c>
      <c r="C12" s="12">
        <f t="shared" si="0"/>
        <v>10</v>
      </c>
      <c r="D12" s="12">
        <v>1</v>
      </c>
      <c r="E12" s="12" t="str">
        <f t="shared" si="2"/>
        <v>010</v>
      </c>
      <c r="F12" s="12"/>
      <c r="G12" s="12" t="s">
        <v>19</v>
      </c>
      <c r="H12" s="12" t="s">
        <v>4753</v>
      </c>
      <c r="I12" s="12">
        <v>64277</v>
      </c>
      <c r="J12" s="12">
        <v>331</v>
      </c>
      <c r="K12" s="12" t="s">
        <v>20</v>
      </c>
      <c r="L12" s="12">
        <v>1</v>
      </c>
      <c r="M12" s="17">
        <v>3000</v>
      </c>
      <c r="N12" s="17">
        <f t="shared" si="1"/>
        <v>3000</v>
      </c>
      <c r="O12" s="12" t="s">
        <v>21</v>
      </c>
      <c r="P12" s="12">
        <f t="shared" si="3"/>
        <v>9</v>
      </c>
    </row>
    <row r="13" spans="1:16" x14ac:dyDescent="0.25">
      <c r="A13" s="12" t="s">
        <v>18</v>
      </c>
      <c r="B13" s="36" t="s">
        <v>2044</v>
      </c>
      <c r="C13" s="12">
        <f t="shared" si="0"/>
        <v>11</v>
      </c>
      <c r="D13" s="12">
        <v>1</v>
      </c>
      <c r="E13" s="12" t="str">
        <f t="shared" si="2"/>
        <v>011</v>
      </c>
      <c r="F13" s="12"/>
      <c r="G13" s="12" t="s">
        <v>19</v>
      </c>
      <c r="H13" s="12" t="s">
        <v>4754</v>
      </c>
      <c r="I13" s="12">
        <v>64277</v>
      </c>
      <c r="J13" s="12">
        <v>331</v>
      </c>
      <c r="K13" s="12" t="s">
        <v>20</v>
      </c>
      <c r="L13" s="12">
        <v>1</v>
      </c>
      <c r="M13" s="17">
        <v>8000</v>
      </c>
      <c r="N13" s="17">
        <f t="shared" si="1"/>
        <v>8000</v>
      </c>
      <c r="O13" s="12" t="s">
        <v>21</v>
      </c>
      <c r="P13" s="12">
        <f t="shared" si="3"/>
        <v>10</v>
      </c>
    </row>
    <row r="14" spans="1:16" x14ac:dyDescent="0.25">
      <c r="A14" s="12" t="s">
        <v>18</v>
      </c>
      <c r="B14" s="36" t="s">
        <v>455</v>
      </c>
      <c r="C14" s="12">
        <f t="shared" si="0"/>
        <v>12</v>
      </c>
      <c r="D14" s="12">
        <v>1</v>
      </c>
      <c r="E14" s="12" t="str">
        <f t="shared" si="2"/>
        <v>012</v>
      </c>
      <c r="F14" s="12"/>
      <c r="G14" s="12" t="s">
        <v>1022</v>
      </c>
      <c r="H14" s="12" t="s">
        <v>4755</v>
      </c>
      <c r="I14" s="12">
        <v>64277</v>
      </c>
      <c r="J14" s="12">
        <v>331</v>
      </c>
      <c r="K14" s="12" t="s">
        <v>20</v>
      </c>
      <c r="L14" s="12">
        <v>1</v>
      </c>
      <c r="M14" s="17">
        <v>140000</v>
      </c>
      <c r="N14" s="17">
        <f t="shared" si="1"/>
        <v>140000</v>
      </c>
      <c r="O14" s="12" t="s">
        <v>21</v>
      </c>
      <c r="P14" s="12">
        <f t="shared" si="3"/>
        <v>11</v>
      </c>
    </row>
    <row r="15" spans="1:16" x14ac:dyDescent="0.25">
      <c r="A15" s="12" t="s">
        <v>18</v>
      </c>
      <c r="B15" s="36" t="s">
        <v>455</v>
      </c>
      <c r="C15" s="12">
        <f t="shared" si="0"/>
        <v>13</v>
      </c>
      <c r="D15" s="12">
        <v>1</v>
      </c>
      <c r="E15" s="12" t="str">
        <f t="shared" si="2"/>
        <v>013</v>
      </c>
      <c r="F15" s="12"/>
      <c r="G15" s="12" t="s">
        <v>24</v>
      </c>
      <c r="H15" s="12" t="s">
        <v>4756</v>
      </c>
      <c r="I15" s="12">
        <v>64277</v>
      </c>
      <c r="J15" s="12">
        <v>331</v>
      </c>
      <c r="K15" s="12" t="s">
        <v>20</v>
      </c>
      <c r="L15" s="12">
        <v>1</v>
      </c>
      <c r="M15" s="17">
        <v>49000</v>
      </c>
      <c r="N15" s="17">
        <f t="shared" si="1"/>
        <v>49000</v>
      </c>
      <c r="O15" s="12" t="s">
        <v>21</v>
      </c>
      <c r="P15" s="12">
        <f t="shared" si="3"/>
        <v>12</v>
      </c>
    </row>
    <row r="16" spans="1:16" x14ac:dyDescent="0.25">
      <c r="A16" s="12" t="s">
        <v>18</v>
      </c>
      <c r="B16" s="36" t="s">
        <v>455</v>
      </c>
      <c r="C16" s="12">
        <f t="shared" si="0"/>
        <v>14</v>
      </c>
      <c r="D16" s="12">
        <v>1</v>
      </c>
      <c r="E16" s="12" t="str">
        <f t="shared" si="2"/>
        <v>014</v>
      </c>
      <c r="F16" s="12"/>
      <c r="G16" s="12" t="s">
        <v>24</v>
      </c>
      <c r="H16" s="12" t="s">
        <v>4757</v>
      </c>
      <c r="I16" s="12">
        <v>64277</v>
      </c>
      <c r="J16" s="12">
        <v>331</v>
      </c>
      <c r="K16" s="12" t="s">
        <v>20</v>
      </c>
      <c r="L16" s="12">
        <v>1</v>
      </c>
      <c r="M16" s="17">
        <v>120000</v>
      </c>
      <c r="N16" s="17">
        <f t="shared" si="1"/>
        <v>120000</v>
      </c>
      <c r="O16" s="12" t="s">
        <v>21</v>
      </c>
      <c r="P16" s="12">
        <f t="shared" si="3"/>
        <v>13</v>
      </c>
    </row>
    <row r="17" spans="1:16" x14ac:dyDescent="0.25">
      <c r="A17" s="12" t="s">
        <v>18</v>
      </c>
      <c r="B17" s="36" t="s">
        <v>455</v>
      </c>
      <c r="C17" s="12">
        <f t="shared" si="0"/>
        <v>15</v>
      </c>
      <c r="D17" s="12">
        <v>1</v>
      </c>
      <c r="E17" s="12" t="str">
        <f t="shared" si="2"/>
        <v>015</v>
      </c>
      <c r="F17" s="12"/>
      <c r="G17" s="12" t="s">
        <v>24</v>
      </c>
      <c r="H17" s="12" t="s">
        <v>4758</v>
      </c>
      <c r="I17" s="12">
        <v>64277</v>
      </c>
      <c r="J17" s="12">
        <v>331</v>
      </c>
      <c r="K17" s="12" t="s">
        <v>20</v>
      </c>
      <c r="L17" s="12">
        <v>1</v>
      </c>
      <c r="M17" s="17">
        <v>41000</v>
      </c>
      <c r="N17" s="17">
        <f t="shared" si="1"/>
        <v>41000</v>
      </c>
      <c r="O17" s="12" t="s">
        <v>21</v>
      </c>
      <c r="P17" s="12">
        <f t="shared" si="3"/>
        <v>14</v>
      </c>
    </row>
    <row r="18" spans="1:16" x14ac:dyDescent="0.25">
      <c r="A18" s="12" t="s">
        <v>18</v>
      </c>
      <c r="B18" s="36" t="s">
        <v>455</v>
      </c>
      <c r="C18" s="12">
        <f t="shared" si="0"/>
        <v>16</v>
      </c>
      <c r="D18" s="12">
        <v>1</v>
      </c>
      <c r="E18" s="12" t="str">
        <f t="shared" si="2"/>
        <v>016</v>
      </c>
      <c r="F18" s="12"/>
      <c r="G18" s="12" t="s">
        <v>19</v>
      </c>
      <c r="H18" s="12" t="s">
        <v>4759</v>
      </c>
      <c r="I18" s="12">
        <v>64277</v>
      </c>
      <c r="J18" s="12">
        <v>331</v>
      </c>
      <c r="K18" s="12" t="s">
        <v>20</v>
      </c>
      <c r="L18" s="12">
        <v>1</v>
      </c>
      <c r="M18" s="17">
        <v>3000</v>
      </c>
      <c r="N18" s="17">
        <f t="shared" si="1"/>
        <v>3000</v>
      </c>
      <c r="O18" s="12" t="s">
        <v>21</v>
      </c>
      <c r="P18" s="12">
        <f t="shared" si="3"/>
        <v>15</v>
      </c>
    </row>
    <row r="19" spans="1:16" x14ac:dyDescent="0.25">
      <c r="A19" s="12" t="s">
        <v>18</v>
      </c>
      <c r="B19" s="36" t="s">
        <v>455</v>
      </c>
      <c r="C19" s="12">
        <f t="shared" si="0"/>
        <v>17</v>
      </c>
      <c r="D19" s="12">
        <v>1</v>
      </c>
      <c r="E19" s="12" t="str">
        <f t="shared" si="2"/>
        <v>017</v>
      </c>
      <c r="F19" s="12"/>
      <c r="G19" s="12" t="s">
        <v>19</v>
      </c>
      <c r="H19" s="12" t="s">
        <v>4760</v>
      </c>
      <c r="I19" s="12">
        <v>64277</v>
      </c>
      <c r="J19" s="12">
        <v>331</v>
      </c>
      <c r="K19" s="12" t="s">
        <v>20</v>
      </c>
      <c r="L19" s="12">
        <v>1</v>
      </c>
      <c r="M19" s="17">
        <v>51000</v>
      </c>
      <c r="N19" s="17">
        <f t="shared" si="1"/>
        <v>51000</v>
      </c>
      <c r="O19" s="12" t="s">
        <v>21</v>
      </c>
      <c r="P19" s="12">
        <f t="shared" si="3"/>
        <v>16</v>
      </c>
    </row>
    <row r="20" spans="1:16" x14ac:dyDescent="0.25">
      <c r="A20" s="12" t="s">
        <v>18</v>
      </c>
      <c r="B20" s="36" t="s">
        <v>455</v>
      </c>
      <c r="C20" s="12">
        <f t="shared" si="0"/>
        <v>18</v>
      </c>
      <c r="D20" s="12">
        <v>1</v>
      </c>
      <c r="E20" s="12" t="str">
        <f t="shared" si="2"/>
        <v>018</v>
      </c>
      <c r="F20" s="12"/>
      <c r="G20" s="12" t="s">
        <v>19</v>
      </c>
      <c r="H20" s="12" t="s">
        <v>4761</v>
      </c>
      <c r="I20" s="12">
        <v>64277</v>
      </c>
      <c r="J20" s="12">
        <v>331</v>
      </c>
      <c r="K20" s="12" t="s">
        <v>20</v>
      </c>
      <c r="L20" s="12">
        <v>1</v>
      </c>
      <c r="M20" s="17">
        <v>96000</v>
      </c>
      <c r="N20" s="17">
        <f t="shared" si="1"/>
        <v>96000</v>
      </c>
      <c r="O20" s="12" t="s">
        <v>21</v>
      </c>
      <c r="P20" s="12">
        <f t="shared" si="3"/>
        <v>17</v>
      </c>
    </row>
    <row r="21" spans="1:16" x14ac:dyDescent="0.25">
      <c r="A21" s="12" t="s">
        <v>18</v>
      </c>
      <c r="B21" s="36" t="s">
        <v>525</v>
      </c>
      <c r="C21" s="12">
        <f t="shared" si="0"/>
        <v>19</v>
      </c>
      <c r="D21" s="12">
        <v>1</v>
      </c>
      <c r="E21" s="12" t="str">
        <f t="shared" si="2"/>
        <v>019</v>
      </c>
      <c r="F21" s="12"/>
      <c r="G21" s="12" t="s">
        <v>4728</v>
      </c>
      <c r="H21" s="12" t="s">
        <v>4762</v>
      </c>
      <c r="I21" s="12">
        <v>64277</v>
      </c>
      <c r="J21" s="12">
        <v>331</v>
      </c>
      <c r="K21" s="12" t="s">
        <v>20</v>
      </c>
      <c r="L21" s="12">
        <v>1</v>
      </c>
      <c r="M21" s="17">
        <v>6186382</v>
      </c>
      <c r="N21" s="17">
        <f t="shared" si="1"/>
        <v>6186382</v>
      </c>
      <c r="O21" s="12" t="s">
        <v>21</v>
      </c>
      <c r="P21" s="12">
        <f t="shared" si="3"/>
        <v>18</v>
      </c>
    </row>
    <row r="22" spans="1:16" x14ac:dyDescent="0.25">
      <c r="A22" s="12" t="s">
        <v>18</v>
      </c>
      <c r="B22" s="36" t="s">
        <v>603</v>
      </c>
      <c r="C22" s="12">
        <f t="shared" si="0"/>
        <v>20</v>
      </c>
      <c r="D22" s="12">
        <v>1</v>
      </c>
      <c r="E22" s="12" t="str">
        <f t="shared" si="2"/>
        <v>020</v>
      </c>
      <c r="F22" s="12"/>
      <c r="G22" s="12" t="s">
        <v>113</v>
      </c>
      <c r="H22" s="12" t="s">
        <v>4763</v>
      </c>
      <c r="I22" s="12">
        <v>64276</v>
      </c>
      <c r="J22" s="12">
        <v>331</v>
      </c>
      <c r="K22" s="12" t="s">
        <v>20</v>
      </c>
      <c r="L22" s="12">
        <v>1</v>
      </c>
      <c r="M22" s="17">
        <v>500000</v>
      </c>
      <c r="N22" s="17">
        <f t="shared" si="1"/>
        <v>500000</v>
      </c>
      <c r="O22" s="12" t="s">
        <v>21</v>
      </c>
      <c r="P22" s="12">
        <f t="shared" si="3"/>
        <v>19</v>
      </c>
    </row>
    <row r="23" spans="1:16" x14ac:dyDescent="0.25">
      <c r="A23" s="12" t="s">
        <v>18</v>
      </c>
      <c r="B23" s="36" t="s">
        <v>604</v>
      </c>
      <c r="C23" s="12">
        <f t="shared" si="0"/>
        <v>21</v>
      </c>
      <c r="D23" s="12">
        <v>1</v>
      </c>
      <c r="E23" s="12" t="str">
        <f t="shared" si="2"/>
        <v>021</v>
      </c>
      <c r="F23" s="12"/>
      <c r="G23" s="12" t="s">
        <v>24</v>
      </c>
      <c r="H23" s="12" t="s">
        <v>4764</v>
      </c>
      <c r="I23" s="12">
        <v>64277</v>
      </c>
      <c r="J23" s="12">
        <v>331</v>
      </c>
      <c r="K23" s="12" t="s">
        <v>20</v>
      </c>
      <c r="L23" s="12">
        <v>1</v>
      </c>
      <c r="M23" s="17">
        <v>43000</v>
      </c>
      <c r="N23" s="17">
        <f t="shared" si="1"/>
        <v>43000</v>
      </c>
      <c r="O23" s="12" t="s">
        <v>21</v>
      </c>
      <c r="P23" s="12">
        <f t="shared" si="3"/>
        <v>20</v>
      </c>
    </row>
    <row r="24" spans="1:16" x14ac:dyDescent="0.25">
      <c r="A24" s="12" t="s">
        <v>18</v>
      </c>
      <c r="B24" s="36" t="s">
        <v>604</v>
      </c>
      <c r="C24" s="12">
        <f t="shared" si="0"/>
        <v>22</v>
      </c>
      <c r="D24" s="12">
        <v>1</v>
      </c>
      <c r="E24" s="12" t="str">
        <f t="shared" si="2"/>
        <v>022</v>
      </c>
      <c r="F24" s="12"/>
      <c r="G24" s="12" t="s">
        <v>24</v>
      </c>
      <c r="H24" s="12" t="s">
        <v>4765</v>
      </c>
      <c r="I24" s="12">
        <v>64277</v>
      </c>
      <c r="J24" s="12">
        <v>331</v>
      </c>
      <c r="K24" s="12" t="s">
        <v>20</v>
      </c>
      <c r="L24" s="12">
        <v>1</v>
      </c>
      <c r="M24" s="17">
        <v>50000</v>
      </c>
      <c r="N24" s="17">
        <f t="shared" si="1"/>
        <v>50000</v>
      </c>
      <c r="O24" s="12" t="s">
        <v>21</v>
      </c>
      <c r="P24" s="12">
        <f t="shared" si="3"/>
        <v>21</v>
      </c>
    </row>
    <row r="25" spans="1:16" x14ac:dyDescent="0.25">
      <c r="A25" s="12" t="s">
        <v>18</v>
      </c>
      <c r="B25" s="36" t="s">
        <v>604</v>
      </c>
      <c r="C25" s="12">
        <f t="shared" si="0"/>
        <v>23</v>
      </c>
      <c r="D25" s="12">
        <v>1</v>
      </c>
      <c r="E25" s="12" t="str">
        <f t="shared" si="2"/>
        <v>023</v>
      </c>
      <c r="F25" s="12"/>
      <c r="G25" s="12" t="s">
        <v>19</v>
      </c>
      <c r="H25" s="12" t="s">
        <v>4766</v>
      </c>
      <c r="I25" s="12">
        <v>64277</v>
      </c>
      <c r="J25" s="12">
        <v>331</v>
      </c>
      <c r="K25" s="12" t="s">
        <v>20</v>
      </c>
      <c r="L25" s="12">
        <v>1</v>
      </c>
      <c r="M25" s="17">
        <v>3000</v>
      </c>
      <c r="N25" s="17">
        <f t="shared" si="1"/>
        <v>3000</v>
      </c>
      <c r="O25" s="12" t="s">
        <v>21</v>
      </c>
      <c r="P25" s="12">
        <f t="shared" si="3"/>
        <v>22</v>
      </c>
    </row>
    <row r="26" spans="1:16" x14ac:dyDescent="0.25">
      <c r="A26" s="12" t="s">
        <v>18</v>
      </c>
      <c r="B26" s="36" t="s">
        <v>2045</v>
      </c>
      <c r="C26" s="12">
        <f t="shared" si="0"/>
        <v>24</v>
      </c>
      <c r="D26" s="12">
        <v>1</v>
      </c>
      <c r="E26" s="12" t="str">
        <f t="shared" si="2"/>
        <v>024</v>
      </c>
      <c r="F26" s="12"/>
      <c r="G26" s="12" t="s">
        <v>4729</v>
      </c>
      <c r="H26" s="12" t="s">
        <v>4767</v>
      </c>
      <c r="I26" s="12">
        <v>64276</v>
      </c>
      <c r="J26" s="12">
        <v>331</v>
      </c>
      <c r="K26" s="12" t="s">
        <v>20</v>
      </c>
      <c r="L26" s="12">
        <v>1</v>
      </c>
      <c r="M26" s="17">
        <v>1150000</v>
      </c>
      <c r="N26" s="17">
        <f t="shared" si="1"/>
        <v>1150000</v>
      </c>
      <c r="O26" s="12" t="s">
        <v>21</v>
      </c>
      <c r="P26" s="12">
        <f t="shared" si="3"/>
        <v>23</v>
      </c>
    </row>
    <row r="27" spans="1:16" x14ac:dyDescent="0.25">
      <c r="A27" s="12" t="s">
        <v>18</v>
      </c>
      <c r="B27" s="36" t="s">
        <v>2045</v>
      </c>
      <c r="C27" s="12">
        <f t="shared" si="0"/>
        <v>25</v>
      </c>
      <c r="D27" s="12">
        <v>1</v>
      </c>
      <c r="E27" s="12" t="str">
        <f t="shared" si="2"/>
        <v>025</v>
      </c>
      <c r="F27" s="12"/>
      <c r="G27" s="12" t="s">
        <v>19</v>
      </c>
      <c r="H27" s="12" t="s">
        <v>4768</v>
      </c>
      <c r="I27" s="12">
        <v>64277</v>
      </c>
      <c r="J27" s="12">
        <v>331</v>
      </c>
      <c r="K27" s="12" t="s">
        <v>20</v>
      </c>
      <c r="L27" s="12">
        <v>1</v>
      </c>
      <c r="M27" s="17">
        <v>48000</v>
      </c>
      <c r="N27" s="17">
        <f t="shared" si="1"/>
        <v>48000</v>
      </c>
      <c r="O27" s="12" t="s">
        <v>21</v>
      </c>
      <c r="P27" s="12">
        <f t="shared" si="3"/>
        <v>24</v>
      </c>
    </row>
    <row r="28" spans="1:16" x14ac:dyDescent="0.25">
      <c r="A28" s="12" t="s">
        <v>18</v>
      </c>
      <c r="B28" s="36" t="s">
        <v>2045</v>
      </c>
      <c r="C28" s="12">
        <f t="shared" si="0"/>
        <v>26</v>
      </c>
      <c r="D28" s="12">
        <v>1</v>
      </c>
      <c r="E28" s="12" t="str">
        <f t="shared" si="2"/>
        <v>026</v>
      </c>
      <c r="F28" s="12"/>
      <c r="G28" s="12" t="s">
        <v>24</v>
      </c>
      <c r="H28" s="12" t="s">
        <v>4769</v>
      </c>
      <c r="I28" s="12">
        <v>64277</v>
      </c>
      <c r="J28" s="12">
        <v>331</v>
      </c>
      <c r="K28" s="12" t="s">
        <v>20</v>
      </c>
      <c r="L28" s="12">
        <v>1</v>
      </c>
      <c r="M28" s="17">
        <v>20000</v>
      </c>
      <c r="N28" s="17">
        <f t="shared" si="1"/>
        <v>20000</v>
      </c>
      <c r="O28" s="12" t="s">
        <v>21</v>
      </c>
      <c r="P28" s="12">
        <f t="shared" si="3"/>
        <v>25</v>
      </c>
    </row>
    <row r="29" spans="1:16" x14ac:dyDescent="0.25">
      <c r="A29" s="12" t="s">
        <v>18</v>
      </c>
      <c r="B29" s="36" t="s">
        <v>2045</v>
      </c>
      <c r="C29" s="12">
        <f t="shared" si="0"/>
        <v>27</v>
      </c>
      <c r="D29" s="12">
        <v>1</v>
      </c>
      <c r="E29" s="12" t="str">
        <f t="shared" si="2"/>
        <v>027</v>
      </c>
      <c r="F29" s="12"/>
      <c r="G29" s="12" t="s">
        <v>19</v>
      </c>
      <c r="H29" s="12" t="s">
        <v>4770</v>
      </c>
      <c r="I29" s="12">
        <v>64277</v>
      </c>
      <c r="J29" s="12">
        <v>331</v>
      </c>
      <c r="K29" s="12" t="s">
        <v>20</v>
      </c>
      <c r="L29" s="12">
        <v>1</v>
      </c>
      <c r="M29" s="17">
        <v>3000</v>
      </c>
      <c r="N29" s="17">
        <f t="shared" si="1"/>
        <v>3000</v>
      </c>
      <c r="O29" s="12" t="s">
        <v>21</v>
      </c>
      <c r="P29" s="12">
        <f t="shared" si="3"/>
        <v>26</v>
      </c>
    </row>
    <row r="30" spans="1:16" x14ac:dyDescent="0.25">
      <c r="A30" s="12" t="s">
        <v>18</v>
      </c>
      <c r="B30" s="36" t="s">
        <v>2045</v>
      </c>
      <c r="C30" s="12">
        <f t="shared" si="0"/>
        <v>28</v>
      </c>
      <c r="D30" s="12">
        <v>1</v>
      </c>
      <c r="E30" s="12" t="str">
        <f t="shared" si="2"/>
        <v>028</v>
      </c>
      <c r="F30" s="12"/>
      <c r="G30" s="12" t="s">
        <v>19</v>
      </c>
      <c r="H30" s="12" t="s">
        <v>4771</v>
      </c>
      <c r="I30" s="12">
        <v>64277</v>
      </c>
      <c r="J30" s="12">
        <v>331</v>
      </c>
      <c r="K30" s="12" t="s">
        <v>20</v>
      </c>
      <c r="L30" s="12">
        <v>1</v>
      </c>
      <c r="M30" s="17">
        <v>50000</v>
      </c>
      <c r="N30" s="17">
        <f t="shared" si="1"/>
        <v>50000</v>
      </c>
      <c r="O30" s="12" t="s">
        <v>21</v>
      </c>
      <c r="P30" s="12">
        <f t="shared" si="3"/>
        <v>27</v>
      </c>
    </row>
    <row r="31" spans="1:16" x14ac:dyDescent="0.25">
      <c r="A31" s="12" t="s">
        <v>18</v>
      </c>
      <c r="B31" s="36" t="s">
        <v>2045</v>
      </c>
      <c r="C31" s="12">
        <f t="shared" si="0"/>
        <v>29</v>
      </c>
      <c r="D31" s="12">
        <v>1</v>
      </c>
      <c r="E31" s="12" t="str">
        <f t="shared" si="2"/>
        <v>029</v>
      </c>
      <c r="F31" s="12"/>
      <c r="G31" s="12" t="s">
        <v>19</v>
      </c>
      <c r="H31" s="12" t="s">
        <v>4772</v>
      </c>
      <c r="I31" s="12">
        <v>64277</v>
      </c>
      <c r="J31" s="12">
        <v>331</v>
      </c>
      <c r="K31" s="12" t="s">
        <v>20</v>
      </c>
      <c r="L31" s="12">
        <v>1</v>
      </c>
      <c r="M31" s="17">
        <v>16000</v>
      </c>
      <c r="N31" s="17">
        <f t="shared" si="1"/>
        <v>16000</v>
      </c>
      <c r="O31" s="12" t="s">
        <v>21</v>
      </c>
      <c r="P31" s="12">
        <f t="shared" si="3"/>
        <v>28</v>
      </c>
    </row>
    <row r="32" spans="1:16" x14ac:dyDescent="0.25">
      <c r="A32" s="12" t="s">
        <v>18</v>
      </c>
      <c r="B32" s="36" t="s">
        <v>2045</v>
      </c>
      <c r="C32" s="12">
        <f t="shared" si="0"/>
        <v>30</v>
      </c>
      <c r="D32" s="12">
        <v>1</v>
      </c>
      <c r="E32" s="12" t="str">
        <f t="shared" si="2"/>
        <v>030</v>
      </c>
      <c r="F32" s="12"/>
      <c r="G32" s="12" t="s">
        <v>19</v>
      </c>
      <c r="H32" s="12" t="s">
        <v>4773</v>
      </c>
      <c r="I32" s="12">
        <v>64277</v>
      </c>
      <c r="J32" s="12">
        <v>331</v>
      </c>
      <c r="K32" s="12" t="s">
        <v>20</v>
      </c>
      <c r="L32" s="12">
        <v>1</v>
      </c>
      <c r="M32" s="17">
        <v>15000</v>
      </c>
      <c r="N32" s="17">
        <f t="shared" si="1"/>
        <v>15000</v>
      </c>
      <c r="O32" s="12" t="s">
        <v>21</v>
      </c>
      <c r="P32" s="12">
        <f t="shared" si="3"/>
        <v>29</v>
      </c>
    </row>
    <row r="33" spans="1:16" x14ac:dyDescent="0.25">
      <c r="A33" s="12" t="s">
        <v>18</v>
      </c>
      <c r="B33" s="36" t="s">
        <v>2045</v>
      </c>
      <c r="C33" s="12">
        <f t="shared" si="0"/>
        <v>31</v>
      </c>
      <c r="D33" s="12">
        <v>1</v>
      </c>
      <c r="E33" s="12" t="str">
        <f t="shared" si="2"/>
        <v>031</v>
      </c>
      <c r="F33" s="12"/>
      <c r="G33" s="12" t="s">
        <v>19</v>
      </c>
      <c r="H33" s="12" t="s">
        <v>4774</v>
      </c>
      <c r="I33" s="12">
        <v>64277</v>
      </c>
      <c r="J33" s="12">
        <v>331</v>
      </c>
      <c r="K33" s="12" t="s">
        <v>20</v>
      </c>
      <c r="L33" s="12">
        <v>1</v>
      </c>
      <c r="M33" s="17">
        <v>38000</v>
      </c>
      <c r="N33" s="17">
        <f t="shared" si="1"/>
        <v>38000</v>
      </c>
      <c r="O33" s="12" t="s">
        <v>21</v>
      </c>
      <c r="P33" s="12">
        <f t="shared" si="3"/>
        <v>30</v>
      </c>
    </row>
    <row r="34" spans="1:16" x14ac:dyDescent="0.25">
      <c r="A34" s="12" t="s">
        <v>18</v>
      </c>
      <c r="B34" s="36" t="s">
        <v>2045</v>
      </c>
      <c r="C34" s="12">
        <f t="shared" si="0"/>
        <v>32</v>
      </c>
      <c r="D34" s="12">
        <v>1</v>
      </c>
      <c r="E34" s="12" t="str">
        <f t="shared" si="2"/>
        <v>032</v>
      </c>
      <c r="F34" s="12"/>
      <c r="G34" s="12" t="s">
        <v>19</v>
      </c>
      <c r="H34" s="12" t="s">
        <v>4775</v>
      </c>
      <c r="I34" s="12">
        <v>64277</v>
      </c>
      <c r="J34" s="12">
        <v>331</v>
      </c>
      <c r="K34" s="12" t="s">
        <v>20</v>
      </c>
      <c r="L34" s="12">
        <v>1</v>
      </c>
      <c r="M34" s="17">
        <v>16000</v>
      </c>
      <c r="N34" s="17">
        <f t="shared" si="1"/>
        <v>16000</v>
      </c>
      <c r="O34" s="12" t="s">
        <v>21</v>
      </c>
      <c r="P34" s="12">
        <f t="shared" si="3"/>
        <v>31</v>
      </c>
    </row>
    <row r="35" spans="1:16" x14ac:dyDescent="0.25">
      <c r="A35" s="12" t="s">
        <v>18</v>
      </c>
      <c r="B35" s="36" t="s">
        <v>2045</v>
      </c>
      <c r="C35" s="12">
        <f t="shared" si="0"/>
        <v>33</v>
      </c>
      <c r="D35" s="12">
        <v>1</v>
      </c>
      <c r="E35" s="12" t="str">
        <f t="shared" si="2"/>
        <v>033</v>
      </c>
      <c r="F35" s="12"/>
      <c r="G35" s="12" t="s">
        <v>19</v>
      </c>
      <c r="H35" s="12" t="s">
        <v>4776</v>
      </c>
      <c r="I35" s="12">
        <v>64277</v>
      </c>
      <c r="J35" s="12">
        <v>331</v>
      </c>
      <c r="K35" s="12" t="s">
        <v>20</v>
      </c>
      <c r="L35" s="12">
        <v>1</v>
      </c>
      <c r="M35" s="17">
        <v>39000</v>
      </c>
      <c r="N35" s="17">
        <f t="shared" si="1"/>
        <v>39000</v>
      </c>
      <c r="O35" s="12" t="s">
        <v>21</v>
      </c>
      <c r="P35" s="12">
        <f t="shared" si="3"/>
        <v>32</v>
      </c>
    </row>
    <row r="36" spans="1:16" x14ac:dyDescent="0.25">
      <c r="A36" s="12" t="s">
        <v>18</v>
      </c>
      <c r="B36" s="36" t="s">
        <v>2045</v>
      </c>
      <c r="C36" s="12">
        <f t="shared" ref="C36:C52" si="4">C35+D36</f>
        <v>34</v>
      </c>
      <c r="D36" s="12">
        <v>1</v>
      </c>
      <c r="E36" s="12" t="str">
        <f t="shared" si="2"/>
        <v>034</v>
      </c>
      <c r="F36" s="12"/>
      <c r="G36" s="12" t="s">
        <v>19</v>
      </c>
      <c r="H36" s="12" t="s">
        <v>4777</v>
      </c>
      <c r="I36" s="12">
        <v>64277</v>
      </c>
      <c r="J36" s="12">
        <v>331</v>
      </c>
      <c r="K36" s="12" t="s">
        <v>20</v>
      </c>
      <c r="L36" s="12">
        <v>1</v>
      </c>
      <c r="M36" s="17">
        <v>32000</v>
      </c>
      <c r="N36" s="17">
        <f t="shared" ref="N36:N52" si="5">L36*M36</f>
        <v>32000</v>
      </c>
      <c r="O36" s="12" t="s">
        <v>21</v>
      </c>
      <c r="P36" s="12">
        <f t="shared" si="3"/>
        <v>33</v>
      </c>
    </row>
    <row r="37" spans="1:16" x14ac:dyDescent="0.25">
      <c r="A37" s="12" t="s">
        <v>18</v>
      </c>
      <c r="B37" s="36" t="s">
        <v>1930</v>
      </c>
      <c r="C37" s="12">
        <f t="shared" si="4"/>
        <v>35</v>
      </c>
      <c r="D37" s="12">
        <v>1</v>
      </c>
      <c r="E37" s="12" t="str">
        <f t="shared" si="2"/>
        <v>035</v>
      </c>
      <c r="F37" s="12"/>
      <c r="G37" s="12" t="s">
        <v>4730</v>
      </c>
      <c r="H37" s="12" t="s">
        <v>4778</v>
      </c>
      <c r="I37" s="12">
        <v>64277</v>
      </c>
      <c r="J37" s="12">
        <v>331</v>
      </c>
      <c r="K37" s="12" t="s">
        <v>20</v>
      </c>
      <c r="L37" s="12">
        <v>1</v>
      </c>
      <c r="M37" s="17">
        <v>214920</v>
      </c>
      <c r="N37" s="17">
        <f t="shared" si="5"/>
        <v>214920</v>
      </c>
      <c r="O37" s="12" t="s">
        <v>21</v>
      </c>
      <c r="P37" s="12">
        <f t="shared" si="3"/>
        <v>34</v>
      </c>
    </row>
    <row r="38" spans="1:16" x14ac:dyDescent="0.25">
      <c r="A38" s="12" t="s">
        <v>18</v>
      </c>
      <c r="B38" s="36" t="s">
        <v>1930</v>
      </c>
      <c r="C38" s="12">
        <f t="shared" si="4"/>
        <v>36</v>
      </c>
      <c r="D38" s="12">
        <v>1</v>
      </c>
      <c r="E38" s="12" t="str">
        <f t="shared" si="2"/>
        <v>036</v>
      </c>
      <c r="F38" s="12"/>
      <c r="G38" s="12" t="s">
        <v>19</v>
      </c>
      <c r="H38" s="12" t="s">
        <v>4779</v>
      </c>
      <c r="I38" s="12">
        <v>64277</v>
      </c>
      <c r="J38" s="12">
        <v>331</v>
      </c>
      <c r="K38" s="12" t="s">
        <v>20</v>
      </c>
      <c r="L38" s="12">
        <v>1</v>
      </c>
      <c r="M38" s="17">
        <v>19000</v>
      </c>
      <c r="N38" s="17">
        <f t="shared" si="5"/>
        <v>19000</v>
      </c>
      <c r="O38" s="12" t="s">
        <v>21</v>
      </c>
      <c r="P38" s="12">
        <f t="shared" si="3"/>
        <v>35</v>
      </c>
    </row>
    <row r="39" spans="1:16" x14ac:dyDescent="0.25">
      <c r="A39" s="12" t="s">
        <v>18</v>
      </c>
      <c r="B39" s="36" t="s">
        <v>2561</v>
      </c>
      <c r="C39" s="12">
        <f t="shared" si="4"/>
        <v>37</v>
      </c>
      <c r="D39" s="12">
        <v>1</v>
      </c>
      <c r="E39" s="12" t="str">
        <f t="shared" si="2"/>
        <v>037</v>
      </c>
      <c r="F39" s="12"/>
      <c r="G39" s="12" t="s">
        <v>4731</v>
      </c>
      <c r="H39" s="12" t="s">
        <v>4780</v>
      </c>
      <c r="I39" s="12">
        <v>64276</v>
      </c>
      <c r="J39" s="12">
        <v>331</v>
      </c>
      <c r="K39" s="12" t="s">
        <v>20</v>
      </c>
      <c r="L39" s="12">
        <v>1</v>
      </c>
      <c r="M39" s="17">
        <v>38530000</v>
      </c>
      <c r="N39" s="17">
        <f t="shared" si="5"/>
        <v>38530000</v>
      </c>
      <c r="O39" s="12" t="s">
        <v>21</v>
      </c>
      <c r="P39" s="12">
        <f t="shared" si="3"/>
        <v>36</v>
      </c>
    </row>
    <row r="40" spans="1:16" x14ac:dyDescent="0.25">
      <c r="A40" s="12" t="s">
        <v>18</v>
      </c>
      <c r="B40" s="36" t="s">
        <v>2513</v>
      </c>
      <c r="C40" s="12">
        <f t="shared" si="4"/>
        <v>38</v>
      </c>
      <c r="D40" s="12">
        <v>1</v>
      </c>
      <c r="E40" s="12" t="str">
        <f t="shared" si="2"/>
        <v>038</v>
      </c>
      <c r="F40" s="12"/>
      <c r="G40" s="12" t="s">
        <v>142</v>
      </c>
      <c r="H40" s="12" t="s">
        <v>4781</v>
      </c>
      <c r="I40" s="12">
        <v>64274</v>
      </c>
      <c r="J40" s="12">
        <v>331</v>
      </c>
      <c r="K40" s="12" t="s">
        <v>20</v>
      </c>
      <c r="L40" s="12">
        <v>1</v>
      </c>
      <c r="M40" s="17">
        <v>365000</v>
      </c>
      <c r="N40" s="17">
        <f t="shared" si="5"/>
        <v>365000</v>
      </c>
      <c r="O40" s="12" t="s">
        <v>21</v>
      </c>
      <c r="P40" s="12">
        <f t="shared" si="3"/>
        <v>37</v>
      </c>
    </row>
    <row r="41" spans="1:16" x14ac:dyDescent="0.25">
      <c r="A41" s="12" t="s">
        <v>18</v>
      </c>
      <c r="B41" s="36" t="s">
        <v>515</v>
      </c>
      <c r="C41" s="12">
        <f t="shared" si="4"/>
        <v>39</v>
      </c>
      <c r="D41" s="12">
        <v>1</v>
      </c>
      <c r="E41" s="12" t="str">
        <f t="shared" si="2"/>
        <v>039</v>
      </c>
      <c r="F41" s="12"/>
      <c r="G41" s="12" t="s">
        <v>68</v>
      </c>
      <c r="H41" s="12" t="s">
        <v>4737</v>
      </c>
      <c r="I41" s="12">
        <v>131</v>
      </c>
      <c r="J41" s="12">
        <v>5113</v>
      </c>
      <c r="K41" s="12" t="s">
        <v>20</v>
      </c>
      <c r="L41" s="12">
        <v>1</v>
      </c>
      <c r="M41" s="17">
        <v>12903226</v>
      </c>
      <c r="N41" s="17">
        <f t="shared" si="5"/>
        <v>12903226</v>
      </c>
      <c r="O41" s="12" t="s">
        <v>21</v>
      </c>
      <c r="P41" s="12">
        <f t="shared" si="3"/>
        <v>38</v>
      </c>
    </row>
    <row r="42" spans="1:16" x14ac:dyDescent="0.25">
      <c r="A42" s="12" t="s">
        <v>18</v>
      </c>
      <c r="B42" s="36" t="s">
        <v>515</v>
      </c>
      <c r="C42" s="12">
        <f t="shared" si="4"/>
        <v>39</v>
      </c>
      <c r="D42" s="12">
        <v>0</v>
      </c>
      <c r="E42" s="12" t="str">
        <f t="shared" si="2"/>
        <v>039</v>
      </c>
      <c r="F42" s="12"/>
      <c r="G42" s="12" t="s">
        <v>68</v>
      </c>
      <c r="H42" s="12" t="s">
        <v>4743</v>
      </c>
      <c r="I42" s="12">
        <v>333821</v>
      </c>
      <c r="J42" s="12">
        <v>131</v>
      </c>
      <c r="K42" s="12" t="s">
        <v>20</v>
      </c>
      <c r="L42" s="12">
        <v>1</v>
      </c>
      <c r="M42" s="17">
        <v>129032</v>
      </c>
      <c r="N42" s="17">
        <f t="shared" si="5"/>
        <v>129032</v>
      </c>
      <c r="O42" s="12" t="s">
        <v>21</v>
      </c>
      <c r="P42" s="12">
        <f t="shared" si="3"/>
        <v>38</v>
      </c>
    </row>
    <row r="43" spans="1:16" x14ac:dyDescent="0.25">
      <c r="A43" s="12" t="s">
        <v>18</v>
      </c>
      <c r="B43" s="36" t="s">
        <v>526</v>
      </c>
      <c r="C43" s="12">
        <f t="shared" si="4"/>
        <v>40</v>
      </c>
      <c r="D43" s="12">
        <v>1</v>
      </c>
      <c r="E43" s="12" t="str">
        <f t="shared" si="2"/>
        <v>040</v>
      </c>
      <c r="F43" s="12"/>
      <c r="G43" s="12" t="s">
        <v>117</v>
      </c>
      <c r="H43" s="12" t="s">
        <v>4738</v>
      </c>
      <c r="I43" s="12">
        <v>131</v>
      </c>
      <c r="J43" s="12">
        <v>5113</v>
      </c>
      <c r="K43" s="12" t="s">
        <v>20</v>
      </c>
      <c r="L43" s="12">
        <v>1</v>
      </c>
      <c r="M43" s="17">
        <v>10752688</v>
      </c>
      <c r="N43" s="17">
        <f t="shared" si="5"/>
        <v>10752688</v>
      </c>
      <c r="O43" s="12" t="s">
        <v>21</v>
      </c>
      <c r="P43" s="12">
        <f t="shared" si="3"/>
        <v>39</v>
      </c>
    </row>
    <row r="44" spans="1:16" x14ac:dyDescent="0.25">
      <c r="A44" s="12" t="s">
        <v>18</v>
      </c>
      <c r="B44" s="36" t="s">
        <v>526</v>
      </c>
      <c r="C44" s="12">
        <f t="shared" si="4"/>
        <v>40</v>
      </c>
      <c r="D44" s="12">
        <v>0</v>
      </c>
      <c r="E44" s="12" t="str">
        <f t="shared" si="2"/>
        <v>040</v>
      </c>
      <c r="F44" s="12"/>
      <c r="G44" s="12" t="s">
        <v>117</v>
      </c>
      <c r="H44" s="12" t="s">
        <v>4744</v>
      </c>
      <c r="I44" s="12">
        <v>333821</v>
      </c>
      <c r="J44" s="12">
        <v>131</v>
      </c>
      <c r="K44" s="12" t="s">
        <v>20</v>
      </c>
      <c r="L44" s="12">
        <v>1</v>
      </c>
      <c r="M44" s="17">
        <v>107527</v>
      </c>
      <c r="N44" s="17">
        <f t="shared" si="5"/>
        <v>107527</v>
      </c>
      <c r="O44" s="12" t="s">
        <v>21</v>
      </c>
      <c r="P44" s="12">
        <f t="shared" si="3"/>
        <v>39</v>
      </c>
    </row>
    <row r="45" spans="1:16" x14ac:dyDescent="0.25">
      <c r="A45" s="12" t="s">
        <v>18</v>
      </c>
      <c r="B45" s="36" t="s">
        <v>383</v>
      </c>
      <c r="C45" s="12">
        <f t="shared" si="4"/>
        <v>41</v>
      </c>
      <c r="D45" s="12">
        <v>1</v>
      </c>
      <c r="E45" s="12" t="str">
        <f t="shared" si="2"/>
        <v>041</v>
      </c>
      <c r="F45" s="12"/>
      <c r="G45" s="12" t="s">
        <v>537</v>
      </c>
      <c r="H45" s="12" t="s">
        <v>4739</v>
      </c>
      <c r="I45" s="12">
        <v>131</v>
      </c>
      <c r="J45" s="12">
        <v>5113</v>
      </c>
      <c r="K45" s="12" t="s">
        <v>20</v>
      </c>
      <c r="L45" s="12">
        <v>1</v>
      </c>
      <c r="M45" s="17">
        <v>10752688</v>
      </c>
      <c r="N45" s="17">
        <f t="shared" si="5"/>
        <v>10752688</v>
      </c>
      <c r="O45" s="12" t="s">
        <v>21</v>
      </c>
      <c r="P45" s="12">
        <f t="shared" si="3"/>
        <v>40</v>
      </c>
    </row>
    <row r="46" spans="1:16" x14ac:dyDescent="0.25">
      <c r="A46" s="12" t="s">
        <v>18</v>
      </c>
      <c r="B46" s="36" t="s">
        <v>383</v>
      </c>
      <c r="C46" s="12">
        <f t="shared" si="4"/>
        <v>41</v>
      </c>
      <c r="D46" s="12">
        <v>0</v>
      </c>
      <c r="E46" s="12" t="str">
        <f t="shared" si="2"/>
        <v>041</v>
      </c>
      <c r="F46" s="12"/>
      <c r="G46" s="12" t="s">
        <v>537</v>
      </c>
      <c r="H46" s="12" t="s">
        <v>4745</v>
      </c>
      <c r="I46" s="12">
        <v>333821</v>
      </c>
      <c r="J46" s="12">
        <v>131</v>
      </c>
      <c r="K46" s="12" t="s">
        <v>20</v>
      </c>
      <c r="L46" s="12">
        <v>1</v>
      </c>
      <c r="M46" s="17">
        <v>107527</v>
      </c>
      <c r="N46" s="17">
        <f t="shared" si="5"/>
        <v>107527</v>
      </c>
      <c r="O46" s="12" t="s">
        <v>21</v>
      </c>
      <c r="P46" s="12">
        <f t="shared" si="3"/>
        <v>40</v>
      </c>
    </row>
    <row r="47" spans="1:16" x14ac:dyDescent="0.25">
      <c r="A47" s="12" t="s">
        <v>18</v>
      </c>
      <c r="B47" s="36" t="s">
        <v>2382</v>
      </c>
      <c r="C47" s="12">
        <f t="shared" si="4"/>
        <v>42</v>
      </c>
      <c r="D47" s="12">
        <v>1</v>
      </c>
      <c r="E47" s="12" t="str">
        <f t="shared" si="2"/>
        <v>042</v>
      </c>
      <c r="F47" s="12"/>
      <c r="G47" s="12" t="s">
        <v>4736</v>
      </c>
      <c r="H47" s="12" t="s">
        <v>4740</v>
      </c>
      <c r="I47" s="12">
        <v>131</v>
      </c>
      <c r="J47" s="12">
        <v>5113</v>
      </c>
      <c r="K47" s="12" t="s">
        <v>20</v>
      </c>
      <c r="L47" s="12">
        <v>1</v>
      </c>
      <c r="M47" s="17">
        <v>12903226</v>
      </c>
      <c r="N47" s="17">
        <f t="shared" si="5"/>
        <v>12903226</v>
      </c>
      <c r="O47" s="12" t="s">
        <v>21</v>
      </c>
      <c r="P47" s="12">
        <f t="shared" si="3"/>
        <v>41</v>
      </c>
    </row>
    <row r="48" spans="1:16" x14ac:dyDescent="0.25">
      <c r="A48" s="12" t="s">
        <v>18</v>
      </c>
      <c r="B48" s="36" t="s">
        <v>2382</v>
      </c>
      <c r="C48" s="12">
        <f t="shared" si="4"/>
        <v>42</v>
      </c>
      <c r="D48" s="12">
        <v>0</v>
      </c>
      <c r="E48" s="12" t="str">
        <f t="shared" si="2"/>
        <v>042</v>
      </c>
      <c r="F48" s="12"/>
      <c r="G48" s="12" t="s">
        <v>4736</v>
      </c>
      <c r="H48" s="12" t="s">
        <v>4746</v>
      </c>
      <c r="I48" s="12">
        <v>333821</v>
      </c>
      <c r="J48" s="12">
        <v>131</v>
      </c>
      <c r="K48" s="12" t="s">
        <v>20</v>
      </c>
      <c r="L48" s="12">
        <v>1</v>
      </c>
      <c r="M48" s="17">
        <v>129032</v>
      </c>
      <c r="N48" s="17">
        <f t="shared" si="5"/>
        <v>129032</v>
      </c>
      <c r="O48" s="12" t="s">
        <v>21</v>
      </c>
      <c r="P48" s="12">
        <f t="shared" si="3"/>
        <v>41</v>
      </c>
    </row>
    <row r="49" spans="1:16" x14ac:dyDescent="0.25">
      <c r="A49" s="12" t="s">
        <v>18</v>
      </c>
      <c r="B49" s="36" t="s">
        <v>2382</v>
      </c>
      <c r="C49" s="12">
        <f t="shared" si="4"/>
        <v>43</v>
      </c>
      <c r="D49" s="12">
        <v>1</v>
      </c>
      <c r="E49" s="12" t="str">
        <f t="shared" si="2"/>
        <v>043</v>
      </c>
      <c r="F49" s="12"/>
      <c r="G49" s="12" t="s">
        <v>1860</v>
      </c>
      <c r="H49" s="12" t="s">
        <v>4741</v>
      </c>
      <c r="I49" s="12">
        <v>131</v>
      </c>
      <c r="J49" s="12">
        <v>5113</v>
      </c>
      <c r="K49" s="12" t="s">
        <v>20</v>
      </c>
      <c r="L49" s="12">
        <v>1</v>
      </c>
      <c r="M49" s="17">
        <v>12903226</v>
      </c>
      <c r="N49" s="17">
        <f t="shared" si="5"/>
        <v>12903226</v>
      </c>
      <c r="O49" s="12" t="s">
        <v>21</v>
      </c>
      <c r="P49" s="12">
        <f t="shared" si="3"/>
        <v>42</v>
      </c>
    </row>
    <row r="50" spans="1:16" x14ac:dyDescent="0.25">
      <c r="A50" s="12" t="s">
        <v>18</v>
      </c>
      <c r="B50" s="36" t="s">
        <v>2382</v>
      </c>
      <c r="C50" s="12">
        <f t="shared" si="4"/>
        <v>43</v>
      </c>
      <c r="D50" s="12">
        <v>0</v>
      </c>
      <c r="E50" s="12" t="str">
        <f t="shared" si="2"/>
        <v>043</v>
      </c>
      <c r="F50" s="12"/>
      <c r="G50" s="12" t="s">
        <v>1860</v>
      </c>
      <c r="H50" s="12" t="s">
        <v>4747</v>
      </c>
      <c r="I50" s="12">
        <v>333821</v>
      </c>
      <c r="J50" s="12">
        <v>131</v>
      </c>
      <c r="K50" s="12" t="s">
        <v>20</v>
      </c>
      <c r="L50" s="12">
        <v>1</v>
      </c>
      <c r="M50" s="17">
        <v>129032</v>
      </c>
      <c r="N50" s="17">
        <f t="shared" si="5"/>
        <v>129032</v>
      </c>
      <c r="O50" s="12" t="s">
        <v>21</v>
      </c>
      <c r="P50" s="12">
        <f t="shared" si="3"/>
        <v>42</v>
      </c>
    </row>
    <row r="51" spans="1:16" x14ac:dyDescent="0.25">
      <c r="A51" s="12" t="s">
        <v>18</v>
      </c>
      <c r="B51" s="36" t="s">
        <v>2504</v>
      </c>
      <c r="C51" s="12">
        <f t="shared" si="4"/>
        <v>44</v>
      </c>
      <c r="D51" s="12">
        <v>1</v>
      </c>
      <c r="E51" s="12" t="str">
        <f t="shared" si="2"/>
        <v>044</v>
      </c>
      <c r="F51" s="12"/>
      <c r="G51" s="12" t="s">
        <v>144</v>
      </c>
      <c r="H51" s="12" t="s">
        <v>4742</v>
      </c>
      <c r="I51" s="12">
        <v>131</v>
      </c>
      <c r="J51" s="12">
        <v>5113</v>
      </c>
      <c r="K51" s="12" t="s">
        <v>20</v>
      </c>
      <c r="L51" s="12">
        <v>1</v>
      </c>
      <c r="M51" s="17">
        <v>12903226</v>
      </c>
      <c r="N51" s="17">
        <f t="shared" si="5"/>
        <v>12903226</v>
      </c>
      <c r="O51" s="12" t="s">
        <v>21</v>
      </c>
      <c r="P51" s="12">
        <f t="shared" si="3"/>
        <v>43</v>
      </c>
    </row>
    <row r="52" spans="1:16" x14ac:dyDescent="0.25">
      <c r="A52" s="12" t="s">
        <v>18</v>
      </c>
      <c r="B52" s="36" t="s">
        <v>2504</v>
      </c>
      <c r="C52" s="12">
        <f t="shared" si="4"/>
        <v>44</v>
      </c>
      <c r="D52" s="12">
        <v>0</v>
      </c>
      <c r="E52" s="12" t="str">
        <f t="shared" si="2"/>
        <v>044</v>
      </c>
      <c r="F52" s="12"/>
      <c r="G52" s="12" t="s">
        <v>144</v>
      </c>
      <c r="H52" s="12" t="s">
        <v>4748</v>
      </c>
      <c r="I52" s="12">
        <v>333821</v>
      </c>
      <c r="J52" s="12">
        <v>131</v>
      </c>
      <c r="K52" s="12" t="s">
        <v>20</v>
      </c>
      <c r="L52" s="12">
        <v>1</v>
      </c>
      <c r="M52" s="17">
        <v>0</v>
      </c>
      <c r="N52" s="17">
        <f t="shared" si="5"/>
        <v>0</v>
      </c>
      <c r="O52" s="12" t="s">
        <v>21</v>
      </c>
      <c r="P52" s="12">
        <f t="shared" si="3"/>
        <v>43</v>
      </c>
    </row>
    <row r="53" spans="1:16" x14ac:dyDescent="0.25">
      <c r="A53" s="12" t="s">
        <v>18</v>
      </c>
      <c r="B53" s="36">
        <v>45993</v>
      </c>
      <c r="C53" s="12">
        <f t="shared" ref="C53:C56" si="6">C52+D53</f>
        <v>45</v>
      </c>
      <c r="D53" s="12">
        <v>1</v>
      </c>
      <c r="E53" s="12" t="str">
        <f t="shared" si="2"/>
        <v>045</v>
      </c>
      <c r="F53" s="12"/>
      <c r="G53" s="94" t="s">
        <v>3003</v>
      </c>
      <c r="H53" s="92" t="s">
        <v>3161</v>
      </c>
      <c r="I53" s="12">
        <v>131</v>
      </c>
      <c r="J53" s="12">
        <v>5118</v>
      </c>
      <c r="K53" s="12" t="s">
        <v>20</v>
      </c>
      <c r="L53" s="12">
        <v>1</v>
      </c>
      <c r="M53" s="17">
        <v>6310</v>
      </c>
      <c r="N53" s="17">
        <f t="shared" ref="N53:N54" si="7">L53*M53</f>
        <v>6310</v>
      </c>
      <c r="O53" s="12" t="s">
        <v>21</v>
      </c>
      <c r="P53" s="12">
        <f t="shared" si="3"/>
        <v>44</v>
      </c>
    </row>
    <row r="54" spans="1:16" x14ac:dyDescent="0.25">
      <c r="A54" s="12" t="s">
        <v>2679</v>
      </c>
      <c r="B54" s="36">
        <v>45993</v>
      </c>
      <c r="C54" s="12">
        <f t="shared" si="6"/>
        <v>46</v>
      </c>
      <c r="D54" s="12">
        <v>1</v>
      </c>
      <c r="E54" s="12" t="str">
        <f t="shared" si="2"/>
        <v>046</v>
      </c>
      <c r="F54" s="12"/>
      <c r="G54" s="94" t="s">
        <v>3003</v>
      </c>
      <c r="H54" s="92" t="s">
        <v>3162</v>
      </c>
      <c r="I54" s="12">
        <v>112111</v>
      </c>
      <c r="J54" s="12">
        <v>131</v>
      </c>
      <c r="K54" s="12" t="s">
        <v>20</v>
      </c>
      <c r="L54" s="12">
        <v>1</v>
      </c>
      <c r="M54" s="17">
        <v>6310</v>
      </c>
      <c r="N54" s="17">
        <f t="shared" si="7"/>
        <v>6310</v>
      </c>
      <c r="O54" s="12" t="s">
        <v>21</v>
      </c>
      <c r="P54" s="12">
        <f t="shared" si="3"/>
        <v>45</v>
      </c>
    </row>
    <row r="55" spans="1:16" x14ac:dyDescent="0.25">
      <c r="A55" s="12" t="s">
        <v>18</v>
      </c>
      <c r="B55" s="36">
        <v>45993</v>
      </c>
      <c r="C55" s="12">
        <f t="shared" si="6"/>
        <v>47</v>
      </c>
      <c r="D55" s="12">
        <v>1</v>
      </c>
      <c r="E55" s="12" t="str">
        <f t="shared" si="2"/>
        <v>047</v>
      </c>
      <c r="F55" s="12"/>
      <c r="G55" s="94" t="s">
        <v>3003</v>
      </c>
      <c r="H55" s="92" t="s">
        <v>3161</v>
      </c>
      <c r="I55" s="12">
        <v>131</v>
      </c>
      <c r="J55" s="12">
        <v>5118</v>
      </c>
      <c r="K55" s="12" t="s">
        <v>20</v>
      </c>
      <c r="L55" s="12">
        <v>1</v>
      </c>
      <c r="M55" s="17">
        <v>155725736</v>
      </c>
      <c r="N55" s="17">
        <f t="shared" ref="N55:N60" si="8">L55*M55</f>
        <v>155725736</v>
      </c>
      <c r="O55" s="12" t="s">
        <v>21</v>
      </c>
      <c r="P55" s="12">
        <f t="shared" si="3"/>
        <v>46</v>
      </c>
    </row>
    <row r="56" spans="1:16" x14ac:dyDescent="0.25">
      <c r="A56" s="12" t="s">
        <v>2679</v>
      </c>
      <c r="B56" s="36">
        <v>45993</v>
      </c>
      <c r="C56" s="12">
        <f t="shared" si="6"/>
        <v>48</v>
      </c>
      <c r="D56" s="12">
        <v>1</v>
      </c>
      <c r="E56" s="12" t="str">
        <f t="shared" si="2"/>
        <v>048</v>
      </c>
      <c r="F56" s="12"/>
      <c r="G56" s="94" t="s">
        <v>3003</v>
      </c>
      <c r="H56" s="92" t="s">
        <v>3162</v>
      </c>
      <c r="I56" s="12">
        <v>112111</v>
      </c>
      <c r="J56" s="12">
        <v>131</v>
      </c>
      <c r="K56" s="12" t="s">
        <v>20</v>
      </c>
      <c r="L56" s="12">
        <v>1</v>
      </c>
      <c r="M56" s="17">
        <v>155725736</v>
      </c>
      <c r="N56" s="17">
        <f t="shared" si="8"/>
        <v>155725736</v>
      </c>
      <c r="O56" s="12" t="s">
        <v>21</v>
      </c>
      <c r="P56" s="12">
        <f t="shared" si="3"/>
        <v>47</v>
      </c>
    </row>
    <row r="57" spans="1:16" x14ac:dyDescent="0.25">
      <c r="A57" s="12" t="s">
        <v>2679</v>
      </c>
      <c r="B57" s="36">
        <v>46016</v>
      </c>
      <c r="C57" s="12">
        <f t="shared" ref="C57:C60" si="9">C56+D57</f>
        <v>49</v>
      </c>
      <c r="D57" s="12">
        <v>1</v>
      </c>
      <c r="E57" s="12" t="str">
        <f t="shared" si="2"/>
        <v>049</v>
      </c>
      <c r="F57" s="12"/>
      <c r="G57" s="136" t="s">
        <v>4576</v>
      </c>
      <c r="H57" s="12" t="s">
        <v>2687</v>
      </c>
      <c r="I57" s="12">
        <v>112111</v>
      </c>
      <c r="J57" s="12">
        <v>5154</v>
      </c>
      <c r="K57" s="12" t="s">
        <v>20</v>
      </c>
      <c r="L57" s="12">
        <v>1</v>
      </c>
      <c r="M57" s="17">
        <v>1024</v>
      </c>
      <c r="N57" s="17">
        <f t="shared" si="8"/>
        <v>1024</v>
      </c>
      <c r="O57" s="12" t="s">
        <v>21</v>
      </c>
      <c r="P57" s="12">
        <f t="shared" si="3"/>
        <v>48</v>
      </c>
    </row>
    <row r="58" spans="1:16" x14ac:dyDescent="0.25">
      <c r="A58" s="12" t="s">
        <v>2678</v>
      </c>
      <c r="B58" s="36">
        <v>46019</v>
      </c>
      <c r="C58" s="12">
        <f t="shared" si="9"/>
        <v>50</v>
      </c>
      <c r="D58" s="12">
        <v>1</v>
      </c>
      <c r="E58" s="12" t="str">
        <f t="shared" si="2"/>
        <v>050</v>
      </c>
      <c r="F58" s="12"/>
      <c r="G58" s="12" t="s">
        <v>4731</v>
      </c>
      <c r="H58" s="12" t="s">
        <v>4782</v>
      </c>
      <c r="I58" s="12">
        <v>331</v>
      </c>
      <c r="J58" s="12">
        <v>112111</v>
      </c>
      <c r="K58" s="12" t="s">
        <v>20</v>
      </c>
      <c r="L58" s="12">
        <v>1</v>
      </c>
      <c r="M58" s="17">
        <v>38530000</v>
      </c>
      <c r="N58" s="17">
        <f t="shared" si="8"/>
        <v>38530000</v>
      </c>
      <c r="O58" s="12" t="s">
        <v>21</v>
      </c>
      <c r="P58" s="12">
        <f t="shared" si="3"/>
        <v>49</v>
      </c>
    </row>
    <row r="59" spans="1:16" x14ac:dyDescent="0.25">
      <c r="A59" s="12" t="s">
        <v>2679</v>
      </c>
      <c r="B59" s="36">
        <v>46020</v>
      </c>
      <c r="C59" s="12">
        <f t="shared" si="9"/>
        <v>51</v>
      </c>
      <c r="D59" s="12">
        <v>1</v>
      </c>
      <c r="E59" s="12" t="str">
        <f t="shared" si="2"/>
        <v>051</v>
      </c>
      <c r="F59" s="12"/>
      <c r="G59" s="136" t="s">
        <v>117</v>
      </c>
      <c r="H59" s="12" t="s">
        <v>4783</v>
      </c>
      <c r="I59" s="12">
        <v>112111</v>
      </c>
      <c r="J59" s="12">
        <v>131</v>
      </c>
      <c r="K59" s="12" t="s">
        <v>20</v>
      </c>
      <c r="L59" s="12">
        <v>1</v>
      </c>
      <c r="M59" s="17">
        <v>10645161</v>
      </c>
      <c r="N59" s="17">
        <f t="shared" si="8"/>
        <v>10645161</v>
      </c>
      <c r="O59" s="12" t="s">
        <v>21</v>
      </c>
      <c r="P59" s="12">
        <f t="shared" si="3"/>
        <v>50</v>
      </c>
    </row>
    <row r="60" spans="1:16" x14ac:dyDescent="0.25">
      <c r="A60" s="12" t="s">
        <v>2679</v>
      </c>
      <c r="B60" s="36">
        <v>46022</v>
      </c>
      <c r="C60" s="12">
        <f t="shared" si="9"/>
        <v>52</v>
      </c>
      <c r="D60" s="12">
        <v>1</v>
      </c>
      <c r="E60" s="12" t="str">
        <f t="shared" si="2"/>
        <v>052</v>
      </c>
      <c r="F60" s="12"/>
      <c r="G60" s="136" t="s">
        <v>68</v>
      </c>
      <c r="H60" s="12" t="s">
        <v>4784</v>
      </c>
      <c r="I60" s="12">
        <v>112111</v>
      </c>
      <c r="J60" s="12">
        <v>131</v>
      </c>
      <c r="K60" s="12" t="s">
        <v>20</v>
      </c>
      <c r="L60" s="12">
        <v>1</v>
      </c>
      <c r="M60" s="17">
        <v>12774194</v>
      </c>
      <c r="N60" s="17">
        <f t="shared" si="8"/>
        <v>12774194</v>
      </c>
      <c r="O60" s="12" t="s">
        <v>21</v>
      </c>
      <c r="P60" s="12">
        <f t="shared" si="3"/>
        <v>51</v>
      </c>
    </row>
    <row r="61" spans="1:16" x14ac:dyDescent="0.25">
      <c r="A61" s="12" t="s">
        <v>2719</v>
      </c>
      <c r="B61" s="36">
        <v>45974</v>
      </c>
      <c r="C61" s="12">
        <f t="shared" ref="C61:C96" si="10">C60+D61</f>
        <v>53</v>
      </c>
      <c r="D61" s="12">
        <v>1</v>
      </c>
      <c r="E61" s="12" t="str">
        <f t="shared" si="2"/>
        <v>053</v>
      </c>
      <c r="F61" s="12"/>
      <c r="G61" s="12" t="s">
        <v>48</v>
      </c>
      <c r="H61" s="12" t="s">
        <v>4732</v>
      </c>
      <c r="I61" s="12">
        <v>331</v>
      </c>
      <c r="J61" s="12">
        <v>1111</v>
      </c>
      <c r="K61" s="12" t="s">
        <v>20</v>
      </c>
      <c r="L61" s="12">
        <v>1</v>
      </c>
      <c r="M61" s="17">
        <v>771</v>
      </c>
      <c r="N61" s="17">
        <f t="shared" ref="N61:N96" si="11">L61*M61</f>
        <v>771</v>
      </c>
      <c r="O61" s="12" t="s">
        <v>21</v>
      </c>
      <c r="P61" s="12">
        <f t="shared" si="3"/>
        <v>52</v>
      </c>
    </row>
    <row r="62" spans="1:16" x14ac:dyDescent="0.25">
      <c r="A62" s="12" t="s">
        <v>2719</v>
      </c>
      <c r="B62" s="36">
        <v>45974</v>
      </c>
      <c r="C62" s="12">
        <f t="shared" si="10"/>
        <v>54</v>
      </c>
      <c r="D62" s="12">
        <v>1</v>
      </c>
      <c r="E62" s="12" t="str">
        <f t="shared" si="2"/>
        <v>054</v>
      </c>
      <c r="F62" s="12"/>
      <c r="G62" s="12" t="s">
        <v>142</v>
      </c>
      <c r="H62" s="12" t="s">
        <v>4750</v>
      </c>
      <c r="I62" s="12">
        <v>331</v>
      </c>
      <c r="J62" s="12">
        <v>1111</v>
      </c>
      <c r="K62" s="12" t="s">
        <v>20</v>
      </c>
      <c r="L62" s="12">
        <v>1</v>
      </c>
      <c r="M62" s="17">
        <v>365000</v>
      </c>
      <c r="N62" s="17">
        <f t="shared" si="11"/>
        <v>365000</v>
      </c>
      <c r="O62" s="12" t="s">
        <v>21</v>
      </c>
      <c r="P62" s="12">
        <f t="shared" si="3"/>
        <v>53</v>
      </c>
    </row>
    <row r="63" spans="1:16" x14ac:dyDescent="0.25">
      <c r="A63" s="12" t="s">
        <v>2719</v>
      </c>
      <c r="B63" s="36">
        <v>45974</v>
      </c>
      <c r="C63" s="12">
        <f t="shared" si="10"/>
        <v>55</v>
      </c>
      <c r="D63" s="12">
        <v>1</v>
      </c>
      <c r="E63" s="12" t="str">
        <f t="shared" si="2"/>
        <v>055</v>
      </c>
      <c r="F63" s="12"/>
      <c r="G63" s="12" t="s">
        <v>48</v>
      </c>
      <c r="H63" s="12" t="s">
        <v>4733</v>
      </c>
      <c r="I63" s="12">
        <v>331</v>
      </c>
      <c r="J63" s="12">
        <v>1111</v>
      </c>
      <c r="K63" s="12" t="s">
        <v>20</v>
      </c>
      <c r="L63" s="12">
        <v>1</v>
      </c>
      <c r="M63" s="17">
        <v>169</v>
      </c>
      <c r="N63" s="17">
        <f t="shared" si="11"/>
        <v>169</v>
      </c>
      <c r="O63" s="12" t="s">
        <v>21</v>
      </c>
      <c r="P63" s="12">
        <f t="shared" si="3"/>
        <v>54</v>
      </c>
    </row>
    <row r="64" spans="1:16" x14ac:dyDescent="0.25">
      <c r="A64" s="12" t="s">
        <v>2719</v>
      </c>
      <c r="B64" s="36" t="s">
        <v>602</v>
      </c>
      <c r="C64" s="12">
        <f t="shared" si="10"/>
        <v>56</v>
      </c>
      <c r="D64" s="12">
        <v>1</v>
      </c>
      <c r="E64" s="12" t="str">
        <f t="shared" si="2"/>
        <v>056</v>
      </c>
      <c r="F64" s="12"/>
      <c r="G64" s="12" t="s">
        <v>64</v>
      </c>
      <c r="H64" s="12" t="s">
        <v>4734</v>
      </c>
      <c r="I64" s="12">
        <v>331</v>
      </c>
      <c r="J64" s="12">
        <v>1111</v>
      </c>
      <c r="K64" s="12" t="s">
        <v>20</v>
      </c>
      <c r="L64" s="12">
        <v>1</v>
      </c>
      <c r="M64" s="17">
        <v>99000</v>
      </c>
      <c r="N64" s="17">
        <f t="shared" si="11"/>
        <v>99000</v>
      </c>
      <c r="O64" s="12" t="s">
        <v>21</v>
      </c>
      <c r="P64" s="12">
        <f t="shared" si="3"/>
        <v>55</v>
      </c>
    </row>
    <row r="65" spans="1:16" x14ac:dyDescent="0.25">
      <c r="A65" s="12" t="s">
        <v>2719</v>
      </c>
      <c r="B65" s="36" t="s">
        <v>379</v>
      </c>
      <c r="C65" s="12">
        <f t="shared" si="10"/>
        <v>57</v>
      </c>
      <c r="D65" s="12">
        <v>1</v>
      </c>
      <c r="E65" s="12" t="str">
        <f t="shared" si="2"/>
        <v>057</v>
      </c>
      <c r="F65" s="12"/>
      <c r="G65" s="12" t="s">
        <v>142</v>
      </c>
      <c r="H65" s="12" t="s">
        <v>4751</v>
      </c>
      <c r="I65" s="12">
        <v>331</v>
      </c>
      <c r="J65" s="12">
        <v>1111</v>
      </c>
      <c r="K65" s="12" t="s">
        <v>20</v>
      </c>
      <c r="L65" s="12">
        <v>1</v>
      </c>
      <c r="M65" s="17">
        <v>365000</v>
      </c>
      <c r="N65" s="17">
        <f t="shared" si="11"/>
        <v>365000</v>
      </c>
      <c r="O65" s="12" t="s">
        <v>21</v>
      </c>
      <c r="P65" s="12">
        <f t="shared" si="3"/>
        <v>56</v>
      </c>
    </row>
    <row r="66" spans="1:16" x14ac:dyDescent="0.25">
      <c r="A66" s="12" t="s">
        <v>2719</v>
      </c>
      <c r="B66" s="36" t="s">
        <v>524</v>
      </c>
      <c r="C66" s="12">
        <f t="shared" si="10"/>
        <v>58</v>
      </c>
      <c r="D66" s="12">
        <v>1</v>
      </c>
      <c r="E66" s="12" t="str">
        <f t="shared" si="2"/>
        <v>058</v>
      </c>
      <c r="F66" s="12"/>
      <c r="G66" s="12" t="s">
        <v>48</v>
      </c>
      <c r="H66" s="12" t="s">
        <v>4735</v>
      </c>
      <c r="I66" s="12">
        <v>331</v>
      </c>
      <c r="J66" s="12">
        <v>1111</v>
      </c>
      <c r="K66" s="12" t="s">
        <v>20</v>
      </c>
      <c r="L66" s="12">
        <v>1</v>
      </c>
      <c r="M66" s="17">
        <v>4242</v>
      </c>
      <c r="N66" s="17">
        <f t="shared" si="11"/>
        <v>4242</v>
      </c>
      <c r="O66" s="12" t="s">
        <v>21</v>
      </c>
      <c r="P66" s="12">
        <f t="shared" si="3"/>
        <v>57</v>
      </c>
    </row>
    <row r="67" spans="1:16" x14ac:dyDescent="0.25">
      <c r="A67" s="12" t="s">
        <v>2719</v>
      </c>
      <c r="B67" s="36" t="s">
        <v>2044</v>
      </c>
      <c r="C67" s="12">
        <f t="shared" si="10"/>
        <v>59</v>
      </c>
      <c r="D67" s="12">
        <v>1</v>
      </c>
      <c r="E67" s="12" t="str">
        <f t="shared" si="2"/>
        <v>059</v>
      </c>
      <c r="F67" s="12"/>
      <c r="G67" s="12" t="s">
        <v>64</v>
      </c>
      <c r="H67" s="12" t="s">
        <v>4749</v>
      </c>
      <c r="I67" s="12">
        <v>331</v>
      </c>
      <c r="J67" s="12">
        <v>1111</v>
      </c>
      <c r="K67" s="12" t="s">
        <v>20</v>
      </c>
      <c r="L67" s="12">
        <v>1</v>
      </c>
      <c r="M67" s="17">
        <v>1289160</v>
      </c>
      <c r="N67" s="17">
        <f t="shared" si="11"/>
        <v>1289160</v>
      </c>
      <c r="O67" s="12" t="s">
        <v>21</v>
      </c>
      <c r="P67" s="12">
        <f t="shared" si="3"/>
        <v>58</v>
      </c>
    </row>
    <row r="68" spans="1:16" x14ac:dyDescent="0.25">
      <c r="A68" s="12" t="s">
        <v>2719</v>
      </c>
      <c r="B68" s="36" t="s">
        <v>2044</v>
      </c>
      <c r="C68" s="12">
        <f t="shared" si="10"/>
        <v>60</v>
      </c>
      <c r="D68" s="12">
        <v>1</v>
      </c>
      <c r="E68" s="12" t="str">
        <f t="shared" si="2"/>
        <v>060</v>
      </c>
      <c r="F68" s="12"/>
      <c r="G68" s="12" t="s">
        <v>24</v>
      </c>
      <c r="H68" s="12" t="s">
        <v>4752</v>
      </c>
      <c r="I68" s="12">
        <v>331</v>
      </c>
      <c r="J68" s="12">
        <v>1111</v>
      </c>
      <c r="K68" s="12" t="s">
        <v>20</v>
      </c>
      <c r="L68" s="12">
        <v>1</v>
      </c>
      <c r="M68" s="17">
        <v>103000</v>
      </c>
      <c r="N68" s="17">
        <f t="shared" si="11"/>
        <v>103000</v>
      </c>
      <c r="O68" s="12" t="s">
        <v>21</v>
      </c>
      <c r="P68" s="12">
        <f t="shared" si="3"/>
        <v>59</v>
      </c>
    </row>
    <row r="69" spans="1:16" x14ac:dyDescent="0.25">
      <c r="A69" s="12" t="s">
        <v>2719</v>
      </c>
      <c r="B69" s="36" t="s">
        <v>2044</v>
      </c>
      <c r="C69" s="12">
        <f t="shared" si="10"/>
        <v>61</v>
      </c>
      <c r="D69" s="12">
        <v>1</v>
      </c>
      <c r="E69" s="12" t="str">
        <f t="shared" ref="E69:E96" si="12">TEXT(C69,"000")</f>
        <v>061</v>
      </c>
      <c r="F69" s="12"/>
      <c r="G69" s="12" t="s">
        <v>19</v>
      </c>
      <c r="H69" s="12" t="s">
        <v>4753</v>
      </c>
      <c r="I69" s="12">
        <v>331</v>
      </c>
      <c r="J69" s="12">
        <v>1111</v>
      </c>
      <c r="K69" s="12" t="s">
        <v>20</v>
      </c>
      <c r="L69" s="12">
        <v>1</v>
      </c>
      <c r="M69" s="17">
        <v>3000</v>
      </c>
      <c r="N69" s="17">
        <f t="shared" si="11"/>
        <v>3000</v>
      </c>
      <c r="O69" s="12" t="s">
        <v>21</v>
      </c>
      <c r="P69" s="12">
        <f t="shared" si="3"/>
        <v>60</v>
      </c>
    </row>
    <row r="70" spans="1:16" x14ac:dyDescent="0.25">
      <c r="A70" s="12" t="s">
        <v>2719</v>
      </c>
      <c r="B70" s="36" t="s">
        <v>2044</v>
      </c>
      <c r="C70" s="12">
        <f t="shared" si="10"/>
        <v>62</v>
      </c>
      <c r="D70" s="12">
        <v>1</v>
      </c>
      <c r="E70" s="12" t="str">
        <f t="shared" si="12"/>
        <v>062</v>
      </c>
      <c r="F70" s="12"/>
      <c r="G70" s="12" t="s">
        <v>19</v>
      </c>
      <c r="H70" s="12" t="s">
        <v>4754</v>
      </c>
      <c r="I70" s="12">
        <v>331</v>
      </c>
      <c r="J70" s="12">
        <v>1111</v>
      </c>
      <c r="K70" s="12" t="s">
        <v>20</v>
      </c>
      <c r="L70" s="12">
        <v>1</v>
      </c>
      <c r="M70" s="17">
        <v>8000</v>
      </c>
      <c r="N70" s="17">
        <f t="shared" si="11"/>
        <v>8000</v>
      </c>
      <c r="O70" s="12" t="s">
        <v>21</v>
      </c>
      <c r="P70" s="12">
        <f t="shared" ref="P70:P95" si="13">P69+D70</f>
        <v>61</v>
      </c>
    </row>
    <row r="71" spans="1:16" x14ac:dyDescent="0.25">
      <c r="A71" s="12" t="s">
        <v>2719</v>
      </c>
      <c r="B71" s="36" t="s">
        <v>455</v>
      </c>
      <c r="C71" s="12">
        <f t="shared" si="10"/>
        <v>63</v>
      </c>
      <c r="D71" s="12">
        <v>1</v>
      </c>
      <c r="E71" s="12" t="str">
        <f t="shared" si="12"/>
        <v>063</v>
      </c>
      <c r="F71" s="12"/>
      <c r="G71" s="12" t="s">
        <v>1022</v>
      </c>
      <c r="H71" s="12" t="s">
        <v>4755</v>
      </c>
      <c r="I71" s="12">
        <v>331</v>
      </c>
      <c r="J71" s="12">
        <v>1111</v>
      </c>
      <c r="K71" s="12" t="s">
        <v>20</v>
      </c>
      <c r="L71" s="12">
        <v>1</v>
      </c>
      <c r="M71" s="17">
        <v>140000</v>
      </c>
      <c r="N71" s="17">
        <f t="shared" si="11"/>
        <v>140000</v>
      </c>
      <c r="O71" s="12" t="s">
        <v>21</v>
      </c>
      <c r="P71" s="12">
        <f t="shared" si="13"/>
        <v>62</v>
      </c>
    </row>
    <row r="72" spans="1:16" x14ac:dyDescent="0.25">
      <c r="A72" s="12" t="s">
        <v>2719</v>
      </c>
      <c r="B72" s="36" t="s">
        <v>455</v>
      </c>
      <c r="C72" s="12">
        <f t="shared" si="10"/>
        <v>64</v>
      </c>
      <c r="D72" s="12">
        <v>1</v>
      </c>
      <c r="E72" s="12" t="str">
        <f t="shared" si="12"/>
        <v>064</v>
      </c>
      <c r="F72" s="12"/>
      <c r="G72" s="12" t="s">
        <v>24</v>
      </c>
      <c r="H72" s="12" t="s">
        <v>4756</v>
      </c>
      <c r="I72" s="12">
        <v>331</v>
      </c>
      <c r="J72" s="12">
        <v>1111</v>
      </c>
      <c r="K72" s="12" t="s">
        <v>20</v>
      </c>
      <c r="L72" s="12">
        <v>1</v>
      </c>
      <c r="M72" s="17">
        <v>49000</v>
      </c>
      <c r="N72" s="17">
        <f t="shared" si="11"/>
        <v>49000</v>
      </c>
      <c r="O72" s="12" t="s">
        <v>21</v>
      </c>
      <c r="P72" s="12">
        <f t="shared" si="13"/>
        <v>63</v>
      </c>
    </row>
    <row r="73" spans="1:16" x14ac:dyDescent="0.25">
      <c r="A73" s="12" t="s">
        <v>2719</v>
      </c>
      <c r="B73" s="36" t="s">
        <v>455</v>
      </c>
      <c r="C73" s="12">
        <f t="shared" si="10"/>
        <v>65</v>
      </c>
      <c r="D73" s="12">
        <v>1</v>
      </c>
      <c r="E73" s="12" t="str">
        <f t="shared" si="12"/>
        <v>065</v>
      </c>
      <c r="F73" s="12"/>
      <c r="G73" s="12" t="s">
        <v>24</v>
      </c>
      <c r="H73" s="12" t="s">
        <v>4757</v>
      </c>
      <c r="I73" s="12">
        <v>331</v>
      </c>
      <c r="J73" s="12">
        <v>1111</v>
      </c>
      <c r="K73" s="12" t="s">
        <v>20</v>
      </c>
      <c r="L73" s="12">
        <v>1</v>
      </c>
      <c r="M73" s="17">
        <v>120000</v>
      </c>
      <c r="N73" s="17">
        <f t="shared" si="11"/>
        <v>120000</v>
      </c>
      <c r="O73" s="12" t="s">
        <v>21</v>
      </c>
      <c r="P73" s="12">
        <f t="shared" si="13"/>
        <v>64</v>
      </c>
    </row>
    <row r="74" spans="1:16" x14ac:dyDescent="0.25">
      <c r="A74" s="12" t="s">
        <v>2719</v>
      </c>
      <c r="B74" s="36" t="s">
        <v>455</v>
      </c>
      <c r="C74" s="12">
        <f t="shared" si="10"/>
        <v>66</v>
      </c>
      <c r="D74" s="12">
        <v>1</v>
      </c>
      <c r="E74" s="12" t="str">
        <f t="shared" si="12"/>
        <v>066</v>
      </c>
      <c r="F74" s="12"/>
      <c r="G74" s="12" t="s">
        <v>24</v>
      </c>
      <c r="H74" s="12" t="s">
        <v>4758</v>
      </c>
      <c r="I74" s="12">
        <v>331</v>
      </c>
      <c r="J74" s="12">
        <v>1111</v>
      </c>
      <c r="K74" s="12" t="s">
        <v>20</v>
      </c>
      <c r="L74" s="12">
        <v>1</v>
      </c>
      <c r="M74" s="17">
        <v>41000</v>
      </c>
      <c r="N74" s="17">
        <f t="shared" si="11"/>
        <v>41000</v>
      </c>
      <c r="O74" s="12" t="s">
        <v>21</v>
      </c>
      <c r="P74" s="12">
        <f t="shared" si="13"/>
        <v>65</v>
      </c>
    </row>
    <row r="75" spans="1:16" x14ac:dyDescent="0.25">
      <c r="A75" s="12" t="s">
        <v>2719</v>
      </c>
      <c r="B75" s="36" t="s">
        <v>455</v>
      </c>
      <c r="C75" s="12">
        <f t="shared" si="10"/>
        <v>67</v>
      </c>
      <c r="D75" s="12">
        <v>1</v>
      </c>
      <c r="E75" s="12" t="str">
        <f t="shared" si="12"/>
        <v>067</v>
      </c>
      <c r="F75" s="12"/>
      <c r="G75" s="12" t="s">
        <v>19</v>
      </c>
      <c r="H75" s="12" t="s">
        <v>4759</v>
      </c>
      <c r="I75" s="12">
        <v>331</v>
      </c>
      <c r="J75" s="12">
        <v>1111</v>
      </c>
      <c r="K75" s="12" t="s">
        <v>20</v>
      </c>
      <c r="L75" s="12">
        <v>1</v>
      </c>
      <c r="M75" s="17">
        <v>3000</v>
      </c>
      <c r="N75" s="17">
        <f t="shared" si="11"/>
        <v>3000</v>
      </c>
      <c r="O75" s="12" t="s">
        <v>21</v>
      </c>
      <c r="P75" s="12">
        <f t="shared" si="13"/>
        <v>66</v>
      </c>
    </row>
    <row r="76" spans="1:16" x14ac:dyDescent="0.25">
      <c r="A76" s="12" t="s">
        <v>2719</v>
      </c>
      <c r="B76" s="36" t="s">
        <v>455</v>
      </c>
      <c r="C76" s="12">
        <f t="shared" si="10"/>
        <v>68</v>
      </c>
      <c r="D76" s="12">
        <v>1</v>
      </c>
      <c r="E76" s="12" t="str">
        <f t="shared" si="12"/>
        <v>068</v>
      </c>
      <c r="F76" s="12"/>
      <c r="G76" s="12" t="s">
        <v>19</v>
      </c>
      <c r="H76" s="12" t="s">
        <v>4760</v>
      </c>
      <c r="I76" s="12">
        <v>331</v>
      </c>
      <c r="J76" s="12">
        <v>1111</v>
      </c>
      <c r="K76" s="12" t="s">
        <v>20</v>
      </c>
      <c r="L76" s="12">
        <v>1</v>
      </c>
      <c r="M76" s="17">
        <v>51000</v>
      </c>
      <c r="N76" s="17">
        <f t="shared" si="11"/>
        <v>51000</v>
      </c>
      <c r="O76" s="12" t="s">
        <v>21</v>
      </c>
      <c r="P76" s="12">
        <f t="shared" si="13"/>
        <v>67</v>
      </c>
    </row>
    <row r="77" spans="1:16" x14ac:dyDescent="0.25">
      <c r="A77" s="12" t="s">
        <v>2719</v>
      </c>
      <c r="B77" s="36" t="s">
        <v>455</v>
      </c>
      <c r="C77" s="12">
        <f t="shared" si="10"/>
        <v>69</v>
      </c>
      <c r="D77" s="12">
        <v>1</v>
      </c>
      <c r="E77" s="12" t="str">
        <f t="shared" si="12"/>
        <v>069</v>
      </c>
      <c r="F77" s="12"/>
      <c r="G77" s="12" t="s">
        <v>19</v>
      </c>
      <c r="H77" s="12" t="s">
        <v>4761</v>
      </c>
      <c r="I77" s="12">
        <v>331</v>
      </c>
      <c r="J77" s="12">
        <v>1111</v>
      </c>
      <c r="K77" s="12" t="s">
        <v>20</v>
      </c>
      <c r="L77" s="12">
        <v>1</v>
      </c>
      <c r="M77" s="17">
        <v>96000</v>
      </c>
      <c r="N77" s="17">
        <f t="shared" si="11"/>
        <v>96000</v>
      </c>
      <c r="O77" s="12" t="s">
        <v>21</v>
      </c>
      <c r="P77" s="12">
        <f t="shared" si="13"/>
        <v>68</v>
      </c>
    </row>
    <row r="78" spans="1:16" x14ac:dyDescent="0.25">
      <c r="A78" s="12" t="s">
        <v>2719</v>
      </c>
      <c r="B78" s="36" t="s">
        <v>525</v>
      </c>
      <c r="C78" s="12">
        <f t="shared" si="10"/>
        <v>70</v>
      </c>
      <c r="D78" s="12">
        <v>1</v>
      </c>
      <c r="E78" s="12" t="str">
        <f t="shared" si="12"/>
        <v>070</v>
      </c>
      <c r="F78" s="12"/>
      <c r="G78" s="12" t="s">
        <v>4728</v>
      </c>
      <c r="H78" s="12" t="s">
        <v>4762</v>
      </c>
      <c r="I78" s="12">
        <v>331</v>
      </c>
      <c r="J78" s="12">
        <v>1111</v>
      </c>
      <c r="K78" s="12" t="s">
        <v>20</v>
      </c>
      <c r="L78" s="12">
        <v>1</v>
      </c>
      <c r="M78" s="17">
        <v>6186382</v>
      </c>
      <c r="N78" s="17">
        <f t="shared" si="11"/>
        <v>6186382</v>
      </c>
      <c r="O78" s="12" t="s">
        <v>21</v>
      </c>
      <c r="P78" s="12">
        <f t="shared" si="13"/>
        <v>69</v>
      </c>
    </row>
    <row r="79" spans="1:16" x14ac:dyDescent="0.25">
      <c r="A79" s="12" t="s">
        <v>2719</v>
      </c>
      <c r="B79" s="36" t="s">
        <v>603</v>
      </c>
      <c r="C79" s="12">
        <f t="shared" si="10"/>
        <v>71</v>
      </c>
      <c r="D79" s="12">
        <v>1</v>
      </c>
      <c r="E79" s="12" t="str">
        <f t="shared" si="12"/>
        <v>071</v>
      </c>
      <c r="F79" s="12"/>
      <c r="G79" s="12" t="s">
        <v>113</v>
      </c>
      <c r="H79" s="12" t="s">
        <v>4763</v>
      </c>
      <c r="I79" s="12">
        <v>331</v>
      </c>
      <c r="J79" s="12">
        <v>1111</v>
      </c>
      <c r="K79" s="12" t="s">
        <v>20</v>
      </c>
      <c r="L79" s="12">
        <v>1</v>
      </c>
      <c r="M79" s="17">
        <v>500000</v>
      </c>
      <c r="N79" s="17">
        <f t="shared" si="11"/>
        <v>500000</v>
      </c>
      <c r="O79" s="12" t="s">
        <v>21</v>
      </c>
      <c r="P79" s="12">
        <f t="shared" si="13"/>
        <v>70</v>
      </c>
    </row>
    <row r="80" spans="1:16" x14ac:dyDescent="0.25">
      <c r="A80" s="12" t="s">
        <v>2719</v>
      </c>
      <c r="B80" s="36" t="s">
        <v>604</v>
      </c>
      <c r="C80" s="12">
        <f t="shared" si="10"/>
        <v>72</v>
      </c>
      <c r="D80" s="12">
        <v>1</v>
      </c>
      <c r="E80" s="12" t="str">
        <f t="shared" si="12"/>
        <v>072</v>
      </c>
      <c r="F80" s="12"/>
      <c r="G80" s="12" t="s">
        <v>24</v>
      </c>
      <c r="H80" s="12" t="s">
        <v>4764</v>
      </c>
      <c r="I80" s="12">
        <v>331</v>
      </c>
      <c r="J80" s="12">
        <v>1111</v>
      </c>
      <c r="K80" s="12" t="s">
        <v>20</v>
      </c>
      <c r="L80" s="12">
        <v>1</v>
      </c>
      <c r="M80" s="17">
        <v>43000</v>
      </c>
      <c r="N80" s="17">
        <f t="shared" si="11"/>
        <v>43000</v>
      </c>
      <c r="O80" s="12" t="s">
        <v>21</v>
      </c>
      <c r="P80" s="12">
        <f t="shared" si="13"/>
        <v>71</v>
      </c>
    </row>
    <row r="81" spans="1:16" x14ac:dyDescent="0.25">
      <c r="A81" s="12" t="s">
        <v>2719</v>
      </c>
      <c r="B81" s="36" t="s">
        <v>604</v>
      </c>
      <c r="C81" s="12">
        <f t="shared" si="10"/>
        <v>73</v>
      </c>
      <c r="D81" s="12">
        <v>1</v>
      </c>
      <c r="E81" s="12" t="str">
        <f t="shared" si="12"/>
        <v>073</v>
      </c>
      <c r="F81" s="12"/>
      <c r="G81" s="12" t="s">
        <v>24</v>
      </c>
      <c r="H81" s="12" t="s">
        <v>4765</v>
      </c>
      <c r="I81" s="12">
        <v>331</v>
      </c>
      <c r="J81" s="12">
        <v>1111</v>
      </c>
      <c r="K81" s="12" t="s">
        <v>20</v>
      </c>
      <c r="L81" s="12">
        <v>1</v>
      </c>
      <c r="M81" s="17">
        <v>50000</v>
      </c>
      <c r="N81" s="17">
        <f t="shared" si="11"/>
        <v>50000</v>
      </c>
      <c r="O81" s="12" t="s">
        <v>21</v>
      </c>
      <c r="P81" s="12">
        <f t="shared" si="13"/>
        <v>72</v>
      </c>
    </row>
    <row r="82" spans="1:16" x14ac:dyDescent="0.25">
      <c r="A82" s="12" t="s">
        <v>2719</v>
      </c>
      <c r="B82" s="36" t="s">
        <v>604</v>
      </c>
      <c r="C82" s="12">
        <f t="shared" si="10"/>
        <v>74</v>
      </c>
      <c r="D82" s="12">
        <v>1</v>
      </c>
      <c r="E82" s="12" t="str">
        <f t="shared" si="12"/>
        <v>074</v>
      </c>
      <c r="F82" s="12"/>
      <c r="G82" s="12" t="s">
        <v>19</v>
      </c>
      <c r="H82" s="12" t="s">
        <v>4766</v>
      </c>
      <c r="I82" s="12">
        <v>331</v>
      </c>
      <c r="J82" s="12">
        <v>1111</v>
      </c>
      <c r="K82" s="12" t="s">
        <v>20</v>
      </c>
      <c r="L82" s="12">
        <v>1</v>
      </c>
      <c r="M82" s="17">
        <v>3000</v>
      </c>
      <c r="N82" s="17">
        <f t="shared" si="11"/>
        <v>3000</v>
      </c>
      <c r="O82" s="12" t="s">
        <v>21</v>
      </c>
      <c r="P82" s="12">
        <f t="shared" si="13"/>
        <v>73</v>
      </c>
    </row>
    <row r="83" spans="1:16" x14ac:dyDescent="0.25">
      <c r="A83" s="12" t="s">
        <v>2719</v>
      </c>
      <c r="B83" s="36" t="s">
        <v>2045</v>
      </c>
      <c r="C83" s="12">
        <f t="shared" si="10"/>
        <v>75</v>
      </c>
      <c r="D83" s="12">
        <v>1</v>
      </c>
      <c r="E83" s="12" t="str">
        <f t="shared" si="12"/>
        <v>075</v>
      </c>
      <c r="F83" s="12"/>
      <c r="G83" s="12" t="s">
        <v>4729</v>
      </c>
      <c r="H83" s="12" t="s">
        <v>4767</v>
      </c>
      <c r="I83" s="12">
        <v>331</v>
      </c>
      <c r="J83" s="12">
        <v>1111</v>
      </c>
      <c r="K83" s="12" t="s">
        <v>20</v>
      </c>
      <c r="L83" s="12">
        <v>1</v>
      </c>
      <c r="M83" s="17">
        <v>1150000</v>
      </c>
      <c r="N83" s="17">
        <f t="shared" si="11"/>
        <v>1150000</v>
      </c>
      <c r="O83" s="12" t="s">
        <v>21</v>
      </c>
      <c r="P83" s="12">
        <f t="shared" si="13"/>
        <v>74</v>
      </c>
    </row>
    <row r="84" spans="1:16" x14ac:dyDescent="0.25">
      <c r="A84" s="12" t="s">
        <v>2719</v>
      </c>
      <c r="B84" s="36" t="s">
        <v>2045</v>
      </c>
      <c r="C84" s="12">
        <f t="shared" si="10"/>
        <v>76</v>
      </c>
      <c r="D84" s="12">
        <v>1</v>
      </c>
      <c r="E84" s="12" t="str">
        <f t="shared" si="12"/>
        <v>076</v>
      </c>
      <c r="F84" s="12"/>
      <c r="G84" s="12" t="s">
        <v>19</v>
      </c>
      <c r="H84" s="12" t="s">
        <v>4768</v>
      </c>
      <c r="I84" s="12">
        <v>331</v>
      </c>
      <c r="J84" s="12">
        <v>1111</v>
      </c>
      <c r="K84" s="12" t="s">
        <v>20</v>
      </c>
      <c r="L84" s="12">
        <v>1</v>
      </c>
      <c r="M84" s="17">
        <v>48000</v>
      </c>
      <c r="N84" s="17">
        <f t="shared" si="11"/>
        <v>48000</v>
      </c>
      <c r="O84" s="12" t="s">
        <v>21</v>
      </c>
      <c r="P84" s="12">
        <f t="shared" si="13"/>
        <v>75</v>
      </c>
    </row>
    <row r="85" spans="1:16" x14ac:dyDescent="0.25">
      <c r="A85" s="12" t="s">
        <v>2719</v>
      </c>
      <c r="B85" s="36" t="s">
        <v>2045</v>
      </c>
      <c r="C85" s="12">
        <f t="shared" si="10"/>
        <v>77</v>
      </c>
      <c r="D85" s="12">
        <v>1</v>
      </c>
      <c r="E85" s="12" t="str">
        <f t="shared" si="12"/>
        <v>077</v>
      </c>
      <c r="F85" s="12"/>
      <c r="G85" s="12" t="s">
        <v>24</v>
      </c>
      <c r="H85" s="12" t="s">
        <v>4769</v>
      </c>
      <c r="I85" s="12">
        <v>331</v>
      </c>
      <c r="J85" s="12">
        <v>1111</v>
      </c>
      <c r="K85" s="12" t="s">
        <v>20</v>
      </c>
      <c r="L85" s="12">
        <v>1</v>
      </c>
      <c r="M85" s="17">
        <v>20000</v>
      </c>
      <c r="N85" s="17">
        <f t="shared" si="11"/>
        <v>20000</v>
      </c>
      <c r="O85" s="12" t="s">
        <v>21</v>
      </c>
      <c r="P85" s="12">
        <f t="shared" si="13"/>
        <v>76</v>
      </c>
    </row>
    <row r="86" spans="1:16" x14ac:dyDescent="0.25">
      <c r="A86" s="12" t="s">
        <v>2719</v>
      </c>
      <c r="B86" s="36" t="s">
        <v>2045</v>
      </c>
      <c r="C86" s="12">
        <f t="shared" si="10"/>
        <v>78</v>
      </c>
      <c r="D86" s="12">
        <v>1</v>
      </c>
      <c r="E86" s="12" t="str">
        <f t="shared" si="12"/>
        <v>078</v>
      </c>
      <c r="F86" s="12"/>
      <c r="G86" s="12" t="s">
        <v>19</v>
      </c>
      <c r="H86" s="12" t="s">
        <v>4770</v>
      </c>
      <c r="I86" s="12">
        <v>331</v>
      </c>
      <c r="J86" s="12">
        <v>1111</v>
      </c>
      <c r="K86" s="12" t="s">
        <v>20</v>
      </c>
      <c r="L86" s="12">
        <v>1</v>
      </c>
      <c r="M86" s="17">
        <v>3000</v>
      </c>
      <c r="N86" s="17">
        <f t="shared" si="11"/>
        <v>3000</v>
      </c>
      <c r="O86" s="12" t="s">
        <v>21</v>
      </c>
      <c r="P86" s="12">
        <f t="shared" si="13"/>
        <v>77</v>
      </c>
    </row>
    <row r="87" spans="1:16" x14ac:dyDescent="0.25">
      <c r="A87" s="12" t="s">
        <v>2719</v>
      </c>
      <c r="B87" s="36" t="s">
        <v>2045</v>
      </c>
      <c r="C87" s="12">
        <f t="shared" si="10"/>
        <v>79</v>
      </c>
      <c r="D87" s="12">
        <v>1</v>
      </c>
      <c r="E87" s="12" t="str">
        <f t="shared" si="12"/>
        <v>079</v>
      </c>
      <c r="F87" s="12"/>
      <c r="G87" s="12" t="s">
        <v>19</v>
      </c>
      <c r="H87" s="12" t="s">
        <v>4771</v>
      </c>
      <c r="I87" s="12">
        <v>331</v>
      </c>
      <c r="J87" s="12">
        <v>1111</v>
      </c>
      <c r="K87" s="12" t="s">
        <v>20</v>
      </c>
      <c r="L87" s="12">
        <v>1</v>
      </c>
      <c r="M87" s="17">
        <v>50000</v>
      </c>
      <c r="N87" s="17">
        <f t="shared" si="11"/>
        <v>50000</v>
      </c>
      <c r="O87" s="12" t="s">
        <v>21</v>
      </c>
      <c r="P87" s="12">
        <f t="shared" si="13"/>
        <v>78</v>
      </c>
    </row>
    <row r="88" spans="1:16" x14ac:dyDescent="0.25">
      <c r="A88" s="12" t="s">
        <v>2719</v>
      </c>
      <c r="B88" s="36" t="s">
        <v>2045</v>
      </c>
      <c r="C88" s="12">
        <f t="shared" si="10"/>
        <v>80</v>
      </c>
      <c r="D88" s="12">
        <v>1</v>
      </c>
      <c r="E88" s="12" t="str">
        <f t="shared" si="12"/>
        <v>080</v>
      </c>
      <c r="F88" s="12"/>
      <c r="G88" s="12" t="s">
        <v>19</v>
      </c>
      <c r="H88" s="12" t="s">
        <v>4772</v>
      </c>
      <c r="I88" s="12">
        <v>331</v>
      </c>
      <c r="J88" s="12">
        <v>1111</v>
      </c>
      <c r="K88" s="12" t="s">
        <v>20</v>
      </c>
      <c r="L88" s="12">
        <v>1</v>
      </c>
      <c r="M88" s="17">
        <v>16000</v>
      </c>
      <c r="N88" s="17">
        <f t="shared" si="11"/>
        <v>16000</v>
      </c>
      <c r="O88" s="12" t="s">
        <v>21</v>
      </c>
      <c r="P88" s="12">
        <f t="shared" si="13"/>
        <v>79</v>
      </c>
    </row>
    <row r="89" spans="1:16" x14ac:dyDescent="0.25">
      <c r="A89" s="12" t="s">
        <v>2719</v>
      </c>
      <c r="B89" s="36" t="s">
        <v>2045</v>
      </c>
      <c r="C89" s="12">
        <f t="shared" si="10"/>
        <v>81</v>
      </c>
      <c r="D89" s="12">
        <v>1</v>
      </c>
      <c r="E89" s="12" t="str">
        <f t="shared" si="12"/>
        <v>081</v>
      </c>
      <c r="F89" s="12"/>
      <c r="G89" s="12" t="s">
        <v>19</v>
      </c>
      <c r="H89" s="12" t="s">
        <v>4773</v>
      </c>
      <c r="I89" s="12">
        <v>331</v>
      </c>
      <c r="J89" s="12">
        <v>1111</v>
      </c>
      <c r="K89" s="12" t="s">
        <v>20</v>
      </c>
      <c r="L89" s="12">
        <v>1</v>
      </c>
      <c r="M89" s="17">
        <v>15000</v>
      </c>
      <c r="N89" s="17">
        <f t="shared" si="11"/>
        <v>15000</v>
      </c>
      <c r="O89" s="12" t="s">
        <v>21</v>
      </c>
      <c r="P89" s="12">
        <f t="shared" si="13"/>
        <v>80</v>
      </c>
    </row>
    <row r="90" spans="1:16" x14ac:dyDescent="0.25">
      <c r="A90" s="12" t="s">
        <v>2719</v>
      </c>
      <c r="B90" s="36" t="s">
        <v>2045</v>
      </c>
      <c r="C90" s="12">
        <f t="shared" si="10"/>
        <v>82</v>
      </c>
      <c r="D90" s="12">
        <v>1</v>
      </c>
      <c r="E90" s="12" t="str">
        <f t="shared" si="12"/>
        <v>082</v>
      </c>
      <c r="F90" s="12"/>
      <c r="G90" s="12" t="s">
        <v>19</v>
      </c>
      <c r="H90" s="12" t="s">
        <v>4774</v>
      </c>
      <c r="I90" s="12">
        <v>331</v>
      </c>
      <c r="J90" s="12">
        <v>1111</v>
      </c>
      <c r="K90" s="12" t="s">
        <v>20</v>
      </c>
      <c r="L90" s="12">
        <v>1</v>
      </c>
      <c r="M90" s="17">
        <v>38000</v>
      </c>
      <c r="N90" s="17">
        <f t="shared" si="11"/>
        <v>38000</v>
      </c>
      <c r="O90" s="12" t="s">
        <v>21</v>
      </c>
      <c r="P90" s="12">
        <f t="shared" si="13"/>
        <v>81</v>
      </c>
    </row>
    <row r="91" spans="1:16" x14ac:dyDescent="0.25">
      <c r="A91" s="12" t="s">
        <v>2719</v>
      </c>
      <c r="B91" s="36" t="s">
        <v>2045</v>
      </c>
      <c r="C91" s="12">
        <f t="shared" si="10"/>
        <v>83</v>
      </c>
      <c r="D91" s="12">
        <v>1</v>
      </c>
      <c r="E91" s="12" t="str">
        <f t="shared" si="12"/>
        <v>083</v>
      </c>
      <c r="F91" s="12"/>
      <c r="G91" s="12" t="s">
        <v>19</v>
      </c>
      <c r="H91" s="12" t="s">
        <v>4775</v>
      </c>
      <c r="I91" s="12">
        <v>331</v>
      </c>
      <c r="J91" s="12">
        <v>1111</v>
      </c>
      <c r="K91" s="12" t="s">
        <v>20</v>
      </c>
      <c r="L91" s="12">
        <v>1</v>
      </c>
      <c r="M91" s="17">
        <v>16000</v>
      </c>
      <c r="N91" s="17">
        <f t="shared" si="11"/>
        <v>16000</v>
      </c>
      <c r="O91" s="12" t="s">
        <v>21</v>
      </c>
      <c r="P91" s="12">
        <f t="shared" si="13"/>
        <v>82</v>
      </c>
    </row>
    <row r="92" spans="1:16" x14ac:dyDescent="0.25">
      <c r="A92" s="12" t="s">
        <v>2719</v>
      </c>
      <c r="B92" s="36" t="s">
        <v>2045</v>
      </c>
      <c r="C92" s="12">
        <f t="shared" si="10"/>
        <v>84</v>
      </c>
      <c r="D92" s="12">
        <v>1</v>
      </c>
      <c r="E92" s="12" t="str">
        <f t="shared" si="12"/>
        <v>084</v>
      </c>
      <c r="F92" s="12"/>
      <c r="G92" s="12" t="s">
        <v>19</v>
      </c>
      <c r="H92" s="12" t="s">
        <v>4776</v>
      </c>
      <c r="I92" s="12">
        <v>331</v>
      </c>
      <c r="J92" s="12">
        <v>1111</v>
      </c>
      <c r="K92" s="12" t="s">
        <v>20</v>
      </c>
      <c r="L92" s="12">
        <v>1</v>
      </c>
      <c r="M92" s="17">
        <v>39000</v>
      </c>
      <c r="N92" s="17">
        <f t="shared" si="11"/>
        <v>39000</v>
      </c>
      <c r="O92" s="12" t="s">
        <v>21</v>
      </c>
      <c r="P92" s="12">
        <f t="shared" si="13"/>
        <v>83</v>
      </c>
    </row>
    <row r="93" spans="1:16" x14ac:dyDescent="0.25">
      <c r="A93" s="12" t="s">
        <v>2719</v>
      </c>
      <c r="B93" s="36" t="s">
        <v>2045</v>
      </c>
      <c r="C93" s="12">
        <f t="shared" si="10"/>
        <v>85</v>
      </c>
      <c r="D93" s="12">
        <v>1</v>
      </c>
      <c r="E93" s="12" t="str">
        <f t="shared" si="12"/>
        <v>085</v>
      </c>
      <c r="F93" s="12"/>
      <c r="G93" s="12" t="s">
        <v>19</v>
      </c>
      <c r="H93" s="12" t="s">
        <v>4777</v>
      </c>
      <c r="I93" s="12">
        <v>331</v>
      </c>
      <c r="J93" s="12">
        <v>1111</v>
      </c>
      <c r="K93" s="12" t="s">
        <v>20</v>
      </c>
      <c r="L93" s="12">
        <v>1</v>
      </c>
      <c r="M93" s="17">
        <v>32000</v>
      </c>
      <c r="N93" s="17">
        <f t="shared" si="11"/>
        <v>32000</v>
      </c>
      <c r="O93" s="12" t="s">
        <v>21</v>
      </c>
      <c r="P93" s="12">
        <f t="shared" si="13"/>
        <v>84</v>
      </c>
    </row>
    <row r="94" spans="1:16" x14ac:dyDescent="0.25">
      <c r="A94" s="12" t="s">
        <v>2719</v>
      </c>
      <c r="B94" s="36" t="s">
        <v>1930</v>
      </c>
      <c r="C94" s="12">
        <f t="shared" si="10"/>
        <v>86</v>
      </c>
      <c r="D94" s="12">
        <v>1</v>
      </c>
      <c r="E94" s="12" t="str">
        <f t="shared" si="12"/>
        <v>086</v>
      </c>
      <c r="F94" s="12"/>
      <c r="G94" s="12" t="s">
        <v>4730</v>
      </c>
      <c r="H94" s="12" t="s">
        <v>4778</v>
      </c>
      <c r="I94" s="12">
        <v>331</v>
      </c>
      <c r="J94" s="12">
        <v>1111</v>
      </c>
      <c r="K94" s="12" t="s">
        <v>20</v>
      </c>
      <c r="L94" s="12">
        <v>1</v>
      </c>
      <c r="M94" s="17">
        <v>214920</v>
      </c>
      <c r="N94" s="17">
        <f t="shared" si="11"/>
        <v>214920</v>
      </c>
      <c r="O94" s="12" t="s">
        <v>21</v>
      </c>
      <c r="P94" s="12">
        <f t="shared" si="13"/>
        <v>85</v>
      </c>
    </row>
    <row r="95" spans="1:16" x14ac:dyDescent="0.25">
      <c r="A95" s="12" t="s">
        <v>2719</v>
      </c>
      <c r="B95" s="36" t="s">
        <v>1930</v>
      </c>
      <c r="C95" s="12">
        <f t="shared" si="10"/>
        <v>87</v>
      </c>
      <c r="D95" s="12">
        <v>1</v>
      </c>
      <c r="E95" s="12" t="str">
        <f t="shared" si="12"/>
        <v>087</v>
      </c>
      <c r="F95" s="12"/>
      <c r="G95" s="12" t="s">
        <v>19</v>
      </c>
      <c r="H95" s="12" t="s">
        <v>4779</v>
      </c>
      <c r="I95" s="12">
        <v>331</v>
      </c>
      <c r="J95" s="12">
        <v>1111</v>
      </c>
      <c r="K95" s="12" t="s">
        <v>20</v>
      </c>
      <c r="L95" s="12">
        <v>1</v>
      </c>
      <c r="M95" s="17">
        <v>19000</v>
      </c>
      <c r="N95" s="17">
        <f t="shared" si="11"/>
        <v>19000</v>
      </c>
      <c r="O95" s="12" t="s">
        <v>21</v>
      </c>
      <c r="P95" s="12">
        <f t="shared" si="13"/>
        <v>86</v>
      </c>
    </row>
    <row r="96" spans="1:16" x14ac:dyDescent="0.25">
      <c r="A96" s="12" t="s">
        <v>2719</v>
      </c>
      <c r="B96" s="36" t="s">
        <v>2513</v>
      </c>
      <c r="C96" s="12">
        <f t="shared" si="10"/>
        <v>88</v>
      </c>
      <c r="D96" s="12">
        <v>1</v>
      </c>
      <c r="E96" s="12" t="str">
        <f t="shared" si="12"/>
        <v>088</v>
      </c>
      <c r="F96" s="12"/>
      <c r="G96" s="12" t="s">
        <v>142</v>
      </c>
      <c r="H96" s="12" t="s">
        <v>4781</v>
      </c>
      <c r="I96" s="12">
        <v>331</v>
      </c>
      <c r="J96" s="12">
        <v>1111</v>
      </c>
      <c r="K96" s="12" t="s">
        <v>20</v>
      </c>
      <c r="L96" s="12">
        <v>1</v>
      </c>
      <c r="M96" s="17">
        <v>365000</v>
      </c>
      <c r="N96" s="17">
        <f t="shared" si="11"/>
        <v>365000</v>
      </c>
      <c r="O96" s="12" t="s">
        <v>21</v>
      </c>
      <c r="P96" s="12" t="e">
        <f>#REF!+D96</f>
        <v>#REF!</v>
      </c>
    </row>
  </sheetData>
  <autoFilter ref="A3:P61" xr:uid="{E3E05256-083D-4565-8F6F-4BDADC0AB3BA}">
    <sortState xmlns:xlrd2="http://schemas.microsoft.com/office/spreadsheetml/2017/richdata2" ref="A4:P52">
      <sortCondition ref="P3:P7"/>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8A0659B7-AA8F-4551-B48F-E25343E4272E}"/>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AC7"/>
  <sheetViews>
    <sheetView workbookViewId="0">
      <selection activeCell="P1" sqref="P1"/>
    </sheetView>
  </sheetViews>
  <sheetFormatPr defaultRowHeight="15" x14ac:dyDescent="0.25"/>
  <cols>
    <col min="8" max="8" width="27.7109375" customWidth="1"/>
    <col min="13" max="14" width="10.7109375" bestFit="1" customWidth="1"/>
  </cols>
  <sheetData>
    <row r="1" spans="1:29" ht="15.75" thickBot="1" x14ac:dyDescent="0.3">
      <c r="A1" s="204" t="s">
        <v>0</v>
      </c>
      <c r="B1" s="219" t="s">
        <v>1</v>
      </c>
      <c r="C1" s="204" t="s">
        <v>2</v>
      </c>
      <c r="D1" s="202" t="s">
        <v>3</v>
      </c>
      <c r="E1" s="202" t="s">
        <v>4</v>
      </c>
      <c r="F1" s="202" t="s">
        <v>5</v>
      </c>
      <c r="G1" s="211" t="s">
        <v>6</v>
      </c>
      <c r="H1" s="213" t="s">
        <v>7</v>
      </c>
      <c r="I1" s="215" t="s">
        <v>8</v>
      </c>
      <c r="J1" s="216"/>
      <c r="K1" s="204" t="s">
        <v>9</v>
      </c>
      <c r="L1" s="204" t="s">
        <v>10</v>
      </c>
      <c r="M1" s="217" t="s">
        <v>98</v>
      </c>
      <c r="N1" s="217" t="s">
        <v>99</v>
      </c>
      <c r="O1" s="45" t="s">
        <v>100</v>
      </c>
      <c r="P1" s="152" t="s">
        <v>3991</v>
      </c>
    </row>
    <row r="2" spans="1:29" ht="15.75" thickBot="1" x14ac:dyDescent="0.3">
      <c r="A2" s="205"/>
      <c r="B2" s="220"/>
      <c r="C2" s="205"/>
      <c r="D2" s="208"/>
      <c r="E2" s="208"/>
      <c r="F2" s="203"/>
      <c r="G2" s="212"/>
      <c r="H2" s="214"/>
      <c r="I2" s="46" t="s">
        <v>13</v>
      </c>
      <c r="J2" s="47" t="s">
        <v>14</v>
      </c>
      <c r="K2" s="205"/>
      <c r="L2" s="205"/>
      <c r="M2" s="218"/>
      <c r="N2" s="218"/>
      <c r="O2" s="38" t="s">
        <v>100</v>
      </c>
      <c r="P2" s="38"/>
    </row>
    <row r="3" spans="1:29" x14ac:dyDescent="0.25">
      <c r="A3" s="48"/>
      <c r="B3" s="83"/>
      <c r="C3" s="48">
        <v>0</v>
      </c>
      <c r="D3" s="49"/>
      <c r="E3" s="49"/>
      <c r="F3" s="49"/>
      <c r="G3" s="51" t="s">
        <v>15</v>
      </c>
      <c r="H3" s="52"/>
      <c r="I3" s="52"/>
      <c r="J3" s="52"/>
      <c r="K3" s="48"/>
      <c r="L3" s="48"/>
      <c r="M3" s="84"/>
      <c r="N3" s="84"/>
      <c r="O3" s="38" t="s">
        <v>16</v>
      </c>
      <c r="P3" s="38" t="s">
        <v>17</v>
      </c>
    </row>
    <row r="4" spans="1:29" x14ac:dyDescent="0.25">
      <c r="A4" s="12" t="s">
        <v>18</v>
      </c>
      <c r="B4" s="36">
        <v>46010</v>
      </c>
      <c r="C4" s="12">
        <f t="shared" ref="C4:C7" si="0">C3+D4</f>
        <v>1</v>
      </c>
      <c r="D4" s="12">
        <v>1</v>
      </c>
      <c r="E4" s="12"/>
      <c r="F4" s="12"/>
      <c r="G4" s="12" t="s">
        <v>64</v>
      </c>
      <c r="H4" s="12" t="s">
        <v>4197</v>
      </c>
      <c r="I4" s="12"/>
      <c r="J4" s="12">
        <v>331</v>
      </c>
      <c r="K4" s="12" t="s">
        <v>20</v>
      </c>
      <c r="L4" s="12">
        <v>1</v>
      </c>
      <c r="M4" s="17">
        <v>99000</v>
      </c>
      <c r="N4" s="17">
        <f t="shared" ref="N4:N7" si="1">L4*M4</f>
        <v>99000</v>
      </c>
      <c r="O4" s="12"/>
      <c r="P4" s="12">
        <v>1</v>
      </c>
    </row>
    <row r="5" spans="1:29" x14ac:dyDescent="0.25">
      <c r="A5" s="12" t="s">
        <v>18</v>
      </c>
      <c r="B5" s="36">
        <v>46011</v>
      </c>
      <c r="C5" s="12">
        <f t="shared" si="0"/>
        <v>2</v>
      </c>
      <c r="D5" s="12">
        <v>1</v>
      </c>
      <c r="E5" s="12"/>
      <c r="F5" s="12"/>
      <c r="G5" s="12" t="s">
        <v>64</v>
      </c>
      <c r="H5" s="12" t="s">
        <v>4198</v>
      </c>
      <c r="I5" s="12"/>
      <c r="J5" s="12">
        <v>331</v>
      </c>
      <c r="K5" s="12" t="s">
        <v>20</v>
      </c>
      <c r="L5" s="12">
        <v>1</v>
      </c>
      <c r="M5" s="17">
        <v>860040</v>
      </c>
      <c r="N5" s="17">
        <f t="shared" si="1"/>
        <v>860040</v>
      </c>
      <c r="O5" s="12"/>
      <c r="P5" s="12">
        <v>2</v>
      </c>
      <c r="T5" s="154"/>
      <c r="Z5" s="155"/>
      <c r="AC5" s="155"/>
    </row>
    <row r="6" spans="1:29" x14ac:dyDescent="0.25">
      <c r="A6" s="12" t="s">
        <v>18</v>
      </c>
      <c r="B6" s="36">
        <v>46018</v>
      </c>
      <c r="C6" s="12">
        <f t="shared" si="0"/>
        <v>3</v>
      </c>
      <c r="D6" s="12">
        <v>1</v>
      </c>
      <c r="E6" s="12"/>
      <c r="F6" s="12"/>
      <c r="G6" s="12" t="s">
        <v>52</v>
      </c>
      <c r="H6" s="12" t="s">
        <v>4199</v>
      </c>
      <c r="I6" s="12"/>
      <c r="J6" s="12">
        <v>331</v>
      </c>
      <c r="K6" s="12" t="s">
        <v>20</v>
      </c>
      <c r="L6" s="12">
        <v>1</v>
      </c>
      <c r="M6" s="17">
        <v>495720</v>
      </c>
      <c r="N6" s="17">
        <f t="shared" si="1"/>
        <v>495720</v>
      </c>
      <c r="O6" s="12"/>
      <c r="P6" s="12">
        <v>3</v>
      </c>
      <c r="T6" s="154"/>
      <c r="Z6" s="155"/>
      <c r="AB6" s="155"/>
      <c r="AC6" s="155"/>
    </row>
    <row r="7" spans="1:29" x14ac:dyDescent="0.25">
      <c r="A7" s="12" t="s">
        <v>18</v>
      </c>
      <c r="B7" s="36">
        <v>46019</v>
      </c>
      <c r="C7" s="12">
        <f t="shared" si="0"/>
        <v>4</v>
      </c>
      <c r="D7" s="12">
        <v>1</v>
      </c>
      <c r="E7" s="12"/>
      <c r="F7" s="12"/>
      <c r="G7" s="12" t="s">
        <v>4200</v>
      </c>
      <c r="H7" s="12" t="s">
        <v>4201</v>
      </c>
      <c r="I7" s="12"/>
      <c r="J7" s="12">
        <v>331</v>
      </c>
      <c r="K7" s="12" t="s">
        <v>20</v>
      </c>
      <c r="L7" s="12">
        <v>1</v>
      </c>
      <c r="M7" s="17">
        <v>3515400</v>
      </c>
      <c r="N7" s="17">
        <f t="shared" si="1"/>
        <v>3515400</v>
      </c>
      <c r="O7" s="12"/>
      <c r="P7" s="12">
        <v>4</v>
      </c>
      <c r="T7" s="154"/>
      <c r="Z7" s="155"/>
      <c r="AB7" s="155"/>
      <c r="AC7" s="155"/>
    </row>
  </sheetData>
  <autoFilter ref="A3:P7" xr:uid="{00000000-0009-0000-0000-00001C000000}">
    <sortState xmlns:xlrd2="http://schemas.microsoft.com/office/spreadsheetml/2017/richdata2" ref="A4:P107">
      <sortCondition ref="P3:P107"/>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C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Summary</vt:lpstr>
      <vt:lpstr>8443847047-001</vt:lpstr>
      <vt:lpstr>8710040770-001</vt:lpstr>
      <vt:lpstr>8836978269-001</vt:lpstr>
      <vt:lpstr>8785516231-001</vt:lpstr>
      <vt:lpstr>8417307084-001</vt:lpstr>
      <vt:lpstr>8339629042-001</vt:lpstr>
      <vt:lpstr>8077953218-001</vt:lpstr>
      <vt:lpstr>8307704000-002</vt:lpstr>
      <vt:lpstr>8568979698-001</vt:lpstr>
      <vt:lpstr>8456794480-001</vt:lpstr>
      <vt:lpstr>8427727031-001</vt:lpstr>
      <vt:lpstr>8423525669-001</vt:lpstr>
      <vt:lpstr>8336384757-001</vt:lpstr>
      <vt:lpstr>8783523554-001</vt:lpstr>
      <vt:lpstr>8537932805-001</vt:lpstr>
      <vt:lpstr>8548655046-002</vt:lpstr>
      <vt:lpstr>070095006110</vt:lpstr>
      <vt:lpstr>079200020738</vt:lpstr>
      <vt:lpstr>072098001948</vt:lpstr>
      <vt:lpstr>079302004855</vt:lpstr>
      <vt:lpstr>079098009021</vt:lpstr>
      <vt:lpstr>014198000033</vt:lpstr>
      <vt:lpstr>052300008705</vt:lpstr>
      <vt:lpstr>068199000053</vt:lpstr>
      <vt:lpstr>092097002234</vt:lpstr>
      <vt:lpstr>082198013719</vt:lpstr>
      <vt:lpstr>031196005568</vt:lpstr>
      <vt:lpstr>089200016993</vt:lpstr>
      <vt:lpstr>079195008785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Joker</dc:creator>
  <cp:keywords/>
  <dc:description/>
  <cp:lastModifiedBy>JOKER SON</cp:lastModifiedBy>
  <cp:revision/>
  <dcterms:created xsi:type="dcterms:W3CDTF">2025-10-06T13:37:40Z</dcterms:created>
  <dcterms:modified xsi:type="dcterms:W3CDTF">2026-01-19T12:37:15Z</dcterms:modified>
  <cp:category/>
  <cp:contentStatus/>
</cp:coreProperties>
</file>